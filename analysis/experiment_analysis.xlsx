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P:\BITSOM\Capstone Project\Part 2\analysis\"/>
    </mc:Choice>
  </mc:AlternateContent>
  <xr:revisionPtr revIDLastSave="0" documentId="13_ncr:1_{1A251414-DDC8-4EC7-8F30-5ACA0A31DB39}" xr6:coauthVersionLast="47" xr6:coauthVersionMax="47" xr10:uidLastSave="{00000000-0000-0000-0000-000000000000}"/>
  <bookViews>
    <workbookView xWindow="-108" yWindow="-108" windowWidth="23256" windowHeight="13896" xr2:uid="{00000000-000D-0000-FFFF-FFFF00000000}"/>
  </bookViews>
  <sheets>
    <sheet name="cleaned_experiment_data" sheetId="5" r:id="rId1"/>
    <sheet name="Hypothesis_Test" sheetId="10" r:id="rId2"/>
    <sheet name="temp_data_hypothesis" sheetId="7" r:id="rId3"/>
    <sheet name="Control vs Treatment" sheetId="6" r:id="rId4"/>
    <sheet name="Segment Distribution" sheetId="4" r:id="rId5"/>
    <sheet name="experiment_data_initialworking" sheetId="3" r:id="rId6"/>
    <sheet name="raw_experiment_data" sheetId="1" r:id="rId7"/>
    <sheet name="business_context" sheetId="2" r:id="rId8"/>
  </sheets>
  <definedNames>
    <definedName name="_xlnm._FilterDatabase" localSheetId="0" hidden="1">cleaned_experiment_data!$A$1:$U$1401</definedName>
    <definedName name="_xlnm._FilterDatabase" localSheetId="5" hidden="1">experiment_data_initialworking!$A$1:$S$1409</definedName>
    <definedName name="_xlnm._FilterDatabase" localSheetId="2" hidden="1">temp_data_hypothesis!$A$1:$E$1401</definedName>
  </definedNames>
  <calcPr calcId="191029"/>
  <pivotCaches>
    <pivotCache cacheId="13" r:id="rId9"/>
    <pivotCache cacheId="78" r:id="rId10"/>
    <pivotCache cacheId="49" r:id="rId11"/>
    <pivotCache cacheId="75" r:id="rId12"/>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2" i="10" l="1"/>
  <c r="B44" i="10"/>
  <c r="B45" i="10" s="1" a="1"/>
  <c r="B45" i="10" s="1"/>
  <c r="B43" i="10"/>
  <c r="B46" i="10" l="1"/>
  <c r="B47" i="10" s="1"/>
  <c r="B48" i="10" s="1"/>
  <c r="Y5" i="5" l="1"/>
  <c r="Y4" i="5"/>
  <c r="R1401" i="5"/>
  <c r="R1400" i="5"/>
  <c r="R1399" i="5"/>
  <c r="R1398" i="5"/>
  <c r="R1397" i="5"/>
  <c r="R1396" i="5"/>
  <c r="R1395" i="5"/>
  <c r="R1394" i="5"/>
  <c r="R1393" i="5"/>
  <c r="R1392" i="5"/>
  <c r="R1391" i="5"/>
  <c r="R1390" i="5"/>
  <c r="R1389" i="5"/>
  <c r="R1388" i="5"/>
  <c r="R1387" i="5"/>
  <c r="R1386" i="5"/>
  <c r="R1385" i="5"/>
  <c r="R1384" i="5"/>
  <c r="R1383" i="5"/>
  <c r="R1382" i="5"/>
  <c r="R1381" i="5"/>
  <c r="R1380" i="5"/>
  <c r="R1379" i="5"/>
  <c r="R1378" i="5"/>
  <c r="R1377" i="5"/>
  <c r="R1376" i="5"/>
  <c r="R1375" i="5"/>
  <c r="R1374" i="5"/>
  <c r="R1373" i="5"/>
  <c r="R1372" i="5"/>
  <c r="R1371" i="5"/>
  <c r="R1370" i="5"/>
  <c r="R1369" i="5"/>
  <c r="R1368" i="5"/>
  <c r="R1367" i="5"/>
  <c r="R1366" i="5"/>
  <c r="R1365" i="5"/>
  <c r="R1364" i="5"/>
  <c r="R1363" i="5"/>
  <c r="R1362" i="5"/>
  <c r="R1361" i="5"/>
  <c r="R1360" i="5"/>
  <c r="R1359" i="5"/>
  <c r="R1358" i="5"/>
  <c r="R1357" i="5"/>
  <c r="R1356" i="5"/>
  <c r="R1355" i="5"/>
  <c r="R1354" i="5"/>
  <c r="R1353" i="5"/>
  <c r="R1352" i="5"/>
  <c r="R1351" i="5"/>
  <c r="R1350" i="5"/>
  <c r="R1349" i="5"/>
  <c r="R1348" i="5"/>
  <c r="R1347" i="5"/>
  <c r="R1346" i="5"/>
  <c r="R1345" i="5"/>
  <c r="R1344" i="5"/>
  <c r="R1343" i="5"/>
  <c r="R1342" i="5"/>
  <c r="R1341" i="5"/>
  <c r="R1340" i="5"/>
  <c r="R1339" i="5"/>
  <c r="R1338" i="5"/>
  <c r="R1337" i="5"/>
  <c r="R1336" i="5"/>
  <c r="R1335" i="5"/>
  <c r="R1334" i="5"/>
  <c r="R1333" i="5"/>
  <c r="R1332" i="5"/>
  <c r="R1331" i="5"/>
  <c r="R1330" i="5"/>
  <c r="R1329" i="5"/>
  <c r="R1328" i="5"/>
  <c r="R1327" i="5"/>
  <c r="R1326" i="5"/>
  <c r="R1325" i="5"/>
  <c r="R1324" i="5"/>
  <c r="R1323" i="5"/>
  <c r="R1322" i="5"/>
  <c r="R1321" i="5"/>
  <c r="R1320" i="5"/>
  <c r="R1319" i="5"/>
  <c r="R1318" i="5"/>
  <c r="R1317" i="5"/>
  <c r="R1316" i="5"/>
  <c r="R1315" i="5"/>
  <c r="R1314" i="5"/>
  <c r="R1313" i="5"/>
  <c r="R1312" i="5"/>
  <c r="R1311" i="5"/>
  <c r="R1310" i="5"/>
  <c r="R1309" i="5"/>
  <c r="R1308" i="5"/>
  <c r="R1307" i="5"/>
  <c r="R1306" i="5"/>
  <c r="R1305" i="5"/>
  <c r="R1304" i="5"/>
  <c r="R1303" i="5"/>
  <c r="R1302" i="5"/>
  <c r="R1301" i="5"/>
  <c r="R1300" i="5"/>
  <c r="R1299" i="5"/>
  <c r="R1298" i="5"/>
  <c r="R1297" i="5"/>
  <c r="R1296" i="5"/>
  <c r="R1295" i="5"/>
  <c r="R1294" i="5"/>
  <c r="R1293" i="5"/>
  <c r="R1292" i="5"/>
  <c r="R1291" i="5"/>
  <c r="R1290" i="5"/>
  <c r="R1289" i="5"/>
  <c r="R1288" i="5"/>
  <c r="R1287" i="5"/>
  <c r="R1286" i="5"/>
  <c r="R1285" i="5"/>
  <c r="R1284" i="5"/>
  <c r="R1283" i="5"/>
  <c r="R1282" i="5"/>
  <c r="R1281" i="5"/>
  <c r="R1280" i="5"/>
  <c r="R1279" i="5"/>
  <c r="R1278" i="5"/>
  <c r="R1277" i="5"/>
  <c r="R1276" i="5"/>
  <c r="R1275" i="5"/>
  <c r="R1274" i="5"/>
  <c r="R1273" i="5"/>
  <c r="R1272" i="5"/>
  <c r="R1271" i="5"/>
  <c r="R1270" i="5"/>
  <c r="R1269" i="5"/>
  <c r="R1268" i="5"/>
  <c r="R1267" i="5"/>
  <c r="R1266" i="5"/>
  <c r="R1265" i="5"/>
  <c r="R1264" i="5"/>
  <c r="R1263" i="5"/>
  <c r="R1262" i="5"/>
  <c r="R1261" i="5"/>
  <c r="R1260" i="5"/>
  <c r="R1259" i="5"/>
  <c r="R1258" i="5"/>
  <c r="R1257" i="5"/>
  <c r="R1256" i="5"/>
  <c r="R1255" i="5"/>
  <c r="R1254" i="5"/>
  <c r="R1253" i="5"/>
  <c r="R1252" i="5"/>
  <c r="R1251" i="5"/>
  <c r="R1250" i="5"/>
  <c r="R1249" i="5"/>
  <c r="R1248" i="5"/>
  <c r="R1247" i="5"/>
  <c r="R1246" i="5"/>
  <c r="R1245" i="5"/>
  <c r="R1244" i="5"/>
  <c r="R1243" i="5"/>
  <c r="R1242" i="5"/>
  <c r="R1241" i="5"/>
  <c r="R1240" i="5"/>
  <c r="R1239" i="5"/>
  <c r="R1238" i="5"/>
  <c r="R1237" i="5"/>
  <c r="R1236" i="5"/>
  <c r="R1235" i="5"/>
  <c r="R1234" i="5"/>
  <c r="R1233" i="5"/>
  <c r="R1232" i="5"/>
  <c r="R1231" i="5"/>
  <c r="R1230" i="5"/>
  <c r="R1229" i="5"/>
  <c r="R1228" i="5"/>
  <c r="R1227" i="5"/>
  <c r="R1226" i="5"/>
  <c r="R1225" i="5"/>
  <c r="R1224" i="5"/>
  <c r="R1223" i="5"/>
  <c r="R1222" i="5"/>
  <c r="R1221" i="5"/>
  <c r="R1220" i="5"/>
  <c r="R1219" i="5"/>
  <c r="R1218" i="5"/>
  <c r="R1217" i="5"/>
  <c r="R1216" i="5"/>
  <c r="R1215" i="5"/>
  <c r="R1214" i="5"/>
  <c r="R1213" i="5"/>
  <c r="R1212" i="5"/>
  <c r="R1211" i="5"/>
  <c r="R1210" i="5"/>
  <c r="R1209" i="5"/>
  <c r="R1208" i="5"/>
  <c r="R1207" i="5"/>
  <c r="R1206" i="5"/>
  <c r="R1205" i="5"/>
  <c r="R1204" i="5"/>
  <c r="R1203" i="5"/>
  <c r="R1202" i="5"/>
  <c r="R1201" i="5"/>
  <c r="R1200" i="5"/>
  <c r="R1199" i="5"/>
  <c r="R1198" i="5"/>
  <c r="R1197" i="5"/>
  <c r="R1196" i="5"/>
  <c r="R1195" i="5"/>
  <c r="R1194" i="5"/>
  <c r="R1193" i="5"/>
  <c r="R1192" i="5"/>
  <c r="R1191" i="5"/>
  <c r="R1190" i="5"/>
  <c r="R1189" i="5"/>
  <c r="R1188" i="5"/>
  <c r="R1187" i="5"/>
  <c r="R1186" i="5"/>
  <c r="R1185" i="5"/>
  <c r="R1184" i="5"/>
  <c r="R1183" i="5"/>
  <c r="R1182" i="5"/>
  <c r="R1181" i="5"/>
  <c r="R1180" i="5"/>
  <c r="R1179" i="5"/>
  <c r="R1178" i="5"/>
  <c r="R1177" i="5"/>
  <c r="R1176" i="5"/>
  <c r="R1175" i="5"/>
  <c r="R1174" i="5"/>
  <c r="R1173" i="5"/>
  <c r="R1172" i="5"/>
  <c r="R1171" i="5"/>
  <c r="R1170" i="5"/>
  <c r="R1169" i="5"/>
  <c r="R1168" i="5"/>
  <c r="R1167" i="5"/>
  <c r="R1166" i="5"/>
  <c r="R1165" i="5"/>
  <c r="R1164" i="5"/>
  <c r="R1163" i="5"/>
  <c r="R1162" i="5"/>
  <c r="R1161" i="5"/>
  <c r="R1160" i="5"/>
  <c r="R1159" i="5"/>
  <c r="R1158" i="5"/>
  <c r="R1157" i="5"/>
  <c r="R1156" i="5"/>
  <c r="R1155" i="5"/>
  <c r="R1154" i="5"/>
  <c r="R1153" i="5"/>
  <c r="R1152" i="5"/>
  <c r="R1151" i="5"/>
  <c r="R1150" i="5"/>
  <c r="R1149" i="5"/>
  <c r="R1148" i="5"/>
  <c r="R1147" i="5"/>
  <c r="R1146" i="5"/>
  <c r="R1145" i="5"/>
  <c r="R1144" i="5"/>
  <c r="R1143" i="5"/>
  <c r="R1142" i="5"/>
  <c r="R1141" i="5"/>
  <c r="R1140" i="5"/>
  <c r="R1139" i="5"/>
  <c r="R1138" i="5"/>
  <c r="R1137" i="5"/>
  <c r="R1136" i="5"/>
  <c r="R1135" i="5"/>
  <c r="R1134" i="5"/>
  <c r="R1133" i="5"/>
  <c r="R1132" i="5"/>
  <c r="R1131" i="5"/>
  <c r="R1130" i="5"/>
  <c r="R1129" i="5"/>
  <c r="R1128" i="5"/>
  <c r="R1127" i="5"/>
  <c r="R1126" i="5"/>
  <c r="R1125" i="5"/>
  <c r="R1124" i="5"/>
  <c r="R1123" i="5"/>
  <c r="R1122" i="5"/>
  <c r="R1121" i="5"/>
  <c r="R1120" i="5"/>
  <c r="R1119" i="5"/>
  <c r="R1118" i="5"/>
  <c r="R1117" i="5"/>
  <c r="R1116" i="5"/>
  <c r="R1115" i="5"/>
  <c r="R1114" i="5"/>
  <c r="R1113" i="5"/>
  <c r="R1112" i="5"/>
  <c r="R1111" i="5"/>
  <c r="R1110" i="5"/>
  <c r="R1109" i="5"/>
  <c r="R1108" i="5"/>
  <c r="R1107" i="5"/>
  <c r="R1106" i="5"/>
  <c r="R1105" i="5"/>
  <c r="R1104" i="5"/>
  <c r="R1103" i="5"/>
  <c r="R1102" i="5"/>
  <c r="R1101" i="5"/>
  <c r="R1100" i="5"/>
  <c r="R1099" i="5"/>
  <c r="R1098" i="5"/>
  <c r="R1097" i="5"/>
  <c r="R1096" i="5"/>
  <c r="R1095" i="5"/>
  <c r="R1094" i="5"/>
  <c r="R1093" i="5"/>
  <c r="R1092" i="5"/>
  <c r="R1091" i="5"/>
  <c r="R1090" i="5"/>
  <c r="R1089" i="5"/>
  <c r="R1088" i="5"/>
  <c r="R1087" i="5"/>
  <c r="R1086" i="5"/>
  <c r="R1085" i="5"/>
  <c r="R1084" i="5"/>
  <c r="R1083" i="5"/>
  <c r="R1082" i="5"/>
  <c r="R1081" i="5"/>
  <c r="R1080" i="5"/>
  <c r="R1079" i="5"/>
  <c r="R1078" i="5"/>
  <c r="R1077" i="5"/>
  <c r="R1076" i="5"/>
  <c r="R1075" i="5"/>
  <c r="R1074" i="5"/>
  <c r="R1073" i="5"/>
  <c r="R1072" i="5"/>
  <c r="R1071" i="5"/>
  <c r="R1070" i="5"/>
  <c r="R1069" i="5"/>
  <c r="R1068" i="5"/>
  <c r="R1067" i="5"/>
  <c r="R1066" i="5"/>
  <c r="R1065" i="5"/>
  <c r="R1064" i="5"/>
  <c r="R1063" i="5"/>
  <c r="R1062" i="5"/>
  <c r="R1061" i="5"/>
  <c r="R1060" i="5"/>
  <c r="R1059" i="5"/>
  <c r="R1058" i="5"/>
  <c r="R1057" i="5"/>
  <c r="R1056" i="5"/>
  <c r="R1055" i="5"/>
  <c r="R1054" i="5"/>
  <c r="R1053" i="5"/>
  <c r="R1052" i="5"/>
  <c r="R1051" i="5"/>
  <c r="R1050" i="5"/>
  <c r="R1049" i="5"/>
  <c r="R1048" i="5"/>
  <c r="R1047" i="5"/>
  <c r="R1046" i="5"/>
  <c r="R1045" i="5"/>
  <c r="R1044" i="5"/>
  <c r="R1043" i="5"/>
  <c r="R1042" i="5"/>
  <c r="R1041" i="5"/>
  <c r="R1040" i="5"/>
  <c r="R1039" i="5"/>
  <c r="R1038" i="5"/>
  <c r="R1037" i="5"/>
  <c r="R1036" i="5"/>
  <c r="R1035" i="5"/>
  <c r="R1034" i="5"/>
  <c r="R1033" i="5"/>
  <c r="R1032" i="5"/>
  <c r="R1031" i="5"/>
  <c r="R1030" i="5"/>
  <c r="R1029" i="5"/>
  <c r="R1028" i="5"/>
  <c r="R1027" i="5"/>
  <c r="R1026" i="5"/>
  <c r="R1025" i="5"/>
  <c r="R1024" i="5"/>
  <c r="R1023" i="5"/>
  <c r="R1022" i="5"/>
  <c r="R1021" i="5"/>
  <c r="R1020" i="5"/>
  <c r="R1019" i="5"/>
  <c r="R1018" i="5"/>
  <c r="R1017" i="5"/>
  <c r="R1016" i="5"/>
  <c r="R1015" i="5"/>
  <c r="R1014" i="5"/>
  <c r="R1013" i="5"/>
  <c r="R1012" i="5"/>
  <c r="R1011" i="5"/>
  <c r="R1010" i="5"/>
  <c r="R1009" i="5"/>
  <c r="R1008" i="5"/>
  <c r="R1007" i="5"/>
  <c r="R1006" i="5"/>
  <c r="R1005" i="5"/>
  <c r="R1004" i="5"/>
  <c r="R1003" i="5"/>
  <c r="R1002" i="5"/>
  <c r="R1001" i="5"/>
  <c r="R1000" i="5"/>
  <c r="R999" i="5"/>
  <c r="R998" i="5"/>
  <c r="R997" i="5"/>
  <c r="R996" i="5"/>
  <c r="R995" i="5"/>
  <c r="R994" i="5"/>
  <c r="R993" i="5"/>
  <c r="R992" i="5"/>
  <c r="R991" i="5"/>
  <c r="R990" i="5"/>
  <c r="R989" i="5"/>
  <c r="R988" i="5"/>
  <c r="R987" i="5"/>
  <c r="R986" i="5"/>
  <c r="R985" i="5"/>
  <c r="R984" i="5"/>
  <c r="R983" i="5"/>
  <c r="R982" i="5"/>
  <c r="R981" i="5"/>
  <c r="R980" i="5"/>
  <c r="R979" i="5"/>
  <c r="R978" i="5"/>
  <c r="R977" i="5"/>
  <c r="R976" i="5"/>
  <c r="R975" i="5"/>
  <c r="R974" i="5"/>
  <c r="R973" i="5"/>
  <c r="R972" i="5"/>
  <c r="R971" i="5"/>
  <c r="R970" i="5"/>
  <c r="R969" i="5"/>
  <c r="R968" i="5"/>
  <c r="R967" i="5"/>
  <c r="R966" i="5"/>
  <c r="R965" i="5"/>
  <c r="R964" i="5"/>
  <c r="R963" i="5"/>
  <c r="R962" i="5"/>
  <c r="R961" i="5"/>
  <c r="R960" i="5"/>
  <c r="R959" i="5"/>
  <c r="R958" i="5"/>
  <c r="R957" i="5"/>
  <c r="R956" i="5"/>
  <c r="R955" i="5"/>
  <c r="R954" i="5"/>
  <c r="R953" i="5"/>
  <c r="R952" i="5"/>
  <c r="R951" i="5"/>
  <c r="R950" i="5"/>
  <c r="R949" i="5"/>
  <c r="R948" i="5"/>
  <c r="R947" i="5"/>
  <c r="R946" i="5"/>
  <c r="R945" i="5"/>
  <c r="R944" i="5"/>
  <c r="R943" i="5"/>
  <c r="R942" i="5"/>
  <c r="R941" i="5"/>
  <c r="R940" i="5"/>
  <c r="R939" i="5"/>
  <c r="R938" i="5"/>
  <c r="R937" i="5"/>
  <c r="R936" i="5"/>
  <c r="R935" i="5"/>
  <c r="R934" i="5"/>
  <c r="R933" i="5"/>
  <c r="R932" i="5"/>
  <c r="R931" i="5"/>
  <c r="R930" i="5"/>
  <c r="R929" i="5"/>
  <c r="R928" i="5"/>
  <c r="R927" i="5"/>
  <c r="R926" i="5"/>
  <c r="R925" i="5"/>
  <c r="R924" i="5"/>
  <c r="R923" i="5"/>
  <c r="R922" i="5"/>
  <c r="R921" i="5"/>
  <c r="R920" i="5"/>
  <c r="R919" i="5"/>
  <c r="R918" i="5"/>
  <c r="R917" i="5"/>
  <c r="R916" i="5"/>
  <c r="R915" i="5"/>
  <c r="R914" i="5"/>
  <c r="R913" i="5"/>
  <c r="R912" i="5"/>
  <c r="R911" i="5"/>
  <c r="R910" i="5"/>
  <c r="R909" i="5"/>
  <c r="R908" i="5"/>
  <c r="R907" i="5"/>
  <c r="R906" i="5"/>
  <c r="R905" i="5"/>
  <c r="R904" i="5"/>
  <c r="R903" i="5"/>
  <c r="R902" i="5"/>
  <c r="R901" i="5"/>
  <c r="R900" i="5"/>
  <c r="R899" i="5"/>
  <c r="R898" i="5"/>
  <c r="R897" i="5"/>
  <c r="R896" i="5"/>
  <c r="R895" i="5"/>
  <c r="R894" i="5"/>
  <c r="R893" i="5"/>
  <c r="R892" i="5"/>
  <c r="R891" i="5"/>
  <c r="R890" i="5"/>
  <c r="R889" i="5"/>
  <c r="R888" i="5"/>
  <c r="R887" i="5"/>
  <c r="R886" i="5"/>
  <c r="R885" i="5"/>
  <c r="R884" i="5"/>
  <c r="R883" i="5"/>
  <c r="R882" i="5"/>
  <c r="R881" i="5"/>
  <c r="R880" i="5"/>
  <c r="R879" i="5"/>
  <c r="R878" i="5"/>
  <c r="R877" i="5"/>
  <c r="R876" i="5"/>
  <c r="R875" i="5"/>
  <c r="R874" i="5"/>
  <c r="R873" i="5"/>
  <c r="R872" i="5"/>
  <c r="R871" i="5"/>
  <c r="R870" i="5"/>
  <c r="R869" i="5"/>
  <c r="R868" i="5"/>
  <c r="R867" i="5"/>
  <c r="R866" i="5"/>
  <c r="R865" i="5"/>
  <c r="R864" i="5"/>
  <c r="R863" i="5"/>
  <c r="R862" i="5"/>
  <c r="R861" i="5"/>
  <c r="R860" i="5"/>
  <c r="R859" i="5"/>
  <c r="R858" i="5"/>
  <c r="R857" i="5"/>
  <c r="R856" i="5"/>
  <c r="R855" i="5"/>
  <c r="R854" i="5"/>
  <c r="R853" i="5"/>
  <c r="R852" i="5"/>
  <c r="R851" i="5"/>
  <c r="R850" i="5"/>
  <c r="R849" i="5"/>
  <c r="R848" i="5"/>
  <c r="R847" i="5"/>
  <c r="R846" i="5"/>
  <c r="R845" i="5"/>
  <c r="R844" i="5"/>
  <c r="R843" i="5"/>
  <c r="R842" i="5"/>
  <c r="R841" i="5"/>
  <c r="R840" i="5"/>
  <c r="R839" i="5"/>
  <c r="R838" i="5"/>
  <c r="R837" i="5"/>
  <c r="R836" i="5"/>
  <c r="R835" i="5"/>
  <c r="R834" i="5"/>
  <c r="R833" i="5"/>
  <c r="R832" i="5"/>
  <c r="R831" i="5"/>
  <c r="R830" i="5"/>
  <c r="R829" i="5"/>
  <c r="R828" i="5"/>
  <c r="R827" i="5"/>
  <c r="R826" i="5"/>
  <c r="R825" i="5"/>
  <c r="R824" i="5"/>
  <c r="R823" i="5"/>
  <c r="R822" i="5"/>
  <c r="R821" i="5"/>
  <c r="R820" i="5"/>
  <c r="R819" i="5"/>
  <c r="R818" i="5"/>
  <c r="R817" i="5"/>
  <c r="R816" i="5"/>
  <c r="R815" i="5"/>
  <c r="R814" i="5"/>
  <c r="R813" i="5"/>
  <c r="R812" i="5"/>
  <c r="R811" i="5"/>
  <c r="R810" i="5"/>
  <c r="R809" i="5"/>
  <c r="R808" i="5"/>
  <c r="R807" i="5"/>
  <c r="R806" i="5"/>
  <c r="R805" i="5"/>
  <c r="R804" i="5"/>
  <c r="R803" i="5"/>
  <c r="R802" i="5"/>
  <c r="R801" i="5"/>
  <c r="R800" i="5"/>
  <c r="R799" i="5"/>
  <c r="R798" i="5"/>
  <c r="R797" i="5"/>
  <c r="R796" i="5"/>
  <c r="R795" i="5"/>
  <c r="R794" i="5"/>
  <c r="R793" i="5"/>
  <c r="R792" i="5"/>
  <c r="R791" i="5"/>
  <c r="R790" i="5"/>
  <c r="R789" i="5"/>
  <c r="R788" i="5"/>
  <c r="R787" i="5"/>
  <c r="R786" i="5"/>
  <c r="R785" i="5"/>
  <c r="R784" i="5"/>
  <c r="R783" i="5"/>
  <c r="R782" i="5"/>
  <c r="R781" i="5"/>
  <c r="R780" i="5"/>
  <c r="R779" i="5"/>
  <c r="R778" i="5"/>
  <c r="R777" i="5"/>
  <c r="R776" i="5"/>
  <c r="R775" i="5"/>
  <c r="R774" i="5"/>
  <c r="R773" i="5"/>
  <c r="R772" i="5"/>
  <c r="R771" i="5"/>
  <c r="R770" i="5"/>
  <c r="R769" i="5"/>
  <c r="R768" i="5"/>
  <c r="R767" i="5"/>
  <c r="R766" i="5"/>
  <c r="R765" i="5"/>
  <c r="R764" i="5"/>
  <c r="R763" i="5"/>
  <c r="R762" i="5"/>
  <c r="R761" i="5"/>
  <c r="R760" i="5"/>
  <c r="R759" i="5"/>
  <c r="R758" i="5"/>
  <c r="R757" i="5"/>
  <c r="R756" i="5"/>
  <c r="R755" i="5"/>
  <c r="R754" i="5"/>
  <c r="R753" i="5"/>
  <c r="R752" i="5"/>
  <c r="R751" i="5"/>
  <c r="R750" i="5"/>
  <c r="R749" i="5"/>
  <c r="R748" i="5"/>
  <c r="R747" i="5"/>
  <c r="R746" i="5"/>
  <c r="R745" i="5"/>
  <c r="R744" i="5"/>
  <c r="R743" i="5"/>
  <c r="R742" i="5"/>
  <c r="R741" i="5"/>
  <c r="R740" i="5"/>
  <c r="R739" i="5"/>
  <c r="R738" i="5"/>
  <c r="R737" i="5"/>
  <c r="R736" i="5"/>
  <c r="R735" i="5"/>
  <c r="R734" i="5"/>
  <c r="R733" i="5"/>
  <c r="R732" i="5"/>
  <c r="R731" i="5"/>
  <c r="R730" i="5"/>
  <c r="R729" i="5"/>
  <c r="R728" i="5"/>
  <c r="R727" i="5"/>
  <c r="R726" i="5"/>
  <c r="R725" i="5"/>
  <c r="R724" i="5"/>
  <c r="R723" i="5"/>
  <c r="R722" i="5"/>
  <c r="R721" i="5"/>
  <c r="R720" i="5"/>
  <c r="R719" i="5"/>
  <c r="R718" i="5"/>
  <c r="R717" i="5"/>
  <c r="R716" i="5"/>
  <c r="R715" i="5"/>
  <c r="R714" i="5"/>
  <c r="R713" i="5"/>
  <c r="R712" i="5"/>
  <c r="R711" i="5"/>
  <c r="R710" i="5"/>
  <c r="R709" i="5"/>
  <c r="R708" i="5"/>
  <c r="R707" i="5"/>
  <c r="R706" i="5"/>
  <c r="R705" i="5"/>
  <c r="R704" i="5"/>
  <c r="R703" i="5"/>
  <c r="R702" i="5"/>
  <c r="R701" i="5"/>
  <c r="R700" i="5"/>
  <c r="R699" i="5"/>
  <c r="R698" i="5"/>
  <c r="R697" i="5"/>
  <c r="R696" i="5"/>
  <c r="R695" i="5"/>
  <c r="R694" i="5"/>
  <c r="R693" i="5"/>
  <c r="R692" i="5"/>
  <c r="R691" i="5"/>
  <c r="R690" i="5"/>
  <c r="R689" i="5"/>
  <c r="R688" i="5"/>
  <c r="R687" i="5"/>
  <c r="R686" i="5"/>
  <c r="R685" i="5"/>
  <c r="R684" i="5"/>
  <c r="R683" i="5"/>
  <c r="R682" i="5"/>
  <c r="R681" i="5"/>
  <c r="R680" i="5"/>
  <c r="R679" i="5"/>
  <c r="R678" i="5"/>
  <c r="R677" i="5"/>
  <c r="R676" i="5"/>
  <c r="R675" i="5"/>
  <c r="R674" i="5"/>
  <c r="R673" i="5"/>
  <c r="R672" i="5"/>
  <c r="R671" i="5"/>
  <c r="R670" i="5"/>
  <c r="R669" i="5"/>
  <c r="R668" i="5"/>
  <c r="R667" i="5"/>
  <c r="R666" i="5"/>
  <c r="R665" i="5"/>
  <c r="R664" i="5"/>
  <c r="R663" i="5"/>
  <c r="R662" i="5"/>
  <c r="R661" i="5"/>
  <c r="R660" i="5"/>
  <c r="R659" i="5"/>
  <c r="R658" i="5"/>
  <c r="R657" i="5"/>
  <c r="R656" i="5"/>
  <c r="R655" i="5"/>
  <c r="R654" i="5"/>
  <c r="R653" i="5"/>
  <c r="R652" i="5"/>
  <c r="R651" i="5"/>
  <c r="R650" i="5"/>
  <c r="R649" i="5"/>
  <c r="R648" i="5"/>
  <c r="R647" i="5"/>
  <c r="R646" i="5"/>
  <c r="R645" i="5"/>
  <c r="R644" i="5"/>
  <c r="R643" i="5"/>
  <c r="R642" i="5"/>
  <c r="R641" i="5"/>
  <c r="R640" i="5"/>
  <c r="R639" i="5"/>
  <c r="R638" i="5"/>
  <c r="R637" i="5"/>
  <c r="R636" i="5"/>
  <c r="R635" i="5"/>
  <c r="R634" i="5"/>
  <c r="R633" i="5"/>
  <c r="R632" i="5"/>
  <c r="R631" i="5"/>
  <c r="R630" i="5"/>
  <c r="R629" i="5"/>
  <c r="R628" i="5"/>
  <c r="R627" i="5"/>
  <c r="R626" i="5"/>
  <c r="R625" i="5"/>
  <c r="R624" i="5"/>
  <c r="R623" i="5"/>
  <c r="R622" i="5"/>
  <c r="R621" i="5"/>
  <c r="R620" i="5"/>
  <c r="R619" i="5"/>
  <c r="R618" i="5"/>
  <c r="R617" i="5"/>
  <c r="R616" i="5"/>
  <c r="R615" i="5"/>
  <c r="R614" i="5"/>
  <c r="R613" i="5"/>
  <c r="R612" i="5"/>
  <c r="R611" i="5"/>
  <c r="R610" i="5"/>
  <c r="R609" i="5"/>
  <c r="R608" i="5"/>
  <c r="R607" i="5"/>
  <c r="R606" i="5"/>
  <c r="R605" i="5"/>
  <c r="R604" i="5"/>
  <c r="R603" i="5"/>
  <c r="R602" i="5"/>
  <c r="R601" i="5"/>
  <c r="R600" i="5"/>
  <c r="R599" i="5"/>
  <c r="R598" i="5"/>
  <c r="R597" i="5"/>
  <c r="R596" i="5"/>
  <c r="R595" i="5"/>
  <c r="R594" i="5"/>
  <c r="R593" i="5"/>
  <c r="R592" i="5"/>
  <c r="R591" i="5"/>
  <c r="R590" i="5"/>
  <c r="R589" i="5"/>
  <c r="R588" i="5"/>
  <c r="R587" i="5"/>
  <c r="R586" i="5"/>
  <c r="R585" i="5"/>
  <c r="R584" i="5"/>
  <c r="R583" i="5"/>
  <c r="R582" i="5"/>
  <c r="R581" i="5"/>
  <c r="R580" i="5"/>
  <c r="R579" i="5"/>
  <c r="R578" i="5"/>
  <c r="R577" i="5"/>
  <c r="R576" i="5"/>
  <c r="R575" i="5"/>
  <c r="R574" i="5"/>
  <c r="R573" i="5"/>
  <c r="R572" i="5"/>
  <c r="R571" i="5"/>
  <c r="R570" i="5"/>
  <c r="R569" i="5"/>
  <c r="R568" i="5"/>
  <c r="R567" i="5"/>
  <c r="R566" i="5"/>
  <c r="R565" i="5"/>
  <c r="R564" i="5"/>
  <c r="R563" i="5"/>
  <c r="R562" i="5"/>
  <c r="R561" i="5"/>
  <c r="R560" i="5"/>
  <c r="R559" i="5"/>
  <c r="R558" i="5"/>
  <c r="R557" i="5"/>
  <c r="R556" i="5"/>
  <c r="R555" i="5"/>
  <c r="R554" i="5"/>
  <c r="R553" i="5"/>
  <c r="R552" i="5"/>
  <c r="R551" i="5"/>
  <c r="R550" i="5"/>
  <c r="R549" i="5"/>
  <c r="R548" i="5"/>
  <c r="R547" i="5"/>
  <c r="R546" i="5"/>
  <c r="R545" i="5"/>
  <c r="R544" i="5"/>
  <c r="R543" i="5"/>
  <c r="R542" i="5"/>
  <c r="R541" i="5"/>
  <c r="R540" i="5"/>
  <c r="R539" i="5"/>
  <c r="R538" i="5"/>
  <c r="R537" i="5"/>
  <c r="R536" i="5"/>
  <c r="R535" i="5"/>
  <c r="R534" i="5"/>
  <c r="R533" i="5"/>
  <c r="R532" i="5"/>
  <c r="R531" i="5"/>
  <c r="R530" i="5"/>
  <c r="R529" i="5"/>
  <c r="R528" i="5"/>
  <c r="R527" i="5"/>
  <c r="R526" i="5"/>
  <c r="R525" i="5"/>
  <c r="R524" i="5"/>
  <c r="R523" i="5"/>
  <c r="R522" i="5"/>
  <c r="R521" i="5"/>
  <c r="R520" i="5"/>
  <c r="R519" i="5"/>
  <c r="R518" i="5"/>
  <c r="R517" i="5"/>
  <c r="R516" i="5"/>
  <c r="R515" i="5"/>
  <c r="R514" i="5"/>
  <c r="R513" i="5"/>
  <c r="R512" i="5"/>
  <c r="R511" i="5"/>
  <c r="R510" i="5"/>
  <c r="R509" i="5"/>
  <c r="R508" i="5"/>
  <c r="R507" i="5"/>
  <c r="R506" i="5"/>
  <c r="R505" i="5"/>
  <c r="R504" i="5"/>
  <c r="R503" i="5"/>
  <c r="R502" i="5"/>
  <c r="R501" i="5"/>
  <c r="R500" i="5"/>
  <c r="R499" i="5"/>
  <c r="R498" i="5"/>
  <c r="R497" i="5"/>
  <c r="R496" i="5"/>
  <c r="R495" i="5"/>
  <c r="R494" i="5"/>
  <c r="R493" i="5"/>
  <c r="R492" i="5"/>
  <c r="R491" i="5"/>
  <c r="R490" i="5"/>
  <c r="R489" i="5"/>
  <c r="R488" i="5"/>
  <c r="R487" i="5"/>
  <c r="R486" i="5"/>
  <c r="R485" i="5"/>
  <c r="R484" i="5"/>
  <c r="R483" i="5"/>
  <c r="R482" i="5"/>
  <c r="R481" i="5"/>
  <c r="R480" i="5"/>
  <c r="R479" i="5"/>
  <c r="R478" i="5"/>
  <c r="R477" i="5"/>
  <c r="R476" i="5"/>
  <c r="R475" i="5"/>
  <c r="R474" i="5"/>
  <c r="R473" i="5"/>
  <c r="R472" i="5"/>
  <c r="R471" i="5"/>
  <c r="R470" i="5"/>
  <c r="R469" i="5"/>
  <c r="R468" i="5"/>
  <c r="R467" i="5"/>
  <c r="R466" i="5"/>
  <c r="R465" i="5"/>
  <c r="R464" i="5"/>
  <c r="R463" i="5"/>
  <c r="R462" i="5"/>
  <c r="R461" i="5"/>
  <c r="R460" i="5"/>
  <c r="R459" i="5"/>
  <c r="R458" i="5"/>
  <c r="R457" i="5"/>
  <c r="R456" i="5"/>
  <c r="R455" i="5"/>
  <c r="R454" i="5"/>
  <c r="R453" i="5"/>
  <c r="R452" i="5"/>
  <c r="R451" i="5"/>
  <c r="R450" i="5"/>
  <c r="R449" i="5"/>
  <c r="R448" i="5"/>
  <c r="R447" i="5"/>
  <c r="R446" i="5"/>
  <c r="R445" i="5"/>
  <c r="R444" i="5"/>
  <c r="R443" i="5"/>
  <c r="R442" i="5"/>
  <c r="R441" i="5"/>
  <c r="R440" i="5"/>
  <c r="R439" i="5"/>
  <c r="R438" i="5"/>
  <c r="R437" i="5"/>
  <c r="R436" i="5"/>
  <c r="R435" i="5"/>
  <c r="R434" i="5"/>
  <c r="R433" i="5"/>
  <c r="R432" i="5"/>
  <c r="R431" i="5"/>
  <c r="R430" i="5"/>
  <c r="R429" i="5"/>
  <c r="R428" i="5"/>
  <c r="R427" i="5"/>
  <c r="R426" i="5"/>
  <c r="R425" i="5"/>
  <c r="R424" i="5"/>
  <c r="R423" i="5"/>
  <c r="R422" i="5"/>
  <c r="R421" i="5"/>
  <c r="R420" i="5"/>
  <c r="R419" i="5"/>
  <c r="R418" i="5"/>
  <c r="R417" i="5"/>
  <c r="R416" i="5"/>
  <c r="R415" i="5"/>
  <c r="R414" i="5"/>
  <c r="R413" i="5"/>
  <c r="R412" i="5"/>
  <c r="R411" i="5"/>
  <c r="R410" i="5"/>
  <c r="R409" i="5"/>
  <c r="R408" i="5"/>
  <c r="R407" i="5"/>
  <c r="R406" i="5"/>
  <c r="R405" i="5"/>
  <c r="R404" i="5"/>
  <c r="R403" i="5"/>
  <c r="R402" i="5"/>
  <c r="R401" i="5"/>
  <c r="R400" i="5"/>
  <c r="R399" i="5"/>
  <c r="R398" i="5"/>
  <c r="R397" i="5"/>
  <c r="R396" i="5"/>
  <c r="R395" i="5"/>
  <c r="R394" i="5"/>
  <c r="R393" i="5"/>
  <c r="R392" i="5"/>
  <c r="R391" i="5"/>
  <c r="R390" i="5"/>
  <c r="R389" i="5"/>
  <c r="R388" i="5"/>
  <c r="R387" i="5"/>
  <c r="R386" i="5"/>
  <c r="R385" i="5"/>
  <c r="R384" i="5"/>
  <c r="R383" i="5"/>
  <c r="R382" i="5"/>
  <c r="R381" i="5"/>
  <c r="R380" i="5"/>
  <c r="R379" i="5"/>
  <c r="R378" i="5"/>
  <c r="R377" i="5"/>
  <c r="R376" i="5"/>
  <c r="R375" i="5"/>
  <c r="R374" i="5"/>
  <c r="R373" i="5"/>
  <c r="R372" i="5"/>
  <c r="R371" i="5"/>
  <c r="R370" i="5"/>
  <c r="R369" i="5"/>
  <c r="R368" i="5"/>
  <c r="R367" i="5"/>
  <c r="R366" i="5"/>
  <c r="R365" i="5"/>
  <c r="R364" i="5"/>
  <c r="R363" i="5"/>
  <c r="R362" i="5"/>
  <c r="R361" i="5"/>
  <c r="R360" i="5"/>
  <c r="R359" i="5"/>
  <c r="R358" i="5"/>
  <c r="R357" i="5"/>
  <c r="R356" i="5"/>
  <c r="R355" i="5"/>
  <c r="R354" i="5"/>
  <c r="R353" i="5"/>
  <c r="R352" i="5"/>
  <c r="R351" i="5"/>
  <c r="R350" i="5"/>
  <c r="R349" i="5"/>
  <c r="R348" i="5"/>
  <c r="R347" i="5"/>
  <c r="R346" i="5"/>
  <c r="R345" i="5"/>
  <c r="R344" i="5"/>
  <c r="R343" i="5"/>
  <c r="R342" i="5"/>
  <c r="R341" i="5"/>
  <c r="R340" i="5"/>
  <c r="R339" i="5"/>
  <c r="R338" i="5"/>
  <c r="R337" i="5"/>
  <c r="R336" i="5"/>
  <c r="R335" i="5"/>
  <c r="R334" i="5"/>
  <c r="R333" i="5"/>
  <c r="R332" i="5"/>
  <c r="R331" i="5"/>
  <c r="R330" i="5"/>
  <c r="R329" i="5"/>
  <c r="R328" i="5"/>
  <c r="R327" i="5"/>
  <c r="R326" i="5"/>
  <c r="R325" i="5"/>
  <c r="R324" i="5"/>
  <c r="R323" i="5"/>
  <c r="R322" i="5"/>
  <c r="R321" i="5"/>
  <c r="R320" i="5"/>
  <c r="R319" i="5"/>
  <c r="R318" i="5"/>
  <c r="R317" i="5"/>
  <c r="R316" i="5"/>
  <c r="R315" i="5"/>
  <c r="R314" i="5"/>
  <c r="R313" i="5"/>
  <c r="R312" i="5"/>
  <c r="R311" i="5"/>
  <c r="R310" i="5"/>
  <c r="R309" i="5"/>
  <c r="R308" i="5"/>
  <c r="R307" i="5"/>
  <c r="R306" i="5"/>
  <c r="R305" i="5"/>
  <c r="R304" i="5"/>
  <c r="R303" i="5"/>
  <c r="R302" i="5"/>
  <c r="R301" i="5"/>
  <c r="R300" i="5"/>
  <c r="R299" i="5"/>
  <c r="R298" i="5"/>
  <c r="R297" i="5"/>
  <c r="R296" i="5"/>
  <c r="R295" i="5"/>
  <c r="R294" i="5"/>
  <c r="R293" i="5"/>
  <c r="R292" i="5"/>
  <c r="R291" i="5"/>
  <c r="R290" i="5"/>
  <c r="R289" i="5"/>
  <c r="R288" i="5"/>
  <c r="R287" i="5"/>
  <c r="R286" i="5"/>
  <c r="R285" i="5"/>
  <c r="R284" i="5"/>
  <c r="R283" i="5"/>
  <c r="R282" i="5"/>
  <c r="R281" i="5"/>
  <c r="R280" i="5"/>
  <c r="R279" i="5"/>
  <c r="R278" i="5"/>
  <c r="R277" i="5"/>
  <c r="R276" i="5"/>
  <c r="R275" i="5"/>
  <c r="R274" i="5"/>
  <c r="R273" i="5"/>
  <c r="R272" i="5"/>
  <c r="R271" i="5"/>
  <c r="R270" i="5"/>
  <c r="R269" i="5"/>
  <c r="R268" i="5"/>
  <c r="R267" i="5"/>
  <c r="R266" i="5"/>
  <c r="R265" i="5"/>
  <c r="R264" i="5"/>
  <c r="R263" i="5"/>
  <c r="R262" i="5"/>
  <c r="R261" i="5"/>
  <c r="R260" i="5"/>
  <c r="R259" i="5"/>
  <c r="R258" i="5"/>
  <c r="R257" i="5"/>
  <c r="R256" i="5"/>
  <c r="R255" i="5"/>
  <c r="R254" i="5"/>
  <c r="R253" i="5"/>
  <c r="R252" i="5"/>
  <c r="R251" i="5"/>
  <c r="R250" i="5"/>
  <c r="R249" i="5"/>
  <c r="R248" i="5"/>
  <c r="R247" i="5"/>
  <c r="R246" i="5"/>
  <c r="R245" i="5"/>
  <c r="R244" i="5"/>
  <c r="R243" i="5"/>
  <c r="R242" i="5"/>
  <c r="R241" i="5"/>
  <c r="R240" i="5"/>
  <c r="R239" i="5"/>
  <c r="R238" i="5"/>
  <c r="R237" i="5"/>
  <c r="R236" i="5"/>
  <c r="R235" i="5"/>
  <c r="R234" i="5"/>
  <c r="R233" i="5"/>
  <c r="R232" i="5"/>
  <c r="R231" i="5"/>
  <c r="R230" i="5"/>
  <c r="R229" i="5"/>
  <c r="R228" i="5"/>
  <c r="R227" i="5"/>
  <c r="R226" i="5"/>
  <c r="R225" i="5"/>
  <c r="R224" i="5"/>
  <c r="R223" i="5"/>
  <c r="R222" i="5"/>
  <c r="R221" i="5"/>
  <c r="R220" i="5"/>
  <c r="R219" i="5"/>
  <c r="R218" i="5"/>
  <c r="R217" i="5"/>
  <c r="R216" i="5"/>
  <c r="R215" i="5"/>
  <c r="R214" i="5"/>
  <c r="R213" i="5"/>
  <c r="R212" i="5"/>
  <c r="R211" i="5"/>
  <c r="R210" i="5"/>
  <c r="R209" i="5"/>
  <c r="R208" i="5"/>
  <c r="R207" i="5"/>
  <c r="R206" i="5"/>
  <c r="R205" i="5"/>
  <c r="R204" i="5"/>
  <c r="R203" i="5"/>
  <c r="R202" i="5"/>
  <c r="R201" i="5"/>
  <c r="R200" i="5"/>
  <c r="R199" i="5"/>
  <c r="R198" i="5"/>
  <c r="R197" i="5"/>
  <c r="R196" i="5"/>
  <c r="R195" i="5"/>
  <c r="R194" i="5"/>
  <c r="R193" i="5"/>
  <c r="R192" i="5"/>
  <c r="R191" i="5"/>
  <c r="R190" i="5"/>
  <c r="R189" i="5"/>
  <c r="R188" i="5"/>
  <c r="R187" i="5"/>
  <c r="R186" i="5"/>
  <c r="R185" i="5"/>
  <c r="R184" i="5"/>
  <c r="R183" i="5"/>
  <c r="R182" i="5"/>
  <c r="R181" i="5"/>
  <c r="R180" i="5"/>
  <c r="R179" i="5"/>
  <c r="R178" i="5"/>
  <c r="R177" i="5"/>
  <c r="R176" i="5"/>
  <c r="R175" i="5"/>
  <c r="R174" i="5"/>
  <c r="R173" i="5"/>
  <c r="R172" i="5"/>
  <c r="R171" i="5"/>
  <c r="R170" i="5"/>
  <c r="R169" i="5"/>
  <c r="R168" i="5"/>
  <c r="R167" i="5"/>
  <c r="R166" i="5"/>
  <c r="R165" i="5"/>
  <c r="R164" i="5"/>
  <c r="R163" i="5"/>
  <c r="R162" i="5"/>
  <c r="R161" i="5"/>
  <c r="R160" i="5"/>
  <c r="R159" i="5"/>
  <c r="R158" i="5"/>
  <c r="R157" i="5"/>
  <c r="R156" i="5"/>
  <c r="R155" i="5"/>
  <c r="R154" i="5"/>
  <c r="R153" i="5"/>
  <c r="R152" i="5"/>
  <c r="R151" i="5"/>
  <c r="R150" i="5"/>
  <c r="R149" i="5"/>
  <c r="R148" i="5"/>
  <c r="R147" i="5"/>
  <c r="R146" i="5"/>
  <c r="R145" i="5"/>
  <c r="R144" i="5"/>
  <c r="R143" i="5"/>
  <c r="R142" i="5"/>
  <c r="R141" i="5"/>
  <c r="R140" i="5"/>
  <c r="R139" i="5"/>
  <c r="R138" i="5"/>
  <c r="R137" i="5"/>
  <c r="R136" i="5"/>
  <c r="R135" i="5"/>
  <c r="R134" i="5"/>
  <c r="R133" i="5"/>
  <c r="R132" i="5"/>
  <c r="R131" i="5"/>
  <c r="R130" i="5"/>
  <c r="R129" i="5"/>
  <c r="R128" i="5"/>
  <c r="R127" i="5"/>
  <c r="R126" i="5"/>
  <c r="R125" i="5"/>
  <c r="R124" i="5"/>
  <c r="R123" i="5"/>
  <c r="R122" i="5"/>
  <c r="R121" i="5"/>
  <c r="R120" i="5"/>
  <c r="R119" i="5"/>
  <c r="R118" i="5"/>
  <c r="R117" i="5"/>
  <c r="R116" i="5"/>
  <c r="R115" i="5"/>
  <c r="R114" i="5"/>
  <c r="R113" i="5"/>
  <c r="R112" i="5"/>
  <c r="R111" i="5"/>
  <c r="R110" i="5"/>
  <c r="R109" i="5"/>
  <c r="R108" i="5"/>
  <c r="R107" i="5"/>
  <c r="R106" i="5"/>
  <c r="R105" i="5"/>
  <c r="R104" i="5"/>
  <c r="R103" i="5"/>
  <c r="R102" i="5"/>
  <c r="R101" i="5"/>
  <c r="R100" i="5"/>
  <c r="R99" i="5"/>
  <c r="R98" i="5"/>
  <c r="R97" i="5"/>
  <c r="R96" i="5"/>
  <c r="R95" i="5"/>
  <c r="R94" i="5"/>
  <c r="R93" i="5"/>
  <c r="R92" i="5"/>
  <c r="R91" i="5"/>
  <c r="R90" i="5"/>
  <c r="R89" i="5"/>
  <c r="R88" i="5"/>
  <c r="R87" i="5"/>
  <c r="R86" i="5"/>
  <c r="R85" i="5"/>
  <c r="R84" i="5"/>
  <c r="R83" i="5"/>
  <c r="R82" i="5"/>
  <c r="R81" i="5"/>
  <c r="R80" i="5"/>
  <c r="R79" i="5"/>
  <c r="R78" i="5"/>
  <c r="R77" i="5"/>
  <c r="R76" i="5"/>
  <c r="R75" i="5"/>
  <c r="R74" i="5"/>
  <c r="R73" i="5"/>
  <c r="R72" i="5"/>
  <c r="R71" i="5"/>
  <c r="R70" i="5"/>
  <c r="R69" i="5"/>
  <c r="R68" i="5"/>
  <c r="R67" i="5"/>
  <c r="R66" i="5"/>
  <c r="R65" i="5"/>
  <c r="R64" i="5"/>
  <c r="R63" i="5"/>
  <c r="R62" i="5"/>
  <c r="R61" i="5"/>
  <c r="R60" i="5"/>
  <c r="R59" i="5"/>
  <c r="R58" i="5"/>
  <c r="R57" i="5"/>
  <c r="R56" i="5"/>
  <c r="R55" i="5"/>
  <c r="R54" i="5"/>
  <c r="R53" i="5"/>
  <c r="R52" i="5"/>
  <c r="R51" i="5"/>
  <c r="R50" i="5"/>
  <c r="R49" i="5"/>
  <c r="R48" i="5"/>
  <c r="R47" i="5"/>
  <c r="R46" i="5"/>
  <c r="R45" i="5"/>
  <c r="R44" i="5"/>
  <c r="R43" i="5"/>
  <c r="R42" i="5"/>
  <c r="R41" i="5"/>
  <c r="R40" i="5"/>
  <c r="R39" i="5"/>
  <c r="Y16" i="5" a="1"/>
  <c r="Y16" i="5" s="1"/>
  <c r="R38" i="5"/>
  <c r="Y15" i="5" a="1"/>
  <c r="Y15" i="5" s="1"/>
  <c r="R37" i="5"/>
  <c r="R36" i="5"/>
  <c r="R35" i="5"/>
  <c r="Y12" i="5"/>
  <c r="R34" i="5"/>
  <c r="Y11" i="5"/>
  <c r="R33" i="5"/>
  <c r="Y10" i="5"/>
  <c r="R32" i="5"/>
  <c r="Y9" i="5"/>
  <c r="R31" i="5"/>
  <c r="Y8" i="5"/>
  <c r="R30" i="5"/>
  <c r="R29" i="5"/>
  <c r="R28" i="5"/>
  <c r="R27" i="5"/>
  <c r="R26" i="5"/>
  <c r="R25" i="5"/>
  <c r="R24" i="5"/>
  <c r="R23" i="5"/>
  <c r="R22" i="5"/>
  <c r="R21" i="5"/>
  <c r="R20" i="5"/>
  <c r="R19" i="5"/>
  <c r="R18" i="5"/>
  <c r="R17" i="5"/>
  <c r="R16" i="5"/>
  <c r="R15" i="5"/>
  <c r="R14" i="5"/>
  <c r="R13" i="5"/>
  <c r="R12" i="5"/>
  <c r="R11" i="5"/>
  <c r="R10" i="5"/>
  <c r="R9" i="5"/>
  <c r="R8" i="5"/>
  <c r="R7" i="5"/>
  <c r="R6" i="5"/>
  <c r="R5" i="5"/>
  <c r="R4" i="5"/>
  <c r="R3" i="5"/>
  <c r="R2" i="5"/>
  <c r="V47" i="3"/>
  <c r="V46" i="3"/>
  <c r="R3" i="3"/>
  <c r="R4" i="3"/>
  <c r="R5" i="3"/>
  <c r="R6" i="3"/>
  <c r="R7" i="3"/>
  <c r="R8" i="3"/>
  <c r="R9" i="3"/>
  <c r="R10" i="3"/>
  <c r="R11" i="3"/>
  <c r="R12" i="3"/>
  <c r="R13" i="3"/>
  <c r="R14" i="3"/>
  <c r="R15" i="3"/>
  <c r="R16" i="3"/>
  <c r="R17" i="3"/>
  <c r="R18" i="3"/>
  <c r="R19" i="3"/>
  <c r="R20" i="3"/>
  <c r="R21" i="3"/>
  <c r="R22" i="3"/>
  <c r="R23" i="3"/>
  <c r="R24" i="3"/>
  <c r="R25" i="3"/>
  <c r="R26" i="3"/>
  <c r="R27" i="3"/>
  <c r="R28" i="3"/>
  <c r="R29" i="3"/>
  <c r="R30" i="3"/>
  <c r="R31" i="3"/>
  <c r="R32" i="3"/>
  <c r="R33" i="3"/>
  <c r="R34" i="3"/>
  <c r="R35" i="3"/>
  <c r="R36" i="3"/>
  <c r="R37" i="3"/>
  <c r="R38" i="3"/>
  <c r="R39" i="3"/>
  <c r="R40" i="3"/>
  <c r="R41" i="3"/>
  <c r="R42" i="3"/>
  <c r="R43" i="3"/>
  <c r="R44" i="3"/>
  <c r="R45" i="3"/>
  <c r="R46" i="3"/>
  <c r="R47" i="3"/>
  <c r="R48" i="3"/>
  <c r="R49" i="3"/>
  <c r="R50" i="3"/>
  <c r="R51" i="3"/>
  <c r="R52" i="3"/>
  <c r="R53" i="3"/>
  <c r="R54" i="3"/>
  <c r="R55" i="3"/>
  <c r="R56" i="3"/>
  <c r="R57" i="3"/>
  <c r="R58" i="3"/>
  <c r="R59" i="3"/>
  <c r="R60" i="3"/>
  <c r="R61" i="3"/>
  <c r="R62" i="3"/>
  <c r="R63" i="3"/>
  <c r="R64" i="3"/>
  <c r="R65" i="3"/>
  <c r="R66" i="3"/>
  <c r="R67" i="3"/>
  <c r="R68" i="3"/>
  <c r="R69" i="3"/>
  <c r="R70" i="3"/>
  <c r="R71" i="3"/>
  <c r="R72" i="3"/>
  <c r="R73" i="3"/>
  <c r="R74" i="3"/>
  <c r="R75" i="3"/>
  <c r="R76" i="3"/>
  <c r="R77" i="3"/>
  <c r="R78" i="3"/>
  <c r="R79" i="3"/>
  <c r="R80" i="3"/>
  <c r="R81" i="3"/>
  <c r="R82" i="3"/>
  <c r="R83" i="3"/>
  <c r="R84" i="3"/>
  <c r="R85" i="3"/>
  <c r="R86" i="3"/>
  <c r="R87" i="3"/>
  <c r="R88" i="3"/>
  <c r="R89" i="3"/>
  <c r="R90" i="3"/>
  <c r="R91" i="3"/>
  <c r="R92" i="3"/>
  <c r="R93" i="3"/>
  <c r="R94" i="3"/>
  <c r="R95" i="3"/>
  <c r="R96" i="3"/>
  <c r="R97" i="3"/>
  <c r="R98" i="3"/>
  <c r="R99" i="3"/>
  <c r="R100" i="3"/>
  <c r="R101" i="3"/>
  <c r="R102" i="3"/>
  <c r="R103" i="3"/>
  <c r="R104" i="3"/>
  <c r="R105" i="3"/>
  <c r="R106" i="3"/>
  <c r="R107" i="3"/>
  <c r="R108" i="3"/>
  <c r="R109" i="3"/>
  <c r="R110" i="3"/>
  <c r="R111" i="3"/>
  <c r="R112" i="3"/>
  <c r="R113" i="3"/>
  <c r="R114" i="3"/>
  <c r="R115" i="3"/>
  <c r="R116" i="3"/>
  <c r="R117" i="3"/>
  <c r="R118" i="3"/>
  <c r="R119" i="3"/>
  <c r="R120" i="3"/>
  <c r="R121" i="3"/>
  <c r="R122" i="3"/>
  <c r="R123" i="3"/>
  <c r="R124" i="3"/>
  <c r="R125" i="3"/>
  <c r="R126" i="3"/>
  <c r="R127" i="3"/>
  <c r="R128" i="3"/>
  <c r="R129" i="3"/>
  <c r="R130" i="3"/>
  <c r="R131" i="3"/>
  <c r="R132" i="3"/>
  <c r="R133" i="3"/>
  <c r="R134" i="3"/>
  <c r="R135" i="3"/>
  <c r="R136" i="3"/>
  <c r="R137" i="3"/>
  <c r="R138" i="3"/>
  <c r="R139" i="3"/>
  <c r="R140" i="3"/>
  <c r="R141" i="3"/>
  <c r="R142" i="3"/>
  <c r="R143" i="3"/>
  <c r="R144" i="3"/>
  <c r="R145" i="3"/>
  <c r="R146" i="3"/>
  <c r="R147" i="3"/>
  <c r="R148" i="3"/>
  <c r="R149" i="3"/>
  <c r="R150" i="3"/>
  <c r="R151" i="3"/>
  <c r="R152" i="3"/>
  <c r="R153" i="3"/>
  <c r="R154" i="3"/>
  <c r="R155" i="3"/>
  <c r="R156" i="3"/>
  <c r="R157" i="3"/>
  <c r="R158" i="3"/>
  <c r="R159" i="3"/>
  <c r="R160" i="3"/>
  <c r="R161" i="3"/>
  <c r="R162" i="3"/>
  <c r="R163" i="3"/>
  <c r="R164" i="3"/>
  <c r="R165" i="3"/>
  <c r="R166" i="3"/>
  <c r="R167" i="3"/>
  <c r="R168" i="3"/>
  <c r="R169" i="3"/>
  <c r="R170" i="3"/>
  <c r="R171" i="3"/>
  <c r="R172" i="3"/>
  <c r="R173" i="3"/>
  <c r="R174" i="3"/>
  <c r="R175" i="3"/>
  <c r="R176" i="3"/>
  <c r="R177" i="3"/>
  <c r="R178" i="3"/>
  <c r="R179" i="3"/>
  <c r="R180" i="3"/>
  <c r="R181" i="3"/>
  <c r="R182" i="3"/>
  <c r="R183" i="3"/>
  <c r="R184" i="3"/>
  <c r="R185" i="3"/>
  <c r="R186" i="3"/>
  <c r="R187" i="3"/>
  <c r="R188" i="3"/>
  <c r="R189" i="3"/>
  <c r="R190" i="3"/>
  <c r="R191" i="3"/>
  <c r="R192" i="3"/>
  <c r="R193" i="3"/>
  <c r="R194" i="3"/>
  <c r="R195" i="3"/>
  <c r="R196" i="3"/>
  <c r="R197" i="3"/>
  <c r="R198" i="3"/>
  <c r="R199" i="3"/>
  <c r="R200" i="3"/>
  <c r="R201" i="3"/>
  <c r="R202" i="3"/>
  <c r="R203" i="3"/>
  <c r="R204" i="3"/>
  <c r="R205" i="3"/>
  <c r="R206" i="3"/>
  <c r="R207" i="3"/>
  <c r="R208" i="3"/>
  <c r="R209" i="3"/>
  <c r="R210" i="3"/>
  <c r="R211" i="3"/>
  <c r="R212" i="3"/>
  <c r="R213" i="3"/>
  <c r="R214" i="3"/>
  <c r="R215" i="3"/>
  <c r="R216" i="3"/>
  <c r="R217" i="3"/>
  <c r="R218" i="3"/>
  <c r="R219" i="3"/>
  <c r="R220" i="3"/>
  <c r="R221" i="3"/>
  <c r="R222" i="3"/>
  <c r="R223" i="3"/>
  <c r="R224" i="3"/>
  <c r="R225" i="3"/>
  <c r="R226" i="3"/>
  <c r="R227" i="3"/>
  <c r="R228" i="3"/>
  <c r="R229" i="3"/>
  <c r="R230" i="3"/>
  <c r="R231" i="3"/>
  <c r="R232" i="3"/>
  <c r="R233" i="3"/>
  <c r="R234" i="3"/>
  <c r="R235" i="3"/>
  <c r="R236" i="3"/>
  <c r="R237" i="3"/>
  <c r="R238" i="3"/>
  <c r="R239" i="3"/>
  <c r="R240" i="3"/>
  <c r="R241" i="3"/>
  <c r="R242" i="3"/>
  <c r="R243" i="3"/>
  <c r="R244" i="3"/>
  <c r="R245" i="3"/>
  <c r="R246" i="3"/>
  <c r="R247" i="3"/>
  <c r="R248" i="3"/>
  <c r="R249" i="3"/>
  <c r="R250" i="3"/>
  <c r="R251" i="3"/>
  <c r="R252" i="3"/>
  <c r="R253" i="3"/>
  <c r="R254" i="3"/>
  <c r="R255" i="3"/>
  <c r="R256" i="3"/>
  <c r="R257" i="3"/>
  <c r="R258" i="3"/>
  <c r="R259" i="3"/>
  <c r="R260" i="3"/>
  <c r="R261" i="3"/>
  <c r="R262" i="3"/>
  <c r="R263" i="3"/>
  <c r="R264" i="3"/>
  <c r="R265" i="3"/>
  <c r="R266" i="3"/>
  <c r="R267" i="3"/>
  <c r="R268" i="3"/>
  <c r="R269" i="3"/>
  <c r="R270" i="3"/>
  <c r="R271" i="3"/>
  <c r="R272" i="3"/>
  <c r="R273" i="3"/>
  <c r="R274" i="3"/>
  <c r="R275" i="3"/>
  <c r="R276" i="3"/>
  <c r="R277" i="3"/>
  <c r="R278" i="3"/>
  <c r="R279" i="3"/>
  <c r="R280" i="3"/>
  <c r="R281" i="3"/>
  <c r="R282" i="3"/>
  <c r="R283" i="3"/>
  <c r="R284" i="3"/>
  <c r="R285" i="3"/>
  <c r="R286" i="3"/>
  <c r="R287" i="3"/>
  <c r="R288" i="3"/>
  <c r="R289" i="3"/>
  <c r="R290" i="3"/>
  <c r="R291" i="3"/>
  <c r="R292" i="3"/>
  <c r="R293" i="3"/>
  <c r="R294" i="3"/>
  <c r="R295" i="3"/>
  <c r="R296" i="3"/>
  <c r="R297" i="3"/>
  <c r="R298" i="3"/>
  <c r="R299" i="3"/>
  <c r="R300" i="3"/>
  <c r="R301" i="3"/>
  <c r="R302" i="3"/>
  <c r="R303" i="3"/>
  <c r="R304" i="3"/>
  <c r="R305" i="3"/>
  <c r="R306" i="3"/>
  <c r="R307" i="3"/>
  <c r="R308" i="3"/>
  <c r="R309" i="3"/>
  <c r="R310" i="3"/>
  <c r="R311" i="3"/>
  <c r="R312" i="3"/>
  <c r="R313" i="3"/>
  <c r="R314" i="3"/>
  <c r="R315" i="3"/>
  <c r="R316" i="3"/>
  <c r="R317" i="3"/>
  <c r="R318" i="3"/>
  <c r="R319" i="3"/>
  <c r="R320" i="3"/>
  <c r="R321" i="3"/>
  <c r="R322" i="3"/>
  <c r="R323" i="3"/>
  <c r="R324" i="3"/>
  <c r="R325" i="3"/>
  <c r="R326" i="3"/>
  <c r="R327" i="3"/>
  <c r="R328" i="3"/>
  <c r="R329" i="3"/>
  <c r="R330" i="3"/>
  <c r="R331" i="3"/>
  <c r="R332" i="3"/>
  <c r="R333" i="3"/>
  <c r="R334" i="3"/>
  <c r="R335" i="3"/>
  <c r="R336" i="3"/>
  <c r="R337" i="3"/>
  <c r="R338" i="3"/>
  <c r="R339" i="3"/>
  <c r="R340" i="3"/>
  <c r="R341" i="3"/>
  <c r="R342" i="3"/>
  <c r="R343" i="3"/>
  <c r="R344" i="3"/>
  <c r="R345" i="3"/>
  <c r="R346" i="3"/>
  <c r="R347" i="3"/>
  <c r="R348" i="3"/>
  <c r="R349" i="3"/>
  <c r="R350" i="3"/>
  <c r="R351" i="3"/>
  <c r="R352" i="3"/>
  <c r="R353" i="3"/>
  <c r="R354" i="3"/>
  <c r="R355" i="3"/>
  <c r="R356" i="3"/>
  <c r="R357" i="3"/>
  <c r="R358" i="3"/>
  <c r="R359" i="3"/>
  <c r="R360" i="3"/>
  <c r="R361" i="3"/>
  <c r="R362" i="3"/>
  <c r="R363" i="3"/>
  <c r="R364" i="3"/>
  <c r="R365" i="3"/>
  <c r="R366" i="3"/>
  <c r="R367" i="3"/>
  <c r="R368" i="3"/>
  <c r="R369" i="3"/>
  <c r="R370" i="3"/>
  <c r="R371" i="3"/>
  <c r="R372" i="3"/>
  <c r="R373" i="3"/>
  <c r="R374" i="3"/>
  <c r="R375" i="3"/>
  <c r="R376" i="3"/>
  <c r="R377" i="3"/>
  <c r="R378" i="3"/>
  <c r="R379" i="3"/>
  <c r="R380" i="3"/>
  <c r="R381" i="3"/>
  <c r="R382" i="3"/>
  <c r="R383" i="3"/>
  <c r="R384" i="3"/>
  <c r="R385" i="3"/>
  <c r="R386" i="3"/>
  <c r="R387" i="3"/>
  <c r="R388" i="3"/>
  <c r="R389" i="3"/>
  <c r="R390" i="3"/>
  <c r="R391" i="3"/>
  <c r="R392" i="3"/>
  <c r="R393" i="3"/>
  <c r="R394" i="3"/>
  <c r="R395" i="3"/>
  <c r="R396" i="3"/>
  <c r="R397" i="3"/>
  <c r="R398" i="3"/>
  <c r="R399" i="3"/>
  <c r="R400" i="3"/>
  <c r="R401" i="3"/>
  <c r="R402" i="3"/>
  <c r="R403" i="3"/>
  <c r="R404" i="3"/>
  <c r="R405" i="3"/>
  <c r="R406" i="3"/>
  <c r="R407" i="3"/>
  <c r="R408" i="3"/>
  <c r="R409" i="3"/>
  <c r="R410" i="3"/>
  <c r="R411" i="3"/>
  <c r="R412" i="3"/>
  <c r="R413" i="3"/>
  <c r="R414" i="3"/>
  <c r="R415" i="3"/>
  <c r="R416" i="3"/>
  <c r="R417" i="3"/>
  <c r="R418" i="3"/>
  <c r="R419" i="3"/>
  <c r="R420" i="3"/>
  <c r="R421" i="3"/>
  <c r="R422" i="3"/>
  <c r="R423" i="3"/>
  <c r="R424" i="3"/>
  <c r="R425" i="3"/>
  <c r="R426" i="3"/>
  <c r="R427" i="3"/>
  <c r="R428" i="3"/>
  <c r="R429" i="3"/>
  <c r="R430" i="3"/>
  <c r="R431" i="3"/>
  <c r="R432" i="3"/>
  <c r="R433" i="3"/>
  <c r="R434" i="3"/>
  <c r="R435" i="3"/>
  <c r="R436" i="3"/>
  <c r="R437" i="3"/>
  <c r="R438" i="3"/>
  <c r="R439" i="3"/>
  <c r="R440" i="3"/>
  <c r="R441" i="3"/>
  <c r="R442" i="3"/>
  <c r="R443" i="3"/>
  <c r="R444" i="3"/>
  <c r="R445" i="3"/>
  <c r="R446" i="3"/>
  <c r="R447" i="3"/>
  <c r="R448" i="3"/>
  <c r="R449" i="3"/>
  <c r="R450" i="3"/>
  <c r="R451" i="3"/>
  <c r="R452" i="3"/>
  <c r="R453" i="3"/>
  <c r="R454" i="3"/>
  <c r="R455" i="3"/>
  <c r="R456" i="3"/>
  <c r="R457" i="3"/>
  <c r="R458" i="3"/>
  <c r="R459" i="3"/>
  <c r="R460" i="3"/>
  <c r="R461" i="3"/>
  <c r="R462" i="3"/>
  <c r="R463" i="3"/>
  <c r="R464" i="3"/>
  <c r="R465" i="3"/>
  <c r="R466" i="3"/>
  <c r="R467" i="3"/>
  <c r="R468" i="3"/>
  <c r="R469" i="3"/>
  <c r="R470" i="3"/>
  <c r="R471" i="3"/>
  <c r="R472" i="3"/>
  <c r="R473" i="3"/>
  <c r="R474" i="3"/>
  <c r="R475" i="3"/>
  <c r="R476" i="3"/>
  <c r="R477" i="3"/>
  <c r="R478" i="3"/>
  <c r="R479" i="3"/>
  <c r="R480" i="3"/>
  <c r="R481" i="3"/>
  <c r="R482" i="3"/>
  <c r="R483" i="3"/>
  <c r="R484" i="3"/>
  <c r="R485" i="3"/>
  <c r="R486" i="3"/>
  <c r="R487" i="3"/>
  <c r="R488" i="3"/>
  <c r="R489" i="3"/>
  <c r="R490" i="3"/>
  <c r="R491" i="3"/>
  <c r="R492" i="3"/>
  <c r="R493" i="3"/>
  <c r="R494" i="3"/>
  <c r="R495" i="3"/>
  <c r="R496" i="3"/>
  <c r="R497" i="3"/>
  <c r="R498" i="3"/>
  <c r="R499" i="3"/>
  <c r="R500" i="3"/>
  <c r="R501" i="3"/>
  <c r="R502" i="3"/>
  <c r="R503" i="3"/>
  <c r="R504" i="3"/>
  <c r="R505" i="3"/>
  <c r="R506" i="3"/>
  <c r="R507" i="3"/>
  <c r="R508" i="3"/>
  <c r="R509" i="3"/>
  <c r="R510" i="3"/>
  <c r="R511" i="3"/>
  <c r="R512" i="3"/>
  <c r="R513" i="3"/>
  <c r="R514" i="3"/>
  <c r="R515" i="3"/>
  <c r="R516" i="3"/>
  <c r="R517" i="3"/>
  <c r="R518" i="3"/>
  <c r="R519" i="3"/>
  <c r="R520" i="3"/>
  <c r="R521" i="3"/>
  <c r="R522" i="3"/>
  <c r="R523" i="3"/>
  <c r="R524" i="3"/>
  <c r="R525" i="3"/>
  <c r="R526" i="3"/>
  <c r="R527" i="3"/>
  <c r="R528" i="3"/>
  <c r="R529" i="3"/>
  <c r="R530" i="3"/>
  <c r="R531" i="3"/>
  <c r="R532" i="3"/>
  <c r="R533" i="3"/>
  <c r="R534" i="3"/>
  <c r="R535" i="3"/>
  <c r="R536" i="3"/>
  <c r="R537" i="3"/>
  <c r="R538" i="3"/>
  <c r="R539" i="3"/>
  <c r="R540" i="3"/>
  <c r="R541" i="3"/>
  <c r="R542" i="3"/>
  <c r="R543" i="3"/>
  <c r="R544" i="3"/>
  <c r="R545" i="3"/>
  <c r="R546" i="3"/>
  <c r="R547" i="3"/>
  <c r="R548" i="3"/>
  <c r="R549" i="3"/>
  <c r="R550" i="3"/>
  <c r="R551" i="3"/>
  <c r="R552" i="3"/>
  <c r="R553" i="3"/>
  <c r="R554" i="3"/>
  <c r="R555" i="3"/>
  <c r="R556" i="3"/>
  <c r="R557" i="3"/>
  <c r="R558" i="3"/>
  <c r="R559" i="3"/>
  <c r="R560" i="3"/>
  <c r="R561" i="3"/>
  <c r="R562" i="3"/>
  <c r="R563" i="3"/>
  <c r="R564" i="3"/>
  <c r="R565" i="3"/>
  <c r="R566" i="3"/>
  <c r="R567" i="3"/>
  <c r="R568" i="3"/>
  <c r="R569" i="3"/>
  <c r="R570" i="3"/>
  <c r="R571" i="3"/>
  <c r="R572" i="3"/>
  <c r="R573" i="3"/>
  <c r="R574" i="3"/>
  <c r="R575" i="3"/>
  <c r="R576" i="3"/>
  <c r="R577" i="3"/>
  <c r="R578" i="3"/>
  <c r="R579" i="3"/>
  <c r="R580" i="3"/>
  <c r="R581" i="3"/>
  <c r="R582" i="3"/>
  <c r="R583" i="3"/>
  <c r="R584" i="3"/>
  <c r="R585" i="3"/>
  <c r="R586" i="3"/>
  <c r="R587" i="3"/>
  <c r="R588" i="3"/>
  <c r="R589" i="3"/>
  <c r="R590" i="3"/>
  <c r="R591" i="3"/>
  <c r="R592" i="3"/>
  <c r="R593" i="3"/>
  <c r="R594" i="3"/>
  <c r="R595" i="3"/>
  <c r="R596" i="3"/>
  <c r="R597" i="3"/>
  <c r="R598" i="3"/>
  <c r="R599" i="3"/>
  <c r="R600" i="3"/>
  <c r="R601" i="3"/>
  <c r="R602" i="3"/>
  <c r="R603" i="3"/>
  <c r="R604" i="3"/>
  <c r="R605" i="3"/>
  <c r="R606" i="3"/>
  <c r="R607" i="3"/>
  <c r="R608" i="3"/>
  <c r="R609" i="3"/>
  <c r="R610" i="3"/>
  <c r="R611" i="3"/>
  <c r="R612" i="3"/>
  <c r="R613" i="3"/>
  <c r="R614" i="3"/>
  <c r="R615" i="3"/>
  <c r="R616" i="3"/>
  <c r="R617" i="3"/>
  <c r="R618" i="3"/>
  <c r="R619" i="3"/>
  <c r="R620" i="3"/>
  <c r="R621" i="3"/>
  <c r="R622" i="3"/>
  <c r="R623" i="3"/>
  <c r="R624" i="3"/>
  <c r="R625" i="3"/>
  <c r="R626" i="3"/>
  <c r="R627" i="3"/>
  <c r="R628" i="3"/>
  <c r="R629" i="3"/>
  <c r="R630" i="3"/>
  <c r="R631" i="3"/>
  <c r="R632" i="3"/>
  <c r="R633" i="3"/>
  <c r="R634" i="3"/>
  <c r="R635" i="3"/>
  <c r="R636" i="3"/>
  <c r="R637" i="3"/>
  <c r="R638" i="3"/>
  <c r="R639" i="3"/>
  <c r="R640" i="3"/>
  <c r="R641" i="3"/>
  <c r="R642" i="3"/>
  <c r="R643" i="3"/>
  <c r="R644" i="3"/>
  <c r="R645" i="3"/>
  <c r="R646" i="3"/>
  <c r="R647" i="3"/>
  <c r="R648" i="3"/>
  <c r="R649" i="3"/>
  <c r="R650" i="3"/>
  <c r="R651" i="3"/>
  <c r="R652" i="3"/>
  <c r="R653" i="3"/>
  <c r="R654" i="3"/>
  <c r="R655" i="3"/>
  <c r="R656" i="3"/>
  <c r="R657" i="3"/>
  <c r="R658" i="3"/>
  <c r="R659" i="3"/>
  <c r="R660" i="3"/>
  <c r="R661" i="3"/>
  <c r="R662" i="3"/>
  <c r="R663" i="3"/>
  <c r="R664" i="3"/>
  <c r="R665" i="3"/>
  <c r="R666" i="3"/>
  <c r="R667" i="3"/>
  <c r="R668" i="3"/>
  <c r="R669" i="3"/>
  <c r="R670" i="3"/>
  <c r="R671" i="3"/>
  <c r="R672" i="3"/>
  <c r="R673" i="3"/>
  <c r="R674" i="3"/>
  <c r="R675" i="3"/>
  <c r="R676" i="3"/>
  <c r="R677" i="3"/>
  <c r="R678" i="3"/>
  <c r="R679" i="3"/>
  <c r="R680" i="3"/>
  <c r="R681" i="3"/>
  <c r="R682" i="3"/>
  <c r="R683" i="3"/>
  <c r="R684" i="3"/>
  <c r="R685" i="3"/>
  <c r="R686" i="3"/>
  <c r="R687" i="3"/>
  <c r="R688" i="3"/>
  <c r="R689" i="3"/>
  <c r="R690" i="3"/>
  <c r="R691" i="3"/>
  <c r="R692" i="3"/>
  <c r="R693" i="3"/>
  <c r="R694" i="3"/>
  <c r="R695" i="3"/>
  <c r="R696" i="3"/>
  <c r="R697" i="3"/>
  <c r="R698" i="3"/>
  <c r="R699" i="3"/>
  <c r="R700" i="3"/>
  <c r="R701" i="3"/>
  <c r="R702" i="3"/>
  <c r="R703" i="3"/>
  <c r="R704" i="3"/>
  <c r="R705" i="3"/>
  <c r="R706" i="3"/>
  <c r="R707" i="3"/>
  <c r="R708" i="3"/>
  <c r="R709" i="3"/>
  <c r="R710" i="3"/>
  <c r="R711" i="3"/>
  <c r="R712" i="3"/>
  <c r="R713" i="3"/>
  <c r="R714" i="3"/>
  <c r="R715" i="3"/>
  <c r="R716" i="3"/>
  <c r="R717" i="3"/>
  <c r="R718" i="3"/>
  <c r="R719" i="3"/>
  <c r="R720" i="3"/>
  <c r="R721" i="3"/>
  <c r="R722" i="3"/>
  <c r="R723" i="3"/>
  <c r="R724" i="3"/>
  <c r="R725" i="3"/>
  <c r="R726" i="3"/>
  <c r="R727" i="3"/>
  <c r="R728" i="3"/>
  <c r="R729" i="3"/>
  <c r="R730" i="3"/>
  <c r="R731" i="3"/>
  <c r="R732" i="3"/>
  <c r="R733" i="3"/>
  <c r="R734" i="3"/>
  <c r="R735" i="3"/>
  <c r="R736" i="3"/>
  <c r="R737" i="3"/>
  <c r="R738" i="3"/>
  <c r="R739" i="3"/>
  <c r="R740" i="3"/>
  <c r="R741" i="3"/>
  <c r="R742" i="3"/>
  <c r="R743" i="3"/>
  <c r="R744" i="3"/>
  <c r="R745" i="3"/>
  <c r="R746" i="3"/>
  <c r="R747" i="3"/>
  <c r="R748" i="3"/>
  <c r="R749" i="3"/>
  <c r="R750" i="3"/>
  <c r="R751" i="3"/>
  <c r="R752" i="3"/>
  <c r="R753" i="3"/>
  <c r="R754" i="3"/>
  <c r="R755" i="3"/>
  <c r="R756" i="3"/>
  <c r="R757" i="3"/>
  <c r="R758" i="3"/>
  <c r="R759" i="3"/>
  <c r="R760" i="3"/>
  <c r="R761" i="3"/>
  <c r="R762" i="3"/>
  <c r="R763" i="3"/>
  <c r="R764" i="3"/>
  <c r="R765" i="3"/>
  <c r="R766" i="3"/>
  <c r="R767" i="3"/>
  <c r="R768" i="3"/>
  <c r="R769" i="3"/>
  <c r="R770" i="3"/>
  <c r="R771" i="3"/>
  <c r="R772" i="3"/>
  <c r="R773" i="3"/>
  <c r="R774" i="3"/>
  <c r="R775" i="3"/>
  <c r="R776" i="3"/>
  <c r="R777" i="3"/>
  <c r="R778" i="3"/>
  <c r="R779" i="3"/>
  <c r="R780" i="3"/>
  <c r="R781" i="3"/>
  <c r="R782" i="3"/>
  <c r="R783" i="3"/>
  <c r="R784" i="3"/>
  <c r="R785" i="3"/>
  <c r="R786" i="3"/>
  <c r="R787" i="3"/>
  <c r="R788" i="3"/>
  <c r="R789" i="3"/>
  <c r="R790" i="3"/>
  <c r="R791" i="3"/>
  <c r="R792" i="3"/>
  <c r="R793" i="3"/>
  <c r="R794" i="3"/>
  <c r="R795" i="3"/>
  <c r="R796" i="3"/>
  <c r="R797" i="3"/>
  <c r="R798" i="3"/>
  <c r="R799" i="3"/>
  <c r="R800" i="3"/>
  <c r="R801" i="3"/>
  <c r="R802" i="3"/>
  <c r="R803" i="3"/>
  <c r="R804" i="3"/>
  <c r="R805" i="3"/>
  <c r="R806" i="3"/>
  <c r="R807" i="3"/>
  <c r="R808" i="3"/>
  <c r="R809" i="3"/>
  <c r="R810" i="3"/>
  <c r="R811" i="3"/>
  <c r="R812" i="3"/>
  <c r="R813" i="3"/>
  <c r="R814" i="3"/>
  <c r="R815" i="3"/>
  <c r="R816" i="3"/>
  <c r="R817" i="3"/>
  <c r="R818" i="3"/>
  <c r="R819" i="3"/>
  <c r="R820" i="3"/>
  <c r="R821" i="3"/>
  <c r="R822" i="3"/>
  <c r="R823" i="3"/>
  <c r="R824" i="3"/>
  <c r="R825" i="3"/>
  <c r="R826" i="3"/>
  <c r="R827" i="3"/>
  <c r="R828" i="3"/>
  <c r="R829" i="3"/>
  <c r="R830" i="3"/>
  <c r="R831" i="3"/>
  <c r="R832" i="3"/>
  <c r="R833" i="3"/>
  <c r="R834" i="3"/>
  <c r="R835" i="3"/>
  <c r="R836" i="3"/>
  <c r="R837" i="3"/>
  <c r="R838" i="3"/>
  <c r="R839" i="3"/>
  <c r="R840" i="3"/>
  <c r="R841" i="3"/>
  <c r="R842" i="3"/>
  <c r="R843" i="3"/>
  <c r="R844" i="3"/>
  <c r="R845" i="3"/>
  <c r="R846" i="3"/>
  <c r="R847" i="3"/>
  <c r="R848" i="3"/>
  <c r="R849" i="3"/>
  <c r="R850" i="3"/>
  <c r="R851" i="3"/>
  <c r="R852" i="3"/>
  <c r="R853" i="3"/>
  <c r="R854" i="3"/>
  <c r="R855" i="3"/>
  <c r="R856" i="3"/>
  <c r="R857" i="3"/>
  <c r="R858" i="3"/>
  <c r="R859" i="3"/>
  <c r="R860" i="3"/>
  <c r="R861" i="3"/>
  <c r="R862" i="3"/>
  <c r="R863" i="3"/>
  <c r="R864" i="3"/>
  <c r="R865" i="3"/>
  <c r="R866" i="3"/>
  <c r="R867" i="3"/>
  <c r="R868" i="3"/>
  <c r="R869" i="3"/>
  <c r="R870" i="3"/>
  <c r="R871" i="3"/>
  <c r="R872" i="3"/>
  <c r="R873" i="3"/>
  <c r="R874" i="3"/>
  <c r="R875" i="3"/>
  <c r="R876" i="3"/>
  <c r="R877" i="3"/>
  <c r="R878" i="3"/>
  <c r="R879" i="3"/>
  <c r="R880" i="3"/>
  <c r="R881" i="3"/>
  <c r="R882" i="3"/>
  <c r="R883" i="3"/>
  <c r="R884" i="3"/>
  <c r="R885" i="3"/>
  <c r="R886" i="3"/>
  <c r="R887" i="3"/>
  <c r="R888" i="3"/>
  <c r="R889" i="3"/>
  <c r="R890" i="3"/>
  <c r="R891" i="3"/>
  <c r="R892" i="3"/>
  <c r="R893" i="3"/>
  <c r="R894" i="3"/>
  <c r="R895" i="3"/>
  <c r="R896" i="3"/>
  <c r="R897" i="3"/>
  <c r="R898" i="3"/>
  <c r="R899" i="3"/>
  <c r="R900" i="3"/>
  <c r="R901" i="3"/>
  <c r="R902" i="3"/>
  <c r="R903" i="3"/>
  <c r="R904" i="3"/>
  <c r="R905" i="3"/>
  <c r="R906" i="3"/>
  <c r="R907" i="3"/>
  <c r="R908" i="3"/>
  <c r="R909" i="3"/>
  <c r="R910" i="3"/>
  <c r="R911" i="3"/>
  <c r="R912" i="3"/>
  <c r="R913" i="3"/>
  <c r="R914" i="3"/>
  <c r="R915" i="3"/>
  <c r="R916" i="3"/>
  <c r="R917" i="3"/>
  <c r="R918" i="3"/>
  <c r="R919" i="3"/>
  <c r="R920" i="3"/>
  <c r="R921" i="3"/>
  <c r="R922" i="3"/>
  <c r="R923" i="3"/>
  <c r="R924" i="3"/>
  <c r="R925" i="3"/>
  <c r="R926" i="3"/>
  <c r="R927" i="3"/>
  <c r="R928" i="3"/>
  <c r="R929" i="3"/>
  <c r="R930" i="3"/>
  <c r="R931" i="3"/>
  <c r="R932" i="3"/>
  <c r="R933" i="3"/>
  <c r="R934" i="3"/>
  <c r="R935" i="3"/>
  <c r="R936" i="3"/>
  <c r="R937" i="3"/>
  <c r="R938" i="3"/>
  <c r="R939" i="3"/>
  <c r="R940" i="3"/>
  <c r="R941" i="3"/>
  <c r="R942" i="3"/>
  <c r="R943" i="3"/>
  <c r="R944" i="3"/>
  <c r="R945" i="3"/>
  <c r="R946" i="3"/>
  <c r="R947" i="3"/>
  <c r="R948" i="3"/>
  <c r="R949" i="3"/>
  <c r="R950" i="3"/>
  <c r="R951" i="3"/>
  <c r="R952" i="3"/>
  <c r="R953" i="3"/>
  <c r="R954" i="3"/>
  <c r="R955" i="3"/>
  <c r="R956" i="3"/>
  <c r="R957" i="3"/>
  <c r="R958" i="3"/>
  <c r="R959" i="3"/>
  <c r="R960" i="3"/>
  <c r="R961" i="3"/>
  <c r="R962" i="3"/>
  <c r="R963" i="3"/>
  <c r="R964" i="3"/>
  <c r="R965" i="3"/>
  <c r="R966" i="3"/>
  <c r="R967" i="3"/>
  <c r="R968" i="3"/>
  <c r="R969" i="3"/>
  <c r="R970" i="3"/>
  <c r="R971" i="3"/>
  <c r="R972" i="3"/>
  <c r="R973" i="3"/>
  <c r="R974" i="3"/>
  <c r="R975" i="3"/>
  <c r="R976" i="3"/>
  <c r="R977" i="3"/>
  <c r="R978" i="3"/>
  <c r="R979" i="3"/>
  <c r="R980" i="3"/>
  <c r="R981" i="3"/>
  <c r="R982" i="3"/>
  <c r="R983" i="3"/>
  <c r="R984" i="3"/>
  <c r="R985" i="3"/>
  <c r="R986" i="3"/>
  <c r="R987" i="3"/>
  <c r="R988" i="3"/>
  <c r="R989" i="3"/>
  <c r="R990" i="3"/>
  <c r="R991" i="3"/>
  <c r="R992" i="3"/>
  <c r="R993" i="3"/>
  <c r="R994" i="3"/>
  <c r="R995" i="3"/>
  <c r="R996" i="3"/>
  <c r="R997" i="3"/>
  <c r="R998" i="3"/>
  <c r="R999" i="3"/>
  <c r="R1000" i="3"/>
  <c r="R1001" i="3"/>
  <c r="R1002" i="3"/>
  <c r="R1003" i="3"/>
  <c r="R1004" i="3"/>
  <c r="R1005" i="3"/>
  <c r="R1006" i="3"/>
  <c r="R1007" i="3"/>
  <c r="R1008" i="3"/>
  <c r="R1009" i="3"/>
  <c r="R1010" i="3"/>
  <c r="R1011" i="3"/>
  <c r="R1012" i="3"/>
  <c r="R1013" i="3"/>
  <c r="R1014" i="3"/>
  <c r="R1015" i="3"/>
  <c r="R1016" i="3"/>
  <c r="R1017" i="3"/>
  <c r="R1018" i="3"/>
  <c r="R1019" i="3"/>
  <c r="R1020" i="3"/>
  <c r="R1021" i="3"/>
  <c r="R1022" i="3"/>
  <c r="R1023" i="3"/>
  <c r="R1024" i="3"/>
  <c r="R1025" i="3"/>
  <c r="R1026" i="3"/>
  <c r="R1027" i="3"/>
  <c r="R1028" i="3"/>
  <c r="R1029" i="3"/>
  <c r="R1030" i="3"/>
  <c r="R1031" i="3"/>
  <c r="R1032" i="3"/>
  <c r="R1033" i="3"/>
  <c r="R1034" i="3"/>
  <c r="R1035" i="3"/>
  <c r="R1036" i="3"/>
  <c r="R1037" i="3"/>
  <c r="R1038" i="3"/>
  <c r="R1039" i="3"/>
  <c r="R1040" i="3"/>
  <c r="R1041" i="3"/>
  <c r="R1042" i="3"/>
  <c r="R1043" i="3"/>
  <c r="R1044" i="3"/>
  <c r="R1045" i="3"/>
  <c r="R1046" i="3"/>
  <c r="R1047" i="3"/>
  <c r="R1048" i="3"/>
  <c r="R1049" i="3"/>
  <c r="R1050" i="3"/>
  <c r="R1051" i="3"/>
  <c r="R1052" i="3"/>
  <c r="R1053" i="3"/>
  <c r="R1054" i="3"/>
  <c r="R1055" i="3"/>
  <c r="R1056" i="3"/>
  <c r="R1057" i="3"/>
  <c r="R1058" i="3"/>
  <c r="R1059" i="3"/>
  <c r="R1060" i="3"/>
  <c r="R1061" i="3"/>
  <c r="R1062" i="3"/>
  <c r="R1063" i="3"/>
  <c r="R1064" i="3"/>
  <c r="R1065" i="3"/>
  <c r="R1066" i="3"/>
  <c r="R1067" i="3"/>
  <c r="R1068" i="3"/>
  <c r="R1069" i="3"/>
  <c r="R1070" i="3"/>
  <c r="R1071" i="3"/>
  <c r="R1072" i="3"/>
  <c r="R1073" i="3"/>
  <c r="R1074" i="3"/>
  <c r="R1075" i="3"/>
  <c r="R1076" i="3"/>
  <c r="R1077" i="3"/>
  <c r="R1078" i="3"/>
  <c r="R1079" i="3"/>
  <c r="R1080" i="3"/>
  <c r="R1081" i="3"/>
  <c r="R1082" i="3"/>
  <c r="R1083" i="3"/>
  <c r="R1084" i="3"/>
  <c r="R1085" i="3"/>
  <c r="R1086" i="3"/>
  <c r="R1087" i="3"/>
  <c r="R1088" i="3"/>
  <c r="R1089" i="3"/>
  <c r="R1090" i="3"/>
  <c r="R1091" i="3"/>
  <c r="R1092" i="3"/>
  <c r="R1093" i="3"/>
  <c r="R1094" i="3"/>
  <c r="R1095" i="3"/>
  <c r="R1096" i="3"/>
  <c r="R1097" i="3"/>
  <c r="R1098" i="3"/>
  <c r="R1099" i="3"/>
  <c r="R1100" i="3"/>
  <c r="R1101" i="3"/>
  <c r="R1102" i="3"/>
  <c r="R1103" i="3"/>
  <c r="R1104" i="3"/>
  <c r="R1105" i="3"/>
  <c r="R1106" i="3"/>
  <c r="R1107" i="3"/>
  <c r="R1108" i="3"/>
  <c r="R1109" i="3"/>
  <c r="R1110" i="3"/>
  <c r="R1111" i="3"/>
  <c r="R1112" i="3"/>
  <c r="R1113" i="3"/>
  <c r="R1114" i="3"/>
  <c r="R1115" i="3"/>
  <c r="R1116" i="3"/>
  <c r="R1117" i="3"/>
  <c r="R1118" i="3"/>
  <c r="R1119" i="3"/>
  <c r="R1120" i="3"/>
  <c r="R1121" i="3"/>
  <c r="R1122" i="3"/>
  <c r="R1123" i="3"/>
  <c r="R1124" i="3"/>
  <c r="R1125" i="3"/>
  <c r="R1126" i="3"/>
  <c r="R1127" i="3"/>
  <c r="R1128" i="3"/>
  <c r="R1129" i="3"/>
  <c r="R1130" i="3"/>
  <c r="R1131" i="3"/>
  <c r="R1132" i="3"/>
  <c r="R1133" i="3"/>
  <c r="R1134" i="3"/>
  <c r="R1135" i="3"/>
  <c r="R1136" i="3"/>
  <c r="R1137" i="3"/>
  <c r="R1138" i="3"/>
  <c r="R1139" i="3"/>
  <c r="R1140" i="3"/>
  <c r="R1141" i="3"/>
  <c r="R1142" i="3"/>
  <c r="R1143" i="3"/>
  <c r="R1144" i="3"/>
  <c r="R1145" i="3"/>
  <c r="R1146" i="3"/>
  <c r="R1147" i="3"/>
  <c r="R1148" i="3"/>
  <c r="R1149" i="3"/>
  <c r="R1150" i="3"/>
  <c r="R1151" i="3"/>
  <c r="R1152" i="3"/>
  <c r="R1153" i="3"/>
  <c r="R1154" i="3"/>
  <c r="R1155" i="3"/>
  <c r="R1156" i="3"/>
  <c r="R1157" i="3"/>
  <c r="R1158" i="3"/>
  <c r="R1159" i="3"/>
  <c r="R1160" i="3"/>
  <c r="R1161" i="3"/>
  <c r="R1162" i="3"/>
  <c r="R1163" i="3"/>
  <c r="R1164" i="3"/>
  <c r="R1165" i="3"/>
  <c r="R1166" i="3"/>
  <c r="R1167" i="3"/>
  <c r="R1168" i="3"/>
  <c r="R1169" i="3"/>
  <c r="R1170" i="3"/>
  <c r="R1171" i="3"/>
  <c r="R1172" i="3"/>
  <c r="R1173" i="3"/>
  <c r="R1174" i="3"/>
  <c r="R1175" i="3"/>
  <c r="R1176" i="3"/>
  <c r="R1177" i="3"/>
  <c r="R1178" i="3"/>
  <c r="R1179" i="3"/>
  <c r="R1180" i="3"/>
  <c r="R1181" i="3"/>
  <c r="R1182" i="3"/>
  <c r="R1183" i="3"/>
  <c r="R1184" i="3"/>
  <c r="R1185" i="3"/>
  <c r="R1186" i="3"/>
  <c r="R1187" i="3"/>
  <c r="R1188" i="3"/>
  <c r="R1189" i="3"/>
  <c r="R1190" i="3"/>
  <c r="R1191" i="3"/>
  <c r="R1192" i="3"/>
  <c r="R1193" i="3"/>
  <c r="R1194" i="3"/>
  <c r="R1195" i="3"/>
  <c r="R1196" i="3"/>
  <c r="R1197" i="3"/>
  <c r="R1198" i="3"/>
  <c r="R1199" i="3"/>
  <c r="R1200" i="3"/>
  <c r="R1201" i="3"/>
  <c r="R1202" i="3"/>
  <c r="R1203" i="3"/>
  <c r="R1204" i="3"/>
  <c r="R1205" i="3"/>
  <c r="R1206" i="3"/>
  <c r="R1207" i="3"/>
  <c r="R1208" i="3"/>
  <c r="R1209" i="3"/>
  <c r="R1210" i="3"/>
  <c r="R1211" i="3"/>
  <c r="R1212" i="3"/>
  <c r="R1213" i="3"/>
  <c r="R1214" i="3"/>
  <c r="R1215" i="3"/>
  <c r="R1216" i="3"/>
  <c r="R1217" i="3"/>
  <c r="R1218" i="3"/>
  <c r="R1219" i="3"/>
  <c r="R1220" i="3"/>
  <c r="R1221" i="3"/>
  <c r="R1222" i="3"/>
  <c r="R1223" i="3"/>
  <c r="R1224" i="3"/>
  <c r="R1225" i="3"/>
  <c r="R1226" i="3"/>
  <c r="R1227" i="3"/>
  <c r="R1228" i="3"/>
  <c r="R1229" i="3"/>
  <c r="R1230" i="3"/>
  <c r="R1231" i="3"/>
  <c r="R1232" i="3"/>
  <c r="R1233" i="3"/>
  <c r="R1234" i="3"/>
  <c r="R1235" i="3"/>
  <c r="R1236" i="3"/>
  <c r="R1237" i="3"/>
  <c r="R1238" i="3"/>
  <c r="R1239" i="3"/>
  <c r="R1240" i="3"/>
  <c r="R1241" i="3"/>
  <c r="R1242" i="3"/>
  <c r="R1243" i="3"/>
  <c r="R1244" i="3"/>
  <c r="R1245" i="3"/>
  <c r="R1246" i="3"/>
  <c r="R1247" i="3"/>
  <c r="R1248" i="3"/>
  <c r="R1249" i="3"/>
  <c r="R1250" i="3"/>
  <c r="R1251" i="3"/>
  <c r="R1252" i="3"/>
  <c r="R1253" i="3"/>
  <c r="R1254" i="3"/>
  <c r="R1255" i="3"/>
  <c r="R1256" i="3"/>
  <c r="R1257" i="3"/>
  <c r="R1258" i="3"/>
  <c r="R1259" i="3"/>
  <c r="R1260" i="3"/>
  <c r="R1261" i="3"/>
  <c r="R1262" i="3"/>
  <c r="R1263" i="3"/>
  <c r="R1264" i="3"/>
  <c r="R1265" i="3"/>
  <c r="R1266" i="3"/>
  <c r="R1267" i="3"/>
  <c r="R1268" i="3"/>
  <c r="R1269" i="3"/>
  <c r="R1270" i="3"/>
  <c r="R1271" i="3"/>
  <c r="R1272" i="3"/>
  <c r="R1273" i="3"/>
  <c r="R1274" i="3"/>
  <c r="R1275" i="3"/>
  <c r="R1276" i="3"/>
  <c r="R1277" i="3"/>
  <c r="R1278" i="3"/>
  <c r="R1279" i="3"/>
  <c r="R1280" i="3"/>
  <c r="R1281" i="3"/>
  <c r="R1282" i="3"/>
  <c r="R1283" i="3"/>
  <c r="R1284" i="3"/>
  <c r="R1285" i="3"/>
  <c r="R1286" i="3"/>
  <c r="R1287" i="3"/>
  <c r="R1288" i="3"/>
  <c r="R1289" i="3"/>
  <c r="R1290" i="3"/>
  <c r="R1291" i="3"/>
  <c r="R1292" i="3"/>
  <c r="R1293" i="3"/>
  <c r="R1294" i="3"/>
  <c r="R1295" i="3"/>
  <c r="R1296" i="3"/>
  <c r="R1297" i="3"/>
  <c r="R1298" i="3"/>
  <c r="R1299" i="3"/>
  <c r="R1300" i="3"/>
  <c r="R1301" i="3"/>
  <c r="R1302" i="3"/>
  <c r="R1303" i="3"/>
  <c r="R1304" i="3"/>
  <c r="R1305" i="3"/>
  <c r="R1306" i="3"/>
  <c r="R1307" i="3"/>
  <c r="R1308" i="3"/>
  <c r="R1309" i="3"/>
  <c r="R1310" i="3"/>
  <c r="R1311" i="3"/>
  <c r="S1311" i="3" s="1"/>
  <c r="R1312" i="3"/>
  <c r="R1313" i="3"/>
  <c r="R1314" i="3"/>
  <c r="R1315" i="3"/>
  <c r="R1316" i="3"/>
  <c r="R1317" i="3"/>
  <c r="R1318" i="3"/>
  <c r="R1319" i="3"/>
  <c r="R1320" i="3"/>
  <c r="R1321" i="3"/>
  <c r="R1322" i="3"/>
  <c r="R1323" i="3"/>
  <c r="S1323" i="3" s="1"/>
  <c r="R1324" i="3"/>
  <c r="R1325" i="3"/>
  <c r="R1326" i="3"/>
  <c r="R1327" i="3"/>
  <c r="R1328" i="3"/>
  <c r="R1329" i="3"/>
  <c r="R1330" i="3"/>
  <c r="R1331" i="3"/>
  <c r="R1332" i="3"/>
  <c r="R1333" i="3"/>
  <c r="R1334" i="3"/>
  <c r="R1335" i="3"/>
  <c r="S1335" i="3" s="1"/>
  <c r="R1336" i="3"/>
  <c r="R1337" i="3"/>
  <c r="R1338" i="3"/>
  <c r="R1339" i="3"/>
  <c r="R1340" i="3"/>
  <c r="R1341" i="3"/>
  <c r="R1342" i="3"/>
  <c r="R1343" i="3"/>
  <c r="R1344" i="3"/>
  <c r="R1345" i="3"/>
  <c r="R1346" i="3"/>
  <c r="R1347" i="3"/>
  <c r="S1347" i="3" s="1"/>
  <c r="R1348" i="3"/>
  <c r="R1349" i="3"/>
  <c r="R1350" i="3"/>
  <c r="R1351" i="3"/>
  <c r="R1352" i="3"/>
  <c r="R1353" i="3"/>
  <c r="R1354" i="3"/>
  <c r="R1355" i="3"/>
  <c r="R1356" i="3"/>
  <c r="R1357" i="3"/>
  <c r="R1358" i="3"/>
  <c r="R1359" i="3"/>
  <c r="S1359" i="3" s="1"/>
  <c r="R1360" i="3"/>
  <c r="R1361" i="3"/>
  <c r="R1362" i="3"/>
  <c r="R1363" i="3"/>
  <c r="R1364" i="3"/>
  <c r="R1365" i="3"/>
  <c r="R1366" i="3"/>
  <c r="R1367" i="3"/>
  <c r="R1368" i="3"/>
  <c r="R1369" i="3"/>
  <c r="R1370" i="3"/>
  <c r="R1371" i="3"/>
  <c r="S1371" i="3" s="1"/>
  <c r="R1372" i="3"/>
  <c r="R1373" i="3"/>
  <c r="R1374" i="3"/>
  <c r="R1375" i="3"/>
  <c r="R1376" i="3"/>
  <c r="R1377" i="3"/>
  <c r="R1378" i="3"/>
  <c r="R1379" i="3"/>
  <c r="R1380" i="3"/>
  <c r="R1381" i="3"/>
  <c r="R1382" i="3"/>
  <c r="R1383" i="3"/>
  <c r="S1383" i="3" s="1"/>
  <c r="R1384" i="3"/>
  <c r="R1385" i="3"/>
  <c r="R1386" i="3"/>
  <c r="R1387" i="3"/>
  <c r="R1388" i="3"/>
  <c r="R1389" i="3"/>
  <c r="R1390" i="3"/>
  <c r="R1391" i="3"/>
  <c r="R1392" i="3"/>
  <c r="R1393" i="3"/>
  <c r="R1394" i="3"/>
  <c r="R1395" i="3"/>
  <c r="S1395" i="3" s="1"/>
  <c r="R1396" i="3"/>
  <c r="R1397" i="3"/>
  <c r="R1398" i="3"/>
  <c r="R1399" i="3"/>
  <c r="R1400" i="3"/>
  <c r="R1401" i="3"/>
  <c r="R1402" i="3"/>
  <c r="R1403" i="3"/>
  <c r="R1404" i="3"/>
  <c r="R1405" i="3"/>
  <c r="R1406" i="3"/>
  <c r="R1407" i="3"/>
  <c r="S1407" i="3" s="1"/>
  <c r="R1408" i="3"/>
  <c r="R1409" i="3"/>
  <c r="R2" i="3"/>
  <c r="V38" i="3" a="1"/>
  <c r="V38" i="3" s="1"/>
  <c r="V37" i="3" a="1"/>
  <c r="V37" i="3" s="1"/>
  <c r="S6" i="5" l="1"/>
  <c r="S67" i="5"/>
  <c r="S35" i="5"/>
  <c r="S21" i="5"/>
  <c r="S71" i="5"/>
  <c r="S95" i="5"/>
  <c r="S61" i="5"/>
  <c r="Y17" i="5"/>
  <c r="Y19" i="5" s="1"/>
  <c r="S16" i="5"/>
  <c r="S27" i="5"/>
  <c r="S100" i="5"/>
  <c r="S89" i="5"/>
  <c r="S76" i="5"/>
  <c r="S106" i="5"/>
  <c r="S184" i="5"/>
  <c r="S12" i="5"/>
  <c r="S30" i="5"/>
  <c r="S87" i="5"/>
  <c r="S337" i="5"/>
  <c r="S8" i="5"/>
  <c r="S24" i="5"/>
  <c r="S232" i="5"/>
  <c r="S197" i="5"/>
  <c r="S173" i="5"/>
  <c r="S149" i="5"/>
  <c r="S137" i="5"/>
  <c r="S97" i="5"/>
  <c r="S92" i="5"/>
  <c r="S64" i="5"/>
  <c r="S59" i="5"/>
  <c r="S29" i="5"/>
  <c r="S15" i="5"/>
  <c r="S32" i="5"/>
  <c r="S18" i="5"/>
  <c r="S107" i="5"/>
  <c r="S191" i="5"/>
  <c r="S167" i="5"/>
  <c r="S143" i="5"/>
  <c r="S53" i="5"/>
  <c r="S43" i="5"/>
  <c r="S25" i="5"/>
  <c r="S131" i="5"/>
  <c r="S113" i="5"/>
  <c r="S80" i="5"/>
  <c r="S52" i="5"/>
  <c r="S39" i="5"/>
  <c r="S220" i="5"/>
  <c r="S196" i="5"/>
  <c r="S172" i="5"/>
  <c r="S148" i="5"/>
  <c r="S136" i="5"/>
  <c r="S119" i="5"/>
  <c r="S85" i="5"/>
  <c r="S96" i="5"/>
  <c r="S231" i="5"/>
  <c r="S219" i="5"/>
  <c r="S207" i="5"/>
  <c r="S195" i="5"/>
  <c r="S183" i="5"/>
  <c r="S171" i="5"/>
  <c r="S159" i="5"/>
  <c r="S147" i="5"/>
  <c r="S112" i="5"/>
  <c r="S73" i="5"/>
  <c r="S289" i="5"/>
  <c r="S255" i="5"/>
  <c r="S181" i="5"/>
  <c r="S169" i="5"/>
  <c r="S157" i="5"/>
  <c r="S145" i="5"/>
  <c r="S111" i="5"/>
  <c r="S23" i="5"/>
  <c r="S19" i="5"/>
  <c r="S9" i="5"/>
  <c r="S2" i="5"/>
  <c r="S101" i="5"/>
  <c r="S33" i="5"/>
  <c r="S68" i="5"/>
  <c r="S121" i="5"/>
  <c r="S14" i="5"/>
  <c r="S63" i="5"/>
  <c r="S123" i="5"/>
  <c r="S135" i="5"/>
  <c r="S146" i="5"/>
  <c r="S179" i="5"/>
  <c r="S212" i="5"/>
  <c r="S11" i="5"/>
  <c r="S161" i="5"/>
  <c r="S57" i="5"/>
  <c r="S206" i="5"/>
  <c r="S7" i="5"/>
  <c r="S41" i="5"/>
  <c r="S230" i="5"/>
  <c r="S3" i="5"/>
  <c r="S51" i="5"/>
  <c r="S243" i="5"/>
  <c r="S31" i="5"/>
  <c r="S155" i="5"/>
  <c r="S5" i="5"/>
  <c r="S26" i="5"/>
  <c r="S83" i="5"/>
  <c r="S124" i="5"/>
  <c r="S158" i="5"/>
  <c r="S10" i="5"/>
  <c r="S38" i="5"/>
  <c r="S45" i="5"/>
  <c r="S65" i="5"/>
  <c r="S125" i="5"/>
  <c r="S170" i="5"/>
  <c r="S203" i="5"/>
  <c r="S236" i="5"/>
  <c r="S260" i="5"/>
  <c r="S284" i="5"/>
  <c r="S308" i="5"/>
  <c r="S332" i="5"/>
  <c r="S356" i="5"/>
  <c r="S75" i="5"/>
  <c r="S160" i="5"/>
  <c r="S182" i="5"/>
  <c r="S194" i="5"/>
  <c r="S227" i="5"/>
  <c r="S22" i="5"/>
  <c r="S323" i="5"/>
  <c r="S47" i="5"/>
  <c r="S17" i="5"/>
  <c r="S40" i="5"/>
  <c r="S78" i="5"/>
  <c r="S117" i="5"/>
  <c r="S129" i="5"/>
  <c r="S140" i="5"/>
  <c r="S185" i="5"/>
  <c r="S218" i="5"/>
  <c r="S28" i="5"/>
  <c r="S251" i="5"/>
  <c r="S50" i="5"/>
  <c r="S88" i="5"/>
  <c r="S164" i="5"/>
  <c r="S209" i="5"/>
  <c r="S275" i="5"/>
  <c r="S304" i="5"/>
  <c r="S56" i="5"/>
  <c r="S77" i="5"/>
  <c r="S116" i="5"/>
  <c r="S480" i="5"/>
  <c r="S215" i="5"/>
  <c r="S49" i="5"/>
  <c r="S208" i="5"/>
  <c r="S241" i="5"/>
  <c r="S13" i="5"/>
  <c r="S188" i="5"/>
  <c r="S233" i="5"/>
  <c r="S256" i="5"/>
  <c r="S280" i="5"/>
  <c r="S4" i="5"/>
  <c r="S72" i="5"/>
  <c r="S93" i="5"/>
  <c r="S104" i="5"/>
  <c r="S109" i="5"/>
  <c r="S127" i="5"/>
  <c r="S156" i="5"/>
  <c r="S180" i="5"/>
  <c r="S204" i="5"/>
  <c r="S228" i="5"/>
  <c r="S267" i="5"/>
  <c r="S287" i="5"/>
  <c r="S295" i="5"/>
  <c r="S315" i="5"/>
  <c r="S329" i="5"/>
  <c r="S344" i="5"/>
  <c r="S358" i="5"/>
  <c r="S372" i="5"/>
  <c r="S395" i="5"/>
  <c r="S403" i="5"/>
  <c r="S411" i="5"/>
  <c r="S419" i="5"/>
  <c r="S428" i="5"/>
  <c r="S437" i="5"/>
  <c r="S446" i="5"/>
  <c r="S455" i="5"/>
  <c r="S463" i="5"/>
  <c r="S473" i="5"/>
  <c r="S482" i="5"/>
  <c r="S530" i="5"/>
  <c r="S540" i="5"/>
  <c r="S618" i="5"/>
  <c r="S726" i="5"/>
  <c r="S750" i="5"/>
  <c r="S55" i="5"/>
  <c r="S60" i="5"/>
  <c r="S66" i="5"/>
  <c r="S94" i="5"/>
  <c r="S99" i="5"/>
  <c r="S110" i="5"/>
  <c r="S139" i="5"/>
  <c r="S151" i="5"/>
  <c r="S175" i="5"/>
  <c r="S199" i="5"/>
  <c r="S223" i="5"/>
  <c r="S248" i="5"/>
  <c r="S253" i="5"/>
  <c r="S268" i="5"/>
  <c r="S301" i="5"/>
  <c r="S316" i="5"/>
  <c r="S351" i="5"/>
  <c r="S381" i="5"/>
  <c r="S389" i="5"/>
  <c r="S404" i="5"/>
  <c r="S412" i="5"/>
  <c r="S438" i="5"/>
  <c r="S447" i="5"/>
  <c r="S464" i="5"/>
  <c r="S521" i="5"/>
  <c r="S531" i="5"/>
  <c r="S573" i="5"/>
  <c r="S596" i="5"/>
  <c r="S631" i="5"/>
  <c r="S691" i="5"/>
  <c r="S34" i="5"/>
  <c r="S105" i="5"/>
  <c r="S128" i="5"/>
  <c r="S133" i="5"/>
  <c r="S163" i="5"/>
  <c r="S187" i="5"/>
  <c r="S211" i="5"/>
  <c r="S235" i="5"/>
  <c r="S281" i="5"/>
  <c r="S296" i="5"/>
  <c r="S345" i="5"/>
  <c r="S359" i="5"/>
  <c r="S367" i="5"/>
  <c r="S373" i="5"/>
  <c r="S382" i="5"/>
  <c r="S396" i="5"/>
  <c r="S420" i="5"/>
  <c r="S429" i="5"/>
  <c r="S456" i="5"/>
  <c r="S465" i="5"/>
  <c r="S493" i="5"/>
  <c r="S512" i="5"/>
  <c r="S522" i="5"/>
  <c r="S532" i="5"/>
  <c r="S574" i="5"/>
  <c r="S597" i="5"/>
  <c r="S608" i="5"/>
  <c r="S632" i="5"/>
  <c r="S740" i="5"/>
  <c r="S122" i="5"/>
  <c r="S134" i="5"/>
  <c r="S152" i="5"/>
  <c r="S176" i="5"/>
  <c r="S193" i="5"/>
  <c r="S200" i="5"/>
  <c r="S205" i="5"/>
  <c r="S217" i="5"/>
  <c r="S224" i="5"/>
  <c r="S229" i="5"/>
  <c r="S242" i="5"/>
  <c r="S249" i="5"/>
  <c r="S261" i="5"/>
  <c r="S269" i="5"/>
  <c r="S309" i="5"/>
  <c r="S317" i="5"/>
  <c r="S331" i="5"/>
  <c r="S352" i="5"/>
  <c r="S360" i="5"/>
  <c r="S405" i="5"/>
  <c r="S430" i="5"/>
  <c r="S448" i="5"/>
  <c r="S475" i="5"/>
  <c r="S484" i="5"/>
  <c r="S494" i="5"/>
  <c r="S503" i="5"/>
  <c r="S513" i="5"/>
  <c r="S523" i="5"/>
  <c r="S564" i="5"/>
  <c r="S262" i="5"/>
  <c r="S270" i="5"/>
  <c r="S297" i="5"/>
  <c r="S303" i="5"/>
  <c r="S310" i="5"/>
  <c r="S318" i="5"/>
  <c r="S324" i="5"/>
  <c r="S339" i="5"/>
  <c r="S353" i="5"/>
  <c r="S368" i="5"/>
  <c r="S383" i="5"/>
  <c r="S391" i="5"/>
  <c r="S397" i="5"/>
  <c r="S406" i="5"/>
  <c r="S421" i="5"/>
  <c r="S449" i="5"/>
  <c r="S458" i="5"/>
  <c r="S476" i="5"/>
  <c r="S485" i="5"/>
  <c r="S495" i="5"/>
  <c r="S504" i="5"/>
  <c r="S554" i="5"/>
  <c r="S588" i="5"/>
  <c r="S682" i="5"/>
  <c r="S826" i="5"/>
  <c r="S42" i="5"/>
  <c r="S62" i="5"/>
  <c r="S79" i="5"/>
  <c r="S84" i="5"/>
  <c r="S90" i="5"/>
  <c r="S118" i="5"/>
  <c r="S130" i="5"/>
  <c r="S153" i="5"/>
  <c r="S177" i="5"/>
  <c r="S201" i="5"/>
  <c r="S225" i="5"/>
  <c r="S276" i="5"/>
  <c r="S283" i="5"/>
  <c r="S290" i="5"/>
  <c r="S340" i="5"/>
  <c r="S375" i="5"/>
  <c r="S384" i="5"/>
  <c r="S415" i="5"/>
  <c r="S441" i="5"/>
  <c r="S450" i="5"/>
  <c r="S468" i="5"/>
  <c r="S486" i="5"/>
  <c r="S534" i="5"/>
  <c r="S544" i="5"/>
  <c r="S555" i="5"/>
  <c r="S577" i="5"/>
  <c r="S623" i="5"/>
  <c r="S671" i="5"/>
  <c r="S141" i="5"/>
  <c r="S165" i="5"/>
  <c r="S189" i="5"/>
  <c r="S213" i="5"/>
  <c r="S237" i="5"/>
  <c r="S244" i="5"/>
  <c r="S263" i="5"/>
  <c r="S271" i="5"/>
  <c r="S291" i="5"/>
  <c r="S311" i="5"/>
  <c r="S319" i="5"/>
  <c r="S325" i="5"/>
  <c r="S347" i="5"/>
  <c r="S361" i="5"/>
  <c r="S369" i="5"/>
  <c r="S376" i="5"/>
  <c r="S392" i="5"/>
  <c r="S407" i="5"/>
  <c r="S432" i="5"/>
  <c r="S442" i="5"/>
  <c r="S451" i="5"/>
  <c r="S459" i="5"/>
  <c r="S469" i="5"/>
  <c r="S477" i="5"/>
  <c r="S525" i="5"/>
  <c r="S535" i="5"/>
  <c r="S545" i="5"/>
  <c r="S578" i="5"/>
  <c r="S612" i="5"/>
  <c r="S636" i="5"/>
  <c r="S696" i="5"/>
  <c r="S58" i="5"/>
  <c r="S74" i="5"/>
  <c r="S91" i="5"/>
  <c r="S102" i="5"/>
  <c r="S142" i="5"/>
  <c r="S166" i="5"/>
  <c r="S190" i="5"/>
  <c r="S214" i="5"/>
  <c r="S238" i="5"/>
  <c r="S277" i="5"/>
  <c r="S292" i="5"/>
  <c r="S312" i="5"/>
  <c r="S333" i="5"/>
  <c r="S341" i="5"/>
  <c r="S355" i="5"/>
  <c r="S377" i="5"/>
  <c r="S399" i="5"/>
  <c r="S408" i="5"/>
  <c r="S416" i="5"/>
  <c r="S424" i="5"/>
  <c r="S433" i="5"/>
  <c r="S478" i="5"/>
  <c r="S497" i="5"/>
  <c r="S579" i="5"/>
  <c r="S591" i="5"/>
  <c r="S601" i="5"/>
  <c r="S69" i="5"/>
  <c r="S245" i="5"/>
  <c r="S257" i="5"/>
  <c r="S272" i="5"/>
  <c r="S299" i="5"/>
  <c r="S305" i="5"/>
  <c r="S320" i="5"/>
  <c r="S334" i="5"/>
  <c r="S342" i="5"/>
  <c r="S348" i="5"/>
  <c r="S363" i="5"/>
  <c r="S385" i="5"/>
  <c r="S393" i="5"/>
  <c r="S400" i="5"/>
  <c r="S425" i="5"/>
  <c r="S434" i="5"/>
  <c r="S443" i="5"/>
  <c r="S460" i="5"/>
  <c r="S470" i="5"/>
  <c r="S498" i="5"/>
  <c r="S517" i="5"/>
  <c r="S527" i="5"/>
  <c r="S558" i="5"/>
  <c r="S568" i="5"/>
  <c r="S626" i="5"/>
  <c r="S710" i="5"/>
  <c r="S36" i="5"/>
  <c r="S70" i="5"/>
  <c r="S86" i="5"/>
  <c r="S103" i="5"/>
  <c r="S108" i="5"/>
  <c r="S246" i="5"/>
  <c r="S285" i="5"/>
  <c r="S293" i="5"/>
  <c r="S327" i="5"/>
  <c r="S364" i="5"/>
  <c r="S401" i="5"/>
  <c r="S417" i="5"/>
  <c r="S453" i="5"/>
  <c r="S471" i="5"/>
  <c r="S489" i="5"/>
  <c r="S499" i="5"/>
  <c r="S569" i="5"/>
  <c r="S603" i="5"/>
  <c r="S627" i="5"/>
  <c r="S831" i="5"/>
  <c r="S81" i="5"/>
  <c r="S126" i="5"/>
  <c r="S221" i="5"/>
  <c r="S239" i="5"/>
  <c r="S252" i="5"/>
  <c r="S265" i="5"/>
  <c r="S273" i="5"/>
  <c r="S279" i="5"/>
  <c r="S286" i="5"/>
  <c r="S294" i="5"/>
  <c r="S313" i="5"/>
  <c r="S321" i="5"/>
  <c r="S335" i="5"/>
  <c r="S343" i="5"/>
  <c r="S349" i="5"/>
  <c r="S371" i="5"/>
  <c r="S379" i="5"/>
  <c r="S387" i="5"/>
  <c r="S409" i="5"/>
  <c r="S445" i="5"/>
  <c r="S454" i="5"/>
  <c r="S472" i="5"/>
  <c r="S490" i="5"/>
  <c r="S570" i="5"/>
  <c r="S582" i="5"/>
  <c r="S640" i="5"/>
  <c r="S652" i="5"/>
  <c r="S44" i="5"/>
  <c r="S1398" i="5"/>
  <c r="S1390" i="5"/>
  <c r="S1382" i="5"/>
  <c r="S1374" i="5"/>
  <c r="S1366" i="5"/>
  <c r="S1358" i="5"/>
  <c r="S1350" i="5"/>
  <c r="S1342" i="5"/>
  <c r="S1334" i="5"/>
  <c r="S1326" i="5"/>
  <c r="S1318" i="5"/>
  <c r="S1310" i="5"/>
  <c r="S1394" i="5"/>
  <c r="S1386" i="5"/>
  <c r="S1378" i="5"/>
  <c r="S1370" i="5"/>
  <c r="S1362" i="5"/>
  <c r="S1354" i="5"/>
  <c r="S1346" i="5"/>
  <c r="S1338" i="5"/>
  <c r="S1330" i="5"/>
  <c r="S1322" i="5"/>
  <c r="S1314" i="5"/>
  <c r="S1306" i="5"/>
  <c r="S1298" i="5"/>
  <c r="S1290" i="5"/>
  <c r="S1282" i="5"/>
  <c r="S1270" i="5"/>
  <c r="S1222" i="5"/>
  <c r="S1174" i="5"/>
  <c r="S1250" i="5"/>
  <c r="S1202" i="5"/>
  <c r="S1154" i="5"/>
  <c r="S1278" i="5"/>
  <c r="S1230" i="5"/>
  <c r="S1258" i="5"/>
  <c r="S1210" i="5"/>
  <c r="S1162" i="5"/>
  <c r="S1238" i="5"/>
  <c r="S1190" i="5"/>
  <c r="S1286" i="5"/>
  <c r="S1266" i="5"/>
  <c r="S1218" i="5"/>
  <c r="S1170" i="5"/>
  <c r="S1246" i="5"/>
  <c r="S1198" i="5"/>
  <c r="S1150" i="5"/>
  <c r="S1274" i="5"/>
  <c r="S1226" i="5"/>
  <c r="S1178" i="5"/>
  <c r="S1130" i="5"/>
  <c r="S1114" i="5"/>
  <c r="S1101" i="5"/>
  <c r="S1294" i="5"/>
  <c r="S1254" i="5"/>
  <c r="S1206" i="5"/>
  <c r="S1234" i="5"/>
  <c r="S1186" i="5"/>
  <c r="S1064" i="5"/>
  <c r="S1055" i="5"/>
  <c r="S1042" i="5"/>
  <c r="S1029" i="5"/>
  <c r="S1016" i="5"/>
  <c r="S1007" i="5"/>
  <c r="S994" i="5"/>
  <c r="S981" i="5"/>
  <c r="S968" i="5"/>
  <c r="S959" i="5"/>
  <c r="S946" i="5"/>
  <c r="S933" i="5"/>
  <c r="S920" i="5"/>
  <c r="S911" i="5"/>
  <c r="S898" i="5"/>
  <c r="S1262" i="5"/>
  <c r="S1214" i="5"/>
  <c r="S1242" i="5"/>
  <c r="S1126" i="5"/>
  <c r="S1067" i="5"/>
  <c r="S1045" i="5"/>
  <c r="S1034" i="5"/>
  <c r="S1194" i="5"/>
  <c r="S1082" i="5"/>
  <c r="S1073" i="5"/>
  <c r="S1061" i="5"/>
  <c r="S1056" i="5"/>
  <c r="S1050" i="5"/>
  <c r="S1039" i="5"/>
  <c r="S1028" i="5"/>
  <c r="S1017" i="5"/>
  <c r="S1097" i="5"/>
  <c r="S951" i="5"/>
  <c r="S925" i="5"/>
  <c r="S849" i="5"/>
  <c r="S1010" i="5"/>
  <c r="S1032" i="5"/>
  <c r="S999" i="5"/>
  <c r="S1122" i="5"/>
  <c r="S1065" i="5"/>
  <c r="S1142" i="5"/>
  <c r="S1077" i="5"/>
  <c r="S1058" i="5"/>
  <c r="S1053" i="5"/>
  <c r="S1085" i="5"/>
  <c r="S1063" i="5"/>
  <c r="S1047" i="5"/>
  <c r="S1019" i="5"/>
  <c r="S997" i="5"/>
  <c r="S986" i="5"/>
  <c r="S943" i="5"/>
  <c r="S938" i="5"/>
  <c r="S927" i="5"/>
  <c r="S922" i="5"/>
  <c r="S917" i="5"/>
  <c r="S912" i="5"/>
  <c r="S891" i="5"/>
  <c r="S882" i="5"/>
  <c r="S873" i="5"/>
  <c r="S860" i="5"/>
  <c r="S847" i="5"/>
  <c r="S834" i="5"/>
  <c r="S825" i="5"/>
  <c r="S812" i="5"/>
  <c r="S799" i="5"/>
  <c r="S786" i="5"/>
  <c r="S777" i="5"/>
  <c r="S764" i="5"/>
  <c r="S1069" i="5"/>
  <c r="S1008" i="5"/>
  <c r="S877" i="5"/>
  <c r="S829" i="5"/>
  <c r="S1109" i="5"/>
  <c r="S881" i="5"/>
  <c r="S833" i="5"/>
  <c r="S996" i="5"/>
  <c r="S989" i="5"/>
  <c r="S975" i="5"/>
  <c r="S967" i="5"/>
  <c r="S905" i="5"/>
  <c r="S892" i="5"/>
  <c r="S880" i="5"/>
  <c r="S875" i="5"/>
  <c r="S982" i="5"/>
  <c r="S885" i="5"/>
  <c r="S869" i="5"/>
  <c r="S841" i="5"/>
  <c r="S819" i="5"/>
  <c r="S808" i="5"/>
  <c r="S1040" i="5"/>
  <c r="S1021" i="5"/>
  <c r="S995" i="5"/>
  <c r="S960" i="5"/>
  <c r="S923" i="5"/>
  <c r="S910" i="5"/>
  <c r="S904" i="5"/>
  <c r="S897" i="5"/>
  <c r="S863" i="5"/>
  <c r="S857" i="5"/>
  <c r="S852" i="5"/>
  <c r="S846" i="5"/>
  <c r="S835" i="5"/>
  <c r="S830" i="5"/>
  <c r="S824" i="5"/>
  <c r="S987" i="5"/>
  <c r="S890" i="5"/>
  <c r="S729" i="5"/>
  <c r="S690" i="5"/>
  <c r="S973" i="5"/>
  <c r="S965" i="5"/>
  <c r="S909" i="5"/>
  <c r="S903" i="5"/>
  <c r="S862" i="5"/>
  <c r="S845" i="5"/>
  <c r="S993" i="5"/>
  <c r="S867" i="5"/>
  <c r="S856" i="5"/>
  <c r="S806" i="5"/>
  <c r="S773" i="5"/>
  <c r="S738" i="5"/>
  <c r="S655" i="5"/>
  <c r="S1037" i="5"/>
  <c r="S921" i="5"/>
  <c r="S883" i="5"/>
  <c r="S878" i="5"/>
  <c r="S872" i="5"/>
  <c r="S861" i="5"/>
  <c r="S850" i="5"/>
  <c r="S839" i="5"/>
  <c r="S828" i="5"/>
  <c r="S817" i="5"/>
  <c r="S1026" i="5"/>
  <c r="S992" i="5"/>
  <c r="S978" i="5"/>
  <c r="S971" i="5"/>
  <c r="S957" i="5"/>
  <c r="S941" i="5"/>
  <c r="S908" i="5"/>
  <c r="S844" i="5"/>
  <c r="S822" i="5"/>
  <c r="S805" i="5"/>
  <c r="S783" i="5"/>
  <c r="S778" i="5"/>
  <c r="S747" i="5"/>
  <c r="S732" i="5"/>
  <c r="S703" i="5"/>
  <c r="S688" i="5"/>
  <c r="S664" i="5"/>
  <c r="S654" i="5"/>
  <c r="S644" i="5"/>
  <c r="S1054" i="5"/>
  <c r="S832" i="5"/>
  <c r="S524" i="5"/>
  <c r="S1006" i="5"/>
  <c r="S984" i="5"/>
  <c r="S962" i="5"/>
  <c r="S956" i="5"/>
  <c r="S940" i="5"/>
  <c r="S934" i="5"/>
  <c r="S926" i="5"/>
  <c r="S900" i="5"/>
  <c r="S893" i="5"/>
  <c r="S854" i="5"/>
  <c r="S837" i="5"/>
  <c r="S1043" i="5"/>
  <c r="S976" i="5"/>
  <c r="S865" i="5"/>
  <c r="S843" i="5"/>
  <c r="S809" i="5"/>
  <c r="S782" i="5"/>
  <c r="S537" i="5"/>
  <c r="S793" i="5"/>
  <c r="S748" i="5"/>
  <c r="S649" i="5"/>
  <c r="S590" i="5"/>
  <c r="S585" i="5"/>
  <c r="S559" i="5"/>
  <c r="S800" i="5"/>
  <c r="S718" i="5"/>
  <c r="S704" i="5"/>
  <c r="S692" i="5"/>
  <c r="S679" i="5"/>
  <c r="S660" i="5"/>
  <c r="S621" i="5"/>
  <c r="S606" i="5"/>
  <c r="S533" i="5"/>
  <c r="S440" i="5"/>
  <c r="S435" i="5"/>
  <c r="S853" i="5"/>
  <c r="S792" i="5"/>
  <c r="S784" i="5"/>
  <c r="S770" i="5"/>
  <c r="S686" i="5"/>
  <c r="S666" i="5"/>
  <c r="S648" i="5"/>
  <c r="S616" i="5"/>
  <c r="S600" i="5"/>
  <c r="S584" i="5"/>
  <c r="S553" i="5"/>
  <c r="S548" i="5"/>
  <c r="S543" i="5"/>
  <c r="S518" i="5"/>
  <c r="S508" i="5"/>
  <c r="S1023" i="5"/>
  <c r="S814" i="5"/>
  <c r="S762" i="5"/>
  <c r="S739" i="5"/>
  <c r="S678" i="5"/>
  <c r="S653" i="5"/>
  <c r="S610" i="5"/>
  <c r="S605" i="5"/>
  <c r="S594" i="5"/>
  <c r="S488" i="5"/>
  <c r="S483" i="5"/>
  <c r="S918" i="5"/>
  <c r="S821" i="5"/>
  <c r="S791" i="5"/>
  <c r="S769" i="5"/>
  <c r="S716" i="5"/>
  <c r="S665" i="5"/>
  <c r="S642" i="5"/>
  <c r="S620" i="5"/>
  <c r="S939" i="5"/>
  <c r="S813" i="5"/>
  <c r="S797" i="5"/>
  <c r="S752" i="5"/>
  <c r="S702" i="5"/>
  <c r="S677" i="5"/>
  <c r="S670" i="5"/>
  <c r="S658" i="5"/>
  <c r="S647" i="5"/>
  <c r="S625" i="5"/>
  <c r="S614" i="5"/>
  <c r="S609" i="5"/>
  <c r="S583" i="5"/>
  <c r="S562" i="5"/>
  <c r="S557" i="5"/>
  <c r="S552" i="5"/>
  <c r="S536" i="5"/>
  <c r="S507" i="5"/>
  <c r="S760" i="5"/>
  <c r="S708" i="5"/>
  <c r="S635" i="5"/>
  <c r="S630" i="5"/>
  <c r="S619" i="5"/>
  <c r="S572" i="5"/>
  <c r="S546" i="5"/>
  <c r="S767" i="5"/>
  <c r="S751" i="5"/>
  <c r="S714" i="5"/>
  <c r="S701" i="5"/>
  <c r="S695" i="5"/>
  <c r="S669" i="5"/>
  <c r="S657" i="5"/>
  <c r="S613" i="5"/>
  <c r="S592" i="5"/>
  <c r="S587" i="5"/>
  <c r="S566" i="5"/>
  <c r="S561" i="5"/>
  <c r="S556" i="5"/>
  <c r="S526" i="5"/>
  <c r="S516" i="5"/>
  <c r="S511" i="5"/>
  <c r="S506" i="5"/>
  <c r="S501" i="5"/>
  <c r="S496" i="5"/>
  <c r="S491" i="5"/>
  <c r="S467" i="5"/>
  <c r="S462" i="5"/>
  <c r="S423" i="5"/>
  <c r="S413" i="5"/>
  <c r="S870" i="5"/>
  <c r="S743" i="5"/>
  <c r="S736" i="5"/>
  <c r="S634" i="5"/>
  <c r="S629" i="5"/>
  <c r="S571" i="5"/>
  <c r="S288" i="5"/>
  <c r="S264" i="5"/>
  <c r="S240" i="5"/>
  <c r="S216" i="5"/>
  <c r="S192" i="5"/>
  <c r="S168" i="5"/>
  <c r="S144" i="5"/>
  <c r="S818" i="5"/>
  <c r="S811" i="5"/>
  <c r="S795" i="5"/>
  <c r="S780" i="5"/>
  <c r="S766" i="5"/>
  <c r="S713" i="5"/>
  <c r="S706" i="5"/>
  <c r="S668" i="5"/>
  <c r="S662" i="5"/>
  <c r="S651" i="5"/>
  <c r="S645" i="5"/>
  <c r="S565" i="5"/>
  <c r="S520" i="5"/>
  <c r="S510" i="5"/>
  <c r="S505" i="5"/>
  <c r="S461" i="5"/>
  <c r="S427" i="5"/>
  <c r="S422" i="5"/>
  <c r="S802" i="5"/>
  <c r="S700" i="5"/>
  <c r="S681" i="5"/>
  <c r="S674" i="5"/>
  <c r="S656" i="5"/>
  <c r="S633" i="5"/>
  <c r="S586" i="5"/>
  <c r="S581" i="5"/>
  <c r="S575" i="5"/>
  <c r="S1302" i="5"/>
  <c r="S779" i="5"/>
  <c r="S771" i="5"/>
  <c r="S765" i="5"/>
  <c r="S735" i="5"/>
  <c r="S712" i="5"/>
  <c r="S705" i="5"/>
  <c r="S693" i="5"/>
  <c r="S667" i="5"/>
  <c r="S661" i="5"/>
  <c r="S638" i="5"/>
  <c r="S622" i="5"/>
  <c r="S617" i="5"/>
  <c r="S607" i="5"/>
  <c r="S37" i="5"/>
  <c r="S48" i="5"/>
  <c r="S54" i="5"/>
  <c r="S82" i="5"/>
  <c r="S98" i="5"/>
  <c r="S115" i="5"/>
  <c r="S120" i="5"/>
  <c r="S132" i="5"/>
  <c r="S150" i="5"/>
  <c r="S174" i="5"/>
  <c r="S198" i="5"/>
  <c r="S222" i="5"/>
  <c r="S247" i="5"/>
  <c r="S259" i="5"/>
  <c r="S266" i="5"/>
  <c r="S300" i="5"/>
  <c r="S307" i="5"/>
  <c r="S314" i="5"/>
  <c r="S328" i="5"/>
  <c r="S336" i="5"/>
  <c r="S357" i="5"/>
  <c r="S365" i="5"/>
  <c r="S380" i="5"/>
  <c r="S388" i="5"/>
  <c r="S436" i="5"/>
  <c r="S481" i="5"/>
  <c r="S509" i="5"/>
  <c r="S519" i="5"/>
  <c r="S529" i="5"/>
  <c r="S539" i="5"/>
  <c r="S549" i="5"/>
  <c r="S728" i="5"/>
  <c r="S749" i="5"/>
  <c r="S757" i="5"/>
  <c r="S810" i="5"/>
  <c r="S879" i="5"/>
  <c r="S945" i="5"/>
  <c r="S1099" i="5"/>
  <c r="S254" i="5"/>
  <c r="S326" i="5"/>
  <c r="S350" i="5"/>
  <c r="S374" i="5"/>
  <c r="S398" i="5"/>
  <c r="S466" i="5"/>
  <c r="S500" i="5"/>
  <c r="S550" i="5"/>
  <c r="S560" i="5"/>
  <c r="S602" i="5"/>
  <c r="S628" i="5"/>
  <c r="S639" i="5"/>
  <c r="S758" i="5"/>
  <c r="S787" i="5"/>
  <c r="S913" i="5"/>
  <c r="S1005" i="5"/>
  <c r="S1052" i="5"/>
  <c r="S278" i="5"/>
  <c r="S302" i="5"/>
  <c r="S20" i="5"/>
  <c r="S576" i="5"/>
  <c r="S675" i="5"/>
  <c r="S730" i="5"/>
  <c r="S803" i="5"/>
  <c r="S936" i="5"/>
  <c r="S947" i="5"/>
  <c r="S154" i="5"/>
  <c r="S178" i="5"/>
  <c r="S202" i="5"/>
  <c r="S226" i="5"/>
  <c r="S250" i="5"/>
  <c r="S274" i="5"/>
  <c r="S298" i="5"/>
  <c r="S322" i="5"/>
  <c r="S346" i="5"/>
  <c r="S370" i="5"/>
  <c r="S394" i="5"/>
  <c r="S418" i="5"/>
  <c r="S452" i="5"/>
  <c r="S457" i="5"/>
  <c r="S551" i="5"/>
  <c r="S646" i="5"/>
  <c r="S663" i="5"/>
  <c r="S707" i="5"/>
  <c r="S721" i="5"/>
  <c r="S774" i="5"/>
  <c r="S781" i="5"/>
  <c r="S796" i="5"/>
  <c r="S804" i="5"/>
  <c r="S827" i="5"/>
  <c r="S848" i="5"/>
  <c r="S859" i="5"/>
  <c r="S983" i="5"/>
  <c r="S598" i="5"/>
  <c r="S624" i="5"/>
  <c r="S676" i="5"/>
  <c r="S683" i="5"/>
  <c r="S722" i="5"/>
  <c r="S731" i="5"/>
  <c r="S744" i="5"/>
  <c r="S789" i="5"/>
  <c r="S366" i="5"/>
  <c r="S390" i="5"/>
  <c r="S414" i="5"/>
  <c r="S487" i="5"/>
  <c r="S492" i="5"/>
  <c r="S502" i="5"/>
  <c r="S541" i="5"/>
  <c r="S604" i="5"/>
  <c r="S641" i="5"/>
  <c r="S684" i="5"/>
  <c r="S715" i="5"/>
  <c r="S723" i="5"/>
  <c r="S768" i="5"/>
  <c r="S790" i="5"/>
  <c r="S820" i="5"/>
  <c r="S542" i="5"/>
  <c r="S547" i="5"/>
  <c r="S567" i="5"/>
  <c r="S593" i="5"/>
  <c r="S599" i="5"/>
  <c r="S709" i="5"/>
  <c r="S745" i="5"/>
  <c r="S761" i="5"/>
  <c r="S895" i="5"/>
  <c r="S338" i="5"/>
  <c r="S362" i="5"/>
  <c r="S386" i="5"/>
  <c r="S410" i="5"/>
  <c r="S439" i="5"/>
  <c r="S444" i="5"/>
  <c r="S615" i="5"/>
  <c r="S746" i="5"/>
  <c r="S753" i="5"/>
  <c r="S776" i="5"/>
  <c r="S798" i="5"/>
  <c r="S840" i="5"/>
  <c r="S874" i="5"/>
  <c r="S952" i="5"/>
  <c r="S46" i="5"/>
  <c r="S563" i="5"/>
  <c r="S697" i="5"/>
  <c r="S717" i="5"/>
  <c r="S725" i="5"/>
  <c r="S754" i="5"/>
  <c r="S474" i="5"/>
  <c r="S479" i="5"/>
  <c r="S538" i="5"/>
  <c r="S589" i="5"/>
  <c r="S595" i="5"/>
  <c r="S643" i="5"/>
  <c r="S734" i="5"/>
  <c r="S763" i="5"/>
  <c r="S815" i="5"/>
  <c r="S876" i="5"/>
  <c r="S887" i="5"/>
  <c r="S931" i="5"/>
  <c r="S1013" i="5"/>
  <c r="S611" i="5"/>
  <c r="S637" i="5"/>
  <c r="S672" i="5"/>
  <c r="S699" i="5"/>
  <c r="S711" i="5"/>
  <c r="S755" i="5"/>
  <c r="S785" i="5"/>
  <c r="S866" i="5"/>
  <c r="S888" i="5"/>
  <c r="S899" i="5"/>
  <c r="S955" i="5"/>
  <c r="S990" i="5"/>
  <c r="S114" i="5"/>
  <c r="S138" i="5"/>
  <c r="S162" i="5"/>
  <c r="S186" i="5"/>
  <c r="S210" i="5"/>
  <c r="S234" i="5"/>
  <c r="S258" i="5"/>
  <c r="S282" i="5"/>
  <c r="S306" i="5"/>
  <c r="S330" i="5"/>
  <c r="S354" i="5"/>
  <c r="S378" i="5"/>
  <c r="S402" i="5"/>
  <c r="S426" i="5"/>
  <c r="S431" i="5"/>
  <c r="S514" i="5"/>
  <c r="S580" i="5"/>
  <c r="S673" i="5"/>
  <c r="S680" i="5"/>
  <c r="S687" i="5"/>
  <c r="S719" i="5"/>
  <c r="S727" i="5"/>
  <c r="S741" i="5"/>
  <c r="S756" i="5"/>
  <c r="S801" i="5"/>
  <c r="S528" i="5"/>
  <c r="S906" i="5"/>
  <c r="S969" i="5"/>
  <c r="S1014" i="5"/>
  <c r="S1024" i="5"/>
  <c r="S871" i="5"/>
  <c r="S919" i="5"/>
  <c r="S948" i="5"/>
  <c r="S970" i="5"/>
  <c r="S977" i="5"/>
  <c r="S991" i="5"/>
  <c r="S1015" i="5"/>
  <c r="S1035" i="5"/>
  <c r="S1044" i="5"/>
  <c r="S1089" i="5"/>
  <c r="S1185" i="5"/>
  <c r="S515" i="5"/>
  <c r="S788" i="5"/>
  <c r="S794" i="5"/>
  <c r="S816" i="5"/>
  <c r="S838" i="5"/>
  <c r="S949" i="5"/>
  <c r="S1066" i="5"/>
  <c r="S659" i="5"/>
  <c r="S698" i="5"/>
  <c r="S737" i="5"/>
  <c r="S742" i="5"/>
  <c r="S772" i="5"/>
  <c r="S855" i="5"/>
  <c r="S901" i="5"/>
  <c r="S928" i="5"/>
  <c r="S935" i="5"/>
  <c r="S1000" i="5"/>
  <c r="S1127" i="5"/>
  <c r="S902" i="5"/>
  <c r="S914" i="5"/>
  <c r="S929" i="5"/>
  <c r="S942" i="5"/>
  <c r="S950" i="5"/>
  <c r="S1018" i="5"/>
  <c r="S1068" i="5"/>
  <c r="S650" i="5"/>
  <c r="S689" i="5"/>
  <c r="S694" i="5"/>
  <c r="S733" i="5"/>
  <c r="S823" i="5"/>
  <c r="S958" i="5"/>
  <c r="S979" i="5"/>
  <c r="S1001" i="5"/>
  <c r="S1009" i="5"/>
  <c r="S1057" i="5"/>
  <c r="S1105" i="5"/>
  <c r="S851" i="5"/>
  <c r="S884" i="5"/>
  <c r="S896" i="5"/>
  <c r="S915" i="5"/>
  <c r="S930" i="5"/>
  <c r="S944" i="5"/>
  <c r="S980" i="5"/>
  <c r="S1048" i="5"/>
  <c r="S1070" i="5"/>
  <c r="S685" i="5"/>
  <c r="S724" i="5"/>
  <c r="S807" i="5"/>
  <c r="S868" i="5"/>
  <c r="S916" i="5"/>
  <c r="S1002" i="5"/>
  <c r="S1030" i="5"/>
  <c r="S974" i="5"/>
  <c r="S1031" i="5"/>
  <c r="S1084" i="5"/>
  <c r="S720" i="5"/>
  <c r="S759" i="5"/>
  <c r="S775" i="5"/>
  <c r="S858" i="5"/>
  <c r="S924" i="5"/>
  <c r="S953" i="5"/>
  <c r="S1004" i="5"/>
  <c r="S1022" i="5"/>
  <c r="S1041" i="5"/>
  <c r="S836" i="5"/>
  <c r="S842" i="5"/>
  <c r="S864" i="5"/>
  <c r="S886" i="5"/>
  <c r="S932" i="5"/>
  <c r="S954" i="5"/>
  <c r="S961" i="5"/>
  <c r="S1062" i="5"/>
  <c r="S1098" i="5"/>
  <c r="S1146" i="5"/>
  <c r="S937" i="5"/>
  <c r="S985" i="5"/>
  <c r="S1046" i="5"/>
  <c r="S1076" i="5"/>
  <c r="S1092" i="5"/>
  <c r="S1118" i="5"/>
  <c r="S1233" i="5"/>
  <c r="S1292" i="5"/>
  <c r="S963" i="5"/>
  <c r="S1119" i="5"/>
  <c r="S1175" i="5"/>
  <c r="S1281" i="5"/>
  <c r="S907" i="5"/>
  <c r="S964" i="5"/>
  <c r="S1003" i="5"/>
  <c r="S1025" i="5"/>
  <c r="S1036" i="5"/>
  <c r="S1093" i="5"/>
  <c r="S1110" i="5"/>
  <c r="S1120" i="5"/>
  <c r="S1223" i="5"/>
  <c r="S1020" i="5"/>
  <c r="S1094" i="5"/>
  <c r="S1102" i="5"/>
  <c r="S1111" i="5"/>
  <c r="S1131" i="5"/>
  <c r="S1271" i="5"/>
  <c r="S998" i="5"/>
  <c r="S1078" i="5"/>
  <c r="S1086" i="5"/>
  <c r="S1103" i="5"/>
  <c r="S1166" i="5"/>
  <c r="S1059" i="5"/>
  <c r="S1071" i="5"/>
  <c r="S1079" i="5"/>
  <c r="S1096" i="5"/>
  <c r="S1104" i="5"/>
  <c r="S1133" i="5"/>
  <c r="S988" i="5"/>
  <c r="S1038" i="5"/>
  <c r="S1049" i="5"/>
  <c r="S1060" i="5"/>
  <c r="S1080" i="5"/>
  <c r="S1123" i="5"/>
  <c r="S1134" i="5"/>
  <c r="S1156" i="5"/>
  <c r="S966" i="5"/>
  <c r="S972" i="5"/>
  <c r="S1027" i="5"/>
  <c r="S1081" i="5"/>
  <c r="S1124" i="5"/>
  <c r="S1204" i="5"/>
  <c r="S889" i="5"/>
  <c r="S894" i="5"/>
  <c r="S1033" i="5"/>
  <c r="S1106" i="5"/>
  <c r="S1136" i="5"/>
  <c r="S1158" i="5"/>
  <c r="S1182" i="5"/>
  <c r="S1252" i="5"/>
  <c r="S1011" i="5"/>
  <c r="S1116" i="5"/>
  <c r="S1137" i="5"/>
  <c r="S1012" i="5"/>
  <c r="S1051" i="5"/>
  <c r="S1074" i="5"/>
  <c r="S1083" i="5"/>
  <c r="S1090" i="5"/>
  <c r="S1138" i="5"/>
  <c r="S1113" i="5"/>
  <c r="S1128" i="5"/>
  <c r="S1147" i="5"/>
  <c r="S1157" i="5"/>
  <c r="S1176" i="5"/>
  <c r="S1195" i="5"/>
  <c r="S1205" i="5"/>
  <c r="S1224" i="5"/>
  <c r="S1243" i="5"/>
  <c r="S1253" i="5"/>
  <c r="S1272" i="5"/>
  <c r="S1293" i="5"/>
  <c r="S1303" i="5"/>
  <c r="S1315" i="5"/>
  <c r="S1327" i="5"/>
  <c r="S1339" i="5"/>
  <c r="S1351" i="5"/>
  <c r="S1363" i="5"/>
  <c r="S1087" i="5"/>
  <c r="S1107" i="5"/>
  <c r="S1121" i="5"/>
  <c r="S1129" i="5"/>
  <c r="S1148" i="5"/>
  <c r="S1167" i="5"/>
  <c r="S1177" i="5"/>
  <c r="S1196" i="5"/>
  <c r="S1215" i="5"/>
  <c r="S1225" i="5"/>
  <c r="S1244" i="5"/>
  <c r="S1263" i="5"/>
  <c r="S1273" i="5"/>
  <c r="S1283" i="5"/>
  <c r="S1304" i="5"/>
  <c r="S1316" i="5"/>
  <c r="S1340" i="5"/>
  <c r="S1108" i="5"/>
  <c r="S1139" i="5"/>
  <c r="S1149" i="5"/>
  <c r="S1168" i="5"/>
  <c r="S1187" i="5"/>
  <c r="S1197" i="5"/>
  <c r="S1216" i="5"/>
  <c r="S1235" i="5"/>
  <c r="S1245" i="5"/>
  <c r="S1264" i="5"/>
  <c r="S1284" i="5"/>
  <c r="S1305" i="5"/>
  <c r="S1317" i="5"/>
  <c r="S1329" i="5"/>
  <c r="S1341" i="5"/>
  <c r="S1353" i="5"/>
  <c r="S1365" i="5"/>
  <c r="S1377" i="5"/>
  <c r="S1401" i="5"/>
  <c r="S1075" i="5"/>
  <c r="S1095" i="5"/>
  <c r="S1140" i="5"/>
  <c r="S1159" i="5"/>
  <c r="S1169" i="5"/>
  <c r="S1188" i="5"/>
  <c r="S1207" i="5"/>
  <c r="S1217" i="5"/>
  <c r="S1236" i="5"/>
  <c r="S1255" i="5"/>
  <c r="S1265" i="5"/>
  <c r="S1285" i="5"/>
  <c r="S1295" i="5"/>
  <c r="S1141" i="5"/>
  <c r="S1160" i="5"/>
  <c r="S1179" i="5"/>
  <c r="S1189" i="5"/>
  <c r="S1208" i="5"/>
  <c r="S1227" i="5"/>
  <c r="S1237" i="5"/>
  <c r="S1256" i="5"/>
  <c r="S1275" i="5"/>
  <c r="S1296" i="5"/>
  <c r="S1307" i="5"/>
  <c r="S1319" i="5"/>
  <c r="S1331" i="5"/>
  <c r="S1343" i="5"/>
  <c r="S1355" i="5"/>
  <c r="S1132" i="5"/>
  <c r="S1151" i="5"/>
  <c r="S1161" i="5"/>
  <c r="S1180" i="5"/>
  <c r="S1199" i="5"/>
  <c r="S1209" i="5"/>
  <c r="S1228" i="5"/>
  <c r="S1247" i="5"/>
  <c r="S1257" i="5"/>
  <c r="S1276" i="5"/>
  <c r="S1297" i="5"/>
  <c r="S1308" i="5"/>
  <c r="S1320" i="5"/>
  <c r="S1332" i="5"/>
  <c r="S1356" i="5"/>
  <c r="S1152" i="5"/>
  <c r="S1171" i="5"/>
  <c r="S1181" i="5"/>
  <c r="S1200" i="5"/>
  <c r="S1219" i="5"/>
  <c r="S1229" i="5"/>
  <c r="S1248" i="5"/>
  <c r="S1267" i="5"/>
  <c r="S1277" i="5"/>
  <c r="S1287" i="5"/>
  <c r="S1309" i="5"/>
  <c r="S1321" i="5"/>
  <c r="S1333" i="5"/>
  <c r="S1345" i="5"/>
  <c r="S1357" i="5"/>
  <c r="S1369" i="5"/>
  <c r="S1393" i="5"/>
  <c r="S1117" i="5"/>
  <c r="S1143" i="5"/>
  <c r="S1153" i="5"/>
  <c r="S1172" i="5"/>
  <c r="S1191" i="5"/>
  <c r="S1201" i="5"/>
  <c r="S1220" i="5"/>
  <c r="S1239" i="5"/>
  <c r="S1249" i="5"/>
  <c r="S1268" i="5"/>
  <c r="S1288" i="5"/>
  <c r="S1299" i="5"/>
  <c r="S1072" i="5"/>
  <c r="S1091" i="5"/>
  <c r="S1125" i="5"/>
  <c r="S1144" i="5"/>
  <c r="S1163" i="5"/>
  <c r="S1173" i="5"/>
  <c r="S1192" i="5"/>
  <c r="S1211" i="5"/>
  <c r="S1221" i="5"/>
  <c r="S1240" i="5"/>
  <c r="S1259" i="5"/>
  <c r="S1269" i="5"/>
  <c r="S1289" i="5"/>
  <c r="S1300" i="5"/>
  <c r="S1311" i="5"/>
  <c r="S1323" i="5"/>
  <c r="S1335" i="5"/>
  <c r="S1347" i="5"/>
  <c r="S1359" i="5"/>
  <c r="S1135" i="5"/>
  <c r="S1145" i="5"/>
  <c r="S1164" i="5"/>
  <c r="S1183" i="5"/>
  <c r="S1193" i="5"/>
  <c r="S1212" i="5"/>
  <c r="S1231" i="5"/>
  <c r="S1241" i="5"/>
  <c r="S1260" i="5"/>
  <c r="S1279" i="5"/>
  <c r="S1301" i="5"/>
  <c r="S1312" i="5"/>
  <c r="S1324" i="5"/>
  <c r="S1348" i="5"/>
  <c r="S1155" i="5"/>
  <c r="S1165" i="5"/>
  <c r="S1184" i="5"/>
  <c r="S1203" i="5"/>
  <c r="S1213" i="5"/>
  <c r="S1232" i="5"/>
  <c r="S1251" i="5"/>
  <c r="S1261" i="5"/>
  <c r="S1280" i="5"/>
  <c r="S1291" i="5"/>
  <c r="S1313" i="5"/>
  <c r="S1325" i="5"/>
  <c r="S1337" i="5"/>
  <c r="S1349" i="5"/>
  <c r="S1361" i="5"/>
  <c r="S1385" i="5"/>
  <c r="S1115" i="5"/>
  <c r="S1371" i="5"/>
  <c r="S1379" i="5"/>
  <c r="S1387" i="5"/>
  <c r="S1395" i="5"/>
  <c r="S1364" i="5"/>
  <c r="S1372" i="5"/>
  <c r="S1380" i="5"/>
  <c r="S1388" i="5"/>
  <c r="S1396" i="5"/>
  <c r="S1373" i="5"/>
  <c r="S1381" i="5"/>
  <c r="S1389" i="5"/>
  <c r="S1397" i="5"/>
  <c r="S1088" i="5"/>
  <c r="S1100" i="5"/>
  <c r="S1112" i="5"/>
  <c r="S1367" i="5"/>
  <c r="S1375" i="5"/>
  <c r="S1383" i="5"/>
  <c r="S1391" i="5"/>
  <c r="S1399" i="5"/>
  <c r="S1328" i="5"/>
  <c r="S1336" i="5"/>
  <c r="S1344" i="5"/>
  <c r="S1352" i="5"/>
  <c r="S1360" i="5"/>
  <c r="S1368" i="5"/>
  <c r="S1376" i="5"/>
  <c r="S1384" i="5"/>
  <c r="S1392" i="5"/>
  <c r="S1400" i="5"/>
  <c r="S1380" i="3"/>
  <c r="S794" i="3"/>
  <c r="S1180" i="3"/>
  <c r="S506" i="3"/>
  <c r="S1275" i="3"/>
  <c r="S1404" i="3"/>
  <c r="S1308" i="3"/>
  <c r="S1200" i="3"/>
  <c r="S1104" i="3"/>
  <c r="S1008" i="3"/>
  <c r="S1295" i="3"/>
  <c r="S1211" i="3"/>
  <c r="S1127" i="3"/>
  <c r="S1365" i="3"/>
  <c r="S1305" i="3"/>
  <c r="S1245" i="3"/>
  <c r="S1388" i="3"/>
  <c r="S1304" i="3"/>
  <c r="S1256" i="3"/>
  <c r="S1172" i="3"/>
  <c r="S1088" i="3"/>
  <c r="S776" i="3"/>
  <c r="S560" i="3"/>
  <c r="S500" i="3"/>
  <c r="S452" i="3"/>
  <c r="S404" i="3"/>
  <c r="S1399" i="3"/>
  <c r="S1351" i="3"/>
  <c r="S1303" i="3"/>
  <c r="S1255" i="3"/>
  <c r="S1207" i="3"/>
  <c r="S1111" i="3"/>
  <c r="S1287" i="3"/>
  <c r="S1167" i="3"/>
  <c r="S1320" i="3"/>
  <c r="S1224" i="3"/>
  <c r="S1116" i="3"/>
  <c r="S1020" i="3"/>
  <c r="S1379" i="3"/>
  <c r="S1283" i="3"/>
  <c r="S1199" i="3"/>
  <c r="S1115" i="3"/>
  <c r="S1353" i="3"/>
  <c r="S1281" i="3"/>
  <c r="S1221" i="3"/>
  <c r="S1376" i="3"/>
  <c r="S1316" i="3"/>
  <c r="S1244" i="3"/>
  <c r="S1196" i="3"/>
  <c r="S1124" i="3"/>
  <c r="S1076" i="3"/>
  <c r="S1028" i="3"/>
  <c r="S980" i="3"/>
  <c r="S920" i="3"/>
  <c r="S872" i="3"/>
  <c r="S824" i="3"/>
  <c r="S764" i="3"/>
  <c r="S716" i="3"/>
  <c r="S668" i="3"/>
  <c r="S620" i="3"/>
  <c r="S584" i="3"/>
  <c r="S536" i="3"/>
  <c r="S488" i="3"/>
  <c r="S428" i="3"/>
  <c r="S380" i="3"/>
  <c r="S1375" i="3"/>
  <c r="S1327" i="3"/>
  <c r="S1279" i="3"/>
  <c r="S1231" i="3"/>
  <c r="S1195" i="3"/>
  <c r="S1159" i="3"/>
  <c r="S1135" i="3"/>
  <c r="S1099" i="3"/>
  <c r="S1063" i="3"/>
  <c r="S1039" i="3"/>
  <c r="S1015" i="3"/>
  <c r="S1003" i="3"/>
  <c r="S1326" i="3"/>
  <c r="S1230" i="3"/>
  <c r="S1191" i="3"/>
  <c r="S1344" i="3"/>
  <c r="S1248" i="3"/>
  <c r="S1152" i="3"/>
  <c r="S1056" i="3"/>
  <c r="S1391" i="3"/>
  <c r="S1319" i="3"/>
  <c r="S1163" i="3"/>
  <c r="S1401" i="3"/>
  <c r="S1317" i="3"/>
  <c r="S1257" i="3"/>
  <c r="S1400" i="3"/>
  <c r="S1340" i="3"/>
  <c r="S1280" i="3"/>
  <c r="S1220" i="3"/>
  <c r="S1160" i="3"/>
  <c r="S1112" i="3"/>
  <c r="S1052" i="3"/>
  <c r="S992" i="3"/>
  <c r="S944" i="3"/>
  <c r="S896" i="3"/>
  <c r="S848" i="3"/>
  <c r="S800" i="3"/>
  <c r="S728" i="3"/>
  <c r="S680" i="3"/>
  <c r="S1363" i="3"/>
  <c r="S1315" i="3"/>
  <c r="S1267" i="3"/>
  <c r="S1219" i="3"/>
  <c r="S1171" i="3"/>
  <c r="S1147" i="3"/>
  <c r="S1123" i="3"/>
  <c r="S1087" i="3"/>
  <c r="S1075" i="3"/>
  <c r="S1051" i="3"/>
  <c r="S1027" i="3"/>
  <c r="S991" i="3"/>
  <c r="S270" i="3"/>
  <c r="S1266" i="3"/>
  <c r="S1325" i="3"/>
  <c r="S1289" i="3"/>
  <c r="S1241" i="3"/>
  <c r="S989" i="3"/>
  <c r="S929" i="3"/>
  <c r="S917" i="3"/>
  <c r="S1227" i="3"/>
  <c r="S1176" i="3"/>
  <c r="S1092" i="3"/>
  <c r="S996" i="3"/>
  <c r="S1355" i="3"/>
  <c r="S1259" i="3"/>
  <c r="S1175" i="3"/>
  <c r="S1091" i="3"/>
  <c r="S1341" i="3"/>
  <c r="S1293" i="3"/>
  <c r="S1209" i="3"/>
  <c r="S1352" i="3"/>
  <c r="S1292" i="3"/>
  <c r="S1232" i="3"/>
  <c r="S1184" i="3"/>
  <c r="S1136" i="3"/>
  <c r="S1064" i="3"/>
  <c r="S1016" i="3"/>
  <c r="S956" i="3"/>
  <c r="S908" i="3"/>
  <c r="S860" i="3"/>
  <c r="S812" i="3"/>
  <c r="S752" i="3"/>
  <c r="S692" i="3"/>
  <c r="S644" i="3"/>
  <c r="S608" i="3"/>
  <c r="S572" i="3"/>
  <c r="S512" i="3"/>
  <c r="S464" i="3"/>
  <c r="S392" i="3"/>
  <c r="S1387" i="3"/>
  <c r="S1339" i="3"/>
  <c r="S1291" i="3"/>
  <c r="S1243" i="3"/>
  <c r="S1183" i="3"/>
  <c r="S1408" i="3"/>
  <c r="S1396" i="3"/>
  <c r="S1372" i="3"/>
  <c r="S1348" i="3"/>
  <c r="S1240" i="3"/>
  <c r="S1204" i="3"/>
  <c r="S1168" i="3"/>
  <c r="S1144" i="3"/>
  <c r="S1108" i="3"/>
  <c r="S1096" i="3"/>
  <c r="S1072" i="3"/>
  <c r="S1060" i="3"/>
  <c r="S1024" i="3"/>
  <c r="S1239" i="3"/>
  <c r="S1143" i="3"/>
  <c r="S1119" i="3"/>
  <c r="S1095" i="3"/>
  <c r="S1071" i="3"/>
  <c r="S1047" i="3"/>
  <c r="S1023" i="3"/>
  <c r="S1011" i="3"/>
  <c r="S987" i="3"/>
  <c r="S963" i="3"/>
  <c r="S939" i="3"/>
  <c r="S915" i="3"/>
  <c r="S879" i="3"/>
  <c r="S843" i="3"/>
  <c r="S819" i="3"/>
  <c r="S795" i="3"/>
  <c r="S771" i="3"/>
  <c r="S747" i="3"/>
  <c r="S723" i="3"/>
  <c r="S699" i="3"/>
  <c r="S675" i="3"/>
  <c r="S651" i="3"/>
  <c r="S627" i="3"/>
  <c r="S603" i="3"/>
  <c r="S579" i="3"/>
  <c r="S555" i="3"/>
  <c r="S531" i="3"/>
  <c r="S507" i="3"/>
  <c r="S483" i="3"/>
  <c r="S459" i="3"/>
  <c r="S435" i="3"/>
  <c r="S411" i="3"/>
  <c r="S387" i="3"/>
  <c r="S363" i="3"/>
  <c r="S339" i="3"/>
  <c r="S315" i="3"/>
  <c r="S303" i="3"/>
  <c r="S291" i="3"/>
  <c r="S279" i="3"/>
  <c r="S267" i="3"/>
  <c r="S255" i="3"/>
  <c r="S1406" i="3"/>
  <c r="S1394" i="3"/>
  <c r="S1382" i="3"/>
  <c r="S1370" i="3"/>
  <c r="S1358" i="3"/>
  <c r="S1346" i="3"/>
  <c r="S1334" i="3"/>
  <c r="S1322" i="3"/>
  <c r="S1310" i="3"/>
  <c r="S1298" i="3"/>
  <c r="S1286" i="3"/>
  <c r="S1274" i="3"/>
  <c r="S1262" i="3"/>
  <c r="S1250" i="3"/>
  <c r="S1238" i="3"/>
  <c r="S1226" i="3"/>
  <c r="S1214" i="3"/>
  <c r="S1202" i="3"/>
  <c r="S1190" i="3"/>
  <c r="S1178" i="3"/>
  <c r="S1166" i="3"/>
  <c r="S866" i="3"/>
  <c r="S722" i="3"/>
  <c r="S1384" i="3"/>
  <c r="S1251" i="3"/>
  <c r="S1155" i="3"/>
  <c r="S1131" i="3"/>
  <c r="S1107" i="3"/>
  <c r="S1083" i="3"/>
  <c r="S1059" i="3"/>
  <c r="S1035" i="3"/>
  <c r="S999" i="3"/>
  <c r="S975" i="3"/>
  <c r="S951" i="3"/>
  <c r="S927" i="3"/>
  <c r="S903" i="3"/>
  <c r="S891" i="3"/>
  <c r="S867" i="3"/>
  <c r="S855" i="3"/>
  <c r="S831" i="3"/>
  <c r="S807" i="3"/>
  <c r="S783" i="3"/>
  <c r="S759" i="3"/>
  <c r="S735" i="3"/>
  <c r="S711" i="3"/>
  <c r="S687" i="3"/>
  <c r="S663" i="3"/>
  <c r="S639" i="3"/>
  <c r="S615" i="3"/>
  <c r="S591" i="3"/>
  <c r="S567" i="3"/>
  <c r="S543" i="3"/>
  <c r="S519" i="3"/>
  <c r="S495" i="3"/>
  <c r="S471" i="3"/>
  <c r="S447" i="3"/>
  <c r="S423" i="3"/>
  <c r="S399" i="3"/>
  <c r="S375" i="3"/>
  <c r="S351" i="3"/>
  <c r="S327" i="3"/>
  <c r="S1405" i="3"/>
  <c r="S1393" i="3"/>
  <c r="S1381" i="3"/>
  <c r="S1369" i="3"/>
  <c r="S1357" i="3"/>
  <c r="S1345" i="3"/>
  <c r="S1333" i="3"/>
  <c r="S1321" i="3"/>
  <c r="S1309" i="3"/>
  <c r="S1297" i="3"/>
  <c r="S1285" i="3"/>
  <c r="S1273" i="3"/>
  <c r="S1261" i="3"/>
  <c r="S1249" i="3"/>
  <c r="S1237" i="3"/>
  <c r="S1225" i="3"/>
  <c r="S1213" i="3"/>
  <c r="S1201" i="3"/>
  <c r="S1189" i="3"/>
  <c r="S1177" i="3"/>
  <c r="S1165" i="3"/>
  <c r="S1153" i="3"/>
  <c r="S1141" i="3"/>
  <c r="S1129" i="3"/>
  <c r="S1117" i="3"/>
  <c r="S865" i="3"/>
  <c r="S721" i="3"/>
  <c r="S1300" i="3"/>
  <c r="S1215" i="3"/>
  <c r="S1368" i="3"/>
  <c r="S1272" i="3"/>
  <c r="S984" i="3"/>
  <c r="S960" i="3"/>
  <c r="S948" i="3"/>
  <c r="S936" i="3"/>
  <c r="S924" i="3"/>
  <c r="S912" i="3"/>
  <c r="S900" i="3"/>
  <c r="S888" i="3"/>
  <c r="S876" i="3"/>
  <c r="S864" i="3"/>
  <c r="S852" i="3"/>
  <c r="S840" i="3"/>
  <c r="S828" i="3"/>
  <c r="S816" i="3"/>
  <c r="S804" i="3"/>
  <c r="S792" i="3"/>
  <c r="S780" i="3"/>
  <c r="S768" i="3"/>
  <c r="S756" i="3"/>
  <c r="S744" i="3"/>
  <c r="S732" i="3"/>
  <c r="S720" i="3"/>
  <c r="S708" i="3"/>
  <c r="S696" i="3"/>
  <c r="S684" i="3"/>
  <c r="S672" i="3"/>
  <c r="S660" i="3"/>
  <c r="S648" i="3"/>
  <c r="S636" i="3"/>
  <c r="S624" i="3"/>
  <c r="S612" i="3"/>
  <c r="S600" i="3"/>
  <c r="S588" i="3"/>
  <c r="S576" i="3"/>
  <c r="S564" i="3"/>
  <c r="S552" i="3"/>
  <c r="S540" i="3"/>
  <c r="S528" i="3"/>
  <c r="S516" i="3"/>
  <c r="S504" i="3"/>
  <c r="S492" i="3"/>
  <c r="S480" i="3"/>
  <c r="S468" i="3"/>
  <c r="S456" i="3"/>
  <c r="S444" i="3"/>
  <c r="S432" i="3"/>
  <c r="S1203" i="3"/>
  <c r="S1356" i="3"/>
  <c r="S1260" i="3"/>
  <c r="S1164" i="3"/>
  <c r="S1068" i="3"/>
  <c r="S972" i="3"/>
  <c r="S1343" i="3"/>
  <c r="S1235" i="3"/>
  <c r="S1151" i="3"/>
  <c r="S1067" i="3"/>
  <c r="S1043" i="3"/>
  <c r="S1019" i="3"/>
  <c r="S1007" i="3"/>
  <c r="S983" i="3"/>
  <c r="S959" i="3"/>
  <c r="S935" i="3"/>
  <c r="S923" i="3"/>
  <c r="S911" i="3"/>
  <c r="S899" i="3"/>
  <c r="S887" i="3"/>
  <c r="S875" i="3"/>
  <c r="S863" i="3"/>
  <c r="S851" i="3"/>
  <c r="S839" i="3"/>
  <c r="S827" i="3"/>
  <c r="S815" i="3"/>
  <c r="S803" i="3"/>
  <c r="S791" i="3"/>
  <c r="S779" i="3"/>
  <c r="S767" i="3"/>
  <c r="S755" i="3"/>
  <c r="S743" i="3"/>
  <c r="S731" i="3"/>
  <c r="S719" i="3"/>
  <c r="S707" i="3"/>
  <c r="S695" i="3"/>
  <c r="S683" i="3"/>
  <c r="S671" i="3"/>
  <c r="S659" i="3"/>
  <c r="S647" i="3"/>
  <c r="S635" i="3"/>
  <c r="S623" i="3"/>
  <c r="S611" i="3"/>
  <c r="S599" i="3"/>
  <c r="S587" i="3"/>
  <c r="S575" i="3"/>
  <c r="S563" i="3"/>
  <c r="S551" i="3"/>
  <c r="S1036" i="3"/>
  <c r="S1299" i="3"/>
  <c r="S1179" i="3"/>
  <c r="S1332" i="3"/>
  <c r="S1236" i="3"/>
  <c r="S1128" i="3"/>
  <c r="S1032" i="3"/>
  <c r="S1367" i="3"/>
  <c r="S1271" i="3"/>
  <c r="S1187" i="3"/>
  <c r="S1103" i="3"/>
  <c r="S1079" i="3"/>
  <c r="S1055" i="3"/>
  <c r="S1031" i="3"/>
  <c r="S995" i="3"/>
  <c r="S971" i="3"/>
  <c r="S947" i="3"/>
  <c r="S1402" i="3"/>
  <c r="S1390" i="3"/>
  <c r="S1378" i="3"/>
  <c r="S1366" i="3"/>
  <c r="S1354" i="3"/>
  <c r="S1342" i="3"/>
  <c r="S1330" i="3"/>
  <c r="S1318" i="3"/>
  <c r="S1306" i="3"/>
  <c r="S1294" i="3"/>
  <c r="S1282" i="3"/>
  <c r="S1270" i="3"/>
  <c r="S1258" i="3"/>
  <c r="S1246" i="3"/>
  <c r="S1234" i="3"/>
  <c r="S1222" i="3"/>
  <c r="S1210" i="3"/>
  <c r="S1198" i="3"/>
  <c r="S1186" i="3"/>
  <c r="S1174" i="3"/>
  <c r="S1162" i="3"/>
  <c r="S1150" i="3"/>
  <c r="S1138" i="3"/>
  <c r="S1126" i="3"/>
  <c r="S1114" i="3"/>
  <c r="S1102" i="3"/>
  <c r="S1090" i="3"/>
  <c r="S1078" i="3"/>
  <c r="S1066" i="3"/>
  <c r="S1054" i="3"/>
  <c r="S1042" i="3"/>
  <c r="S1030" i="3"/>
  <c r="S1018" i="3"/>
  <c r="S1263" i="3"/>
  <c r="S1392" i="3"/>
  <c r="S1296" i="3"/>
  <c r="S1188" i="3"/>
  <c r="S1080" i="3"/>
  <c r="S1307" i="3"/>
  <c r="S1223" i="3"/>
  <c r="S1389" i="3"/>
  <c r="S1329" i="3"/>
  <c r="S1269" i="3"/>
  <c r="S1233" i="3"/>
  <c r="S1197" i="3"/>
  <c r="S1185" i="3"/>
  <c r="S1173" i="3"/>
  <c r="S1161" i="3"/>
  <c r="S1149" i="3"/>
  <c r="S1137" i="3"/>
  <c r="S1125" i="3"/>
  <c r="S1113" i="3"/>
  <c r="S1101" i="3"/>
  <c r="S1089" i="3"/>
  <c r="S1077" i="3"/>
  <c r="S1065" i="3"/>
  <c r="S1053" i="3"/>
  <c r="S1041" i="3"/>
  <c r="S1029" i="3"/>
  <c r="S1017" i="3"/>
  <c r="S1005" i="3"/>
  <c r="S993" i="3"/>
  <c r="S1284" i="3"/>
  <c r="S1212" i="3"/>
  <c r="S1140" i="3"/>
  <c r="S1044" i="3"/>
  <c r="S1403" i="3"/>
  <c r="S1331" i="3"/>
  <c r="S1247" i="3"/>
  <c r="S1139" i="3"/>
  <c r="S1377" i="3"/>
  <c r="S1364" i="3"/>
  <c r="S1328" i="3"/>
  <c r="S1268" i="3"/>
  <c r="S1208" i="3"/>
  <c r="S1148" i="3"/>
  <c r="S1100" i="3"/>
  <c r="S1040" i="3"/>
  <c r="S1004" i="3"/>
  <c r="S968" i="3"/>
  <c r="S932" i="3"/>
  <c r="S884" i="3"/>
  <c r="S836" i="3"/>
  <c r="S788" i="3"/>
  <c r="S740" i="3"/>
  <c r="S704" i="3"/>
  <c r="S656" i="3"/>
  <c r="S632" i="3"/>
  <c r="S596" i="3"/>
  <c r="S548" i="3"/>
  <c r="S524" i="3"/>
  <c r="S476" i="3"/>
  <c r="S440" i="3"/>
  <c r="S416" i="3"/>
  <c r="S368" i="3"/>
  <c r="S356" i="3"/>
  <c r="S344" i="3"/>
  <c r="S332" i="3"/>
  <c r="S320" i="3"/>
  <c r="S308" i="3"/>
  <c r="S296" i="3"/>
  <c r="S284" i="3"/>
  <c r="S272" i="3"/>
  <c r="S260" i="3"/>
  <c r="S248" i="3"/>
  <c r="S236" i="3"/>
  <c r="S224" i="3"/>
  <c r="S212" i="3"/>
  <c r="S200" i="3"/>
  <c r="S188" i="3"/>
  <c r="S176" i="3"/>
  <c r="S164" i="3"/>
  <c r="S152" i="3"/>
  <c r="S140" i="3"/>
  <c r="S128" i="3"/>
  <c r="S116" i="3"/>
  <c r="S104" i="3"/>
  <c r="S92" i="3"/>
  <c r="S80" i="3"/>
  <c r="S68" i="3"/>
  <c r="S56" i="3"/>
  <c r="S44" i="3"/>
  <c r="S32" i="3"/>
  <c r="S20" i="3"/>
  <c r="S8" i="3"/>
  <c r="S217" i="3"/>
  <c r="S505" i="3"/>
  <c r="S793" i="3"/>
  <c r="S218" i="3"/>
  <c r="S420" i="3"/>
  <c r="S408" i="3"/>
  <c r="S396" i="3"/>
  <c r="S384" i="3"/>
  <c r="S372" i="3"/>
  <c r="S360" i="3"/>
  <c r="S348" i="3"/>
  <c r="S336" i="3"/>
  <c r="S324" i="3"/>
  <c r="S312" i="3"/>
  <c r="S300" i="3"/>
  <c r="S288" i="3"/>
  <c r="S276" i="3"/>
  <c r="S264" i="3"/>
  <c r="S252" i="3"/>
  <c r="S240" i="3"/>
  <c r="S228" i="3"/>
  <c r="S216" i="3"/>
  <c r="S204" i="3"/>
  <c r="S192" i="3"/>
  <c r="S180" i="3"/>
  <c r="S168" i="3"/>
  <c r="S156" i="3"/>
  <c r="S144" i="3"/>
  <c r="S132" i="3"/>
  <c r="S120" i="3"/>
  <c r="S108" i="3"/>
  <c r="S96" i="3"/>
  <c r="S84" i="3"/>
  <c r="S72" i="3"/>
  <c r="S60" i="3"/>
  <c r="S48" i="3"/>
  <c r="S36" i="3"/>
  <c r="S24" i="3"/>
  <c r="S12" i="3"/>
  <c r="S630" i="3"/>
  <c r="S342" i="3"/>
  <c r="S539" i="3"/>
  <c r="S527" i="3"/>
  <c r="S515" i="3"/>
  <c r="S503" i="3"/>
  <c r="S491" i="3"/>
  <c r="S479" i="3"/>
  <c r="S467" i="3"/>
  <c r="S455" i="3"/>
  <c r="S443" i="3"/>
  <c r="S431" i="3"/>
  <c r="S419" i="3"/>
  <c r="S407" i="3"/>
  <c r="S395" i="3"/>
  <c r="S383" i="3"/>
  <c r="S371" i="3"/>
  <c r="S359" i="3"/>
  <c r="S347" i="3"/>
  <c r="S335" i="3"/>
  <c r="S323" i="3"/>
  <c r="S311" i="3"/>
  <c r="S299" i="3"/>
  <c r="S287" i="3"/>
  <c r="S275" i="3"/>
  <c r="S263" i="3"/>
  <c r="S251" i="3"/>
  <c r="S239" i="3"/>
  <c r="S227" i="3"/>
  <c r="S215" i="3"/>
  <c r="S203" i="3"/>
  <c r="S191" i="3"/>
  <c r="S179" i="3"/>
  <c r="S167" i="3"/>
  <c r="S155" i="3"/>
  <c r="S143" i="3"/>
  <c r="S131" i="3"/>
  <c r="S119" i="3"/>
  <c r="S107" i="3"/>
  <c r="S95" i="3"/>
  <c r="S83" i="3"/>
  <c r="S71" i="3"/>
  <c r="S59" i="3"/>
  <c r="S47" i="3"/>
  <c r="S35" i="3"/>
  <c r="S23" i="3"/>
  <c r="S11" i="3"/>
  <c r="S578" i="3"/>
  <c r="S290" i="3"/>
  <c r="S1006" i="3"/>
  <c r="S994" i="3"/>
  <c r="S982" i="3"/>
  <c r="S970" i="3"/>
  <c r="S958" i="3"/>
  <c r="S946" i="3"/>
  <c r="S934" i="3"/>
  <c r="S922" i="3"/>
  <c r="S910" i="3"/>
  <c r="S898" i="3"/>
  <c r="S886" i="3"/>
  <c r="S874" i="3"/>
  <c r="S862" i="3"/>
  <c r="S850" i="3"/>
  <c r="S838" i="3"/>
  <c r="S826" i="3"/>
  <c r="S814" i="3"/>
  <c r="S802" i="3"/>
  <c r="S790" i="3"/>
  <c r="S778" i="3"/>
  <c r="S766" i="3"/>
  <c r="S754" i="3"/>
  <c r="S742" i="3"/>
  <c r="S730" i="3"/>
  <c r="S718" i="3"/>
  <c r="S706" i="3"/>
  <c r="S694" i="3"/>
  <c r="S682" i="3"/>
  <c r="S670" i="3"/>
  <c r="S658" i="3"/>
  <c r="S646" i="3"/>
  <c r="S634" i="3"/>
  <c r="S622" i="3"/>
  <c r="S610" i="3"/>
  <c r="S598" i="3"/>
  <c r="S586" i="3"/>
  <c r="S574" i="3"/>
  <c r="S562" i="3"/>
  <c r="S550" i="3"/>
  <c r="S538" i="3"/>
  <c r="S526" i="3"/>
  <c r="S514" i="3"/>
  <c r="S502" i="3"/>
  <c r="S490" i="3"/>
  <c r="S478" i="3"/>
  <c r="S466" i="3"/>
  <c r="S454" i="3"/>
  <c r="S442" i="3"/>
  <c r="S577" i="3"/>
  <c r="S289" i="3"/>
  <c r="S981" i="3"/>
  <c r="S969" i="3"/>
  <c r="S957" i="3"/>
  <c r="S945" i="3"/>
  <c r="S933" i="3"/>
  <c r="S921" i="3"/>
  <c r="S909" i="3"/>
  <c r="S897" i="3"/>
  <c r="S885" i="3"/>
  <c r="S873" i="3"/>
  <c r="S861" i="3"/>
  <c r="S849" i="3"/>
  <c r="S837" i="3"/>
  <c r="S825" i="3"/>
  <c r="S813" i="3"/>
  <c r="S801" i="3"/>
  <c r="S789" i="3"/>
  <c r="S777" i="3"/>
  <c r="S765" i="3"/>
  <c r="S753" i="3"/>
  <c r="S741" i="3"/>
  <c r="S729" i="3"/>
  <c r="S717" i="3"/>
  <c r="S705" i="3"/>
  <c r="S693" i="3"/>
  <c r="S681" i="3"/>
  <c r="S669" i="3"/>
  <c r="S657" i="3"/>
  <c r="S645" i="3"/>
  <c r="S633" i="3"/>
  <c r="S621" i="3"/>
  <c r="S609" i="3"/>
  <c r="S597" i="3"/>
  <c r="S585" i="3"/>
  <c r="S573" i="3"/>
  <c r="S561" i="3"/>
  <c r="S549" i="3"/>
  <c r="S537" i="3"/>
  <c r="S525" i="3"/>
  <c r="S513" i="3"/>
  <c r="S501" i="3"/>
  <c r="S489" i="3"/>
  <c r="S477" i="3"/>
  <c r="S465" i="3"/>
  <c r="S453" i="3"/>
  <c r="S441" i="3"/>
  <c r="S429" i="3"/>
  <c r="S846" i="3"/>
  <c r="S558" i="3"/>
  <c r="S967" i="3"/>
  <c r="S919" i="3"/>
  <c r="S871" i="3"/>
  <c r="S811" i="3"/>
  <c r="S667" i="3"/>
  <c r="S631" i="3"/>
  <c r="S595" i="3"/>
  <c r="S559" i="3"/>
  <c r="S523" i="3"/>
  <c r="S487" i="3"/>
  <c r="S451" i="3"/>
  <c r="S415" i="3"/>
  <c r="S379" i="3"/>
  <c r="S343" i="3"/>
  <c r="S307" i="3"/>
  <c r="S271" i="3"/>
  <c r="S235" i="3"/>
  <c r="S199" i="3"/>
  <c r="S163" i="3"/>
  <c r="S127" i="3"/>
  <c r="S91" i="3"/>
  <c r="S55" i="3"/>
  <c r="S19" i="3"/>
  <c r="S2" i="3"/>
  <c r="S73" i="3"/>
  <c r="S1398" i="3"/>
  <c r="S1386" i="3"/>
  <c r="S1374" i="3"/>
  <c r="S1362" i="3"/>
  <c r="S1350" i="3"/>
  <c r="S1338" i="3"/>
  <c r="S1314" i="3"/>
  <c r="S1302" i="3"/>
  <c r="S1290" i="3"/>
  <c r="S1278" i="3"/>
  <c r="S1254" i="3"/>
  <c r="S1242" i="3"/>
  <c r="S1218" i="3"/>
  <c r="S1206" i="3"/>
  <c r="S1194" i="3"/>
  <c r="S1182" i="3"/>
  <c r="S1170" i="3"/>
  <c r="S1158" i="3"/>
  <c r="S1146" i="3"/>
  <c r="S1134" i="3"/>
  <c r="S1122" i="3"/>
  <c r="S1110" i="3"/>
  <c r="S1098" i="3"/>
  <c r="S1086" i="3"/>
  <c r="S1074" i="3"/>
  <c r="S1062" i="3"/>
  <c r="S1050" i="3"/>
  <c r="S1038" i="3"/>
  <c r="S1026" i="3"/>
  <c r="S1014" i="3"/>
  <c r="S990" i="3"/>
  <c r="S954" i="3"/>
  <c r="S918" i="3"/>
  <c r="S882" i="3"/>
  <c r="S810" i="3"/>
  <c r="S738" i="3"/>
  <c r="S666" i="3"/>
  <c r="S594" i="3"/>
  <c r="S522" i="3"/>
  <c r="S450" i="3"/>
  <c r="S378" i="3"/>
  <c r="S306" i="3"/>
  <c r="S234" i="3"/>
  <c r="S162" i="3"/>
  <c r="S90" i="3"/>
  <c r="S18" i="3"/>
  <c r="S774" i="3"/>
  <c r="S486" i="3"/>
  <c r="S198" i="3"/>
  <c r="S955" i="3"/>
  <c r="S931" i="3"/>
  <c r="S895" i="3"/>
  <c r="S859" i="3"/>
  <c r="S775" i="3"/>
  <c r="S703" i="3"/>
  <c r="S1385" i="3"/>
  <c r="S1361" i="3"/>
  <c r="S1349" i="3"/>
  <c r="S1301" i="3"/>
  <c r="S1265" i="3"/>
  <c r="S1229" i="3"/>
  <c r="S1205" i="3"/>
  <c r="S1181" i="3"/>
  <c r="S1157" i="3"/>
  <c r="S1121" i="3"/>
  <c r="S1097" i="3"/>
  <c r="S1073" i="3"/>
  <c r="S1061" i="3"/>
  <c r="S1037" i="3"/>
  <c r="S1025" i="3"/>
  <c r="S1013" i="3"/>
  <c r="S1001" i="3"/>
  <c r="S977" i="3"/>
  <c r="S965" i="3"/>
  <c r="S953" i="3"/>
  <c r="S941" i="3"/>
  <c r="S905" i="3"/>
  <c r="S893" i="3"/>
  <c r="S881" i="3"/>
  <c r="S869" i="3"/>
  <c r="S857" i="3"/>
  <c r="S845" i="3"/>
  <c r="S833" i="3"/>
  <c r="S821" i="3"/>
  <c r="S809" i="3"/>
  <c r="S797" i="3"/>
  <c r="S785" i="3"/>
  <c r="S773" i="3"/>
  <c r="S761" i="3"/>
  <c r="S749" i="3"/>
  <c r="S737" i="3"/>
  <c r="S725" i="3"/>
  <c r="S713" i="3"/>
  <c r="S701" i="3"/>
  <c r="S689" i="3"/>
  <c r="S677" i="3"/>
  <c r="S665" i="3"/>
  <c r="S653" i="3"/>
  <c r="S641" i="3"/>
  <c r="S629" i="3"/>
  <c r="S617" i="3"/>
  <c r="S605" i="3"/>
  <c r="S593" i="3"/>
  <c r="S581" i="3"/>
  <c r="S569" i="3"/>
  <c r="S557" i="3"/>
  <c r="S545" i="3"/>
  <c r="S533" i="3"/>
  <c r="S521" i="3"/>
  <c r="S509" i="3"/>
  <c r="S497" i="3"/>
  <c r="S485" i="3"/>
  <c r="S473" i="3"/>
  <c r="S461" i="3"/>
  <c r="S449" i="3"/>
  <c r="S413" i="3"/>
  <c r="S377" i="3"/>
  <c r="S341" i="3"/>
  <c r="S305" i="3"/>
  <c r="S269" i="3"/>
  <c r="S233" i="3"/>
  <c r="S197" i="3"/>
  <c r="S161" i="3"/>
  <c r="S125" i="3"/>
  <c r="S89" i="3"/>
  <c r="S53" i="3"/>
  <c r="S17" i="3"/>
  <c r="S434" i="3"/>
  <c r="S146" i="3"/>
  <c r="S979" i="3"/>
  <c r="S943" i="3"/>
  <c r="S907" i="3"/>
  <c r="S883" i="3"/>
  <c r="S847" i="3"/>
  <c r="S739" i="3"/>
  <c r="S1409" i="3"/>
  <c r="S1397" i="3"/>
  <c r="S1373" i="3"/>
  <c r="S1337" i="3"/>
  <c r="S1313" i="3"/>
  <c r="S1277" i="3"/>
  <c r="S1253" i="3"/>
  <c r="S1217" i="3"/>
  <c r="S1193" i="3"/>
  <c r="S1169" i="3"/>
  <c r="S1145" i="3"/>
  <c r="S1133" i="3"/>
  <c r="S1109" i="3"/>
  <c r="S1085" i="3"/>
  <c r="S1049" i="3"/>
  <c r="S1360" i="3"/>
  <c r="S1336" i="3"/>
  <c r="S1324" i="3"/>
  <c r="S1312" i="3"/>
  <c r="S1288" i="3"/>
  <c r="S1276" i="3"/>
  <c r="S1264" i="3"/>
  <c r="S1252" i="3"/>
  <c r="S1228" i="3"/>
  <c r="S1216" i="3"/>
  <c r="S1192" i="3"/>
  <c r="S1156" i="3"/>
  <c r="S1120" i="3"/>
  <c r="S1084" i="3"/>
  <c r="S1048" i="3"/>
  <c r="S1012" i="3"/>
  <c r="S1000" i="3"/>
  <c r="S988" i="3"/>
  <c r="S976" i="3"/>
  <c r="S964" i="3"/>
  <c r="S952" i="3"/>
  <c r="S940" i="3"/>
  <c r="S928" i="3"/>
  <c r="S916" i="3"/>
  <c r="S904" i="3"/>
  <c r="S892" i="3"/>
  <c r="S880" i="3"/>
  <c r="S868" i="3"/>
  <c r="S856" i="3"/>
  <c r="S844" i="3"/>
  <c r="S832" i="3"/>
  <c r="S820" i="3"/>
  <c r="S808" i="3"/>
  <c r="S796" i="3"/>
  <c r="S784" i="3"/>
  <c r="S772" i="3"/>
  <c r="S760" i="3"/>
  <c r="S748" i="3"/>
  <c r="S736" i="3"/>
  <c r="S724" i="3"/>
  <c r="S712" i="3"/>
  <c r="S700" i="3"/>
  <c r="S688" i="3"/>
  <c r="S676" i="3"/>
  <c r="S664" i="3"/>
  <c r="S652" i="3"/>
  <c r="S640" i="3"/>
  <c r="S628" i="3"/>
  <c r="S616" i="3"/>
  <c r="S604" i="3"/>
  <c r="S592" i="3"/>
  <c r="S580" i="3"/>
  <c r="S568" i="3"/>
  <c r="S556" i="3"/>
  <c r="S544" i="3"/>
  <c r="S532" i="3"/>
  <c r="S520" i="3"/>
  <c r="S433" i="3"/>
  <c r="S145" i="3"/>
  <c r="S243" i="3"/>
  <c r="S231" i="3"/>
  <c r="S219" i="3"/>
  <c r="S207" i="3"/>
  <c r="S195" i="3"/>
  <c r="S183" i="3"/>
  <c r="S171" i="3"/>
  <c r="S159" i="3"/>
  <c r="S147" i="3"/>
  <c r="S135" i="3"/>
  <c r="S123" i="3"/>
  <c r="S111" i="3"/>
  <c r="S99" i="3"/>
  <c r="S87" i="3"/>
  <c r="S75" i="3"/>
  <c r="S1132" i="3"/>
  <c r="S702" i="3"/>
  <c r="S414" i="3"/>
  <c r="S126" i="3"/>
  <c r="S1154" i="3"/>
  <c r="S1142" i="3"/>
  <c r="S1130" i="3"/>
  <c r="S1118" i="3"/>
  <c r="S1106" i="3"/>
  <c r="S1094" i="3"/>
  <c r="S1082" i="3"/>
  <c r="S1070" i="3"/>
  <c r="S1058" i="3"/>
  <c r="S1046" i="3"/>
  <c r="S1034" i="3"/>
  <c r="S1022" i="3"/>
  <c r="S1010" i="3"/>
  <c r="S998" i="3"/>
  <c r="S986" i="3"/>
  <c r="S974" i="3"/>
  <c r="S962" i="3"/>
  <c r="S950" i="3"/>
  <c r="S938" i="3"/>
  <c r="S926" i="3"/>
  <c r="S914" i="3"/>
  <c r="S902" i="3"/>
  <c r="S890" i="3"/>
  <c r="S878" i="3"/>
  <c r="S854" i="3"/>
  <c r="S842" i="3"/>
  <c r="S830" i="3"/>
  <c r="S818" i="3"/>
  <c r="S806" i="3"/>
  <c r="S782" i="3"/>
  <c r="S770" i="3"/>
  <c r="S758" i="3"/>
  <c r="S746" i="3"/>
  <c r="S734" i="3"/>
  <c r="S710" i="3"/>
  <c r="S698" i="3"/>
  <c r="S686" i="3"/>
  <c r="S674" i="3"/>
  <c r="S614" i="3"/>
  <c r="S542" i="3"/>
  <c r="S470" i="3"/>
  <c r="S398" i="3"/>
  <c r="S326" i="3"/>
  <c r="S254" i="3"/>
  <c r="S182" i="3"/>
  <c r="S110" i="3"/>
  <c r="S38" i="3"/>
  <c r="S650" i="3"/>
  <c r="S362" i="3"/>
  <c r="S74" i="3"/>
  <c r="S1105" i="3"/>
  <c r="S1093" i="3"/>
  <c r="S1081" i="3"/>
  <c r="S1069" i="3"/>
  <c r="S1057" i="3"/>
  <c r="S1045" i="3"/>
  <c r="S1033" i="3"/>
  <c r="S1021" i="3"/>
  <c r="S1009" i="3"/>
  <c r="S997" i="3"/>
  <c r="S985" i="3"/>
  <c r="S973" i="3"/>
  <c r="S961" i="3"/>
  <c r="S949" i="3"/>
  <c r="S937" i="3"/>
  <c r="S925" i="3"/>
  <c r="S913" i="3"/>
  <c r="S901" i="3"/>
  <c r="S889" i="3"/>
  <c r="S877" i="3"/>
  <c r="S853" i="3"/>
  <c r="S841" i="3"/>
  <c r="S829" i="3"/>
  <c r="S817" i="3"/>
  <c r="S805" i="3"/>
  <c r="S781" i="3"/>
  <c r="S769" i="3"/>
  <c r="S757" i="3"/>
  <c r="S745" i="3"/>
  <c r="S733" i="3"/>
  <c r="S709" i="3"/>
  <c r="S697" i="3"/>
  <c r="S685" i="3"/>
  <c r="S673" i="3"/>
  <c r="S613" i="3"/>
  <c r="S541" i="3"/>
  <c r="S469" i="3"/>
  <c r="S397" i="3"/>
  <c r="S325" i="3"/>
  <c r="S253" i="3"/>
  <c r="S181" i="3"/>
  <c r="S109" i="3"/>
  <c r="S37" i="3"/>
  <c r="S649" i="3"/>
  <c r="S361" i="3"/>
  <c r="S54" i="3"/>
  <c r="S430" i="3"/>
  <c r="S418" i="3"/>
  <c r="S406" i="3"/>
  <c r="S394" i="3"/>
  <c r="S382" i="3"/>
  <c r="S370" i="3"/>
  <c r="S358" i="3"/>
  <c r="S346" i="3"/>
  <c r="S334" i="3"/>
  <c r="S322" i="3"/>
  <c r="S310" i="3"/>
  <c r="S298" i="3"/>
  <c r="S286" i="3"/>
  <c r="S274" i="3"/>
  <c r="S262" i="3"/>
  <c r="S250" i="3"/>
  <c r="S238" i="3"/>
  <c r="S226" i="3"/>
  <c r="S214" i="3"/>
  <c r="S202" i="3"/>
  <c r="S190" i="3"/>
  <c r="S178" i="3"/>
  <c r="S166" i="3"/>
  <c r="S154" i="3"/>
  <c r="S142" i="3"/>
  <c r="S130" i="3"/>
  <c r="S118" i="3"/>
  <c r="S106" i="3"/>
  <c r="S94" i="3"/>
  <c r="S82" i="3"/>
  <c r="S70" i="3"/>
  <c r="S58" i="3"/>
  <c r="S46" i="3"/>
  <c r="S34" i="3"/>
  <c r="S22" i="3"/>
  <c r="S10" i="3"/>
  <c r="S417" i="3"/>
  <c r="S405" i="3"/>
  <c r="S393" i="3"/>
  <c r="S381" i="3"/>
  <c r="S369" i="3"/>
  <c r="S357" i="3"/>
  <c r="S345" i="3"/>
  <c r="S333" i="3"/>
  <c r="S321" i="3"/>
  <c r="S309" i="3"/>
  <c r="S297" i="3"/>
  <c r="S285" i="3"/>
  <c r="S273" i="3"/>
  <c r="S261" i="3"/>
  <c r="S249" i="3"/>
  <c r="S237" i="3"/>
  <c r="S225" i="3"/>
  <c r="S213" i="3"/>
  <c r="S201" i="3"/>
  <c r="S189" i="3"/>
  <c r="S177" i="3"/>
  <c r="S165" i="3"/>
  <c r="S153" i="3"/>
  <c r="S141" i="3"/>
  <c r="S129" i="3"/>
  <c r="S117" i="3"/>
  <c r="S105" i="3"/>
  <c r="S93" i="3"/>
  <c r="S81" i="3"/>
  <c r="S69" i="3"/>
  <c r="S57" i="3"/>
  <c r="S45" i="3"/>
  <c r="S33" i="3"/>
  <c r="S21" i="3"/>
  <c r="S9" i="3"/>
  <c r="S835" i="3"/>
  <c r="S823" i="3"/>
  <c r="S799" i="3"/>
  <c r="S787" i="3"/>
  <c r="S763" i="3"/>
  <c r="S751" i="3"/>
  <c r="S727" i="3"/>
  <c r="S715" i="3"/>
  <c r="S691" i="3"/>
  <c r="S679" i="3"/>
  <c r="S655" i="3"/>
  <c r="S643" i="3"/>
  <c r="S619" i="3"/>
  <c r="S607" i="3"/>
  <c r="S583" i="3"/>
  <c r="S571" i="3"/>
  <c r="S547" i="3"/>
  <c r="S535" i="3"/>
  <c r="S511" i="3"/>
  <c r="S499" i="3"/>
  <c r="S475" i="3"/>
  <c r="S463" i="3"/>
  <c r="S439" i="3"/>
  <c r="S427" i="3"/>
  <c r="S403" i="3"/>
  <c r="S391" i="3"/>
  <c r="S367" i="3"/>
  <c r="S355" i="3"/>
  <c r="S331" i="3"/>
  <c r="S319" i="3"/>
  <c r="S295" i="3"/>
  <c r="S283" i="3"/>
  <c r="S259" i="3"/>
  <c r="S247" i="3"/>
  <c r="S223" i="3"/>
  <c r="S211" i="3"/>
  <c r="S187" i="3"/>
  <c r="S175" i="3"/>
  <c r="S151" i="3"/>
  <c r="S139" i="3"/>
  <c r="S115" i="3"/>
  <c r="S103" i="3"/>
  <c r="S79" i="3"/>
  <c r="S67" i="3"/>
  <c r="S43" i="3"/>
  <c r="S31" i="3"/>
  <c r="S7" i="3"/>
  <c r="S1002" i="3"/>
  <c r="S978" i="3"/>
  <c r="S966" i="3"/>
  <c r="S942" i="3"/>
  <c r="S930" i="3"/>
  <c r="S906" i="3"/>
  <c r="S894" i="3"/>
  <c r="S870" i="3"/>
  <c r="S858" i="3"/>
  <c r="S834" i="3"/>
  <c r="S822" i="3"/>
  <c r="S798" i="3"/>
  <c r="S786" i="3"/>
  <c r="S762" i="3"/>
  <c r="S750" i="3"/>
  <c r="S726" i="3"/>
  <c r="S714" i="3"/>
  <c r="S690" i="3"/>
  <c r="S678" i="3"/>
  <c r="S654" i="3"/>
  <c r="S642" i="3"/>
  <c r="S618" i="3"/>
  <c r="S606" i="3"/>
  <c r="S582" i="3"/>
  <c r="S570" i="3"/>
  <c r="S546" i="3"/>
  <c r="S534" i="3"/>
  <c r="S510" i="3"/>
  <c r="S498" i="3"/>
  <c r="S474" i="3"/>
  <c r="S462" i="3"/>
  <c r="S438" i="3"/>
  <c r="S426" i="3"/>
  <c r="S402" i="3"/>
  <c r="S390" i="3"/>
  <c r="S366" i="3"/>
  <c r="S354" i="3"/>
  <c r="S330" i="3"/>
  <c r="S318" i="3"/>
  <c r="S294" i="3"/>
  <c r="S282" i="3"/>
  <c r="S258" i="3"/>
  <c r="S246" i="3"/>
  <c r="S222" i="3"/>
  <c r="S210" i="3"/>
  <c r="S186" i="3"/>
  <c r="S174" i="3"/>
  <c r="S150" i="3"/>
  <c r="S138" i="3"/>
  <c r="S114" i="3"/>
  <c r="S102" i="3"/>
  <c r="S78" i="3"/>
  <c r="S66" i="3"/>
  <c r="S42" i="3"/>
  <c r="S30" i="3"/>
  <c r="S6" i="3"/>
  <c r="S437" i="3"/>
  <c r="S425" i="3"/>
  <c r="S401" i="3"/>
  <c r="S389" i="3"/>
  <c r="S365" i="3"/>
  <c r="S353" i="3"/>
  <c r="S329" i="3"/>
  <c r="S317" i="3"/>
  <c r="S293" i="3"/>
  <c r="S281" i="3"/>
  <c r="S257" i="3"/>
  <c r="S245" i="3"/>
  <c r="S221" i="3"/>
  <c r="S209" i="3"/>
  <c r="S185" i="3"/>
  <c r="S173" i="3"/>
  <c r="S149" i="3"/>
  <c r="S137" i="3"/>
  <c r="S113" i="3"/>
  <c r="S101" i="3"/>
  <c r="S77" i="3"/>
  <c r="S65" i="3"/>
  <c r="S41" i="3"/>
  <c r="S29" i="3"/>
  <c r="S5" i="3"/>
  <c r="S508" i="3"/>
  <c r="S496" i="3"/>
  <c r="S484" i="3"/>
  <c r="S472" i="3"/>
  <c r="S460" i="3"/>
  <c r="S448" i="3"/>
  <c r="S436" i="3"/>
  <c r="S424" i="3"/>
  <c r="S412" i="3"/>
  <c r="S400" i="3"/>
  <c r="S388" i="3"/>
  <c r="S376" i="3"/>
  <c r="S364" i="3"/>
  <c r="S352" i="3"/>
  <c r="S340" i="3"/>
  <c r="S328" i="3"/>
  <c r="S316" i="3"/>
  <c r="S304" i="3"/>
  <c r="S292" i="3"/>
  <c r="S280" i="3"/>
  <c r="S268" i="3"/>
  <c r="S256" i="3"/>
  <c r="S244" i="3"/>
  <c r="S232" i="3"/>
  <c r="S220" i="3"/>
  <c r="S208" i="3"/>
  <c r="S196" i="3"/>
  <c r="S184" i="3"/>
  <c r="S172" i="3"/>
  <c r="S160" i="3"/>
  <c r="S148" i="3"/>
  <c r="S136" i="3"/>
  <c r="S124" i="3"/>
  <c r="S112" i="3"/>
  <c r="S100" i="3"/>
  <c r="S88" i="3"/>
  <c r="S76" i="3"/>
  <c r="S64" i="3"/>
  <c r="S52" i="3"/>
  <c r="S40" i="3"/>
  <c r="S28" i="3"/>
  <c r="S16" i="3"/>
  <c r="S4" i="3"/>
  <c r="S63" i="3"/>
  <c r="S51" i="3"/>
  <c r="S39" i="3"/>
  <c r="S27" i="3"/>
  <c r="S15" i="3"/>
  <c r="S3" i="3"/>
  <c r="S662" i="3"/>
  <c r="S638" i="3"/>
  <c r="S626" i="3"/>
  <c r="S602" i="3"/>
  <c r="S590" i="3"/>
  <c r="S566" i="3"/>
  <c r="S554" i="3"/>
  <c r="S530" i="3"/>
  <c r="S518" i="3"/>
  <c r="S494" i="3"/>
  <c r="S482" i="3"/>
  <c r="S458" i="3"/>
  <c r="S446" i="3"/>
  <c r="S422" i="3"/>
  <c r="S410" i="3"/>
  <c r="S386" i="3"/>
  <c r="S374" i="3"/>
  <c r="S350" i="3"/>
  <c r="S338" i="3"/>
  <c r="S314" i="3"/>
  <c r="S302" i="3"/>
  <c r="S278" i="3"/>
  <c r="S266" i="3"/>
  <c r="S242" i="3"/>
  <c r="S230" i="3"/>
  <c r="S206" i="3"/>
  <c r="S194" i="3"/>
  <c r="S170" i="3"/>
  <c r="S158" i="3"/>
  <c r="S134" i="3"/>
  <c r="S122" i="3"/>
  <c r="S98" i="3"/>
  <c r="S86" i="3"/>
  <c r="S62" i="3"/>
  <c r="S50" i="3"/>
  <c r="S26" i="3"/>
  <c r="S14" i="3"/>
  <c r="S661" i="3"/>
  <c r="S637" i="3"/>
  <c r="S625" i="3"/>
  <c r="S601" i="3"/>
  <c r="S589" i="3"/>
  <c r="S565" i="3"/>
  <c r="S553" i="3"/>
  <c r="S529" i="3"/>
  <c r="S517" i="3"/>
  <c r="S493" i="3"/>
  <c r="S481" i="3"/>
  <c r="S457" i="3"/>
  <c r="S445" i="3"/>
  <c r="S421" i="3"/>
  <c r="S409" i="3"/>
  <c r="S385" i="3"/>
  <c r="S373" i="3"/>
  <c r="S349" i="3"/>
  <c r="S337" i="3"/>
  <c r="S313" i="3"/>
  <c r="S301" i="3"/>
  <c r="S277" i="3"/>
  <c r="S265" i="3"/>
  <c r="S241" i="3"/>
  <c r="S229" i="3"/>
  <c r="S205" i="3"/>
  <c r="S193" i="3"/>
  <c r="S169" i="3"/>
  <c r="S157" i="3"/>
  <c r="S133" i="3"/>
  <c r="S121" i="3"/>
  <c r="S97" i="3"/>
  <c r="S85" i="3"/>
  <c r="S61" i="3"/>
  <c r="S49" i="3"/>
  <c r="S25" i="3"/>
  <c r="S13" i="3"/>
  <c r="V39" i="3"/>
  <c r="V40" i="3" s="1"/>
  <c r="Y18" i="5" l="1"/>
  <c r="Q1225" i="5" s="1"/>
  <c r="Q1301" i="5"/>
  <c r="Q1297" i="5"/>
  <c r="Q1205" i="5"/>
  <c r="Q1388" i="5"/>
  <c r="Q1316" i="5"/>
  <c r="Q1296" i="5"/>
  <c r="Q1292" i="5"/>
  <c r="Q1268" i="5"/>
  <c r="Q1256" i="5"/>
  <c r="Q1196" i="5"/>
  <c r="Q1347" i="5"/>
  <c r="Q1343" i="5"/>
  <c r="Q1271" i="5"/>
  <c r="Q1251" i="5"/>
  <c r="Q1247" i="5"/>
  <c r="Q1223" i="5"/>
  <c r="Q1155" i="5"/>
  <c r="Q1334" i="5"/>
  <c r="Q1310" i="5"/>
  <c r="Q1198" i="5"/>
  <c r="Q1190" i="5"/>
  <c r="Q1354" i="5"/>
  <c r="Q1314" i="5"/>
  <c r="Q1258" i="5"/>
  <c r="Q972" i="5"/>
  <c r="Q968" i="5"/>
  <c r="Q944" i="5"/>
  <c r="Q932" i="5"/>
  <c r="Q1098" i="5"/>
  <c r="Q1078" i="5"/>
  <c r="Q886" i="5"/>
  <c r="Q786" i="5"/>
  <c r="Q714" i="5"/>
  <c r="Q694" i="5"/>
  <c r="Q690" i="5"/>
  <c r="Q666" i="5"/>
  <c r="Q654" i="5"/>
  <c r="Q594" i="5"/>
  <c r="Q522" i="5"/>
  <c r="Q518" i="5"/>
  <c r="Q474" i="5"/>
  <c r="Q462" i="5"/>
  <c r="Q1047" i="5"/>
  <c r="Q1034" i="5"/>
  <c r="Q955" i="5"/>
  <c r="Q942" i="5"/>
  <c r="Q1062" i="5"/>
  <c r="Q1045" i="5"/>
  <c r="Q957" i="5"/>
  <c r="Q1042" i="5"/>
  <c r="Q1031" i="5"/>
  <c r="Q970" i="5"/>
  <c r="Q959" i="5"/>
  <c r="Q887" i="5"/>
  <c r="Q839" i="5"/>
  <c r="Q808" i="5"/>
  <c r="Q533" i="5"/>
  <c r="Q520" i="5"/>
  <c r="Q922" i="5"/>
  <c r="Q860" i="5"/>
  <c r="Q668" i="5"/>
  <c r="Q655" i="5"/>
  <c r="Q939" i="5"/>
  <c r="Q911" i="5"/>
  <c r="Q831" i="5"/>
  <c r="Q781" i="5"/>
  <c r="Q740" i="5"/>
  <c r="Q987" i="5"/>
  <c r="Q915" i="5"/>
  <c r="Q879" i="5"/>
  <c r="Q840" i="5"/>
  <c r="Q796" i="5"/>
  <c r="Q763" i="5"/>
  <c r="Q823" i="5"/>
  <c r="Q833" i="5"/>
  <c r="Q684" i="5"/>
  <c r="Q901" i="5"/>
  <c r="Q872" i="5"/>
  <c r="Q811" i="5"/>
  <c r="Q772" i="5"/>
  <c r="Q635" i="5"/>
  <c r="Q625" i="5"/>
  <c r="Q484" i="5"/>
  <c r="Q849" i="5"/>
  <c r="Q998" i="5"/>
  <c r="Q919" i="5"/>
  <c r="Q761" i="5"/>
  <c r="Q673" i="5"/>
  <c r="Q639" i="5"/>
  <c r="Q624" i="5"/>
  <c r="Q547" i="5"/>
  <c r="Q479" i="5"/>
  <c r="Q431" i="5"/>
  <c r="Q410" i="5"/>
  <c r="Q398" i="5"/>
  <c r="Q390" i="5"/>
  <c r="Q350" i="5"/>
  <c r="Q342" i="5"/>
  <c r="Q330" i="5"/>
  <c r="Q326" i="5"/>
  <c r="Q318" i="5"/>
  <c r="Q310" i="5"/>
  <c r="Q294" i="5"/>
  <c r="Q278" i="5"/>
  <c r="Q254" i="5"/>
  <c r="Q242" i="5"/>
  <c r="Q222" i="5"/>
  <c r="Q218" i="5"/>
  <c r="Q206" i="5"/>
  <c r="Q198" i="5"/>
  <c r="Q186" i="5"/>
  <c r="Q178" i="5"/>
  <c r="Q170" i="5"/>
  <c r="Q138" i="5"/>
  <c r="Q134" i="5"/>
  <c r="Q126" i="5"/>
  <c r="Q102" i="5"/>
  <c r="Q98" i="5"/>
  <c r="Q90" i="5"/>
  <c r="Q86" i="5"/>
  <c r="Q78" i="5"/>
  <c r="Q50" i="5"/>
  <c r="Q31" i="5"/>
  <c r="Q656" i="5"/>
  <c r="Q612" i="5"/>
  <c r="Q485" i="5"/>
  <c r="Q388" i="5"/>
  <c r="Q340" i="5"/>
  <c r="Q292" i="5"/>
  <c r="Q172" i="5"/>
  <c r="Q824" i="5"/>
  <c r="Q816" i="5"/>
  <c r="Q779" i="5"/>
  <c r="Q617" i="5"/>
  <c r="Q601" i="5"/>
  <c r="Q549" i="5"/>
  <c r="Q529" i="5"/>
  <c r="Q397" i="5"/>
  <c r="Q359" i="5"/>
  <c r="Q349" i="5"/>
  <c r="Q335" i="5"/>
  <c r="Q325" i="5"/>
  <c r="Q287" i="5"/>
  <c r="Q748" i="5"/>
  <c r="Q672" i="5"/>
  <c r="Q632" i="5"/>
  <c r="Q499" i="5"/>
  <c r="Q489" i="5"/>
  <c r="Q692" i="5"/>
  <c r="Q643" i="5"/>
  <c r="Q589" i="5"/>
  <c r="Q528" i="5"/>
  <c r="Q513" i="5"/>
  <c r="Q445" i="5"/>
  <c r="Q401" i="5"/>
  <c r="Q353" i="5"/>
  <c r="Q329" i="5"/>
  <c r="Q315" i="5"/>
  <c r="Q291" i="5"/>
  <c r="Q281" i="5"/>
  <c r="Q257" i="5"/>
  <c r="Q209" i="5"/>
  <c r="Q185" i="5"/>
  <c r="Q123" i="5"/>
  <c r="Q113" i="5"/>
  <c r="Q75" i="5"/>
  <c r="Q807" i="5"/>
  <c r="Q784" i="5"/>
  <c r="Q733" i="5"/>
  <c r="Q648" i="5"/>
  <c r="Q600" i="5"/>
  <c r="Q543" i="5"/>
  <c r="Q508" i="5"/>
  <c r="Q396" i="5"/>
  <c r="Q372" i="5"/>
  <c r="Q348" i="5"/>
  <c r="Q739" i="5"/>
  <c r="Q724" i="5"/>
  <c r="Q653" i="5"/>
  <c r="Q605" i="5"/>
  <c r="Q573" i="5"/>
  <c r="Q532" i="5"/>
  <c r="Q962" i="5"/>
  <c r="Q745" i="5"/>
  <c r="Q732" i="5"/>
  <c r="Q691" i="5"/>
  <c r="Q593" i="5"/>
  <c r="Q588" i="5"/>
  <c r="Q527" i="5"/>
  <c r="Q517" i="5"/>
  <c r="Q468" i="5"/>
  <c r="Q463" i="5"/>
  <c r="Q400" i="5"/>
  <c r="Q813" i="5"/>
  <c r="Q805" i="5"/>
  <c r="Q797" i="5"/>
  <c r="Q647" i="5"/>
  <c r="Q604" i="5"/>
  <c r="Q552" i="5"/>
  <c r="Q541" i="5"/>
  <c r="Q536" i="5"/>
  <c r="Q487" i="5"/>
  <c r="Q477" i="5"/>
  <c r="Q448" i="5"/>
  <c r="Q443" i="5"/>
  <c r="Q926" i="5"/>
  <c r="Q676" i="5"/>
  <c r="Q652" i="5"/>
  <c r="Q619" i="5"/>
  <c r="Q577" i="5"/>
  <c r="Q531" i="5"/>
  <c r="Q521" i="5"/>
  <c r="Q472" i="5"/>
  <c r="Q404" i="5"/>
  <c r="Q356" i="5"/>
  <c r="Q332" i="5"/>
  <c r="Q260" i="5"/>
  <c r="Q236" i="5"/>
  <c r="Q212" i="5"/>
  <c r="Q188" i="5"/>
  <c r="Q881" i="5"/>
  <c r="Q788" i="5"/>
  <c r="Q721" i="5"/>
  <c r="Q695" i="5"/>
  <c r="Q689" i="5"/>
  <c r="Q613" i="5"/>
  <c r="Q587" i="5"/>
  <c r="Q556" i="5"/>
  <c r="Q551" i="5"/>
  <c r="Q501" i="5"/>
  <c r="Q496" i="5"/>
  <c r="Q491" i="5"/>
  <c r="Q467" i="5"/>
  <c r="Q452" i="5"/>
  <c r="Q413" i="5"/>
  <c r="Q389" i="5"/>
  <c r="Q365" i="5"/>
  <c r="Q351" i="5"/>
  <c r="Q327" i="5"/>
  <c r="Q317" i="5"/>
  <c r="Q303" i="5"/>
  <c r="Q293" i="5"/>
  <c r="Q279" i="5"/>
  <c r="Q269" i="5"/>
  <c r="Q255" i="5"/>
  <c r="Q245" i="5"/>
  <c r="Q221" i="5"/>
  <c r="Q207" i="5"/>
  <c r="Q183" i="5"/>
  <c r="Q173" i="5"/>
  <c r="Q159" i="5"/>
  <c r="Q149" i="5"/>
  <c r="Q135" i="5"/>
  <c r="Q125" i="5"/>
  <c r="Q111" i="5"/>
  <c r="Q101" i="5"/>
  <c r="Q77" i="5"/>
  <c r="Q63" i="5"/>
  <c r="Q41" i="5"/>
  <c r="Q38" i="5"/>
  <c r="Q17" i="5"/>
  <c r="Q14" i="5"/>
  <c r="Q11" i="5"/>
  <c r="Q8" i="5"/>
  <c r="Q5" i="5"/>
  <c r="Q312" i="5"/>
  <c r="Q240" i="5"/>
  <c r="Q743" i="5"/>
  <c r="Q736" i="5"/>
  <c r="Q608" i="5"/>
  <c r="Q597" i="5"/>
  <c r="Q571" i="5"/>
  <c r="Q545" i="5"/>
  <c r="Q540" i="5"/>
  <c r="Q535" i="5"/>
  <c r="Q481" i="5"/>
  <c r="Q476" i="5"/>
  <c r="Q447" i="5"/>
  <c r="Q437" i="5"/>
  <c r="Q408" i="5"/>
  <c r="Q360" i="5"/>
  <c r="Q336" i="5"/>
  <c r="Q288" i="5"/>
  <c r="Q264" i="5"/>
  <c r="Q835" i="5"/>
  <c r="Q787" i="5"/>
  <c r="Q720" i="5"/>
  <c r="Q688" i="5"/>
  <c r="Q645" i="5"/>
  <c r="Q628" i="5"/>
  <c r="Q473" i="5"/>
  <c r="Q403" i="5"/>
  <c r="Q344" i="5"/>
  <c r="Q295" i="5"/>
  <c r="Q280" i="5"/>
  <c r="Q253" i="5"/>
  <c r="Q216" i="5"/>
  <c r="Q192" i="5"/>
  <c r="Q168" i="5"/>
  <c r="Q144" i="5"/>
  <c r="Q127" i="5"/>
  <c r="Q93" i="5"/>
  <c r="Q30" i="5"/>
  <c r="Q6" i="5"/>
  <c r="Q228" i="5"/>
  <c r="Q204" i="5"/>
  <c r="Q180" i="5"/>
  <c r="Q156" i="5"/>
  <c r="Q115" i="5"/>
  <c r="Q109" i="5"/>
  <c r="Q104" i="5"/>
  <c r="Q76" i="5"/>
  <c r="Q71" i="5"/>
  <c r="Q33" i="5"/>
  <c r="Q23" i="5"/>
  <c r="Q19" i="5"/>
  <c r="Q560" i="5"/>
  <c r="Q500" i="5"/>
  <c r="Q427" i="5"/>
  <c r="Q395" i="5"/>
  <c r="Q357" i="5"/>
  <c r="Q328" i="5"/>
  <c r="Q307" i="5"/>
  <c r="Q259" i="5"/>
  <c r="Q9" i="5"/>
  <c r="Q2" i="5"/>
  <c r="Q461" i="5"/>
  <c r="Q379" i="5"/>
  <c r="Q343" i="5"/>
  <c r="Q321" i="5"/>
  <c r="Q300" i="5"/>
  <c r="Q273" i="5"/>
  <c r="Q132" i="5"/>
  <c r="Q120" i="5"/>
  <c r="Q81" i="5"/>
  <c r="Q44" i="5"/>
  <c r="Q26" i="5"/>
  <c r="Q12" i="5"/>
  <c r="Q64" i="5"/>
  <c r="Q59" i="5"/>
  <c r="Q15" i="5"/>
  <c r="Q417" i="5"/>
  <c r="Q409" i="5"/>
  <c r="Q371" i="5"/>
  <c r="Q313" i="5"/>
  <c r="Q285" i="5"/>
  <c r="Q252" i="5"/>
  <c r="Q239" i="5"/>
  <c r="Q215" i="5"/>
  <c r="Q191" i="5"/>
  <c r="Q167" i="5"/>
  <c r="Q143" i="5"/>
  <c r="Q103" i="5"/>
  <c r="Q97" i="5"/>
  <c r="Q92" i="5"/>
  <c r="Q29" i="5"/>
  <c r="Q488" i="5"/>
  <c r="Q393" i="5"/>
  <c r="Q320" i="5"/>
  <c r="Q272" i="5"/>
  <c r="Q232" i="5"/>
  <c r="Q227" i="5"/>
  <c r="Q208" i="5"/>
  <c r="Q203" i="5"/>
  <c r="Q184" i="5"/>
  <c r="Q179" i="5"/>
  <c r="Q160" i="5"/>
  <c r="Q155" i="5"/>
  <c r="Q69" i="5"/>
  <c r="Q36" i="5"/>
  <c r="Q22" i="5"/>
  <c r="Q416" i="5"/>
  <c r="Q385" i="5"/>
  <c r="Q355" i="5"/>
  <c r="Q333" i="5"/>
  <c r="Q299" i="5"/>
  <c r="Q136" i="5"/>
  <c r="Q131" i="5"/>
  <c r="Q119" i="5"/>
  <c r="Q515" i="5"/>
  <c r="Q505" i="5"/>
  <c r="Q459" i="5"/>
  <c r="Q432" i="5"/>
  <c r="Q392" i="5"/>
  <c r="Q369" i="5"/>
  <c r="Q319" i="5"/>
  <c r="Q304" i="5"/>
  <c r="Q271" i="5"/>
  <c r="Q256" i="5"/>
  <c r="Q251" i="5"/>
  <c r="Q213" i="5"/>
  <c r="Q189" i="5"/>
  <c r="Q165" i="5"/>
  <c r="Q141" i="5"/>
  <c r="Q96" i="5"/>
  <c r="Q57" i="5"/>
  <c r="Q28" i="5"/>
  <c r="Q565" i="5"/>
  <c r="Q415" i="5"/>
  <c r="Q361" i="5"/>
  <c r="Q347" i="5"/>
  <c r="Q391" i="5"/>
  <c r="Q368" i="5"/>
  <c r="Q297" i="5"/>
  <c r="Q276" i="5"/>
  <c r="Q129" i="5"/>
  <c r="Q117" i="5"/>
  <c r="Q503" i="5"/>
  <c r="Q439" i="5"/>
  <c r="Q405" i="5"/>
  <c r="Q352" i="5"/>
  <c r="Q331" i="5"/>
  <c r="Q289" i="5"/>
  <c r="Q261" i="5"/>
  <c r="Q249" i="5"/>
  <c r="Q224" i="5"/>
  <c r="Q200" i="5"/>
  <c r="Q176" i="5"/>
  <c r="Q152" i="5"/>
  <c r="Q140" i="5"/>
  <c r="Q100" i="5"/>
  <c r="Q95" i="5"/>
  <c r="Q67" i="5"/>
  <c r="Q56" i="5"/>
  <c r="Q27" i="5"/>
  <c r="Q24" i="5"/>
  <c r="Q20" i="5"/>
  <c r="Q10" i="5"/>
  <c r="Q16" i="5"/>
  <c r="Q493" i="5"/>
  <c r="Q483" i="5"/>
  <c r="Q456" i="5"/>
  <c r="Q429" i="5"/>
  <c r="Q367" i="5"/>
  <c r="Q296" i="5"/>
  <c r="Q235" i="5"/>
  <c r="Q229" i="5"/>
  <c r="Q217" i="5"/>
  <c r="Q211" i="5"/>
  <c r="Q205" i="5"/>
  <c r="Q193" i="5"/>
  <c r="Q187" i="5"/>
  <c r="Q181" i="5"/>
  <c r="Q169" i="5"/>
  <c r="Q163" i="5"/>
  <c r="Q145" i="5"/>
  <c r="Q128" i="5"/>
  <c r="Q105" i="5"/>
  <c r="Q72" i="5"/>
  <c r="Q13" i="5"/>
  <c r="Q3" i="5"/>
  <c r="Q381" i="5"/>
  <c r="Q337" i="5"/>
  <c r="Q323" i="5"/>
  <c r="Q275" i="5"/>
  <c r="Q248" i="5"/>
  <c r="Q223" i="5"/>
  <c r="Q199" i="5"/>
  <c r="Q175" i="5"/>
  <c r="Q151" i="5"/>
  <c r="Q139" i="5"/>
  <c r="Q133" i="5"/>
  <c r="Q121" i="5"/>
  <c r="Q116" i="5"/>
  <c r="Q88" i="5"/>
  <c r="Q83" i="5"/>
  <c r="Q55" i="5"/>
  <c r="Q45" i="5"/>
  <c r="Q91" i="5"/>
  <c r="Q201" i="5"/>
  <c r="Q43" i="5"/>
  <c r="Q25" i="5"/>
  <c r="Q52" i="5"/>
  <c r="Q42" i="5"/>
  <c r="Q18" i="5"/>
  <c r="Q68" i="5"/>
  <c r="Q107" i="5"/>
  <c r="Q39" i="5"/>
  <c r="Q84" i="5"/>
  <c r="Q21" i="5"/>
  <c r="Q225" i="5"/>
  <c r="Q177" i="5"/>
  <c r="Q4" i="5"/>
  <c r="Q79" i="5"/>
  <c r="Q112" i="5"/>
  <c r="Q73" i="5"/>
  <c r="Q32" i="5"/>
  <c r="Q80" i="5"/>
  <c r="Q153" i="5"/>
  <c r="Q7" i="5"/>
  <c r="Q85" i="5"/>
  <c r="V41" i="3"/>
  <c r="Q3" i="3" s="1"/>
  <c r="Q316" i="3"/>
  <c r="Q864" i="3"/>
  <c r="Q548" i="3"/>
  <c r="Q1226" i="3"/>
  <c r="Q1318" i="3"/>
  <c r="Q1200" i="3"/>
  <c r="Q1010" i="3"/>
  <c r="Q1394" i="3"/>
  <c r="Q893" i="3"/>
  <c r="Q204" i="3"/>
  <c r="Q1163" i="3"/>
  <c r="Q596" i="3"/>
  <c r="Q1409" i="3"/>
  <c r="Q1023" i="3"/>
  <c r="Q1279" i="3"/>
  <c r="Q1357" i="5" l="1"/>
  <c r="Q1393" i="5"/>
  <c r="Q1397" i="5"/>
  <c r="Q749" i="5"/>
  <c r="Q963" i="5"/>
  <c r="Q1039" i="5"/>
  <c r="Q498" i="5"/>
  <c r="Q790" i="5"/>
  <c r="Q992" i="5"/>
  <c r="Q1382" i="5"/>
  <c r="Q1076" i="5"/>
  <c r="Q1392" i="5"/>
  <c r="Q592" i="5"/>
  <c r="Q284" i="5"/>
  <c r="Q893" i="5"/>
  <c r="Q775" i="5"/>
  <c r="Q599" i="5"/>
  <c r="Q324" i="5"/>
  <c r="Q51" i="5"/>
  <c r="Q339" i="5"/>
  <c r="Q564" i="5"/>
  <c r="Q544" i="5"/>
  <c r="Q451" i="5"/>
  <c r="Q118" i="5"/>
  <c r="Q230" i="5"/>
  <c r="Q362" i="5"/>
  <c r="Q832" i="5"/>
  <c r="Q1007" i="5"/>
  <c r="Q785" i="5"/>
  <c r="Q1063" i="5"/>
  <c r="Q1050" i="5"/>
  <c r="Q502" i="5"/>
  <c r="Q846" i="5"/>
  <c r="Q1064" i="5"/>
  <c r="Q1390" i="5"/>
  <c r="Q1100" i="5"/>
  <c r="Q1165" i="5"/>
  <c r="Q858" i="5"/>
  <c r="Q1068" i="5"/>
  <c r="Q1079" i="5"/>
  <c r="Q1104" i="5"/>
  <c r="Q1177" i="5"/>
  <c r="Q882" i="5"/>
  <c r="Q1234" i="5"/>
  <c r="Q1151" i="5"/>
  <c r="Q1124" i="5"/>
  <c r="Q1201" i="5"/>
  <c r="Q701" i="5"/>
  <c r="Q428" i="5"/>
  <c r="Q453" i="5"/>
  <c r="Q820" i="5"/>
  <c r="Q906" i="5"/>
  <c r="Q420" i="5"/>
  <c r="Q147" i="5"/>
  <c r="Q469" i="5"/>
  <c r="Q263" i="5"/>
  <c r="Q735" i="5"/>
  <c r="Q700" i="5"/>
  <c r="Q150" i="5"/>
  <c r="Q282" i="5"/>
  <c r="Q414" i="5"/>
  <c r="Q47" i="5"/>
  <c r="Q845" i="5"/>
  <c r="Q853" i="5"/>
  <c r="Q821" i="5"/>
  <c r="Q1117" i="5"/>
  <c r="Q598" i="5"/>
  <c r="Q969" i="5"/>
  <c r="Q1306" i="5"/>
  <c r="Q1211" i="5"/>
  <c r="Q1200" i="5"/>
  <c r="Q710" i="5"/>
  <c r="Q947" i="5"/>
  <c r="Q988" i="5"/>
  <c r="Q1346" i="5"/>
  <c r="Q1075" i="5"/>
  <c r="Q1267" i="5"/>
  <c r="Q1120" i="5"/>
  <c r="Q1312" i="5"/>
  <c r="Q1221" i="5"/>
  <c r="Q1002" i="5"/>
  <c r="Q1005" i="5"/>
  <c r="Q664" i="5"/>
  <c r="Q994" i="5"/>
  <c r="Q1121" i="5"/>
  <c r="Q558" i="5"/>
  <c r="Q750" i="5"/>
  <c r="Q1109" i="5"/>
  <c r="Q1028" i="5"/>
  <c r="Q1106" i="5"/>
  <c r="Q1115" i="5"/>
  <c r="Q1307" i="5"/>
  <c r="Q1160" i="5"/>
  <c r="Q1352" i="5"/>
  <c r="Q1261" i="5"/>
  <c r="Q557" i="5"/>
  <c r="Q895" i="5"/>
  <c r="Q671" i="5"/>
  <c r="Q585" i="5"/>
  <c r="Q712" i="5"/>
  <c r="Q1055" i="5"/>
  <c r="Q938" i="5"/>
  <c r="Q570" i="5"/>
  <c r="Q762" i="5"/>
  <c r="Q993" i="5"/>
  <c r="Q1040" i="5"/>
  <c r="Q1142" i="5"/>
  <c r="Q1127" i="5"/>
  <c r="Q1319" i="5"/>
  <c r="Q1172" i="5"/>
  <c r="Q1364" i="5"/>
  <c r="Q1273" i="5"/>
  <c r="Q553" i="5"/>
  <c r="Q161" i="5"/>
  <c r="Q425" i="5"/>
  <c r="Q611" i="5"/>
  <c r="Q475" i="5"/>
  <c r="Q220" i="5"/>
  <c r="Q62" i="5"/>
  <c r="Q158" i="5"/>
  <c r="Q266" i="5"/>
  <c r="Q370" i="5"/>
  <c r="Q683" i="5"/>
  <c r="Q669" i="5"/>
  <c r="Q965" i="5"/>
  <c r="Q931" i="5"/>
  <c r="Q729" i="5"/>
  <c r="Q975" i="5"/>
  <c r="Q793" i="5"/>
  <c r="Q422" i="5"/>
  <c r="Q614" i="5"/>
  <c r="Q806" i="5"/>
  <c r="Q892" i="5"/>
  <c r="Q1154" i="5"/>
  <c r="Q1230" i="5"/>
  <c r="Q1171" i="5"/>
  <c r="Q1363" i="5"/>
  <c r="Q1216" i="5"/>
  <c r="Q1317" i="5"/>
  <c r="Q399" i="5"/>
  <c r="Q657" i="5"/>
  <c r="Q308" i="5"/>
  <c r="Q731" i="5"/>
  <c r="Q609" i="5"/>
  <c r="Q567" i="5"/>
  <c r="Q631" i="5"/>
  <c r="Q563" i="5"/>
  <c r="Q171" i="5"/>
  <c r="Q440" i="5"/>
  <c r="Q627" i="5"/>
  <c r="Q519" i="5"/>
  <c r="Q268" i="5"/>
  <c r="Q74" i="5"/>
  <c r="Q166" i="5"/>
  <c r="Q270" i="5"/>
  <c r="Q378" i="5"/>
  <c r="Q717" i="5"/>
  <c r="Q679" i="5"/>
  <c r="Q979" i="5"/>
  <c r="Q945" i="5"/>
  <c r="Q764" i="5"/>
  <c r="Q1053" i="5"/>
  <c r="Q815" i="5"/>
  <c r="Q426" i="5"/>
  <c r="Q618" i="5"/>
  <c r="Q810" i="5"/>
  <c r="Q896" i="5"/>
  <c r="Q1162" i="5"/>
  <c r="Q1238" i="5"/>
  <c r="Q1175" i="5"/>
  <c r="Q1367" i="5"/>
  <c r="Q1220" i="5"/>
  <c r="Q1129" i="5"/>
  <c r="Q1321" i="5"/>
  <c r="Q226" i="5"/>
  <c r="Q290" i="5"/>
  <c r="Q358" i="5"/>
  <c r="Q418" i="5"/>
  <c r="Q707" i="5"/>
  <c r="Q423" i="5"/>
  <c r="Q708" i="5"/>
  <c r="Q723" i="5"/>
  <c r="Q675" i="5"/>
  <c r="Q857" i="5"/>
  <c r="Q974" i="5"/>
  <c r="Q961" i="5"/>
  <c r="Q777" i="5"/>
  <c r="Q581" i="5"/>
  <c r="Q1110" i="5"/>
  <c r="Q1037" i="5"/>
  <c r="Q876" i="5"/>
  <c r="Q1025" i="5"/>
  <c r="Q442" i="5"/>
  <c r="Q538" i="5"/>
  <c r="Q634" i="5"/>
  <c r="Q730" i="5"/>
  <c r="Q826" i="5"/>
  <c r="Q1030" i="5"/>
  <c r="Q912" i="5"/>
  <c r="Q1008" i="5"/>
  <c r="Q1194" i="5"/>
  <c r="Q1386" i="5"/>
  <c r="Q1270" i="5"/>
  <c r="Q1095" i="5"/>
  <c r="Q1191" i="5"/>
  <c r="Q1287" i="5"/>
  <c r="Q1383" i="5"/>
  <c r="Q1140" i="5"/>
  <c r="Q1236" i="5"/>
  <c r="Q1332" i="5"/>
  <c r="Q1145" i="5"/>
  <c r="Q1241" i="5"/>
  <c r="Q1337" i="5"/>
  <c r="Q436" i="5"/>
  <c r="Q713" i="5"/>
  <c r="Q728" i="5"/>
  <c r="Q680" i="5"/>
  <c r="Q868" i="5"/>
  <c r="Q1049" i="5"/>
  <c r="Q848" i="5"/>
  <c r="Q812" i="5"/>
  <c r="Q616" i="5"/>
  <c r="Q791" i="5"/>
  <c r="Q1015" i="5"/>
  <c r="Q910" i="5"/>
  <c r="Q1051" i="5"/>
  <c r="Q450" i="5"/>
  <c r="Q546" i="5"/>
  <c r="Q642" i="5"/>
  <c r="Q738" i="5"/>
  <c r="Q834" i="5"/>
  <c r="Q1065" i="5"/>
  <c r="Q920" i="5"/>
  <c r="Q1016" i="5"/>
  <c r="Q1210" i="5"/>
  <c r="Q1286" i="5"/>
  <c r="Q1103" i="5"/>
  <c r="Q1199" i="5"/>
  <c r="Q1295" i="5"/>
  <c r="Q1391" i="5"/>
  <c r="Q1148" i="5"/>
  <c r="Q1244" i="5"/>
  <c r="Q1340" i="5"/>
  <c r="Q1153" i="5"/>
  <c r="Q1249" i="5"/>
  <c r="Q1345" i="5"/>
  <c r="Q195" i="5"/>
  <c r="Q377" i="5"/>
  <c r="Q621" i="5"/>
  <c r="Q637" i="5"/>
  <c r="Q373" i="5"/>
  <c r="Q667" i="5"/>
  <c r="Q316" i="5"/>
  <c r="Q34" i="5"/>
  <c r="Q110" i="5"/>
  <c r="Q174" i="5"/>
  <c r="Q234" i="5"/>
  <c r="Q302" i="5"/>
  <c r="Q366" i="5"/>
  <c r="Q444" i="5"/>
  <c r="Q741" i="5"/>
  <c r="Q471" i="5"/>
  <c r="Q752" i="5"/>
  <c r="Q789" i="5"/>
  <c r="Q719" i="5"/>
  <c r="Q937" i="5"/>
  <c r="Q880" i="5"/>
  <c r="Q983" i="5"/>
  <c r="Q847" i="5"/>
  <c r="Q629" i="5"/>
  <c r="Q804" i="5"/>
  <c r="Q1059" i="5"/>
  <c r="Q941" i="5"/>
  <c r="Q1074" i="5"/>
  <c r="Q454" i="5"/>
  <c r="Q550" i="5"/>
  <c r="Q646" i="5"/>
  <c r="Q742" i="5"/>
  <c r="Q838" i="5"/>
  <c r="Q1122" i="5"/>
  <c r="Q924" i="5"/>
  <c r="Q1020" i="5"/>
  <c r="Q1218" i="5"/>
  <c r="Q1082" i="5"/>
  <c r="Q1294" i="5"/>
  <c r="Q1107" i="5"/>
  <c r="Q1203" i="5"/>
  <c r="Q1299" i="5"/>
  <c r="Q1395" i="5"/>
  <c r="Q1152" i="5"/>
  <c r="Q1248" i="5"/>
  <c r="Q1344" i="5"/>
  <c r="Q1157" i="5"/>
  <c r="Q1253" i="5"/>
  <c r="Q1349" i="5"/>
  <c r="Q376" i="5"/>
  <c r="Q665" i="5"/>
  <c r="Q636" i="5"/>
  <c r="Q537" i="5"/>
  <c r="Q65" i="5"/>
  <c r="Q233" i="5"/>
  <c r="Q411" i="5"/>
  <c r="Q660" i="5"/>
  <c r="Q711" i="5"/>
  <c r="Q407" i="5"/>
  <c r="Q771" i="5"/>
  <c r="Q364" i="5"/>
  <c r="Q54" i="5"/>
  <c r="Q122" i="5"/>
  <c r="Q182" i="5"/>
  <c r="Q246" i="5"/>
  <c r="Q314" i="5"/>
  <c r="Q374" i="5"/>
  <c r="Q492" i="5"/>
  <c r="Q827" i="5"/>
  <c r="Q511" i="5"/>
  <c r="Q800" i="5"/>
  <c r="Q889" i="5"/>
  <c r="Q768" i="5"/>
  <c r="Q661" i="5"/>
  <c r="Q765" i="5"/>
  <c r="Q572" i="5"/>
  <c r="Q873" i="5"/>
  <c r="Q699" i="5"/>
  <c r="Q865" i="5"/>
  <c r="Q1027" i="5"/>
  <c r="Q1011" i="5"/>
  <c r="Q925" i="5"/>
  <c r="Q470" i="5"/>
  <c r="Q566" i="5"/>
  <c r="Q662" i="5"/>
  <c r="Q758" i="5"/>
  <c r="Q854" i="5"/>
  <c r="Q971" i="5"/>
  <c r="Q940" i="5"/>
  <c r="Q1036" i="5"/>
  <c r="Q1250" i="5"/>
  <c r="Q1134" i="5"/>
  <c r="Q1326" i="5"/>
  <c r="Q1123" i="5"/>
  <c r="Q1219" i="5"/>
  <c r="Q1315" i="5"/>
  <c r="Q1072" i="5"/>
  <c r="Q1168" i="5"/>
  <c r="Q1264" i="5"/>
  <c r="Q1360" i="5"/>
  <c r="Q1173" i="5"/>
  <c r="Q1269" i="5"/>
  <c r="Q1365" i="5"/>
  <c r="Q1369" i="5"/>
  <c r="Q35" i="5"/>
  <c r="Q46" i="5"/>
  <c r="Q49" i="5"/>
  <c r="Q241" i="5"/>
  <c r="Q157" i="5"/>
  <c r="Q345" i="5"/>
  <c r="Q61" i="5"/>
  <c r="Q309" i="5"/>
  <c r="Q283" i="5"/>
  <c r="Q237" i="5"/>
  <c r="Q525" i="5"/>
  <c r="Q108" i="5"/>
  <c r="Q460" i="5"/>
  <c r="Q265" i="5"/>
  <c r="Q48" i="5"/>
  <c r="Q247" i="5"/>
  <c r="Q37" i="5"/>
  <c r="Q60" i="5"/>
  <c r="Q455" i="5"/>
  <c r="Q384" i="5"/>
  <c r="Q623" i="5"/>
  <c r="Q53" i="5"/>
  <c r="Q197" i="5"/>
  <c r="Q341" i="5"/>
  <c r="Q516" i="5"/>
  <c r="Q759" i="5"/>
  <c r="Q380" i="5"/>
  <c r="Q837" i="5"/>
  <c r="Q583" i="5"/>
  <c r="Q424" i="5"/>
  <c r="Q696" i="5"/>
  <c r="Q685" i="5"/>
  <c r="Q548" i="5"/>
  <c r="Q89" i="5"/>
  <c r="Q267" i="5"/>
  <c r="Q435" i="5"/>
  <c r="Q704" i="5"/>
  <c r="Q755" i="5"/>
  <c r="Q509" i="5"/>
  <c r="Q809" i="5"/>
  <c r="Q441" i="5"/>
  <c r="Q70" i="5"/>
  <c r="Q130" i="5"/>
  <c r="Q194" i="5"/>
  <c r="Q262" i="5"/>
  <c r="Q322" i="5"/>
  <c r="Q386" i="5"/>
  <c r="Q595" i="5"/>
  <c r="Q913" i="5"/>
  <c r="Q591" i="5"/>
  <c r="Q861" i="5"/>
  <c r="Q950" i="5"/>
  <c r="Q829" i="5"/>
  <c r="Q715" i="5"/>
  <c r="Q803" i="5"/>
  <c r="Q620" i="5"/>
  <c r="Q943" i="5"/>
  <c r="Q773" i="5"/>
  <c r="Q949" i="5"/>
  <c r="Q989" i="5"/>
  <c r="Q1029" i="5"/>
  <c r="Q999" i="5"/>
  <c r="Q490" i="5"/>
  <c r="Q586" i="5"/>
  <c r="Q682" i="5"/>
  <c r="Q778" i="5"/>
  <c r="Q874" i="5"/>
  <c r="Q1054" i="5"/>
  <c r="Q960" i="5"/>
  <c r="Q1056" i="5"/>
  <c r="Q1290" i="5"/>
  <c r="Q1174" i="5"/>
  <c r="Q1366" i="5"/>
  <c r="Q1143" i="5"/>
  <c r="Q1239" i="5"/>
  <c r="Q1335" i="5"/>
  <c r="Q1092" i="5"/>
  <c r="Q1188" i="5"/>
  <c r="Q1284" i="5"/>
  <c r="Q1380" i="5"/>
  <c r="Q1193" i="5"/>
  <c r="Q1289" i="5"/>
  <c r="Q1385" i="5"/>
  <c r="Q87" i="5"/>
  <c r="Q231" i="5"/>
  <c r="Q375" i="5"/>
  <c r="Q561" i="5"/>
  <c r="Q164" i="5"/>
  <c r="Q433" i="5"/>
  <c r="Q419" i="5"/>
  <c r="Q641" i="5"/>
  <c r="Q512" i="5"/>
  <c r="Q783" i="5"/>
  <c r="Q776" i="5"/>
  <c r="Q584" i="5"/>
  <c r="Q137" i="5"/>
  <c r="Q305" i="5"/>
  <c r="Q464" i="5"/>
  <c r="Q504" i="5"/>
  <c r="Q311" i="5"/>
  <c r="Q539" i="5"/>
  <c r="Q148" i="5"/>
  <c r="Q575" i="5"/>
  <c r="Q82" i="5"/>
  <c r="Q146" i="5"/>
  <c r="Q214" i="5"/>
  <c r="Q274" i="5"/>
  <c r="Q338" i="5"/>
  <c r="Q406" i="5"/>
  <c r="Q663" i="5"/>
  <c r="Q1035" i="5"/>
  <c r="Q649" i="5"/>
  <c r="Q935" i="5"/>
  <c r="Q909" i="5"/>
  <c r="Q884" i="5"/>
  <c r="Q819" i="5"/>
  <c r="Q864" i="5"/>
  <c r="Q681" i="5"/>
  <c r="Q507" i="5"/>
  <c r="Q856" i="5"/>
  <c r="Q1009" i="5"/>
  <c r="Q1073" i="5"/>
  <c r="Q907" i="5"/>
  <c r="Q1101" i="5"/>
  <c r="Q510" i="5"/>
  <c r="Q606" i="5"/>
  <c r="Q702" i="5"/>
  <c r="Q798" i="5"/>
  <c r="Q921" i="5"/>
  <c r="Q1118" i="5"/>
  <c r="Q980" i="5"/>
  <c r="Q1138" i="5"/>
  <c r="Q1330" i="5"/>
  <c r="Q1214" i="5"/>
  <c r="Q1163" i="5"/>
  <c r="Q1259" i="5"/>
  <c r="Q1355" i="5"/>
  <c r="Q1112" i="5"/>
  <c r="Q1208" i="5"/>
  <c r="Q1304" i="5"/>
  <c r="Q1400" i="5"/>
  <c r="Q1213" i="5"/>
  <c r="Q1309" i="5"/>
  <c r="Q1361" i="5"/>
  <c r="Q1313" i="5"/>
  <c r="Q1265" i="5"/>
  <c r="Q1217" i="5"/>
  <c r="Q1169" i="5"/>
  <c r="Q1356" i="5"/>
  <c r="Q1308" i="5"/>
  <c r="Q1260" i="5"/>
  <c r="Q1212" i="5"/>
  <c r="Q1164" i="5"/>
  <c r="Q1116" i="5"/>
  <c r="Q1359" i="5"/>
  <c r="Q1311" i="5"/>
  <c r="Q1263" i="5"/>
  <c r="Q1215" i="5"/>
  <c r="Q1167" i="5"/>
  <c r="Q1119" i="5"/>
  <c r="Q1071" i="5"/>
  <c r="Q1318" i="5"/>
  <c r="Q1222" i="5"/>
  <c r="Q1126" i="5"/>
  <c r="Q1338" i="5"/>
  <c r="Q1242" i="5"/>
  <c r="Q1146" i="5"/>
  <c r="Q1032" i="5"/>
  <c r="Q984" i="5"/>
  <c r="Q936" i="5"/>
  <c r="Q888" i="5"/>
  <c r="Q1125" i="5"/>
  <c r="Q934" i="5"/>
  <c r="Q850" i="5"/>
  <c r="Q802" i="5"/>
  <c r="Q754" i="5"/>
  <c r="Q706" i="5"/>
  <c r="Q658" i="5"/>
  <c r="Q610" i="5"/>
  <c r="Q562" i="5"/>
  <c r="Q514" i="5"/>
  <c r="Q466" i="5"/>
  <c r="Q1114" i="5"/>
  <c r="Q903" i="5"/>
  <c r="Q929" i="5"/>
  <c r="Q967" i="5"/>
  <c r="Q780" i="5"/>
  <c r="Q1022" i="5"/>
  <c r="Q1014" i="5"/>
  <c r="Q852" i="5"/>
  <c r="Q869" i="5"/>
  <c r="Q677" i="5"/>
  <c r="Q1085" i="5"/>
  <c r="Q825" i="5"/>
  <c r="Q633" i="5"/>
  <c r="Q918" i="5"/>
  <c r="Q953" i="5"/>
  <c r="Q744" i="5"/>
  <c r="Q930" i="5"/>
  <c r="Q753" i="5"/>
  <c r="Q1046" i="5"/>
  <c r="Q640" i="5"/>
  <c r="Q767" i="5"/>
  <c r="Q615" i="5"/>
  <c r="Q877" i="5"/>
  <c r="Q756" i="5"/>
  <c r="Q580" i="5"/>
  <c r="Q402" i="5"/>
  <c r="Q354" i="5"/>
  <c r="Q306" i="5"/>
  <c r="Q258" i="5"/>
  <c r="Q210" i="5"/>
  <c r="Q162" i="5"/>
  <c r="Q114" i="5"/>
  <c r="Q66" i="5"/>
  <c r="Q495" i="5"/>
  <c r="Q244" i="5"/>
  <c r="Q687" i="5"/>
  <c r="Q480" i="5"/>
  <c r="Q301" i="5"/>
  <c r="Q569" i="5"/>
  <c r="Q579" i="5"/>
  <c r="Q387" i="5"/>
  <c r="Q243" i="5"/>
  <c r="Q99" i="5"/>
  <c r="Q1401" i="5"/>
  <c r="Q1353" i="5"/>
  <c r="Q1305" i="5"/>
  <c r="Q1257" i="5"/>
  <c r="Q1209" i="5"/>
  <c r="Q1161" i="5"/>
  <c r="Q1396" i="5"/>
  <c r="Q1348" i="5"/>
  <c r="Q1300" i="5"/>
  <c r="Q1252" i="5"/>
  <c r="Q1204" i="5"/>
  <c r="Q1156" i="5"/>
  <c r="Q1108" i="5"/>
  <c r="Q1399" i="5"/>
  <c r="Q1351" i="5"/>
  <c r="Q1303" i="5"/>
  <c r="Q1255" i="5"/>
  <c r="Q1207" i="5"/>
  <c r="Q1159" i="5"/>
  <c r="Q1111" i="5"/>
  <c r="Q1398" i="5"/>
  <c r="Q1302" i="5"/>
  <c r="Q1206" i="5"/>
  <c r="Q1094" i="5"/>
  <c r="Q1322" i="5"/>
  <c r="Q1226" i="5"/>
  <c r="Q1130" i="5"/>
  <c r="Q1024" i="5"/>
  <c r="Q976" i="5"/>
  <c r="Q928" i="5"/>
  <c r="Q1105" i="5"/>
  <c r="Q1089" i="5"/>
  <c r="Q899" i="5"/>
  <c r="Q842" i="5"/>
  <c r="Q794" i="5"/>
  <c r="Q746" i="5"/>
  <c r="Q698" i="5"/>
  <c r="Q650" i="5"/>
  <c r="Q602" i="5"/>
  <c r="Q554" i="5"/>
  <c r="Q506" i="5"/>
  <c r="Q458" i="5"/>
  <c r="Q1069" i="5"/>
  <c r="Q1081" i="5"/>
  <c r="Q894" i="5"/>
  <c r="Q946" i="5"/>
  <c r="Q1061" i="5"/>
  <c r="Q1113" i="5"/>
  <c r="Q981" i="5"/>
  <c r="Q817" i="5"/>
  <c r="Q843" i="5"/>
  <c r="Q651" i="5"/>
  <c r="Q997" i="5"/>
  <c r="Q799" i="5"/>
  <c r="Q607" i="5"/>
  <c r="Q898" i="5"/>
  <c r="Q875" i="5"/>
  <c r="Q705" i="5"/>
  <c r="Q890" i="5"/>
  <c r="Q709" i="5"/>
  <c r="Q914" i="5"/>
  <c r="Q985" i="5"/>
  <c r="Q737" i="5"/>
  <c r="Q576" i="5"/>
  <c r="Q844" i="5"/>
  <c r="Q727" i="5"/>
  <c r="Q524" i="5"/>
  <c r="Q394" i="5"/>
  <c r="Q346" i="5"/>
  <c r="Q298" i="5"/>
  <c r="Q250" i="5"/>
  <c r="Q202" i="5"/>
  <c r="Q154" i="5"/>
  <c r="Q106" i="5"/>
  <c r="Q58" i="5"/>
  <c r="Q465" i="5"/>
  <c r="Q196" i="5"/>
  <c r="Q644" i="5"/>
  <c r="Q421" i="5"/>
  <c r="Q277" i="5"/>
  <c r="Q559" i="5"/>
  <c r="Q523" i="5"/>
  <c r="Q363" i="5"/>
  <c r="Q219" i="5"/>
  <c r="Q1389" i="5"/>
  <c r="Q1341" i="5"/>
  <c r="Q1293" i="5"/>
  <c r="Q1245" i="5"/>
  <c r="Q1197" i="5"/>
  <c r="Q1149" i="5"/>
  <c r="Q1384" i="5"/>
  <c r="Q1336" i="5"/>
  <c r="Q1288" i="5"/>
  <c r="Q1240" i="5"/>
  <c r="Q1192" i="5"/>
  <c r="Q1144" i="5"/>
  <c r="Q1096" i="5"/>
  <c r="Q1387" i="5"/>
  <c r="Q1339" i="5"/>
  <c r="Q1291" i="5"/>
  <c r="Q1243" i="5"/>
  <c r="Q1195" i="5"/>
  <c r="Q1147" i="5"/>
  <c r="Q1099" i="5"/>
  <c r="Q1374" i="5"/>
  <c r="Q1278" i="5"/>
  <c r="Q1182" i="5"/>
  <c r="Q1394" i="5"/>
  <c r="Q1298" i="5"/>
  <c r="Q1202" i="5"/>
  <c r="Q1060" i="5"/>
  <c r="Q1012" i="5"/>
  <c r="Q964" i="5"/>
  <c r="Q916" i="5"/>
  <c r="Q1067" i="5"/>
  <c r="Q1043" i="5"/>
  <c r="Q878" i="5"/>
  <c r="Q830" i="5"/>
  <c r="Q782" i="5"/>
  <c r="Q734" i="5"/>
  <c r="Q686" i="5"/>
  <c r="Q638" i="5"/>
  <c r="Q590" i="5"/>
  <c r="Q542" i="5"/>
  <c r="Q494" i="5"/>
  <c r="Q446" i="5"/>
  <c r="Q1021" i="5"/>
  <c r="Q1038" i="5"/>
  <c r="Q1057" i="5"/>
  <c r="Q905" i="5"/>
  <c r="Q1033" i="5"/>
  <c r="Q1086" i="5"/>
  <c r="Q954" i="5"/>
  <c r="Q769" i="5"/>
  <c r="Q795" i="5"/>
  <c r="Q603" i="5"/>
  <c r="Q927" i="5"/>
  <c r="Q751" i="5"/>
  <c r="Q1013" i="5"/>
  <c r="Q836" i="5"/>
  <c r="Q966" i="5"/>
  <c r="Q1010" i="5"/>
  <c r="Q851" i="5"/>
  <c r="Q1001" i="5"/>
  <c r="Q867" i="5"/>
  <c r="Q883" i="5"/>
  <c r="Q693" i="5"/>
  <c r="Q497" i="5"/>
  <c r="Q991" i="5"/>
  <c r="Q697" i="5"/>
  <c r="Q457" i="5"/>
  <c r="Q382" i="5"/>
  <c r="Q334" i="5"/>
  <c r="Q286" i="5"/>
  <c r="Q238" i="5"/>
  <c r="Q190" i="5"/>
  <c r="Q142" i="5"/>
  <c r="Q94" i="5"/>
  <c r="Q40" i="5"/>
  <c r="Q412" i="5"/>
  <c r="Q124" i="5"/>
  <c r="Q596" i="5"/>
  <c r="Q383" i="5"/>
  <c r="Q1381" i="5"/>
  <c r="Q1333" i="5"/>
  <c r="Q1285" i="5"/>
  <c r="Q1237" i="5"/>
  <c r="Q1189" i="5"/>
  <c r="Q1141" i="5"/>
  <c r="Q1376" i="5"/>
  <c r="Q1328" i="5"/>
  <c r="Q1280" i="5"/>
  <c r="Q1232" i="5"/>
  <c r="Q1184" i="5"/>
  <c r="Q1136" i="5"/>
  <c r="Q1088" i="5"/>
  <c r="Q1379" i="5"/>
  <c r="Q1331" i="5"/>
  <c r="Q1283" i="5"/>
  <c r="Q1235" i="5"/>
  <c r="Q1187" i="5"/>
  <c r="Q1139" i="5"/>
  <c r="Q1091" i="5"/>
  <c r="Q1358" i="5"/>
  <c r="Q1262" i="5"/>
  <c r="Q1166" i="5"/>
  <c r="Q1378" i="5"/>
  <c r="Q1282" i="5"/>
  <c r="Q1186" i="5"/>
  <c r="Q1052" i="5"/>
  <c r="Q1004" i="5"/>
  <c r="Q956" i="5"/>
  <c r="Q908" i="5"/>
  <c r="Q1041" i="5"/>
  <c r="Q1017" i="5"/>
  <c r="Q870" i="5"/>
  <c r="Q822" i="5"/>
  <c r="Q774" i="5"/>
  <c r="Q726" i="5"/>
  <c r="Q678" i="5"/>
  <c r="Q630" i="5"/>
  <c r="Q582" i="5"/>
  <c r="Q534" i="5"/>
  <c r="Q486" i="5"/>
  <c r="Q438" i="5"/>
  <c r="Q986" i="5"/>
  <c r="Q1003" i="5"/>
  <c r="Q1018" i="5"/>
  <c r="Q863" i="5"/>
  <c r="Q978" i="5"/>
  <c r="Q1026" i="5"/>
  <c r="Q933" i="5"/>
  <c r="Q1093" i="5"/>
  <c r="Q760" i="5"/>
  <c r="Q568" i="5"/>
  <c r="Q917" i="5"/>
  <c r="Q716" i="5"/>
  <c r="Q1377" i="5"/>
  <c r="Q1329" i="5"/>
  <c r="Q1281" i="5"/>
  <c r="Q1233" i="5"/>
  <c r="Q1185" i="5"/>
  <c r="Q1137" i="5"/>
  <c r="Q1372" i="5"/>
  <c r="Q1324" i="5"/>
  <c r="Q1276" i="5"/>
  <c r="Q1228" i="5"/>
  <c r="Q1180" i="5"/>
  <c r="Q1132" i="5"/>
  <c r="Q1084" i="5"/>
  <c r="Q1375" i="5"/>
  <c r="Q1327" i="5"/>
  <c r="Q1279" i="5"/>
  <c r="Q1231" i="5"/>
  <c r="Q1183" i="5"/>
  <c r="Q1135" i="5"/>
  <c r="Q1087" i="5"/>
  <c r="Q1350" i="5"/>
  <c r="Q1254" i="5"/>
  <c r="Q1158" i="5"/>
  <c r="Q1370" i="5"/>
  <c r="Q1274" i="5"/>
  <c r="Q1178" i="5"/>
  <c r="Q1048" i="5"/>
  <c r="Q1000" i="5"/>
  <c r="Q952" i="5"/>
  <c r="Q904" i="5"/>
  <c r="Q1019" i="5"/>
  <c r="Q995" i="5"/>
  <c r="Q866" i="5"/>
  <c r="Q818" i="5"/>
  <c r="Q770" i="5"/>
  <c r="Q722" i="5"/>
  <c r="Q674" i="5"/>
  <c r="Q626" i="5"/>
  <c r="Q578" i="5"/>
  <c r="Q530" i="5"/>
  <c r="Q482" i="5"/>
  <c r="Q434" i="5"/>
  <c r="Q973" i="5"/>
  <c r="Q990" i="5"/>
  <c r="Q1090" i="5"/>
  <c r="Q841" i="5"/>
  <c r="Q1097" i="5"/>
  <c r="Q1102" i="5"/>
  <c r="Q902" i="5"/>
  <c r="Q1077" i="5"/>
  <c r="Q747" i="5"/>
  <c r="Q555" i="5"/>
  <c r="Q891" i="5"/>
  <c r="Q703" i="5"/>
  <c r="Q859" i="5"/>
  <c r="Q792" i="5"/>
  <c r="Q885" i="5"/>
  <c r="Q923" i="5"/>
  <c r="Q801" i="5"/>
  <c r="Q958" i="5"/>
  <c r="Q757" i="5"/>
  <c r="Q855" i="5"/>
  <c r="Q659" i="5"/>
  <c r="Q449" i="5"/>
  <c r="Q871" i="5"/>
  <c r="Q1373" i="5"/>
  <c r="Q1325" i="5"/>
  <c r="Q1277" i="5"/>
  <c r="Q1229" i="5"/>
  <c r="Q1181" i="5"/>
  <c r="Q1133" i="5"/>
  <c r="Q1368" i="5"/>
  <c r="Q1320" i="5"/>
  <c r="Q1272" i="5"/>
  <c r="Q1224" i="5"/>
  <c r="Q1176" i="5"/>
  <c r="Q1128" i="5"/>
  <c r="Q1080" i="5"/>
  <c r="Q1371" i="5"/>
  <c r="Q1323" i="5"/>
  <c r="Q1275" i="5"/>
  <c r="Q1227" i="5"/>
  <c r="Q1179" i="5"/>
  <c r="Q1131" i="5"/>
  <c r="Q1083" i="5"/>
  <c r="Q1342" i="5"/>
  <c r="Q1246" i="5"/>
  <c r="Q1150" i="5"/>
  <c r="Q1362" i="5"/>
  <c r="Q1266" i="5"/>
  <c r="Q1170" i="5"/>
  <c r="Q1044" i="5"/>
  <c r="Q996" i="5"/>
  <c r="Q948" i="5"/>
  <c r="Q900" i="5"/>
  <c r="Q1006" i="5"/>
  <c r="Q982" i="5"/>
  <c r="Q862" i="5"/>
  <c r="Q814" i="5"/>
  <c r="Q766" i="5"/>
  <c r="Q718" i="5"/>
  <c r="Q670" i="5"/>
  <c r="Q622" i="5"/>
  <c r="Q574" i="5"/>
  <c r="Q526" i="5"/>
  <c r="Q478" i="5"/>
  <c r="Q430" i="5"/>
  <c r="Q951" i="5"/>
  <c r="Q977" i="5"/>
  <c r="Q1023" i="5"/>
  <c r="Q828" i="5"/>
  <c r="Q1066" i="5"/>
  <c r="Q1070" i="5"/>
  <c r="Q897" i="5"/>
  <c r="Q1058" i="5"/>
  <c r="Q725" i="5"/>
  <c r="Q971" i="3"/>
  <c r="Q831" i="3"/>
  <c r="Q959" i="3"/>
  <c r="Q1199" i="3"/>
  <c r="Q712" i="3"/>
  <c r="Q902" i="3"/>
  <c r="Q507" i="3"/>
  <c r="Q544" i="3"/>
  <c r="Q625" i="3"/>
  <c r="Q697" i="3"/>
  <c r="Q953" i="3"/>
  <c r="Q1151" i="3"/>
  <c r="Q1305" i="3"/>
  <c r="Q1216" i="3"/>
  <c r="Q110" i="3"/>
  <c r="Q240" i="3"/>
  <c r="Q639" i="3"/>
  <c r="Q1265" i="3"/>
  <c r="Q1215" i="3"/>
  <c r="Q840" i="3"/>
  <c r="Q1381" i="3"/>
  <c r="Q458" i="3"/>
  <c r="Q1369" i="3"/>
  <c r="Q618" i="3"/>
  <c r="Q889" i="3"/>
  <c r="Q1103" i="3"/>
  <c r="Q1237" i="3"/>
  <c r="Q1075" i="3"/>
  <c r="Q126" i="3"/>
  <c r="Q1385" i="3"/>
  <c r="Q699" i="3"/>
  <c r="Q683" i="3"/>
  <c r="Q783" i="3"/>
  <c r="Q1387" i="3"/>
  <c r="Q966" i="3"/>
  <c r="Q866" i="3"/>
  <c r="Q624" i="3"/>
  <c r="Q802" i="3"/>
  <c r="Q763" i="3"/>
  <c r="Q1007" i="3"/>
  <c r="Q1388" i="3"/>
  <c r="Q1303" i="3"/>
  <c r="Q1072" i="3"/>
  <c r="Q543" i="3"/>
  <c r="Q1186" i="3"/>
  <c r="Q1326" i="3"/>
  <c r="Q125" i="3"/>
  <c r="Q1092" i="3"/>
  <c r="Q1396" i="3"/>
  <c r="Q555" i="3"/>
  <c r="Q1273" i="3"/>
  <c r="Q1299" i="3"/>
  <c r="Q1320" i="3"/>
  <c r="Q66" i="3"/>
  <c r="Q617" i="3"/>
  <c r="Q823" i="3"/>
  <c r="Q915" i="3"/>
  <c r="Q1202" i="3"/>
  <c r="Q265" i="3"/>
  <c r="Q521" i="3"/>
  <c r="Q1310" i="3"/>
  <c r="Q1152" i="3"/>
  <c r="Q528" i="3"/>
  <c r="Q1231" i="3"/>
  <c r="Q288" i="3"/>
  <c r="Q1027" i="3"/>
  <c r="Q1302" i="3"/>
  <c r="Q1327" i="3"/>
  <c r="Q1044" i="3"/>
  <c r="Q1372" i="3"/>
  <c r="Q464" i="3"/>
  <c r="Q1243" i="3"/>
  <c r="Q1247" i="3"/>
  <c r="Q1296" i="3"/>
  <c r="Q1391" i="3"/>
  <c r="Q540" i="3"/>
  <c r="Q759" i="3"/>
  <c r="Q853" i="3"/>
  <c r="Q1058" i="3"/>
  <c r="Q648" i="3"/>
  <c r="Q560" i="3"/>
  <c r="Q774" i="3"/>
  <c r="Q1392" i="3"/>
  <c r="Q827" i="3"/>
  <c r="Q888" i="3"/>
  <c r="Q1278" i="3"/>
  <c r="Q1251" i="3"/>
  <c r="Q994" i="3"/>
  <c r="Q1348" i="3"/>
  <c r="Q314" i="3"/>
  <c r="Q1204" i="3"/>
  <c r="Q1184" i="3"/>
  <c r="Q1272" i="3"/>
  <c r="Q1367" i="3"/>
  <c r="Q447" i="3"/>
  <c r="Q688" i="3"/>
  <c r="Q756" i="3"/>
  <c r="Q744" i="3"/>
  <c r="Q264" i="3"/>
  <c r="Q1192" i="3"/>
  <c r="Q1298" i="3"/>
  <c r="Q1294" i="3"/>
  <c r="Q1401" i="3"/>
  <c r="Q1289" i="3"/>
  <c r="Q1398" i="3"/>
  <c r="Q1345" i="3"/>
  <c r="Q1196" i="3"/>
  <c r="Q1250" i="3"/>
  <c r="Q1096" i="3"/>
  <c r="Q936" i="3"/>
  <c r="Q1324" i="3"/>
  <c r="Q108" i="3"/>
  <c r="Q1156" i="3"/>
  <c r="Q1088" i="3"/>
  <c r="Q1240" i="3"/>
  <c r="Q1343" i="3"/>
  <c r="Q270" i="3"/>
  <c r="Q266" i="3"/>
  <c r="Q32" i="3"/>
  <c r="Q557" i="3"/>
  <c r="Q308" i="3"/>
  <c r="Q1115" i="3"/>
  <c r="Q954" i="3"/>
  <c r="Q395" i="3"/>
  <c r="Q1313" i="3"/>
  <c r="Q1119" i="3"/>
  <c r="Q640" i="3"/>
  <c r="Q745" i="3"/>
  <c r="Q1248" i="3"/>
  <c r="Q989" i="3"/>
  <c r="Q1011" i="3"/>
  <c r="Q554" i="3"/>
  <c r="Q1107" i="3"/>
  <c r="Q1271" i="3"/>
  <c r="Q1366" i="3"/>
  <c r="Q47" i="3"/>
  <c r="Q1160" i="3"/>
  <c r="Q167" i="3"/>
  <c r="Q208" i="3"/>
  <c r="Q1351" i="3"/>
  <c r="Q1071" i="3"/>
  <c r="Q480" i="3"/>
  <c r="Q673" i="3"/>
  <c r="Q1211" i="3"/>
  <c r="Q628" i="3"/>
  <c r="Q958" i="3"/>
  <c r="Q95" i="3"/>
  <c r="Q1059" i="3"/>
  <c r="Q1239" i="3"/>
  <c r="Q1342" i="3"/>
  <c r="Q1311" i="3"/>
  <c r="Q931" i="3"/>
  <c r="Q1165" i="3"/>
  <c r="Q219" i="3"/>
  <c r="Q570" i="3"/>
  <c r="Q1328" i="3"/>
  <c r="Q914" i="3"/>
  <c r="Q461" i="3"/>
  <c r="Q1093" i="3"/>
  <c r="Q1114" i="3"/>
  <c r="Q24" i="3"/>
  <c r="Q1230" i="3"/>
  <c r="Q1229" i="3"/>
  <c r="Q21" i="3"/>
  <c r="Q1120" i="3"/>
  <c r="Q1232" i="3"/>
  <c r="Q1024" i="3"/>
  <c r="Q1212" i="3"/>
  <c r="Q998" i="3"/>
  <c r="Q1399" i="3"/>
  <c r="Q1132" i="3"/>
  <c r="Q185" i="3"/>
  <c r="Q1380" i="3"/>
  <c r="Q923" i="3"/>
  <c r="Q1331" i="3"/>
  <c r="Q168" i="3"/>
  <c r="Q651" i="3"/>
  <c r="Q1124" i="3"/>
  <c r="Q1304" i="3"/>
  <c r="Q398" i="3"/>
  <c r="Q1066" i="3"/>
  <c r="Q845" i="3"/>
  <c r="Q205" i="3"/>
  <c r="Q1048" i="3"/>
  <c r="Q1374" i="3"/>
  <c r="Q1214" i="3"/>
  <c r="Q906" i="3"/>
  <c r="Q474" i="3"/>
  <c r="Q972" i="3"/>
  <c r="Q1361" i="3"/>
  <c r="Q1188" i="3"/>
  <c r="Q875" i="3"/>
  <c r="Q414" i="3"/>
  <c r="Q848" i="3"/>
  <c r="Q1300" i="3"/>
  <c r="Q1067" i="3"/>
  <c r="Q707" i="3"/>
  <c r="Q1383" i="3"/>
  <c r="Q1183" i="3"/>
  <c r="Q1321" i="3"/>
  <c r="Q1108" i="3"/>
  <c r="Q769" i="3"/>
  <c r="Q73" i="3"/>
  <c r="Q901" i="3"/>
  <c r="Q1159" i="3"/>
  <c r="Q1368" i="3"/>
  <c r="Q1203" i="3"/>
  <c r="Q892" i="3"/>
  <c r="Q448" i="3"/>
  <c r="Q1319" i="3"/>
  <c r="Q1104" i="3"/>
  <c r="Q760" i="3"/>
  <c r="Q52" i="3"/>
  <c r="Q1270" i="3"/>
  <c r="Q1006" i="3"/>
  <c r="Q539" i="3"/>
  <c r="Q399" i="3"/>
  <c r="Q1353" i="3"/>
  <c r="Q1100" i="3"/>
  <c r="Q491" i="3"/>
  <c r="Q1322" i="3"/>
  <c r="Q1292" i="3"/>
  <c r="Q716" i="3"/>
  <c r="Q904" i="3"/>
  <c r="Q365" i="3"/>
  <c r="Q1021" i="3"/>
  <c r="Q508" i="3"/>
  <c r="Q330" i="3"/>
  <c r="Q1042" i="3"/>
  <c r="Q1077" i="3"/>
  <c r="Q677" i="3"/>
  <c r="Q1074" i="3"/>
  <c r="Q1097" i="3"/>
  <c r="Q186" i="3"/>
  <c r="Q885" i="3"/>
  <c r="Q487" i="3"/>
  <c r="Q1386" i="3"/>
  <c r="Q522" i="3"/>
  <c r="Q1373" i="3"/>
  <c r="Q473" i="3"/>
  <c r="Q1312" i="3"/>
  <c r="Q740" i="3"/>
  <c r="Q1262" i="3"/>
  <c r="Q800" i="3"/>
  <c r="Q1015" i="3"/>
  <c r="Q1224" i="3"/>
  <c r="Q1128" i="3"/>
  <c r="Q1282" i="3"/>
  <c r="Q702" i="3"/>
  <c r="Q532" i="3"/>
  <c r="Q787" i="3"/>
  <c r="Q1045" i="3"/>
  <c r="Q363" i="3"/>
  <c r="Q1218" i="3"/>
  <c r="Q631" i="3"/>
  <c r="Q941" i="3"/>
  <c r="Q1362" i="3"/>
  <c r="Q1191" i="3"/>
  <c r="Q876" i="3"/>
  <c r="Q416" i="3"/>
  <c r="Q910" i="3"/>
  <c r="Q1349" i="3"/>
  <c r="Q1164" i="3"/>
  <c r="Q841" i="3"/>
  <c r="Q318" i="3"/>
  <c r="Q715" i="3"/>
  <c r="Q1288" i="3"/>
  <c r="Q1043" i="3"/>
  <c r="Q672" i="3"/>
  <c r="Q1335" i="3"/>
  <c r="Q1135" i="3"/>
  <c r="Q1309" i="3"/>
  <c r="Q1084" i="3"/>
  <c r="Q732" i="3"/>
  <c r="Q1375" i="3"/>
  <c r="Q773" i="3"/>
  <c r="Q1063" i="3"/>
  <c r="Q1356" i="3"/>
  <c r="Q1179" i="3"/>
  <c r="Q862" i="3"/>
  <c r="Q377" i="3"/>
  <c r="Q1307" i="3"/>
  <c r="Q1080" i="3"/>
  <c r="Q726" i="3"/>
  <c r="Q1402" i="3"/>
  <c r="Q1256" i="3"/>
  <c r="Q979" i="3"/>
  <c r="Q492" i="3"/>
  <c r="Q1370" i="3"/>
  <c r="Q1341" i="3"/>
  <c r="Q1076" i="3"/>
  <c r="Q433" i="3"/>
  <c r="Q1274" i="3"/>
  <c r="Q1280" i="3"/>
  <c r="Q529" i="3"/>
  <c r="Q839" i="3"/>
  <c r="Q287" i="3"/>
  <c r="Q955" i="3"/>
  <c r="Q428" i="3"/>
  <c r="Q252" i="3"/>
  <c r="Q965" i="3"/>
  <c r="Q990" i="3"/>
  <c r="Q662" i="3"/>
  <c r="Q1026" i="3"/>
  <c r="Q947" i="3"/>
  <c r="Q778" i="3"/>
  <c r="Q801" i="3"/>
  <c r="Q475" i="3"/>
  <c r="Q1055" i="3"/>
  <c r="Q867" i="3"/>
  <c r="Q1377" i="3"/>
  <c r="Q1148" i="3"/>
  <c r="Q591" i="3"/>
  <c r="Q983" i="3"/>
  <c r="Q426" i="3"/>
  <c r="Q937" i="3"/>
  <c r="Q58" i="3"/>
  <c r="Q940" i="3"/>
  <c r="Q905" i="3"/>
  <c r="Q1091" i="3"/>
  <c r="Q1333" i="3"/>
  <c r="Q1244" i="3"/>
  <c r="Q496" i="3"/>
  <c r="Q796" i="3"/>
  <c r="Q1031" i="3"/>
  <c r="Q1365" i="3"/>
  <c r="Q303" i="3"/>
  <c r="Q930" i="3"/>
  <c r="Q541" i="3"/>
  <c r="Q1125" i="3"/>
  <c r="Q1181" i="3"/>
  <c r="Q933" i="3"/>
  <c r="Q879" i="3"/>
  <c r="Q1350" i="3"/>
  <c r="Q1167" i="3"/>
  <c r="Q844" i="3"/>
  <c r="Q329" i="3"/>
  <c r="Q815" i="3"/>
  <c r="Q1337" i="3"/>
  <c r="Q1140" i="3"/>
  <c r="Q810" i="3"/>
  <c r="Q221" i="3"/>
  <c r="Q336" i="3"/>
  <c r="Q1276" i="3"/>
  <c r="Q1019" i="3"/>
  <c r="Q635" i="3"/>
  <c r="Q1263" i="3"/>
  <c r="Q1039" i="3"/>
  <c r="Q1297" i="3"/>
  <c r="Q1060" i="3"/>
  <c r="Q698" i="3"/>
  <c r="Q1371" i="3"/>
  <c r="Q739" i="3"/>
  <c r="Q1014" i="3"/>
  <c r="Q1344" i="3"/>
  <c r="Q1155" i="3"/>
  <c r="Q828" i="3"/>
  <c r="Q281" i="3"/>
  <c r="Q1295" i="3"/>
  <c r="Q1056" i="3"/>
  <c r="Q691" i="3"/>
  <c r="Q1390" i="3"/>
  <c r="Q1238" i="3"/>
  <c r="Q949" i="3"/>
  <c r="Q443" i="3"/>
  <c r="Q1346" i="3"/>
  <c r="Q1329" i="3"/>
  <c r="Q976" i="3"/>
  <c r="Q351" i="3"/>
  <c r="Q835" i="3"/>
  <c r="Q1268" i="3"/>
  <c r="Q481" i="3"/>
  <c r="Q826" i="3"/>
  <c r="Q269" i="3"/>
  <c r="Q942" i="3"/>
  <c r="Q412" i="3"/>
  <c r="Q234" i="3"/>
  <c r="Q913" i="3"/>
  <c r="Q833" i="3"/>
  <c r="Q470" i="3"/>
  <c r="Q935" i="3"/>
  <c r="Q934" i="3"/>
  <c r="Q730" i="3"/>
  <c r="Q657" i="3"/>
  <c r="Q331" i="3"/>
  <c r="Q784" i="3"/>
  <c r="Q1338" i="3"/>
  <c r="Q1143" i="3"/>
  <c r="Q814" i="3"/>
  <c r="Q233" i="3"/>
  <c r="Q749" i="3"/>
  <c r="Q1325" i="3"/>
  <c r="Q1116" i="3"/>
  <c r="Q779" i="3"/>
  <c r="Q113" i="3"/>
  <c r="Q1408" i="3"/>
  <c r="Q1264" i="3"/>
  <c r="Q992" i="3"/>
  <c r="Q592" i="3"/>
  <c r="Q1112" i="3"/>
  <c r="Q928" i="3"/>
  <c r="Q1285" i="3"/>
  <c r="Q1036" i="3"/>
  <c r="Q661" i="3"/>
  <c r="Q1347" i="3"/>
  <c r="Q666" i="3"/>
  <c r="Q896" i="3"/>
  <c r="Q1332" i="3"/>
  <c r="Q1131" i="3"/>
  <c r="Q797" i="3"/>
  <c r="Q180" i="3"/>
  <c r="Q1283" i="3"/>
  <c r="Q1032" i="3"/>
  <c r="Q654" i="3"/>
  <c r="Q1378" i="3"/>
  <c r="Q1220" i="3"/>
  <c r="Q918" i="3"/>
  <c r="Q362" i="3"/>
  <c r="Q1286" i="3"/>
  <c r="Q1317" i="3"/>
  <c r="Q946" i="3"/>
  <c r="Q255" i="3"/>
  <c r="Q665" i="3"/>
  <c r="Q1236" i="3"/>
  <c r="Q144" i="3"/>
  <c r="Q772" i="3"/>
  <c r="Q203" i="3"/>
  <c r="Q890" i="3"/>
  <c r="Q349" i="3"/>
  <c r="Q162" i="3"/>
  <c r="Q821" i="3"/>
  <c r="Q820" i="3"/>
  <c r="Q407" i="3"/>
  <c r="Q776" i="3"/>
  <c r="Q775" i="3"/>
  <c r="Q646" i="3"/>
  <c r="Q645" i="3"/>
  <c r="Q283" i="3"/>
  <c r="Q649" i="3"/>
  <c r="Q293" i="3"/>
  <c r="Q762" i="3"/>
  <c r="Q719" i="3"/>
  <c r="Q502" i="3"/>
  <c r="Q501" i="3"/>
  <c r="Q199" i="3"/>
  <c r="Q603" i="3"/>
  <c r="Q1314" i="3"/>
  <c r="Q1095" i="3"/>
  <c r="Q746" i="3"/>
  <c r="Q1363" i="3"/>
  <c r="Q565" i="3"/>
  <c r="Q1301" i="3"/>
  <c r="Q1068" i="3"/>
  <c r="Q711" i="3"/>
  <c r="Q1339" i="3"/>
  <c r="Q1384" i="3"/>
  <c r="Q1228" i="3"/>
  <c r="Q932" i="3"/>
  <c r="Q512" i="3"/>
  <c r="Q805" i="3"/>
  <c r="Q701" i="3"/>
  <c r="Q1261" i="3"/>
  <c r="Q985" i="3"/>
  <c r="Q587" i="3"/>
  <c r="Q1287" i="3"/>
  <c r="Q462" i="3"/>
  <c r="Q735" i="3"/>
  <c r="Q1308" i="3"/>
  <c r="Q1083" i="3"/>
  <c r="Q731" i="3"/>
  <c r="Q1403" i="3"/>
  <c r="Q1259" i="3"/>
  <c r="Q980" i="3"/>
  <c r="Q577" i="3"/>
  <c r="Q1354" i="3"/>
  <c r="Q1175" i="3"/>
  <c r="Q854" i="3"/>
  <c r="Q161" i="3"/>
  <c r="Q1111" i="3"/>
  <c r="Q1255" i="3"/>
  <c r="Q883" i="3"/>
  <c r="Q1407" i="3"/>
  <c r="Q459" i="3"/>
  <c r="Q1123" i="3"/>
  <c r="Q1142" i="3"/>
  <c r="Q671" i="3"/>
  <c r="Q72" i="3"/>
  <c r="Q798" i="3"/>
  <c r="Q236" i="3"/>
  <c r="Q26" i="3"/>
  <c r="Q632" i="3"/>
  <c r="Q582" i="3"/>
  <c r="Q83" i="3"/>
  <c r="Q579" i="3"/>
  <c r="Q611" i="3"/>
  <c r="Q490" i="3"/>
  <c r="Q453" i="3"/>
  <c r="Q55" i="3"/>
  <c r="Q653" i="3"/>
  <c r="Q50" i="3"/>
  <c r="Q440" i="3"/>
  <c r="Q369" i="3"/>
  <c r="Q1130" i="3"/>
  <c r="Q785" i="3"/>
  <c r="Q218" i="3"/>
  <c r="Q1258" i="3"/>
  <c r="Q471" i="3"/>
  <c r="Q61" i="3"/>
  <c r="Q516" i="3"/>
  <c r="Q419" i="3"/>
  <c r="Q346" i="3"/>
  <c r="Q43" i="3"/>
  <c r="Q1315" i="3"/>
  <c r="Q425" i="3"/>
  <c r="Q1290" i="3"/>
  <c r="Q1047" i="3"/>
  <c r="Q676" i="3"/>
  <c r="Q1291" i="3"/>
  <c r="Q132" i="3"/>
  <c r="Q1277" i="3"/>
  <c r="Q1020" i="3"/>
  <c r="Q636" i="3"/>
  <c r="Q1267" i="3"/>
  <c r="Q1360" i="3"/>
  <c r="Q1187" i="3"/>
  <c r="Q870" i="3"/>
  <c r="Q410" i="3"/>
  <c r="Q510" i="3"/>
  <c r="Q299" i="3"/>
  <c r="Q1225" i="3"/>
  <c r="Q927" i="3"/>
  <c r="Q506" i="3"/>
  <c r="Q1208" i="3"/>
  <c r="Q1406" i="3"/>
  <c r="Q86" i="3"/>
  <c r="Q1284" i="3"/>
  <c r="Q1035" i="3"/>
  <c r="Q656" i="3"/>
  <c r="Q1379" i="3"/>
  <c r="Q1223" i="3"/>
  <c r="Q919" i="3"/>
  <c r="Q495" i="3"/>
  <c r="Q1330" i="3"/>
  <c r="Q1127" i="3"/>
  <c r="Q792" i="3"/>
  <c r="Q1395" i="3"/>
  <c r="Q770" i="3"/>
  <c r="Q1219" i="3"/>
  <c r="Q822" i="3"/>
  <c r="Q1040" i="3"/>
  <c r="Q1393" i="3"/>
  <c r="Q1051" i="3"/>
  <c r="Q1082" i="3"/>
  <c r="Q590" i="3"/>
  <c r="Q1189" i="3"/>
  <c r="Q727" i="3"/>
  <c r="Q146" i="3"/>
  <c r="Q1210" i="3"/>
  <c r="Q376" i="3"/>
  <c r="Q279" i="3"/>
  <c r="Q373" i="3"/>
  <c r="Q402" i="3"/>
  <c r="Q401" i="3"/>
  <c r="Q298" i="3"/>
  <c r="Q225" i="3"/>
  <c r="Q17" i="3"/>
  <c r="Q206" i="3"/>
  <c r="Q214" i="3"/>
  <c r="Q213" i="3"/>
  <c r="Q1235" i="3"/>
  <c r="Q2" i="3"/>
  <c r="Q1266" i="3"/>
  <c r="Q997" i="3"/>
  <c r="Q602" i="3"/>
  <c r="Q1168" i="3"/>
  <c r="Q1397" i="3"/>
  <c r="Q1249" i="3"/>
  <c r="Q967" i="3"/>
  <c r="Q558" i="3"/>
  <c r="Q1144" i="3"/>
  <c r="Q1336" i="3"/>
  <c r="Q1139" i="3"/>
  <c r="Q809" i="3"/>
  <c r="Q216" i="3"/>
  <c r="Q1358" i="3"/>
  <c r="Q1357" i="3"/>
  <c r="Q1180" i="3"/>
  <c r="Q863" i="3"/>
  <c r="Q384" i="3"/>
  <c r="Q1136" i="3"/>
  <c r="Q1334" i="3"/>
  <c r="Q1404" i="3"/>
  <c r="Q1260" i="3"/>
  <c r="Q984" i="3"/>
  <c r="Q580" i="3"/>
  <c r="Q1355" i="3"/>
  <c r="Q1176" i="3"/>
  <c r="Q857" i="3"/>
  <c r="Q366" i="3"/>
  <c r="Q1306" i="3"/>
  <c r="Q1079" i="3"/>
  <c r="Q725" i="3"/>
  <c r="Q1227" i="3"/>
  <c r="Q1389" i="3"/>
  <c r="Q1172" i="3"/>
  <c r="Q721" i="3"/>
  <c r="Q836" i="3"/>
  <c r="Q1376" i="3"/>
  <c r="Q944" i="3"/>
  <c r="Q996" i="3"/>
  <c r="Q479" i="3"/>
  <c r="Q1105" i="3"/>
  <c r="Q620" i="3"/>
  <c r="Q444" i="3"/>
  <c r="Q1126" i="3"/>
  <c r="Q44" i="3"/>
  <c r="Q42" i="3"/>
  <c r="Q192" i="3"/>
  <c r="Q191" i="3"/>
  <c r="Q134" i="3"/>
  <c r="Q70" i="3"/>
  <c r="Q69" i="3"/>
  <c r="Q135" i="3"/>
  <c r="Q604" i="3"/>
  <c r="Q400" i="3"/>
  <c r="Q568" i="3"/>
  <c r="Q1221" i="3"/>
  <c r="Q767" i="3"/>
  <c r="Q194" i="3"/>
  <c r="Q599" i="3"/>
  <c r="Q500" i="3"/>
  <c r="Q1170" i="3"/>
  <c r="Q704" i="3"/>
  <c r="Q119" i="3"/>
  <c r="Q881" i="3"/>
  <c r="Q338" i="3"/>
  <c r="Q114" i="3"/>
  <c r="Q442" i="3"/>
  <c r="Q10" i="3"/>
  <c r="Q597" i="3"/>
  <c r="Q165" i="3"/>
  <c r="Q427" i="3"/>
  <c r="Q6" i="3"/>
  <c r="Q536" i="3"/>
  <c r="Q1197" i="3"/>
  <c r="Q737" i="3"/>
  <c r="Q158" i="3"/>
  <c r="Q566" i="3"/>
  <c r="Q469" i="3"/>
  <c r="Q1146" i="3"/>
  <c r="Q675" i="3"/>
  <c r="Q78" i="3"/>
  <c r="Q855" i="3"/>
  <c r="Q305" i="3"/>
  <c r="Q74" i="3"/>
  <c r="Q418" i="3"/>
  <c r="Q1005" i="3"/>
  <c r="Q573" i="3"/>
  <c r="Q141" i="3"/>
  <c r="Q403" i="3"/>
  <c r="Q89" i="3"/>
  <c r="Q978" i="3"/>
  <c r="Q457" i="3"/>
  <c r="Q1137" i="3"/>
  <c r="Q663" i="3"/>
  <c r="Q62" i="3"/>
  <c r="Q485" i="3"/>
  <c r="Q388" i="3"/>
  <c r="Q1086" i="3"/>
  <c r="Q594" i="3"/>
  <c r="Q1241" i="3"/>
  <c r="Q790" i="3"/>
  <c r="Q224" i="3"/>
  <c r="Q11" i="3"/>
  <c r="Q358" i="3"/>
  <c r="Q945" i="3"/>
  <c r="Q513" i="3"/>
  <c r="Q81" i="3"/>
  <c r="Q343" i="3"/>
  <c r="Q29" i="3"/>
  <c r="Q887" i="3"/>
  <c r="Q344" i="3"/>
  <c r="Q1053" i="3"/>
  <c r="Q552" i="3"/>
  <c r="Q911" i="3"/>
  <c r="Q374" i="3"/>
  <c r="Q277" i="3"/>
  <c r="Q1000" i="3"/>
  <c r="Q483" i="3"/>
  <c r="Q1157" i="3"/>
  <c r="Q689" i="3"/>
  <c r="Q97" i="3"/>
  <c r="Q706" i="3"/>
  <c r="Q274" i="3"/>
  <c r="Q861" i="3"/>
  <c r="Q429" i="3"/>
  <c r="Q8" i="3"/>
  <c r="Q259" i="3"/>
  <c r="Q195" i="3"/>
  <c r="Q808" i="3"/>
  <c r="Q248" i="3"/>
  <c r="Q977" i="3"/>
  <c r="Q456" i="3"/>
  <c r="Q832" i="3"/>
  <c r="Q278" i="3"/>
  <c r="Q173" i="3"/>
  <c r="Q922" i="3"/>
  <c r="Q387" i="3"/>
  <c r="Q1085" i="3"/>
  <c r="Q593" i="3"/>
  <c r="Q385" i="3"/>
  <c r="Q634" i="3"/>
  <c r="Q202" i="3"/>
  <c r="Q789" i="3"/>
  <c r="Q357" i="3"/>
  <c r="Q619" i="3"/>
  <c r="Q187" i="3"/>
  <c r="Q123" i="3"/>
  <c r="Q752" i="3"/>
  <c r="Q179" i="3"/>
  <c r="Q925" i="3"/>
  <c r="Q390" i="3"/>
  <c r="Q780" i="3"/>
  <c r="Q210" i="3"/>
  <c r="Q100" i="3"/>
  <c r="Q869" i="3"/>
  <c r="Q324" i="3"/>
  <c r="Q1037" i="3"/>
  <c r="Q530" i="3"/>
  <c r="Q320" i="3"/>
  <c r="Q586" i="3"/>
  <c r="Q154" i="3"/>
  <c r="Q741" i="3"/>
  <c r="Q309" i="3"/>
  <c r="Q571" i="3"/>
  <c r="Q139" i="3"/>
  <c r="Q75" i="3"/>
  <c r="Q724" i="3"/>
  <c r="Q143" i="3"/>
  <c r="Q899" i="3"/>
  <c r="Q360" i="3"/>
  <c r="Q750" i="3"/>
  <c r="Q174" i="3"/>
  <c r="Q60" i="3"/>
  <c r="Q843" i="3"/>
  <c r="Q291" i="3"/>
  <c r="Q1012" i="3"/>
  <c r="Q497" i="3"/>
  <c r="Q289" i="3"/>
  <c r="Q562" i="3"/>
  <c r="Q130" i="3"/>
  <c r="Q717" i="3"/>
  <c r="Q285" i="3"/>
  <c r="Q547" i="3"/>
  <c r="Q115" i="3"/>
  <c r="Q51" i="3"/>
  <c r="Q613" i="3"/>
  <c r="Q1064" i="3"/>
  <c r="Q588" i="3"/>
  <c r="Q1293" i="3"/>
  <c r="Q1052" i="3"/>
  <c r="Q687" i="3"/>
  <c r="Q1359" i="3"/>
  <c r="Q1207" i="3"/>
  <c r="Q1364" i="3"/>
  <c r="Q1195" i="3"/>
  <c r="Q880" i="3"/>
  <c r="Q432" i="3"/>
  <c r="Q1118" i="3"/>
  <c r="Q970" i="3"/>
  <c r="Q812" i="3"/>
  <c r="Q638" i="3"/>
  <c r="Q446" i="3"/>
  <c r="Q254" i="3"/>
  <c r="Q30" i="3"/>
  <c r="Q1081" i="3"/>
  <c r="Q929" i="3"/>
  <c r="Q771" i="3"/>
  <c r="Q589" i="3"/>
  <c r="Q397" i="3"/>
  <c r="Q200" i="3"/>
  <c r="Q411" i="3"/>
  <c r="Q217" i="3"/>
  <c r="Q1246" i="3"/>
  <c r="Q1102" i="3"/>
  <c r="Q952" i="3"/>
  <c r="Q795" i="3"/>
  <c r="Q616" i="3"/>
  <c r="Q424" i="3"/>
  <c r="Q232" i="3"/>
  <c r="Q1257" i="3"/>
  <c r="Q1113" i="3"/>
  <c r="Q964" i="3"/>
  <c r="Q807" i="3"/>
  <c r="Q630" i="3"/>
  <c r="Q438" i="3"/>
  <c r="Q246" i="3"/>
  <c r="Q23" i="3"/>
  <c r="Q819" i="3"/>
  <c r="Q647" i="3"/>
  <c r="Q455" i="3"/>
  <c r="Q263" i="3"/>
  <c r="Q40" i="3"/>
  <c r="Q356" i="3"/>
  <c r="Q156" i="3"/>
  <c r="Q1206" i="3"/>
  <c r="Q1062" i="3"/>
  <c r="Q908" i="3"/>
  <c r="Q748" i="3"/>
  <c r="Q564" i="3"/>
  <c r="Q372" i="3"/>
  <c r="Q172" i="3"/>
  <c r="Q1217" i="3"/>
  <c r="Q1073" i="3"/>
  <c r="Q920" i="3"/>
  <c r="Q761" i="3"/>
  <c r="Q578" i="3"/>
  <c r="Q386" i="3"/>
  <c r="Q188" i="3"/>
  <c r="Q368" i="3"/>
  <c r="Q169" i="3"/>
  <c r="Q766" i="3"/>
  <c r="Q622" i="3"/>
  <c r="Q478" i="3"/>
  <c r="Q334" i="3"/>
  <c r="Q190" i="3"/>
  <c r="Q46" i="3"/>
  <c r="Q921" i="3"/>
  <c r="Q777" i="3"/>
  <c r="Q633" i="3"/>
  <c r="Q489" i="3"/>
  <c r="Q345" i="3"/>
  <c r="Q201" i="3"/>
  <c r="Q57" i="3"/>
  <c r="Q607" i="3"/>
  <c r="Q463" i="3"/>
  <c r="Q319" i="3"/>
  <c r="Q175" i="3"/>
  <c r="Q31" i="3"/>
  <c r="Q5" i="3"/>
  <c r="Q111" i="3"/>
  <c r="Q576" i="3"/>
  <c r="Q962" i="3"/>
  <c r="Q197" i="3"/>
  <c r="Q1281" i="3"/>
  <c r="Q1028" i="3"/>
  <c r="Q650" i="3"/>
  <c r="Q1323" i="3"/>
  <c r="Q1087" i="3"/>
  <c r="Q1352" i="3"/>
  <c r="Q1171" i="3"/>
  <c r="Q850" i="3"/>
  <c r="Q347" i="3"/>
  <c r="Q1106" i="3"/>
  <c r="Q956" i="3"/>
  <c r="Q799" i="3"/>
  <c r="Q623" i="3"/>
  <c r="Q431" i="3"/>
  <c r="Q239" i="3"/>
  <c r="Q1213" i="3"/>
  <c r="Q1069" i="3"/>
  <c r="Q916" i="3"/>
  <c r="Q757" i="3"/>
  <c r="Q572" i="3"/>
  <c r="Q380" i="3"/>
  <c r="Q182" i="3"/>
  <c r="Q396" i="3"/>
  <c r="Q198" i="3"/>
  <c r="Q1234" i="3"/>
  <c r="Q1090" i="3"/>
  <c r="Q939" i="3"/>
  <c r="Q782" i="3"/>
  <c r="Q601" i="3"/>
  <c r="Q409" i="3"/>
  <c r="Q215" i="3"/>
  <c r="Q1245" i="3"/>
  <c r="Q1101" i="3"/>
  <c r="Q951" i="3"/>
  <c r="Q794" i="3"/>
  <c r="Q615" i="3"/>
  <c r="Q423" i="3"/>
  <c r="Q230" i="3"/>
  <c r="Q963" i="3"/>
  <c r="Q806" i="3"/>
  <c r="Q629" i="3"/>
  <c r="Q437" i="3"/>
  <c r="Q245" i="3"/>
  <c r="Q20" i="3"/>
  <c r="Q340" i="3"/>
  <c r="Q137" i="3"/>
  <c r="Q1194" i="3"/>
  <c r="Q1050" i="3"/>
  <c r="Q895" i="3"/>
  <c r="Q734" i="3"/>
  <c r="Q546" i="3"/>
  <c r="Q354" i="3"/>
  <c r="Q155" i="3"/>
  <c r="Q1205" i="3"/>
  <c r="Q1061" i="3"/>
  <c r="Q907" i="3"/>
  <c r="Q747" i="3"/>
  <c r="Q563" i="3"/>
  <c r="Q371" i="3"/>
  <c r="Q170" i="3"/>
  <c r="Q352" i="3"/>
  <c r="Q150" i="3"/>
  <c r="Q754" i="3"/>
  <c r="Q610" i="3"/>
  <c r="Q466" i="3"/>
  <c r="Q322" i="3"/>
  <c r="Q178" i="3"/>
  <c r="Q34" i="3"/>
  <c r="Q909" i="3"/>
  <c r="Q765" i="3"/>
  <c r="Q621" i="3"/>
  <c r="Q477" i="3"/>
  <c r="Q333" i="3"/>
  <c r="Q189" i="3"/>
  <c r="Q45" i="3"/>
  <c r="Q595" i="3"/>
  <c r="Q451" i="3"/>
  <c r="Q307" i="3"/>
  <c r="Q163" i="3"/>
  <c r="Q19" i="3"/>
  <c r="Q4" i="3"/>
  <c r="Q99" i="3"/>
  <c r="Q1405" i="3"/>
  <c r="Q1269" i="3"/>
  <c r="Q1002" i="3"/>
  <c r="Q608" i="3"/>
  <c r="Q1275" i="3"/>
  <c r="Q988" i="3"/>
  <c r="Q1340" i="3"/>
  <c r="Q1147" i="3"/>
  <c r="Q818" i="3"/>
  <c r="Q251" i="3"/>
  <c r="Q1094" i="3"/>
  <c r="Q943" i="3"/>
  <c r="Q786" i="3"/>
  <c r="Q605" i="3"/>
  <c r="Q413" i="3"/>
  <c r="Q220" i="3"/>
  <c r="Q1201" i="3"/>
  <c r="Q1057" i="3"/>
  <c r="Q903" i="3"/>
  <c r="Q743" i="3"/>
  <c r="Q556" i="3"/>
  <c r="Q364" i="3"/>
  <c r="Q164" i="3"/>
  <c r="Q378" i="3"/>
  <c r="Q181" i="3"/>
  <c r="Q1222" i="3"/>
  <c r="Q1078" i="3"/>
  <c r="Q926" i="3"/>
  <c r="Q768" i="3"/>
  <c r="Q584" i="3"/>
  <c r="Q392" i="3"/>
  <c r="Q196" i="3"/>
  <c r="Q1233" i="3"/>
  <c r="Q1089" i="3"/>
  <c r="Q938" i="3"/>
  <c r="Q781" i="3"/>
  <c r="Q600" i="3"/>
  <c r="Q408" i="3"/>
  <c r="Q212" i="3"/>
  <c r="Q950" i="3"/>
  <c r="Q793" i="3"/>
  <c r="Q614" i="3"/>
  <c r="Q422" i="3"/>
  <c r="Q229" i="3"/>
  <c r="Q517" i="3"/>
  <c r="Q325" i="3"/>
  <c r="Q120" i="3"/>
  <c r="Q1182" i="3"/>
  <c r="Q1038" i="3"/>
  <c r="Q882" i="3"/>
  <c r="Q720" i="3"/>
  <c r="Q531" i="3"/>
  <c r="Q339" i="3"/>
  <c r="Q136" i="3"/>
  <c r="Q1193" i="3"/>
  <c r="Q1049" i="3"/>
  <c r="Q894" i="3"/>
  <c r="Q733" i="3"/>
  <c r="Q545" i="3"/>
  <c r="Q353" i="3"/>
  <c r="Q152" i="3"/>
  <c r="Q337" i="3"/>
  <c r="Q133" i="3"/>
  <c r="Q742" i="3"/>
  <c r="Q598" i="3"/>
  <c r="Q454" i="3"/>
  <c r="Q310" i="3"/>
  <c r="Q166" i="3"/>
  <c r="Q22" i="3"/>
  <c r="Q897" i="3"/>
  <c r="Q753" i="3"/>
  <c r="Q609" i="3"/>
  <c r="Q465" i="3"/>
  <c r="Q321" i="3"/>
  <c r="Q177" i="3"/>
  <c r="Q33" i="3"/>
  <c r="Q583" i="3"/>
  <c r="Q439" i="3"/>
  <c r="Q295" i="3"/>
  <c r="Q151" i="3"/>
  <c r="Q7" i="3"/>
  <c r="Q231" i="3"/>
  <c r="Q87" i="3"/>
  <c r="Q1316" i="3"/>
  <c r="Q1099" i="3"/>
  <c r="Q755" i="3"/>
  <c r="Q25" i="3"/>
  <c r="Q1070" i="3"/>
  <c r="Q917" i="3"/>
  <c r="Q758" i="3"/>
  <c r="Q575" i="3"/>
  <c r="Q383" i="3"/>
  <c r="Q184" i="3"/>
  <c r="Q1177" i="3"/>
  <c r="Q1033" i="3"/>
  <c r="Q877" i="3"/>
  <c r="Q713" i="3"/>
  <c r="Q524" i="3"/>
  <c r="Q332" i="3"/>
  <c r="Q128" i="3"/>
  <c r="Q348" i="3"/>
  <c r="Q145" i="3"/>
  <c r="Q1198" i="3"/>
  <c r="Q1054" i="3"/>
  <c r="Q900" i="3"/>
  <c r="Q738" i="3"/>
  <c r="Q553" i="3"/>
  <c r="Q361" i="3"/>
  <c r="Q160" i="3"/>
  <c r="Q1209" i="3"/>
  <c r="Q1065" i="3"/>
  <c r="Q912" i="3"/>
  <c r="Q751" i="3"/>
  <c r="Q567" i="3"/>
  <c r="Q375" i="3"/>
  <c r="Q176" i="3"/>
  <c r="Q924" i="3"/>
  <c r="Q764" i="3"/>
  <c r="Q581" i="3"/>
  <c r="Q389" i="3"/>
  <c r="Q193" i="3"/>
  <c r="Q484" i="3"/>
  <c r="Q292" i="3"/>
  <c r="Q80" i="3"/>
  <c r="Q1158" i="3"/>
  <c r="Q1013" i="3"/>
  <c r="Q856" i="3"/>
  <c r="Q690" i="3"/>
  <c r="Q498" i="3"/>
  <c r="Q306" i="3"/>
  <c r="Q98" i="3"/>
  <c r="Q1169" i="3"/>
  <c r="Q1025" i="3"/>
  <c r="Q868" i="3"/>
  <c r="Q703" i="3"/>
  <c r="Q515" i="3"/>
  <c r="Q323" i="3"/>
  <c r="Q116" i="3"/>
  <c r="Q304" i="3"/>
  <c r="Q96" i="3"/>
  <c r="Q718" i="3"/>
  <c r="Q574" i="3"/>
  <c r="Q430" i="3"/>
  <c r="Q286" i="3"/>
  <c r="Q142" i="3"/>
  <c r="Q1017" i="3"/>
  <c r="Q873" i="3"/>
  <c r="Q729" i="3"/>
  <c r="Q585" i="3"/>
  <c r="Q441" i="3"/>
  <c r="Q297" i="3"/>
  <c r="Q153" i="3"/>
  <c r="Q9" i="3"/>
  <c r="Q559" i="3"/>
  <c r="Q415" i="3"/>
  <c r="Q271" i="3"/>
  <c r="Q127" i="3"/>
  <c r="Q101" i="3"/>
  <c r="Q207" i="3"/>
  <c r="Q63" i="3"/>
  <c r="Q684" i="3"/>
  <c r="Q1190" i="3"/>
  <c r="Q1046" i="3"/>
  <c r="Q891" i="3"/>
  <c r="Q728" i="3"/>
  <c r="Q542" i="3"/>
  <c r="Q350" i="3"/>
  <c r="Q148" i="3"/>
  <c r="Q1153" i="3"/>
  <c r="Q1008" i="3"/>
  <c r="Q851" i="3"/>
  <c r="Q685" i="3"/>
  <c r="Q493" i="3"/>
  <c r="Q301" i="3"/>
  <c r="Q90" i="3"/>
  <c r="Q315" i="3"/>
  <c r="Q109" i="3"/>
  <c r="Q1174" i="3"/>
  <c r="Q1030" i="3"/>
  <c r="Q874" i="3"/>
  <c r="Q710" i="3"/>
  <c r="Q520" i="3"/>
  <c r="Q328" i="3"/>
  <c r="Q124" i="3"/>
  <c r="Q1185" i="3"/>
  <c r="Q1041" i="3"/>
  <c r="Q886" i="3"/>
  <c r="Q723" i="3"/>
  <c r="Q534" i="3"/>
  <c r="Q342" i="3"/>
  <c r="Q140" i="3"/>
  <c r="Q898" i="3"/>
  <c r="Q736" i="3"/>
  <c r="Q551" i="3"/>
  <c r="Q359" i="3"/>
  <c r="Q157" i="3"/>
  <c r="Q452" i="3"/>
  <c r="Q260" i="3"/>
  <c r="Q38" i="3"/>
  <c r="Q1134" i="3"/>
  <c r="Q987" i="3"/>
  <c r="Q830" i="3"/>
  <c r="Q660" i="3"/>
  <c r="Q468" i="3"/>
  <c r="Q276" i="3"/>
  <c r="Q59" i="3"/>
  <c r="Q1145" i="3"/>
  <c r="Q999" i="3"/>
  <c r="Q842" i="3"/>
  <c r="Q674" i="3"/>
  <c r="Q482" i="3"/>
  <c r="Q290" i="3"/>
  <c r="Q76" i="3"/>
  <c r="Q272" i="3"/>
  <c r="Q54" i="3"/>
  <c r="Q694" i="3"/>
  <c r="Q550" i="3"/>
  <c r="Q406" i="3"/>
  <c r="Q262" i="3"/>
  <c r="Q118" i="3"/>
  <c r="Q993" i="3"/>
  <c r="Q849" i="3"/>
  <c r="Q705" i="3"/>
  <c r="Q561" i="3"/>
  <c r="Q417" i="3"/>
  <c r="Q273" i="3"/>
  <c r="Q129" i="3"/>
  <c r="Q679" i="3"/>
  <c r="Q535" i="3"/>
  <c r="Q391" i="3"/>
  <c r="Q247" i="3"/>
  <c r="Q103" i="3"/>
  <c r="Q77" i="3"/>
  <c r="Q183" i="3"/>
  <c r="Q39" i="3"/>
  <c r="Q644" i="3"/>
  <c r="Q1178" i="3"/>
  <c r="Q1034" i="3"/>
  <c r="Q878" i="3"/>
  <c r="Q714" i="3"/>
  <c r="Q527" i="3"/>
  <c r="Q335" i="3"/>
  <c r="Q131" i="3"/>
  <c r="Q1141" i="3"/>
  <c r="Q995" i="3"/>
  <c r="Q838" i="3"/>
  <c r="Q668" i="3"/>
  <c r="Q476" i="3"/>
  <c r="Q284" i="3"/>
  <c r="Q71" i="3"/>
  <c r="Q300" i="3"/>
  <c r="Q88" i="3"/>
  <c r="Q1162" i="3"/>
  <c r="Q1018" i="3"/>
  <c r="Q860" i="3"/>
  <c r="Q696" i="3"/>
  <c r="Q505" i="3"/>
  <c r="Q313" i="3"/>
  <c r="Q107" i="3"/>
  <c r="Q1173" i="3"/>
  <c r="Q1029" i="3"/>
  <c r="Q872" i="3"/>
  <c r="Q709" i="3"/>
  <c r="Q519" i="3"/>
  <c r="Q327" i="3"/>
  <c r="Q122" i="3"/>
  <c r="Q884" i="3"/>
  <c r="Q722" i="3"/>
  <c r="Q533" i="3"/>
  <c r="Q341" i="3"/>
  <c r="Q138" i="3"/>
  <c r="Q436" i="3"/>
  <c r="Q244" i="3"/>
  <c r="Q18" i="3"/>
  <c r="Q1122" i="3"/>
  <c r="Q974" i="3"/>
  <c r="Q817" i="3"/>
  <c r="Q642" i="3"/>
  <c r="Q450" i="3"/>
  <c r="Q258" i="3"/>
  <c r="Q37" i="3"/>
  <c r="Q1133" i="3"/>
  <c r="Q986" i="3"/>
  <c r="Q829" i="3"/>
  <c r="Q659" i="3"/>
  <c r="Q467" i="3"/>
  <c r="Q275" i="3"/>
  <c r="Q56" i="3"/>
  <c r="Q256" i="3"/>
  <c r="Q35" i="3"/>
  <c r="Q682" i="3"/>
  <c r="Q538" i="3"/>
  <c r="Q394" i="3"/>
  <c r="Q250" i="3"/>
  <c r="Q106" i="3"/>
  <c r="Q981" i="3"/>
  <c r="Q837" i="3"/>
  <c r="Q693" i="3"/>
  <c r="Q549" i="3"/>
  <c r="Q405" i="3"/>
  <c r="Q261" i="3"/>
  <c r="Q117" i="3"/>
  <c r="Q667" i="3"/>
  <c r="Q523" i="3"/>
  <c r="Q379" i="3"/>
  <c r="Q235" i="3"/>
  <c r="Q91" i="3"/>
  <c r="Q65" i="3"/>
  <c r="Q171" i="3"/>
  <c r="Q27" i="3"/>
  <c r="Q1001" i="3"/>
  <c r="Q606" i="3"/>
  <c r="Q1166" i="3"/>
  <c r="Q1022" i="3"/>
  <c r="Q865" i="3"/>
  <c r="Q700" i="3"/>
  <c r="Q509" i="3"/>
  <c r="Q317" i="3"/>
  <c r="Q112" i="3"/>
  <c r="Q1129" i="3"/>
  <c r="Q982" i="3"/>
  <c r="Q824" i="3"/>
  <c r="Q652" i="3"/>
  <c r="Q460" i="3"/>
  <c r="Q268" i="3"/>
  <c r="Q49" i="3"/>
  <c r="Q282" i="3"/>
  <c r="Q68" i="3"/>
  <c r="Q1150" i="3"/>
  <c r="Q1004" i="3"/>
  <c r="Q847" i="3"/>
  <c r="Q680" i="3"/>
  <c r="Q488" i="3"/>
  <c r="Q296" i="3"/>
  <c r="Q85" i="3"/>
  <c r="Q1161" i="3"/>
  <c r="Q1016" i="3"/>
  <c r="Q859" i="3"/>
  <c r="Q695" i="3"/>
  <c r="Q504" i="3"/>
  <c r="Q312" i="3"/>
  <c r="Q104" i="3"/>
  <c r="Q871" i="3"/>
  <c r="Q708" i="3"/>
  <c r="Q518" i="3"/>
  <c r="Q326" i="3"/>
  <c r="Q121" i="3"/>
  <c r="Q421" i="3"/>
  <c r="Q228" i="3"/>
  <c r="Q1254" i="3"/>
  <c r="Q1110" i="3"/>
  <c r="Q961" i="3"/>
  <c r="Q804" i="3"/>
  <c r="Q627" i="3"/>
  <c r="Q435" i="3"/>
  <c r="Q243" i="3"/>
  <c r="Q16" i="3"/>
  <c r="Q1121" i="3"/>
  <c r="Q973" i="3"/>
  <c r="Q816" i="3"/>
  <c r="Q641" i="3"/>
  <c r="Q449" i="3"/>
  <c r="Q257" i="3"/>
  <c r="Q36" i="3"/>
  <c r="Q241" i="3"/>
  <c r="Q13" i="3"/>
  <c r="Q670" i="3"/>
  <c r="Q526" i="3"/>
  <c r="Q382" i="3"/>
  <c r="Q238" i="3"/>
  <c r="Q94" i="3"/>
  <c r="Q969" i="3"/>
  <c r="Q825" i="3"/>
  <c r="Q681" i="3"/>
  <c r="Q537" i="3"/>
  <c r="Q393" i="3"/>
  <c r="Q249" i="3"/>
  <c r="Q105" i="3"/>
  <c r="Q655" i="3"/>
  <c r="Q511" i="3"/>
  <c r="Q367" i="3"/>
  <c r="Q223" i="3"/>
  <c r="Q79" i="3"/>
  <c r="Q53" i="3"/>
  <c r="Q159" i="3"/>
  <c r="Q15" i="3"/>
  <c r="Q788" i="3"/>
  <c r="Q149" i="3"/>
  <c r="Q1382" i="3"/>
  <c r="Q1400" i="3"/>
  <c r="Q1252" i="3"/>
  <c r="Q975" i="3"/>
  <c r="Q569" i="3"/>
  <c r="Q1154" i="3"/>
  <c r="Q1009" i="3"/>
  <c r="Q852" i="3"/>
  <c r="Q686" i="3"/>
  <c r="Q494" i="3"/>
  <c r="Q302" i="3"/>
  <c r="Q92" i="3"/>
  <c r="Q1117" i="3"/>
  <c r="Q968" i="3"/>
  <c r="Q811" i="3"/>
  <c r="Q637" i="3"/>
  <c r="Q445" i="3"/>
  <c r="Q253" i="3"/>
  <c r="Q28" i="3"/>
  <c r="Q267" i="3"/>
  <c r="Q48" i="3"/>
  <c r="Q1138" i="3"/>
  <c r="Q991" i="3"/>
  <c r="Q834" i="3"/>
  <c r="Q664" i="3"/>
  <c r="Q472" i="3"/>
  <c r="Q280" i="3"/>
  <c r="Q64" i="3"/>
  <c r="Q1149" i="3"/>
  <c r="Q1003" i="3"/>
  <c r="Q846" i="3"/>
  <c r="Q678" i="3"/>
  <c r="Q486" i="3"/>
  <c r="Q294" i="3"/>
  <c r="Q84" i="3"/>
  <c r="Q858" i="3"/>
  <c r="Q692" i="3"/>
  <c r="Q503" i="3"/>
  <c r="Q311" i="3"/>
  <c r="Q102" i="3"/>
  <c r="Q404" i="3"/>
  <c r="Q209" i="3"/>
  <c r="Q1242" i="3"/>
  <c r="Q1098" i="3"/>
  <c r="Q948" i="3"/>
  <c r="Q791" i="3"/>
  <c r="Q612" i="3"/>
  <c r="Q420" i="3"/>
  <c r="Q227" i="3"/>
  <c r="Q1253" i="3"/>
  <c r="Q1109" i="3"/>
  <c r="Q960" i="3"/>
  <c r="Q803" i="3"/>
  <c r="Q626" i="3"/>
  <c r="Q434" i="3"/>
  <c r="Q242" i="3"/>
  <c r="Q14" i="3"/>
  <c r="Q222" i="3"/>
  <c r="Q12" i="3"/>
  <c r="Q658" i="3"/>
  <c r="Q514" i="3"/>
  <c r="Q370" i="3"/>
  <c r="Q226" i="3"/>
  <c r="Q82" i="3"/>
  <c r="Q957" i="3"/>
  <c r="Q813" i="3"/>
  <c r="Q669" i="3"/>
  <c r="Q525" i="3"/>
  <c r="Q381" i="3"/>
  <c r="Q237" i="3"/>
  <c r="Q93" i="3"/>
  <c r="Q643" i="3"/>
  <c r="Q499" i="3"/>
  <c r="Q355" i="3"/>
  <c r="Q211" i="3"/>
  <c r="Q67" i="3"/>
  <c r="Q41" i="3"/>
  <c r="Q147" i="3"/>
  <c r="V34" i="3"/>
  <c r="V33" i="3"/>
  <c r="V32" i="3"/>
  <c r="V31" i="3"/>
  <c r="V30" i="3"/>
  <c r="V26" i="3" a="1"/>
  <c r="V26" i="3" s="1"/>
  <c r="Y21" i="5" l="1"/>
  <c r="Y22" i="5"/>
  <c r="V44" i="3"/>
  <c r="V43" i="3"/>
  <c r="V24" i="3" l="1"/>
  <c r="V23" i="3"/>
  <c r="V19" i="3"/>
  <c r="V18" i="3"/>
  <c r="V17" i="3"/>
  <c r="V16" i="3"/>
  <c r="V15" i="3"/>
  <c r="V14" i="3"/>
  <c r="V13" i="3"/>
  <c r="V12" i="3"/>
  <c r="V11" i="3"/>
  <c r="V10" i="3"/>
  <c r="V9" i="3"/>
  <c r="V8" i="3"/>
  <c r="V7" i="3"/>
  <c r="V6" i="3"/>
  <c r="V5" i="3"/>
  <c r="V4" i="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<sst xmlns="http://schemas.openxmlformats.org/spreadsheetml/2006/main" count="32529" uniqueCount="1558">
  <si>
    <t>user_id</t>
  </si>
  <si>
    <t>signup_date</t>
  </si>
  <si>
    <t>experiment_group</t>
  </si>
  <si>
    <t>region</t>
  </si>
  <si>
    <t>device_type</t>
  </si>
  <si>
    <t>traffic_source</t>
  </si>
  <si>
    <t>plan_type</t>
  </si>
  <si>
    <t>visited_landing_page</t>
  </si>
  <si>
    <t>started_trial</t>
  </si>
  <si>
    <t>completed_onboarding</t>
  </si>
  <si>
    <t>converted_to_paid</t>
  </si>
  <si>
    <t>revenue_30d</t>
  </si>
  <si>
    <t>support_tickets_30d</t>
  </si>
  <si>
    <t>refund_requested</t>
  </si>
  <si>
    <t>days_to_convert</t>
  </si>
  <si>
    <t>engagement_score</t>
  </si>
  <si>
    <t>USR-100001</t>
  </si>
  <si>
    <t>Control</t>
  </si>
  <si>
    <t>North</t>
  </si>
  <si>
    <t>Desktop</t>
  </si>
  <si>
    <t>Email</t>
  </si>
  <si>
    <t>Basic</t>
  </si>
  <si>
    <t>USR-100002</t>
  </si>
  <si>
    <t>West</t>
  </si>
  <si>
    <t>Mobile</t>
  </si>
  <si>
    <t>Organic</t>
  </si>
  <si>
    <t>Free</t>
  </si>
  <si>
    <t>USR-100003</t>
  </si>
  <si>
    <t>East</t>
  </si>
  <si>
    <t>Paid Search</t>
  </si>
  <si>
    <t>Premium</t>
  </si>
  <si>
    <t>USR-100004</t>
  </si>
  <si>
    <t>South</t>
  </si>
  <si>
    <t>USR-100005</t>
  </si>
  <si>
    <t>Tablet</t>
  </si>
  <si>
    <t>USR-100006</t>
  </si>
  <si>
    <t>USR-100007</t>
  </si>
  <si>
    <t>USR-100008</t>
  </si>
  <si>
    <t>USR-100009</t>
  </si>
  <si>
    <t>Referral</t>
  </si>
  <si>
    <t>USR-100010</t>
  </si>
  <si>
    <t>Social</t>
  </si>
  <si>
    <t>USR-100011</t>
  </si>
  <si>
    <t>USR-100012</t>
  </si>
  <si>
    <t>USR-100013</t>
  </si>
  <si>
    <t>USR-100014</t>
  </si>
  <si>
    <t>USR-100015</t>
  </si>
  <si>
    <t>USR-100016</t>
  </si>
  <si>
    <t>USR-100017</t>
  </si>
  <si>
    <t>USR-100018</t>
  </si>
  <si>
    <t>USR-100019</t>
  </si>
  <si>
    <t>USR-100020</t>
  </si>
  <si>
    <t>USR-100021</t>
  </si>
  <si>
    <t>USR-100022</t>
  </si>
  <si>
    <t>USR-100023</t>
  </si>
  <si>
    <t>USR-100024</t>
  </si>
  <si>
    <t>USR-100025</t>
  </si>
  <si>
    <t>USR-100026</t>
  </si>
  <si>
    <t>USR-100027</t>
  </si>
  <si>
    <t>USR-100028</t>
  </si>
  <si>
    <t>USR-100029</t>
  </si>
  <si>
    <t>USR-100030</t>
  </si>
  <si>
    <t>USR-100031</t>
  </si>
  <si>
    <t>USR-100032</t>
  </si>
  <si>
    <t>USR-100033</t>
  </si>
  <si>
    <t>USR-100034</t>
  </si>
  <si>
    <t>USR-100035</t>
  </si>
  <si>
    <t>USR-100036</t>
  </si>
  <si>
    <t>USR-100037</t>
  </si>
  <si>
    <t>USR-100038</t>
  </si>
  <si>
    <t>USR-100039</t>
  </si>
  <si>
    <t>USR-100040</t>
  </si>
  <si>
    <t>USR-100041</t>
  </si>
  <si>
    <t>USR-100042</t>
  </si>
  <si>
    <t>USR-100043</t>
  </si>
  <si>
    <t>USR-100044</t>
  </si>
  <si>
    <t>USR-100045</t>
  </si>
  <si>
    <t>USR-100046</t>
  </si>
  <si>
    <t>USR-100047</t>
  </si>
  <si>
    <t>USR-100048</t>
  </si>
  <si>
    <t>USR-100049</t>
  </si>
  <si>
    <t>USR-100050</t>
  </si>
  <si>
    <t>USR-100051</t>
  </si>
  <si>
    <t>USR-100052</t>
  </si>
  <si>
    <t>USR-100053</t>
  </si>
  <si>
    <t>USR-100054</t>
  </si>
  <si>
    <t>USR-100055</t>
  </si>
  <si>
    <t>USR-100056</t>
  </si>
  <si>
    <t>USR-100057</t>
  </si>
  <si>
    <t>USR-100058</t>
  </si>
  <si>
    <t>USR-100059</t>
  </si>
  <si>
    <t>USR-100060</t>
  </si>
  <si>
    <t>USR-100061</t>
  </si>
  <si>
    <t>USR-100062</t>
  </si>
  <si>
    <t>USR-100063</t>
  </si>
  <si>
    <t>USR-100064</t>
  </si>
  <si>
    <t>USR-100065</t>
  </si>
  <si>
    <t>USR-100066</t>
  </si>
  <si>
    <t>USR-100067</t>
  </si>
  <si>
    <t>USR-100068</t>
  </si>
  <si>
    <t>USR-100069</t>
  </si>
  <si>
    <t>USR-100070</t>
  </si>
  <si>
    <t>USR-100071</t>
  </si>
  <si>
    <t>USR-100072</t>
  </si>
  <si>
    <t>USR-100073</t>
  </si>
  <si>
    <t>USR-100074</t>
  </si>
  <si>
    <t>USR-100075</t>
  </si>
  <si>
    <t>USR-100076</t>
  </si>
  <si>
    <t>USR-100077</t>
  </si>
  <si>
    <t>USR-100078</t>
  </si>
  <si>
    <t>USR-100079</t>
  </si>
  <si>
    <t>USR-100080</t>
  </si>
  <si>
    <t>USR-100081</t>
  </si>
  <si>
    <t>USR-100082</t>
  </si>
  <si>
    <t>USR-100083</t>
  </si>
  <si>
    <t>USR-100084</t>
  </si>
  <si>
    <t>USR-100085</t>
  </si>
  <si>
    <t>USR-100086</t>
  </si>
  <si>
    <t>USR-100087</t>
  </si>
  <si>
    <t>USR-100088</t>
  </si>
  <si>
    <t>USR-100089</t>
  </si>
  <si>
    <t>USR-100090</t>
  </si>
  <si>
    <t>USR-100091</t>
  </si>
  <si>
    <t>USR-100092</t>
  </si>
  <si>
    <t>USR-100093</t>
  </si>
  <si>
    <t>USR-100094</t>
  </si>
  <si>
    <t>USR-100095</t>
  </si>
  <si>
    <t>USR-100096</t>
  </si>
  <si>
    <t>USR-100097</t>
  </si>
  <si>
    <t>USR-100098</t>
  </si>
  <si>
    <t>USR-100099</t>
  </si>
  <si>
    <t>USR-100100</t>
  </si>
  <si>
    <t>USR-100101</t>
  </si>
  <si>
    <t>USR-100102</t>
  </si>
  <si>
    <t>USR-100103</t>
  </si>
  <si>
    <t>USR-100104</t>
  </si>
  <si>
    <t>USR-100105</t>
  </si>
  <si>
    <t>USR-100106</t>
  </si>
  <si>
    <t>USR-100107</t>
  </si>
  <si>
    <t>USR-100108</t>
  </si>
  <si>
    <t>USR-100109</t>
  </si>
  <si>
    <t>USR-100110</t>
  </si>
  <si>
    <t>USR-100111</t>
  </si>
  <si>
    <t>USR-100112</t>
  </si>
  <si>
    <t>USR-100113</t>
  </si>
  <si>
    <t>USR-100114</t>
  </si>
  <si>
    <t>USR-100115</t>
  </si>
  <si>
    <t>USR-100116</t>
  </si>
  <si>
    <t>USR-100117</t>
  </si>
  <si>
    <t>USR-100118</t>
  </si>
  <si>
    <t>USR-100119</t>
  </si>
  <si>
    <t>USR-100120</t>
  </si>
  <si>
    <t>USR-100121</t>
  </si>
  <si>
    <t>USR-100122</t>
  </si>
  <si>
    <t>USR-100123</t>
  </si>
  <si>
    <t>USR-100124</t>
  </si>
  <si>
    <t>USR-100125</t>
  </si>
  <si>
    <t>USR-100126</t>
  </si>
  <si>
    <t>USR-100127</t>
  </si>
  <si>
    <t>USR-100128</t>
  </si>
  <si>
    <t>USR-100129</t>
  </si>
  <si>
    <t>USR-100130</t>
  </si>
  <si>
    <t>USR-100131</t>
  </si>
  <si>
    <t>USR-100132</t>
  </si>
  <si>
    <t>USR-100133</t>
  </si>
  <si>
    <t>USR-100134</t>
  </si>
  <si>
    <t>USR-100135</t>
  </si>
  <si>
    <t>USR-100136</t>
  </si>
  <si>
    <t>USR-100137</t>
  </si>
  <si>
    <t>USR-100138</t>
  </si>
  <si>
    <t>USR-100139</t>
  </si>
  <si>
    <t>USR-100140</t>
  </si>
  <si>
    <t>USR-100141</t>
  </si>
  <si>
    <t>USR-100142</t>
  </si>
  <si>
    <t>USR-100143</t>
  </si>
  <si>
    <t>USR-100144</t>
  </si>
  <si>
    <t>USR-100145</t>
  </si>
  <si>
    <t>USR-100146</t>
  </si>
  <si>
    <t>USR-100147</t>
  </si>
  <si>
    <t>USR-100148</t>
  </si>
  <si>
    <t>USR-100149</t>
  </si>
  <si>
    <t>USR-100150</t>
  </si>
  <si>
    <t>USR-100151</t>
  </si>
  <si>
    <t>USR-100152</t>
  </si>
  <si>
    <t>USR-100153</t>
  </si>
  <si>
    <t>USR-100154</t>
  </si>
  <si>
    <t>USR-100155</t>
  </si>
  <si>
    <t>USR-100156</t>
  </si>
  <si>
    <t>USR-100157</t>
  </si>
  <si>
    <t>USR-100158</t>
  </si>
  <si>
    <t>USR-100159</t>
  </si>
  <si>
    <t>USR-100160</t>
  </si>
  <si>
    <t>USR-100161</t>
  </si>
  <si>
    <t>USR-100162</t>
  </si>
  <si>
    <t>USR-100163</t>
  </si>
  <si>
    <t>USR-100164</t>
  </si>
  <si>
    <t>USR-100165</t>
  </si>
  <si>
    <t>USR-100166</t>
  </si>
  <si>
    <t>USR-100167</t>
  </si>
  <si>
    <t>USR-100168</t>
  </si>
  <si>
    <t>USR-100169</t>
  </si>
  <si>
    <t>USR-100170</t>
  </si>
  <si>
    <t>USR-100171</t>
  </si>
  <si>
    <t>USR-100172</t>
  </si>
  <si>
    <t>USR-100173</t>
  </si>
  <si>
    <t>USR-100174</t>
  </si>
  <si>
    <t>USR-100175</t>
  </si>
  <si>
    <t>USR-100176</t>
  </si>
  <si>
    <t>USR-100177</t>
  </si>
  <si>
    <t>USR-100178</t>
  </si>
  <si>
    <t>USR-100179</t>
  </si>
  <si>
    <t>USR-100180</t>
  </si>
  <si>
    <t>USR-100181</t>
  </si>
  <si>
    <t>USR-100182</t>
  </si>
  <si>
    <t>USR-100183</t>
  </si>
  <si>
    <t>USR-100184</t>
  </si>
  <si>
    <t>USR-100185</t>
  </si>
  <si>
    <t>USR-100186</t>
  </si>
  <si>
    <t>USR-100187</t>
  </si>
  <si>
    <t>USR-100188</t>
  </si>
  <si>
    <t>USR-100189</t>
  </si>
  <si>
    <t>USR-100190</t>
  </si>
  <si>
    <t>USR-100191</t>
  </si>
  <si>
    <t>USR-100192</t>
  </si>
  <si>
    <t>USR-100193</t>
  </si>
  <si>
    <t>USR-100194</t>
  </si>
  <si>
    <t>USR-100195</t>
  </si>
  <si>
    <t>USR-100196</t>
  </si>
  <si>
    <t>USR-100197</t>
  </si>
  <si>
    <t>USR-100198</t>
  </si>
  <si>
    <t>USR-100199</t>
  </si>
  <si>
    <t>USR-100200</t>
  </si>
  <si>
    <t>USR-100201</t>
  </si>
  <si>
    <t>USR-100202</t>
  </si>
  <si>
    <t>USR-100203</t>
  </si>
  <si>
    <t>USR-100204</t>
  </si>
  <si>
    <t>USR-100205</t>
  </si>
  <si>
    <t>USR-100206</t>
  </si>
  <si>
    <t>USR-100207</t>
  </si>
  <si>
    <t>USR-100208</t>
  </si>
  <si>
    <t>USR-100209</t>
  </si>
  <si>
    <t>USR-100210</t>
  </si>
  <si>
    <t>USR-100211</t>
  </si>
  <si>
    <t>USR-100212</t>
  </si>
  <si>
    <t>USR-100213</t>
  </si>
  <si>
    <t>USR-100214</t>
  </si>
  <si>
    <t>USR-100215</t>
  </si>
  <si>
    <t>USR-100216</t>
  </si>
  <si>
    <t>USR-100217</t>
  </si>
  <si>
    <t>USR-100218</t>
  </si>
  <si>
    <t>USR-100219</t>
  </si>
  <si>
    <t>USR-100220</t>
  </si>
  <si>
    <t>USR-100221</t>
  </si>
  <si>
    <t>USR-100222</t>
  </si>
  <si>
    <t>USR-100223</t>
  </si>
  <si>
    <t>USR-100224</t>
  </si>
  <si>
    <t>USR-100225</t>
  </si>
  <si>
    <t>USR-100226</t>
  </si>
  <si>
    <t>USR-100227</t>
  </si>
  <si>
    <t>USR-100228</t>
  </si>
  <si>
    <t>USR-100229</t>
  </si>
  <si>
    <t>USR-100230</t>
  </si>
  <si>
    <t>USR-100231</t>
  </si>
  <si>
    <t>USR-100232</t>
  </si>
  <si>
    <t>USR-100233</t>
  </si>
  <si>
    <t>USR-100234</t>
  </si>
  <si>
    <t>USR-100235</t>
  </si>
  <si>
    <t>USR-100236</t>
  </si>
  <si>
    <t>USR-100237</t>
  </si>
  <si>
    <t>USR-100238</t>
  </si>
  <si>
    <t>USR-100239</t>
  </si>
  <si>
    <t>USR-100240</t>
  </si>
  <si>
    <t>USR-100241</t>
  </si>
  <si>
    <t>USR-100242</t>
  </si>
  <si>
    <t>USR-100243</t>
  </si>
  <si>
    <t>USR-100244</t>
  </si>
  <si>
    <t>USR-100245</t>
  </si>
  <si>
    <t>USR-100246</t>
  </si>
  <si>
    <t>USR-100247</t>
  </si>
  <si>
    <t>USR-100248</t>
  </si>
  <si>
    <t>USR-100249</t>
  </si>
  <si>
    <t>USR-100250</t>
  </si>
  <si>
    <t>USR-100251</t>
  </si>
  <si>
    <t>USR-100252</t>
  </si>
  <si>
    <t>USR-100253</t>
  </si>
  <si>
    <t>USR-100254</t>
  </si>
  <si>
    <t>USR-100255</t>
  </si>
  <si>
    <t>USR-100256</t>
  </si>
  <si>
    <t>USR-100257</t>
  </si>
  <si>
    <t>USR-100258</t>
  </si>
  <si>
    <t>USR-100259</t>
  </si>
  <si>
    <t>USR-100260</t>
  </si>
  <si>
    <t>USR-100261</t>
  </si>
  <si>
    <t>USR-100262</t>
  </si>
  <si>
    <t>USR-100263</t>
  </si>
  <si>
    <t>USR-100264</t>
  </si>
  <si>
    <t>USR-100265</t>
  </si>
  <si>
    <t>USR-100266</t>
  </si>
  <si>
    <t>USR-100267</t>
  </si>
  <si>
    <t>USR-100268</t>
  </si>
  <si>
    <t>USR-100269</t>
  </si>
  <si>
    <t>USR-100270</t>
  </si>
  <si>
    <t>USR-100271</t>
  </si>
  <si>
    <t>USR-100272</t>
  </si>
  <si>
    <t>USR-100273</t>
  </si>
  <si>
    <t>USR-100274</t>
  </si>
  <si>
    <t>USR-100275</t>
  </si>
  <si>
    <t>USR-100276</t>
  </si>
  <si>
    <t>USR-100277</t>
  </si>
  <si>
    <t>USR-100278</t>
  </si>
  <si>
    <t>USR-100279</t>
  </si>
  <si>
    <t>USR-100280</t>
  </si>
  <si>
    <t>USR-100281</t>
  </si>
  <si>
    <t>USR-100282</t>
  </si>
  <si>
    <t>USR-100283</t>
  </si>
  <si>
    <t>USR-100284</t>
  </si>
  <si>
    <t>USR-100285</t>
  </si>
  <si>
    <t>USR-100286</t>
  </si>
  <si>
    <t>USR-100287</t>
  </si>
  <si>
    <t>USR-100288</t>
  </si>
  <si>
    <t>USR-100289</t>
  </si>
  <si>
    <t>USR-100290</t>
  </si>
  <si>
    <t>USR-100291</t>
  </si>
  <si>
    <t>USR-100292</t>
  </si>
  <si>
    <t>USR-100293</t>
  </si>
  <si>
    <t>USR-100294</t>
  </si>
  <si>
    <t>USR-100295</t>
  </si>
  <si>
    <t>USR-100296</t>
  </si>
  <si>
    <t>USR-100297</t>
  </si>
  <si>
    <t>USR-100298</t>
  </si>
  <si>
    <t>USR-100299</t>
  </si>
  <si>
    <t>USR-100300</t>
  </si>
  <si>
    <t>USR-100301</t>
  </si>
  <si>
    <t>USR-100302</t>
  </si>
  <si>
    <t>USR-100303</t>
  </si>
  <si>
    <t>USR-100304</t>
  </si>
  <si>
    <t>USR-100305</t>
  </si>
  <si>
    <t>USR-100306</t>
  </si>
  <si>
    <t>USR-100307</t>
  </si>
  <si>
    <t>USR-100308</t>
  </si>
  <si>
    <t>USR-100309</t>
  </si>
  <si>
    <t>USR-100310</t>
  </si>
  <si>
    <t>USR-100311</t>
  </si>
  <si>
    <t>USR-100312</t>
  </si>
  <si>
    <t>USR-100313</t>
  </si>
  <si>
    <t>USR-100314</t>
  </si>
  <si>
    <t>USR-100315</t>
  </si>
  <si>
    <t>USR-100316</t>
  </si>
  <si>
    <t>USR-100317</t>
  </si>
  <si>
    <t>USR-100318</t>
  </si>
  <si>
    <t>USR-100319</t>
  </si>
  <si>
    <t>USR-100320</t>
  </si>
  <si>
    <t>USR-100321</t>
  </si>
  <si>
    <t>USR-100322</t>
  </si>
  <si>
    <t>USR-100323</t>
  </si>
  <si>
    <t>USR-100324</t>
  </si>
  <si>
    <t>USR-100325</t>
  </si>
  <si>
    <t>USR-100326</t>
  </si>
  <si>
    <t>USR-100327</t>
  </si>
  <si>
    <t>USR-100328</t>
  </si>
  <si>
    <t>USR-100329</t>
  </si>
  <si>
    <t>USR-100330</t>
  </si>
  <si>
    <t>USR-100331</t>
  </si>
  <si>
    <t>USR-100332</t>
  </si>
  <si>
    <t>USR-100333</t>
  </si>
  <si>
    <t>USR-100334</t>
  </si>
  <si>
    <t>USR-100335</t>
  </si>
  <si>
    <t>USR-100336</t>
  </si>
  <si>
    <t>USR-100337</t>
  </si>
  <si>
    <t>USR-100338</t>
  </si>
  <si>
    <t>USR-100339</t>
  </si>
  <si>
    <t>USR-100340</t>
  </si>
  <si>
    <t>USR-100341</t>
  </si>
  <si>
    <t>USR-100342</t>
  </si>
  <si>
    <t>USR-100343</t>
  </si>
  <si>
    <t>USR-100344</t>
  </si>
  <si>
    <t>USR-100345</t>
  </si>
  <si>
    <t>USR-100346</t>
  </si>
  <si>
    <t>USR-100347</t>
  </si>
  <si>
    <t>USR-100348</t>
  </si>
  <si>
    <t>USR-100349</t>
  </si>
  <si>
    <t>USR-100350</t>
  </si>
  <si>
    <t>USR-100351</t>
  </si>
  <si>
    <t>USR-100352</t>
  </si>
  <si>
    <t>USR-100353</t>
  </si>
  <si>
    <t>USR-100354</t>
  </si>
  <si>
    <t>USR-100355</t>
  </si>
  <si>
    <t>USR-100356</t>
  </si>
  <si>
    <t>USR-100357</t>
  </si>
  <si>
    <t>USR-100358</t>
  </si>
  <si>
    <t>USR-100359</t>
  </si>
  <si>
    <t>USR-100360</t>
  </si>
  <si>
    <t>USR-100361</t>
  </si>
  <si>
    <t>USR-100362</t>
  </si>
  <si>
    <t>USR-100363</t>
  </si>
  <si>
    <t>USR-100364</t>
  </si>
  <si>
    <t>USR-100365</t>
  </si>
  <si>
    <t>USR-100366</t>
  </si>
  <si>
    <t>USR-100367</t>
  </si>
  <si>
    <t>USR-100368</t>
  </si>
  <si>
    <t>USR-100369</t>
  </si>
  <si>
    <t>USR-100370</t>
  </si>
  <si>
    <t>USR-100371</t>
  </si>
  <si>
    <t>USR-100372</t>
  </si>
  <si>
    <t>USR-100373</t>
  </si>
  <si>
    <t>USR-100374</t>
  </si>
  <si>
    <t>USR-100375</t>
  </si>
  <si>
    <t>USR-100376</t>
  </si>
  <si>
    <t>USR-100377</t>
  </si>
  <si>
    <t>USR-100378</t>
  </si>
  <si>
    <t>USR-100379</t>
  </si>
  <si>
    <t>USR-100380</t>
  </si>
  <si>
    <t>USR-100381</t>
  </si>
  <si>
    <t>USR-100382</t>
  </si>
  <si>
    <t>USR-100383</t>
  </si>
  <si>
    <t>USR-100384</t>
  </si>
  <si>
    <t>USR-100385</t>
  </si>
  <si>
    <t>USR-100386</t>
  </si>
  <si>
    <t>USR-100387</t>
  </si>
  <si>
    <t>USR-100388</t>
  </si>
  <si>
    <t>USR-100389</t>
  </si>
  <si>
    <t>USR-100390</t>
  </si>
  <si>
    <t>USR-100391</t>
  </si>
  <si>
    <t>USR-100392</t>
  </si>
  <si>
    <t>USR-100393</t>
  </si>
  <si>
    <t>USR-100394</t>
  </si>
  <si>
    <t>USR-100395</t>
  </si>
  <si>
    <t>USR-100396</t>
  </si>
  <si>
    <t>USR-100397</t>
  </si>
  <si>
    <t>USR-100398</t>
  </si>
  <si>
    <t>USR-100399</t>
  </si>
  <si>
    <t>USR-100400</t>
  </si>
  <si>
    <t>USR-100401</t>
  </si>
  <si>
    <t>USR-100402</t>
  </si>
  <si>
    <t>USR-100403</t>
  </si>
  <si>
    <t>USR-100404</t>
  </si>
  <si>
    <t>USR-100405</t>
  </si>
  <si>
    <t>USR-100406</t>
  </si>
  <si>
    <t>USR-100407</t>
  </si>
  <si>
    <t>USR-100408</t>
  </si>
  <si>
    <t>USR-100409</t>
  </si>
  <si>
    <t>USR-100410</t>
  </si>
  <si>
    <t>USR-100411</t>
  </si>
  <si>
    <t>USR-100412</t>
  </si>
  <si>
    <t>USR-100413</t>
  </si>
  <si>
    <t>USR-100414</t>
  </si>
  <si>
    <t>USR-100415</t>
  </si>
  <si>
    <t>USR-100416</t>
  </si>
  <si>
    <t>USR-100417</t>
  </si>
  <si>
    <t>USR-100418</t>
  </si>
  <si>
    <t>USR-100419</t>
  </si>
  <si>
    <t>USR-100420</t>
  </si>
  <si>
    <t>USR-100421</t>
  </si>
  <si>
    <t>USR-100422</t>
  </si>
  <si>
    <t>USR-100423</t>
  </si>
  <si>
    <t>USR-100424</t>
  </si>
  <si>
    <t>USR-100425</t>
  </si>
  <si>
    <t>USR-100426</t>
  </si>
  <si>
    <t>USR-100427</t>
  </si>
  <si>
    <t>USR-100428</t>
  </si>
  <si>
    <t>USR-100429</t>
  </si>
  <si>
    <t>USR-100430</t>
  </si>
  <si>
    <t>USR-100431</t>
  </si>
  <si>
    <t>USR-100432</t>
  </si>
  <si>
    <t>USR-100433</t>
  </si>
  <si>
    <t>USR-100434</t>
  </si>
  <si>
    <t>USR-100435</t>
  </si>
  <si>
    <t>USR-100436</t>
  </si>
  <si>
    <t>USR-100437</t>
  </si>
  <si>
    <t>USR-100438</t>
  </si>
  <si>
    <t>USR-100439</t>
  </si>
  <si>
    <t>USR-100440</t>
  </si>
  <si>
    <t>USR-100441</t>
  </si>
  <si>
    <t>USR-100442</t>
  </si>
  <si>
    <t>USR-100443</t>
  </si>
  <si>
    <t>USR-100444</t>
  </si>
  <si>
    <t>USR-100445</t>
  </si>
  <si>
    <t>USR-100446</t>
  </si>
  <si>
    <t>USR-100447</t>
  </si>
  <si>
    <t>USR-100448</t>
  </si>
  <si>
    <t>USR-100449</t>
  </si>
  <si>
    <t>USR-100450</t>
  </si>
  <si>
    <t>USR-100451</t>
  </si>
  <si>
    <t>USR-100452</t>
  </si>
  <si>
    <t>USR-100453</t>
  </si>
  <si>
    <t>USR-100454</t>
  </si>
  <si>
    <t>USR-100455</t>
  </si>
  <si>
    <t>USR-100456</t>
  </si>
  <si>
    <t>USR-100457</t>
  </si>
  <si>
    <t>USR-100458</t>
  </si>
  <si>
    <t>USR-100459</t>
  </si>
  <si>
    <t>USR-100460</t>
  </si>
  <si>
    <t>USR-100461</t>
  </si>
  <si>
    <t>USR-100462</t>
  </si>
  <si>
    <t>USR-100463</t>
  </si>
  <si>
    <t>USR-100464</t>
  </si>
  <si>
    <t>USR-100465</t>
  </si>
  <si>
    <t>USR-100466</t>
  </si>
  <si>
    <t>USR-100467</t>
  </si>
  <si>
    <t>USR-100468</t>
  </si>
  <si>
    <t>USR-100469</t>
  </si>
  <si>
    <t>USR-100470</t>
  </si>
  <si>
    <t>USR-100471</t>
  </si>
  <si>
    <t>USR-100472</t>
  </si>
  <si>
    <t>USR-100473</t>
  </si>
  <si>
    <t>USR-100474</t>
  </si>
  <si>
    <t>USR-100475</t>
  </si>
  <si>
    <t>USR-100476</t>
  </si>
  <si>
    <t>USR-100477</t>
  </si>
  <si>
    <t>USR-100478</t>
  </si>
  <si>
    <t>USR-100479</t>
  </si>
  <si>
    <t>USR-100480</t>
  </si>
  <si>
    <t>USR-100481</t>
  </si>
  <si>
    <t>USR-100482</t>
  </si>
  <si>
    <t>USR-100483</t>
  </si>
  <si>
    <t>USR-100484</t>
  </si>
  <si>
    <t>USR-100485</t>
  </si>
  <si>
    <t>USR-100486</t>
  </si>
  <si>
    <t>USR-100487</t>
  </si>
  <si>
    <t>USR-100488</t>
  </si>
  <si>
    <t>USR-100489</t>
  </si>
  <si>
    <t>USR-100490</t>
  </si>
  <si>
    <t>USR-100491</t>
  </si>
  <si>
    <t>USR-100492</t>
  </si>
  <si>
    <t>USR-100493</t>
  </si>
  <si>
    <t>USR-100494</t>
  </si>
  <si>
    <t>USR-100495</t>
  </si>
  <si>
    <t>USR-100496</t>
  </si>
  <si>
    <t>USR-100497</t>
  </si>
  <si>
    <t>USR-100498</t>
  </si>
  <si>
    <t>USR-100499</t>
  </si>
  <si>
    <t>USR-100500</t>
  </si>
  <si>
    <t>USR-100501</t>
  </si>
  <si>
    <t>USR-100502</t>
  </si>
  <si>
    <t>USR-100503</t>
  </si>
  <si>
    <t>USR-100504</t>
  </si>
  <si>
    <t>USR-100505</t>
  </si>
  <si>
    <t>USR-100506</t>
  </si>
  <si>
    <t>USR-100507</t>
  </si>
  <si>
    <t>USR-100508</t>
  </si>
  <si>
    <t>USR-100509</t>
  </si>
  <si>
    <t>USR-100510</t>
  </si>
  <si>
    <t>USR-100511</t>
  </si>
  <si>
    <t>USR-100512</t>
  </si>
  <si>
    <t>USR-100513</t>
  </si>
  <si>
    <t>USR-100514</t>
  </si>
  <si>
    <t>USR-100515</t>
  </si>
  <si>
    <t>USR-100516</t>
  </si>
  <si>
    <t>USR-100517</t>
  </si>
  <si>
    <t>USR-100518</t>
  </si>
  <si>
    <t>USR-100519</t>
  </si>
  <si>
    <t>USR-100520</t>
  </si>
  <si>
    <t>USR-100521</t>
  </si>
  <si>
    <t>USR-100522</t>
  </si>
  <si>
    <t>USR-100523</t>
  </si>
  <si>
    <t>USR-100524</t>
  </si>
  <si>
    <t>USR-100525</t>
  </si>
  <si>
    <t>USR-100526</t>
  </si>
  <si>
    <t>USR-100527</t>
  </si>
  <si>
    <t>USR-100528</t>
  </si>
  <si>
    <t>USR-100529</t>
  </si>
  <si>
    <t>USR-100530</t>
  </si>
  <si>
    <t>USR-100531</t>
  </si>
  <si>
    <t>USR-100532</t>
  </si>
  <si>
    <t>USR-100533</t>
  </si>
  <si>
    <t>USR-100534</t>
  </si>
  <si>
    <t>USR-100535</t>
  </si>
  <si>
    <t>USR-100536</t>
  </si>
  <si>
    <t>USR-100537</t>
  </si>
  <si>
    <t>USR-100538</t>
  </si>
  <si>
    <t>USR-100539</t>
  </si>
  <si>
    <t>USR-100540</t>
  </si>
  <si>
    <t>USR-100541</t>
  </si>
  <si>
    <t>USR-100542</t>
  </si>
  <si>
    <t>USR-100543</t>
  </si>
  <si>
    <t>USR-100544</t>
  </si>
  <si>
    <t>USR-100545</t>
  </si>
  <si>
    <t>USR-100546</t>
  </si>
  <si>
    <t>USR-100547</t>
  </si>
  <si>
    <t>USR-100548</t>
  </si>
  <si>
    <t>USR-100549</t>
  </si>
  <si>
    <t>USR-100550</t>
  </si>
  <si>
    <t>USR-100551</t>
  </si>
  <si>
    <t>USR-100552</t>
  </si>
  <si>
    <t>USR-100553</t>
  </si>
  <si>
    <t>USR-100554</t>
  </si>
  <si>
    <t>USR-100555</t>
  </si>
  <si>
    <t>USR-100556</t>
  </si>
  <si>
    <t>USR-100557</t>
  </si>
  <si>
    <t>USR-100558</t>
  </si>
  <si>
    <t>USR-100559</t>
  </si>
  <si>
    <t>USR-100560</t>
  </si>
  <si>
    <t>USR-100561</t>
  </si>
  <si>
    <t>USR-100562</t>
  </si>
  <si>
    <t>USR-100563</t>
  </si>
  <si>
    <t>USR-100564</t>
  </si>
  <si>
    <t>USR-100565</t>
  </si>
  <si>
    <t>USR-100566</t>
  </si>
  <si>
    <t>USR-100567</t>
  </si>
  <si>
    <t>USR-100568</t>
  </si>
  <si>
    <t>USR-100569</t>
  </si>
  <si>
    <t>USR-100570</t>
  </si>
  <si>
    <t>USR-100571</t>
  </si>
  <si>
    <t>USR-100572</t>
  </si>
  <si>
    <t>USR-100573</t>
  </si>
  <si>
    <t>USR-100574</t>
  </si>
  <si>
    <t>USR-100575</t>
  </si>
  <si>
    <t>USR-100576</t>
  </si>
  <si>
    <t>USR-100577</t>
  </si>
  <si>
    <t>USR-100578</t>
  </si>
  <si>
    <t>USR-100579</t>
  </si>
  <si>
    <t>USR-100580</t>
  </si>
  <si>
    <t>USR-100581</t>
  </si>
  <si>
    <t>USR-100582</t>
  </si>
  <si>
    <t>USR-100583</t>
  </si>
  <si>
    <t>USR-100584</t>
  </si>
  <si>
    <t>USR-100585</t>
  </si>
  <si>
    <t>USR-100586</t>
  </si>
  <si>
    <t>USR-100587</t>
  </si>
  <si>
    <t>USR-100588</t>
  </si>
  <si>
    <t>USR-100589</t>
  </si>
  <si>
    <t>USR-100590</t>
  </si>
  <si>
    <t>USR-100591</t>
  </si>
  <si>
    <t>USR-100592</t>
  </si>
  <si>
    <t>USR-100593</t>
  </si>
  <si>
    <t>USR-100594</t>
  </si>
  <si>
    <t>USR-100595</t>
  </si>
  <si>
    <t>USR-100596</t>
  </si>
  <si>
    <t>USR-100597</t>
  </si>
  <si>
    <t>USR-100598</t>
  </si>
  <si>
    <t>USR-100599</t>
  </si>
  <si>
    <t>USR-100600</t>
  </si>
  <si>
    <t>USR-100601</t>
  </si>
  <si>
    <t>USR-100602</t>
  </si>
  <si>
    <t>USR-100603</t>
  </si>
  <si>
    <t>USR-100604</t>
  </si>
  <si>
    <t>USR-100605</t>
  </si>
  <si>
    <t>USR-100606</t>
  </si>
  <si>
    <t>USR-100607</t>
  </si>
  <si>
    <t>USR-100608</t>
  </si>
  <si>
    <t>USR-100609</t>
  </si>
  <si>
    <t>USR-100610</t>
  </si>
  <si>
    <t>USR-100611</t>
  </si>
  <si>
    <t>USR-100612</t>
  </si>
  <si>
    <t>USR-100613</t>
  </si>
  <si>
    <t>USR-100614</t>
  </si>
  <si>
    <t>USR-100615</t>
  </si>
  <si>
    <t>USR-100616</t>
  </si>
  <si>
    <t>USR-100617</t>
  </si>
  <si>
    <t>USR-100618</t>
  </si>
  <si>
    <t>USR-100619</t>
  </si>
  <si>
    <t>USR-100620</t>
  </si>
  <si>
    <t>USR-100621</t>
  </si>
  <si>
    <t>USR-100622</t>
  </si>
  <si>
    <t>USR-100623</t>
  </si>
  <si>
    <t>USR-100624</t>
  </si>
  <si>
    <t>USR-100625</t>
  </si>
  <si>
    <t>USR-100626</t>
  </si>
  <si>
    <t>USR-100627</t>
  </si>
  <si>
    <t>USR-100628</t>
  </si>
  <si>
    <t>USR-100629</t>
  </si>
  <si>
    <t>USR-100630</t>
  </si>
  <si>
    <t>USR-100631</t>
  </si>
  <si>
    <t>USR-100632</t>
  </si>
  <si>
    <t>USR-100633</t>
  </si>
  <si>
    <t>USR-100634</t>
  </si>
  <si>
    <t>USR-100635</t>
  </si>
  <si>
    <t>USR-100636</t>
  </si>
  <si>
    <t>USR-100637</t>
  </si>
  <si>
    <t>USR-100638</t>
  </si>
  <si>
    <t>USR-100639</t>
  </si>
  <si>
    <t>USR-100640</t>
  </si>
  <si>
    <t>USR-100641</t>
  </si>
  <si>
    <t>USR-100642</t>
  </si>
  <si>
    <t>USR-100643</t>
  </si>
  <si>
    <t>USR-100644</t>
  </si>
  <si>
    <t>USR-100645</t>
  </si>
  <si>
    <t>USR-100646</t>
  </si>
  <si>
    <t>USR-100647</t>
  </si>
  <si>
    <t>USR-100648</t>
  </si>
  <si>
    <t>USR-100649</t>
  </si>
  <si>
    <t>USR-100650</t>
  </si>
  <si>
    <t>USR-100651</t>
  </si>
  <si>
    <t>USR-100652</t>
  </si>
  <si>
    <t>USR-100653</t>
  </si>
  <si>
    <t>USR-100654</t>
  </si>
  <si>
    <t>USR-100655</t>
  </si>
  <si>
    <t>USR-100656</t>
  </si>
  <si>
    <t>USR-100657</t>
  </si>
  <si>
    <t>USR-100658</t>
  </si>
  <si>
    <t>USR-100659</t>
  </si>
  <si>
    <t>USR-100660</t>
  </si>
  <si>
    <t>USR-100661</t>
  </si>
  <si>
    <t>USR-100662</t>
  </si>
  <si>
    <t>USR-100663</t>
  </si>
  <si>
    <t>USR-100664</t>
  </si>
  <si>
    <t>USR-100665</t>
  </si>
  <si>
    <t>USR-100666</t>
  </si>
  <si>
    <t>USR-100667</t>
  </si>
  <si>
    <t>USR-100668</t>
  </si>
  <si>
    <t>USR-100669</t>
  </si>
  <si>
    <t>USR-100670</t>
  </si>
  <si>
    <t>USR-100671</t>
  </si>
  <si>
    <t>USR-100672</t>
  </si>
  <si>
    <t>USR-100673</t>
  </si>
  <si>
    <t>USR-100674</t>
  </si>
  <si>
    <t>USR-100675</t>
  </si>
  <si>
    <t>USR-100676</t>
  </si>
  <si>
    <t>USR-100677</t>
  </si>
  <si>
    <t>USR-100678</t>
  </si>
  <si>
    <t>USR-100679</t>
  </si>
  <si>
    <t>USR-100680</t>
  </si>
  <si>
    <t>USR-100681</t>
  </si>
  <si>
    <t>USR-100682</t>
  </si>
  <si>
    <t>USR-100683</t>
  </si>
  <si>
    <t>USR-100684</t>
  </si>
  <si>
    <t>USR-100685</t>
  </si>
  <si>
    <t>USR-100686</t>
  </si>
  <si>
    <t>USR-100687</t>
  </si>
  <si>
    <t>USR-100688</t>
  </si>
  <si>
    <t>USR-100689</t>
  </si>
  <si>
    <t>USR-100690</t>
  </si>
  <si>
    <t>USR-100691</t>
  </si>
  <si>
    <t>Treatment</t>
  </si>
  <si>
    <t>USR-100692</t>
  </si>
  <si>
    <t>USR-100693</t>
  </si>
  <si>
    <t>USR-100694</t>
  </si>
  <si>
    <t>USR-100695</t>
  </si>
  <si>
    <t>USR-100696</t>
  </si>
  <si>
    <t>USR-100697</t>
  </si>
  <si>
    <t>USR-100698</t>
  </si>
  <si>
    <t>USR-100699</t>
  </si>
  <si>
    <t>USR-100700</t>
  </si>
  <si>
    <t>USR-100701</t>
  </si>
  <si>
    <t>USR-100702</t>
  </si>
  <si>
    <t>USR-100703</t>
  </si>
  <si>
    <t>USR-100704</t>
  </si>
  <si>
    <t>USR-100705</t>
  </si>
  <si>
    <t>USR-100706</t>
  </si>
  <si>
    <t>USR-100707</t>
  </si>
  <si>
    <t>USR-100708</t>
  </si>
  <si>
    <t>USR-100709</t>
  </si>
  <si>
    <t>USR-100710</t>
  </si>
  <si>
    <t>USR-100711</t>
  </si>
  <si>
    <t>USR-100712</t>
  </si>
  <si>
    <t>USR-100713</t>
  </si>
  <si>
    <t>USR-100714</t>
  </si>
  <si>
    <t>USR-100715</t>
  </si>
  <si>
    <t>USR-100716</t>
  </si>
  <si>
    <t>USR-100717</t>
  </si>
  <si>
    <t>USR-100718</t>
  </si>
  <si>
    <t>USR-100719</t>
  </si>
  <si>
    <t>USR-100720</t>
  </si>
  <si>
    <t>USR-100721</t>
  </si>
  <si>
    <t>USR-100722</t>
  </si>
  <si>
    <t>USR-100723</t>
  </si>
  <si>
    <t>USR-100724</t>
  </si>
  <si>
    <t>USR-100725</t>
  </si>
  <si>
    <t>USR-100726</t>
  </si>
  <si>
    <t>USR-100727</t>
  </si>
  <si>
    <t>USR-100728</t>
  </si>
  <si>
    <t>USR-100729</t>
  </si>
  <si>
    <t>USR-100730</t>
  </si>
  <si>
    <t>USR-100731</t>
  </si>
  <si>
    <t>USR-100732</t>
  </si>
  <si>
    <t>USR-100733</t>
  </si>
  <si>
    <t>USR-100734</t>
  </si>
  <si>
    <t>USR-100735</t>
  </si>
  <si>
    <t>USR-100736</t>
  </si>
  <si>
    <t>USR-100737</t>
  </si>
  <si>
    <t>USR-100738</t>
  </si>
  <si>
    <t>USR-100739</t>
  </si>
  <si>
    <t>USR-100740</t>
  </si>
  <si>
    <t>USR-100741</t>
  </si>
  <si>
    <t>USR-100742</t>
  </si>
  <si>
    <t>USR-100743</t>
  </si>
  <si>
    <t>USR-100744</t>
  </si>
  <si>
    <t>USR-100745</t>
  </si>
  <si>
    <t>USR-100746</t>
  </si>
  <si>
    <t>USR-100747</t>
  </si>
  <si>
    <t>USR-100748</t>
  </si>
  <si>
    <t>USR-100749</t>
  </si>
  <si>
    <t>USR-100750</t>
  </si>
  <si>
    <t>USR-100751</t>
  </si>
  <si>
    <t>USR-100752</t>
  </si>
  <si>
    <t>USR-100753</t>
  </si>
  <si>
    <t>USR-100754</t>
  </si>
  <si>
    <t>USR-100755</t>
  </si>
  <si>
    <t>USR-100756</t>
  </si>
  <si>
    <t>USR-100757</t>
  </si>
  <si>
    <t>USR-100758</t>
  </si>
  <si>
    <t>USR-100759</t>
  </si>
  <si>
    <t>USR-100760</t>
  </si>
  <si>
    <t>USR-100761</t>
  </si>
  <si>
    <t>USR-100762</t>
  </si>
  <si>
    <t>USR-100763</t>
  </si>
  <si>
    <t>USR-100764</t>
  </si>
  <si>
    <t>USR-100765</t>
  </si>
  <si>
    <t>USR-100766</t>
  </si>
  <si>
    <t>USR-100767</t>
  </si>
  <si>
    <t>USR-100768</t>
  </si>
  <si>
    <t>USR-100769</t>
  </si>
  <si>
    <t>USR-100770</t>
  </si>
  <si>
    <t>USR-100771</t>
  </si>
  <si>
    <t>USR-100772</t>
  </si>
  <si>
    <t>USR-100773</t>
  </si>
  <si>
    <t>USR-100774</t>
  </si>
  <si>
    <t>USR-100775</t>
  </si>
  <si>
    <t>USR-100776</t>
  </si>
  <si>
    <t>USR-100777</t>
  </si>
  <si>
    <t>USR-100778</t>
  </si>
  <si>
    <t>USR-100779</t>
  </si>
  <si>
    <t>USR-100780</t>
  </si>
  <si>
    <t>USR-100781</t>
  </si>
  <si>
    <t>USR-100782</t>
  </si>
  <si>
    <t>USR-100783</t>
  </si>
  <si>
    <t>USR-100784</t>
  </si>
  <si>
    <t>USR-100785</t>
  </si>
  <si>
    <t>USR-100786</t>
  </si>
  <si>
    <t>USR-100787</t>
  </si>
  <si>
    <t>USR-100788</t>
  </si>
  <si>
    <t>USR-100789</t>
  </si>
  <si>
    <t>USR-100790</t>
  </si>
  <si>
    <t>USR-100791</t>
  </si>
  <si>
    <t>USR-100792</t>
  </si>
  <si>
    <t>USR-100793</t>
  </si>
  <si>
    <t>USR-100794</t>
  </si>
  <si>
    <t>USR-100795</t>
  </si>
  <si>
    <t>USR-100796</t>
  </si>
  <si>
    <t>USR-100797</t>
  </si>
  <si>
    <t>USR-100798</t>
  </si>
  <si>
    <t>USR-100799</t>
  </si>
  <si>
    <t>USR-100800</t>
  </si>
  <si>
    <t>USR-100801</t>
  </si>
  <si>
    <t>USR-100802</t>
  </si>
  <si>
    <t>USR-100803</t>
  </si>
  <si>
    <t>USR-100804</t>
  </si>
  <si>
    <t>USR-100805</t>
  </si>
  <si>
    <t>USR-100806</t>
  </si>
  <si>
    <t>USR-100807</t>
  </si>
  <si>
    <t>USR-100808</t>
  </si>
  <si>
    <t>USR-100809</t>
  </si>
  <si>
    <t>USR-100810</t>
  </si>
  <si>
    <t>USR-100811</t>
  </si>
  <si>
    <t>USR-100812</t>
  </si>
  <si>
    <t>USR-100813</t>
  </si>
  <si>
    <t>USR-100814</t>
  </si>
  <si>
    <t>USR-100815</t>
  </si>
  <si>
    <t>USR-100816</t>
  </si>
  <si>
    <t>USR-100817</t>
  </si>
  <si>
    <t>USR-100818</t>
  </si>
  <si>
    <t>USR-100819</t>
  </si>
  <si>
    <t>USR-100820</t>
  </si>
  <si>
    <t>USR-100821</t>
  </si>
  <si>
    <t>USR-100822</t>
  </si>
  <si>
    <t>USR-100823</t>
  </si>
  <si>
    <t>USR-100824</t>
  </si>
  <si>
    <t>USR-100825</t>
  </si>
  <si>
    <t>USR-100826</t>
  </si>
  <si>
    <t>USR-100827</t>
  </si>
  <si>
    <t>USR-100828</t>
  </si>
  <si>
    <t>USR-100829</t>
  </si>
  <si>
    <t>USR-100830</t>
  </si>
  <si>
    <t>USR-100831</t>
  </si>
  <si>
    <t>USR-100832</t>
  </si>
  <si>
    <t>USR-100833</t>
  </si>
  <si>
    <t>USR-100834</t>
  </si>
  <si>
    <t>USR-100835</t>
  </si>
  <si>
    <t>USR-100836</t>
  </si>
  <si>
    <t>USR-100837</t>
  </si>
  <si>
    <t>USR-100838</t>
  </si>
  <si>
    <t>USR-100839</t>
  </si>
  <si>
    <t>USR-100840</t>
  </si>
  <si>
    <t>USR-100841</t>
  </si>
  <si>
    <t>USR-100842</t>
  </si>
  <si>
    <t>USR-100843</t>
  </si>
  <si>
    <t>USR-100844</t>
  </si>
  <si>
    <t>USR-100845</t>
  </si>
  <si>
    <t>USR-100846</t>
  </si>
  <si>
    <t>USR-100847</t>
  </si>
  <si>
    <t>USR-100848</t>
  </si>
  <si>
    <t>USR-100849</t>
  </si>
  <si>
    <t>USR-100850</t>
  </si>
  <si>
    <t>USR-100851</t>
  </si>
  <si>
    <t>USR-100852</t>
  </si>
  <si>
    <t>USR-100853</t>
  </si>
  <si>
    <t>USR-100854</t>
  </si>
  <si>
    <t>USR-100855</t>
  </si>
  <si>
    <t>USR-100856</t>
  </si>
  <si>
    <t>USR-100857</t>
  </si>
  <si>
    <t>USR-100858</t>
  </si>
  <si>
    <t>USR-100859</t>
  </si>
  <si>
    <t>USR-100860</t>
  </si>
  <si>
    <t>USR-100861</t>
  </si>
  <si>
    <t>USR-100862</t>
  </si>
  <si>
    <t>USR-100863</t>
  </si>
  <si>
    <t>USR-100864</t>
  </si>
  <si>
    <t>USR-100865</t>
  </si>
  <si>
    <t>USR-100866</t>
  </si>
  <si>
    <t>USR-100867</t>
  </si>
  <si>
    <t>USR-100868</t>
  </si>
  <si>
    <t>USR-100869</t>
  </si>
  <si>
    <t>USR-100870</t>
  </si>
  <si>
    <t>USR-100871</t>
  </si>
  <si>
    <t>USR-100872</t>
  </si>
  <si>
    <t>USR-100873</t>
  </si>
  <si>
    <t>USR-100874</t>
  </si>
  <si>
    <t>USR-100875</t>
  </si>
  <si>
    <t>USR-100876</t>
  </si>
  <si>
    <t>USR-100877</t>
  </si>
  <si>
    <t>USR-100878</t>
  </si>
  <si>
    <t>USR-100879</t>
  </si>
  <si>
    <t>USR-100880</t>
  </si>
  <si>
    <t>USR-100881</t>
  </si>
  <si>
    <t>USR-100882</t>
  </si>
  <si>
    <t>USR-100883</t>
  </si>
  <si>
    <t>USR-100884</t>
  </si>
  <si>
    <t>USR-100885</t>
  </si>
  <si>
    <t>USR-100886</t>
  </si>
  <si>
    <t>USR-100887</t>
  </si>
  <si>
    <t>USR-100888</t>
  </si>
  <si>
    <t>USR-100889</t>
  </si>
  <si>
    <t>USR-100890</t>
  </si>
  <si>
    <t>USR-100891</t>
  </si>
  <si>
    <t>USR-100892</t>
  </si>
  <si>
    <t>USR-100893</t>
  </si>
  <si>
    <t>USR-100894</t>
  </si>
  <si>
    <t>USR-100895</t>
  </si>
  <si>
    <t>USR-100896</t>
  </si>
  <si>
    <t>USR-100897</t>
  </si>
  <si>
    <t>USR-100898</t>
  </si>
  <si>
    <t>USR-100899</t>
  </si>
  <si>
    <t>USR-100900</t>
  </si>
  <si>
    <t>USR-100901</t>
  </si>
  <si>
    <t>USR-100902</t>
  </si>
  <si>
    <t>USR-100903</t>
  </si>
  <si>
    <t>USR-100904</t>
  </si>
  <si>
    <t>USR-100905</t>
  </si>
  <si>
    <t>USR-100906</t>
  </si>
  <si>
    <t>USR-100907</t>
  </si>
  <si>
    <t>USR-100908</t>
  </si>
  <si>
    <t>USR-100909</t>
  </si>
  <si>
    <t>USR-100910</t>
  </si>
  <si>
    <t>USR-100911</t>
  </si>
  <si>
    <t>USR-100912</t>
  </si>
  <si>
    <t>USR-100913</t>
  </si>
  <si>
    <t>USR-100914</t>
  </si>
  <si>
    <t>USR-100915</t>
  </si>
  <si>
    <t>USR-100916</t>
  </si>
  <si>
    <t>USR-100917</t>
  </si>
  <si>
    <t>USR-100918</t>
  </si>
  <si>
    <t>USR-100919</t>
  </si>
  <si>
    <t>USR-100920</t>
  </si>
  <si>
    <t>USR-100921</t>
  </si>
  <si>
    <t>USR-100922</t>
  </si>
  <si>
    <t>USR-100923</t>
  </si>
  <si>
    <t>USR-100924</t>
  </si>
  <si>
    <t>USR-100925</t>
  </si>
  <si>
    <t>USR-100926</t>
  </si>
  <si>
    <t>USR-100927</t>
  </si>
  <si>
    <t>USR-100928</t>
  </si>
  <si>
    <t>USR-100929</t>
  </si>
  <si>
    <t>USR-100930</t>
  </si>
  <si>
    <t>USR-100931</t>
  </si>
  <si>
    <t>USR-100932</t>
  </si>
  <si>
    <t>USR-100933</t>
  </si>
  <si>
    <t>USR-100934</t>
  </si>
  <si>
    <t>USR-100935</t>
  </si>
  <si>
    <t>USR-100936</t>
  </si>
  <si>
    <t>USR-100937</t>
  </si>
  <si>
    <t>USR-100938</t>
  </si>
  <si>
    <t>USR-100939</t>
  </si>
  <si>
    <t>USR-100940</t>
  </si>
  <si>
    <t>USR-100941</t>
  </si>
  <si>
    <t>USR-100942</t>
  </si>
  <si>
    <t>USR-100943</t>
  </si>
  <si>
    <t>USR-100944</t>
  </si>
  <si>
    <t>USR-100945</t>
  </si>
  <si>
    <t>USR-100946</t>
  </si>
  <si>
    <t>USR-100947</t>
  </si>
  <si>
    <t>USR-100948</t>
  </si>
  <si>
    <t>USR-100949</t>
  </si>
  <si>
    <t>USR-100950</t>
  </si>
  <si>
    <t>USR-100951</t>
  </si>
  <si>
    <t>USR-100952</t>
  </si>
  <si>
    <t>USR-100953</t>
  </si>
  <si>
    <t>USR-100954</t>
  </si>
  <si>
    <t>USR-100955</t>
  </si>
  <si>
    <t>USR-100956</t>
  </si>
  <si>
    <t>USR-100957</t>
  </si>
  <si>
    <t>USR-100958</t>
  </si>
  <si>
    <t>USR-100959</t>
  </si>
  <si>
    <t>USR-100960</t>
  </si>
  <si>
    <t>USR-100961</t>
  </si>
  <si>
    <t>USR-100962</t>
  </si>
  <si>
    <t>USR-100963</t>
  </si>
  <si>
    <t>USR-100964</t>
  </si>
  <si>
    <t>USR-100965</t>
  </si>
  <si>
    <t>USR-100966</t>
  </si>
  <si>
    <t>USR-100967</t>
  </si>
  <si>
    <t>USR-100968</t>
  </si>
  <si>
    <t>USR-100969</t>
  </si>
  <si>
    <t>USR-100970</t>
  </si>
  <si>
    <t>USR-100971</t>
  </si>
  <si>
    <t>USR-100972</t>
  </si>
  <si>
    <t>USR-100973</t>
  </si>
  <si>
    <t>USR-100974</t>
  </si>
  <si>
    <t>USR-100975</t>
  </si>
  <si>
    <t>USR-100976</t>
  </si>
  <si>
    <t>USR-100977</t>
  </si>
  <si>
    <t>USR-100978</t>
  </si>
  <si>
    <t>USR-100979</t>
  </si>
  <si>
    <t>USR-100980</t>
  </si>
  <si>
    <t>USR-100981</t>
  </si>
  <si>
    <t>USR-100982</t>
  </si>
  <si>
    <t>USR-100983</t>
  </si>
  <si>
    <t>USR-100984</t>
  </si>
  <si>
    <t>USR-100985</t>
  </si>
  <si>
    <t>USR-100986</t>
  </si>
  <si>
    <t>USR-100987</t>
  </si>
  <si>
    <t>USR-100988</t>
  </si>
  <si>
    <t>USR-100989</t>
  </si>
  <si>
    <t>USR-100990</t>
  </si>
  <si>
    <t>USR-100991</t>
  </si>
  <si>
    <t>USR-100992</t>
  </si>
  <si>
    <t>USR-100993</t>
  </si>
  <si>
    <t>USR-100994</t>
  </si>
  <si>
    <t>USR-100995</t>
  </si>
  <si>
    <t>USR-100996</t>
  </si>
  <si>
    <t>USR-100997</t>
  </si>
  <si>
    <t>USR-100998</t>
  </si>
  <si>
    <t>USR-100999</t>
  </si>
  <si>
    <t>USR-101000</t>
  </si>
  <si>
    <t>USR-101001</t>
  </si>
  <si>
    <t>USR-101002</t>
  </si>
  <si>
    <t>USR-101003</t>
  </si>
  <si>
    <t>USR-101004</t>
  </si>
  <si>
    <t>USR-101005</t>
  </si>
  <si>
    <t>USR-101006</t>
  </si>
  <si>
    <t>USR-101007</t>
  </si>
  <si>
    <t>USR-101008</t>
  </si>
  <si>
    <t>USR-101009</t>
  </si>
  <si>
    <t>USR-101010</t>
  </si>
  <si>
    <t>USR-101011</t>
  </si>
  <si>
    <t>USR-101012</t>
  </si>
  <si>
    <t>USR-101013</t>
  </si>
  <si>
    <t>USR-101014</t>
  </si>
  <si>
    <t>USR-101015</t>
  </si>
  <si>
    <t>USR-101016</t>
  </si>
  <si>
    <t>USR-101017</t>
  </si>
  <si>
    <t>USR-101018</t>
  </si>
  <si>
    <t>USR-101019</t>
  </si>
  <si>
    <t>USR-101020</t>
  </si>
  <si>
    <t>USR-101021</t>
  </si>
  <si>
    <t>USR-101022</t>
  </si>
  <si>
    <t>USR-101023</t>
  </si>
  <si>
    <t>USR-101024</t>
  </si>
  <si>
    <t>USR-101025</t>
  </si>
  <si>
    <t>USR-101026</t>
  </si>
  <si>
    <t>USR-101027</t>
  </si>
  <si>
    <t>USR-101028</t>
  </si>
  <si>
    <t>USR-101029</t>
  </si>
  <si>
    <t>USR-101030</t>
  </si>
  <si>
    <t>USR-101031</t>
  </si>
  <si>
    <t>USR-101032</t>
  </si>
  <si>
    <t>USR-101033</t>
  </si>
  <si>
    <t>USR-101034</t>
  </si>
  <si>
    <t>USR-101035</t>
  </si>
  <si>
    <t>USR-101036</t>
  </si>
  <si>
    <t>USR-101037</t>
  </si>
  <si>
    <t>USR-101038</t>
  </si>
  <si>
    <t>USR-101039</t>
  </si>
  <si>
    <t>USR-101040</t>
  </si>
  <si>
    <t>USR-101041</t>
  </si>
  <si>
    <t>USR-101042</t>
  </si>
  <si>
    <t>USR-101043</t>
  </si>
  <si>
    <t>USR-101044</t>
  </si>
  <si>
    <t>USR-101045</t>
  </si>
  <si>
    <t>USR-101046</t>
  </si>
  <si>
    <t>USR-101047</t>
  </si>
  <si>
    <t>USR-101048</t>
  </si>
  <si>
    <t>USR-101049</t>
  </si>
  <si>
    <t>USR-101050</t>
  </si>
  <si>
    <t>USR-101051</t>
  </si>
  <si>
    <t>USR-101052</t>
  </si>
  <si>
    <t>USR-101053</t>
  </si>
  <si>
    <t>USR-101054</t>
  </si>
  <si>
    <t>USR-101055</t>
  </si>
  <si>
    <t>USR-101056</t>
  </si>
  <si>
    <t>USR-101057</t>
  </si>
  <si>
    <t>USR-101058</t>
  </si>
  <si>
    <t>USR-101059</t>
  </si>
  <si>
    <t>USR-101060</t>
  </si>
  <si>
    <t>USR-101061</t>
  </si>
  <si>
    <t>USR-101062</t>
  </si>
  <si>
    <t>USR-101063</t>
  </si>
  <si>
    <t>USR-101064</t>
  </si>
  <si>
    <t>USR-101065</t>
  </si>
  <si>
    <t>USR-101066</t>
  </si>
  <si>
    <t>USR-101067</t>
  </si>
  <si>
    <t>USR-101068</t>
  </si>
  <si>
    <t>USR-101069</t>
  </si>
  <si>
    <t>USR-101070</t>
  </si>
  <si>
    <t>USR-101071</t>
  </si>
  <si>
    <t>USR-101072</t>
  </si>
  <si>
    <t>USR-101073</t>
  </si>
  <si>
    <t>USR-101074</t>
  </si>
  <si>
    <t>USR-101075</t>
  </si>
  <si>
    <t>USR-101076</t>
  </si>
  <si>
    <t>USR-101077</t>
  </si>
  <si>
    <t>USR-101078</t>
  </si>
  <si>
    <t>USR-101079</t>
  </si>
  <si>
    <t>USR-101080</t>
  </si>
  <si>
    <t>USR-101081</t>
  </si>
  <si>
    <t>USR-101082</t>
  </si>
  <si>
    <t>USR-101083</t>
  </si>
  <si>
    <t>USR-101084</t>
  </si>
  <si>
    <t>USR-101085</t>
  </si>
  <si>
    <t>USR-101086</t>
  </si>
  <si>
    <t>USR-101087</t>
  </si>
  <si>
    <t>USR-101088</t>
  </si>
  <si>
    <t>USR-101089</t>
  </si>
  <si>
    <t>USR-101090</t>
  </si>
  <si>
    <t>USR-101091</t>
  </si>
  <si>
    <t>USR-101092</t>
  </si>
  <si>
    <t>USR-101093</t>
  </si>
  <si>
    <t>USR-101094</t>
  </si>
  <si>
    <t>USR-101095</t>
  </si>
  <si>
    <t>USR-101096</t>
  </si>
  <si>
    <t>USR-101097</t>
  </si>
  <si>
    <t>USR-101098</t>
  </si>
  <si>
    <t>USR-101099</t>
  </si>
  <si>
    <t>USR-101100</t>
  </si>
  <si>
    <t>USR-101101</t>
  </si>
  <si>
    <t>USR-101102</t>
  </si>
  <si>
    <t>USR-101103</t>
  </si>
  <si>
    <t>USR-101104</t>
  </si>
  <si>
    <t>USR-101105</t>
  </si>
  <si>
    <t>USR-101106</t>
  </si>
  <si>
    <t>USR-101107</t>
  </si>
  <si>
    <t>USR-101108</t>
  </si>
  <si>
    <t>USR-101109</t>
  </si>
  <si>
    <t>USR-101110</t>
  </si>
  <si>
    <t>USR-101111</t>
  </si>
  <si>
    <t>USR-101112</t>
  </si>
  <si>
    <t>USR-101113</t>
  </si>
  <si>
    <t>USR-101114</t>
  </si>
  <si>
    <t>USR-101115</t>
  </si>
  <si>
    <t>USR-101116</t>
  </si>
  <si>
    <t>USR-101117</t>
  </si>
  <si>
    <t>USR-101118</t>
  </si>
  <si>
    <t>USR-101119</t>
  </si>
  <si>
    <t>USR-101120</t>
  </si>
  <si>
    <t>USR-101121</t>
  </si>
  <si>
    <t>USR-101122</t>
  </si>
  <si>
    <t>USR-101123</t>
  </si>
  <si>
    <t>USR-101124</t>
  </si>
  <si>
    <t>USR-101125</t>
  </si>
  <si>
    <t>USR-101126</t>
  </si>
  <si>
    <t>USR-101127</t>
  </si>
  <si>
    <t>USR-101128</t>
  </si>
  <si>
    <t>USR-101129</t>
  </si>
  <si>
    <t>USR-101130</t>
  </si>
  <si>
    <t>USR-101131</t>
  </si>
  <si>
    <t>USR-101132</t>
  </si>
  <si>
    <t>USR-101133</t>
  </si>
  <si>
    <t>USR-101134</t>
  </si>
  <si>
    <t>USR-101135</t>
  </si>
  <si>
    <t>USR-101136</t>
  </si>
  <si>
    <t>USR-101137</t>
  </si>
  <si>
    <t>USR-101138</t>
  </si>
  <si>
    <t>USR-101139</t>
  </si>
  <si>
    <t>USR-101140</t>
  </si>
  <si>
    <t>USR-101141</t>
  </si>
  <si>
    <t>USR-101142</t>
  </si>
  <si>
    <t>USR-101143</t>
  </si>
  <si>
    <t>USR-101144</t>
  </si>
  <si>
    <t>USR-101145</t>
  </si>
  <si>
    <t>USR-101146</t>
  </si>
  <si>
    <t>USR-101147</t>
  </si>
  <si>
    <t>USR-101148</t>
  </si>
  <si>
    <t>USR-101149</t>
  </si>
  <si>
    <t>USR-101150</t>
  </si>
  <si>
    <t>USR-101151</t>
  </si>
  <si>
    <t>USR-101152</t>
  </si>
  <si>
    <t>USR-101153</t>
  </si>
  <si>
    <t>USR-101154</t>
  </si>
  <si>
    <t>USR-101155</t>
  </si>
  <si>
    <t>USR-101156</t>
  </si>
  <si>
    <t>USR-101157</t>
  </si>
  <si>
    <t>USR-101158</t>
  </si>
  <si>
    <t>USR-101159</t>
  </si>
  <si>
    <t>USR-101160</t>
  </si>
  <si>
    <t>USR-101161</t>
  </si>
  <si>
    <t>USR-101162</t>
  </si>
  <si>
    <t>USR-101163</t>
  </si>
  <si>
    <t>USR-101164</t>
  </si>
  <si>
    <t>USR-101165</t>
  </si>
  <si>
    <t>USR-101166</t>
  </si>
  <si>
    <t>USR-101167</t>
  </si>
  <si>
    <t>USR-101168</t>
  </si>
  <si>
    <t>USR-101169</t>
  </si>
  <si>
    <t>USR-101170</t>
  </si>
  <si>
    <t>USR-101171</t>
  </si>
  <si>
    <t>USR-101172</t>
  </si>
  <si>
    <t>USR-101173</t>
  </si>
  <si>
    <t>USR-101174</t>
  </si>
  <si>
    <t>USR-101175</t>
  </si>
  <si>
    <t>USR-101176</t>
  </si>
  <si>
    <t>USR-101177</t>
  </si>
  <si>
    <t>USR-101178</t>
  </si>
  <si>
    <t>USR-101179</t>
  </si>
  <si>
    <t>USR-101180</t>
  </si>
  <si>
    <t>USR-101181</t>
  </si>
  <si>
    <t>USR-101182</t>
  </si>
  <si>
    <t>USR-101183</t>
  </si>
  <si>
    <t>USR-101184</t>
  </si>
  <si>
    <t>USR-101185</t>
  </si>
  <si>
    <t>USR-101186</t>
  </si>
  <si>
    <t>USR-101187</t>
  </si>
  <si>
    <t>USR-101188</t>
  </si>
  <si>
    <t>USR-101189</t>
  </si>
  <si>
    <t>USR-101190</t>
  </si>
  <si>
    <t>USR-101191</t>
  </si>
  <si>
    <t>USR-101192</t>
  </si>
  <si>
    <t>USR-101193</t>
  </si>
  <si>
    <t>USR-101194</t>
  </si>
  <si>
    <t>USR-101195</t>
  </si>
  <si>
    <t>USR-101196</t>
  </si>
  <si>
    <t>USR-101197</t>
  </si>
  <si>
    <t>USR-101198</t>
  </si>
  <si>
    <t>USR-101199</t>
  </si>
  <si>
    <t>USR-101200</t>
  </si>
  <si>
    <t>USR-101201</t>
  </si>
  <si>
    <t>USR-101202</t>
  </si>
  <si>
    <t>USR-101203</t>
  </si>
  <si>
    <t>USR-101204</t>
  </si>
  <si>
    <t>USR-101205</t>
  </si>
  <si>
    <t>USR-101206</t>
  </si>
  <si>
    <t>USR-101207</t>
  </si>
  <si>
    <t>USR-101208</t>
  </si>
  <si>
    <t>USR-101209</t>
  </si>
  <si>
    <t>USR-101210</t>
  </si>
  <si>
    <t>USR-101211</t>
  </si>
  <si>
    <t>USR-101212</t>
  </si>
  <si>
    <t>USR-101213</t>
  </si>
  <si>
    <t>USR-101214</t>
  </si>
  <si>
    <t>USR-101215</t>
  </si>
  <si>
    <t>USR-101216</t>
  </si>
  <si>
    <t>USR-101217</t>
  </si>
  <si>
    <t>USR-101218</t>
  </si>
  <si>
    <t>USR-101219</t>
  </si>
  <si>
    <t>USR-101220</t>
  </si>
  <si>
    <t>USR-101221</t>
  </si>
  <si>
    <t>USR-101222</t>
  </si>
  <si>
    <t>USR-101223</t>
  </si>
  <si>
    <t>USR-101224</t>
  </si>
  <si>
    <t>USR-101225</t>
  </si>
  <si>
    <t>USR-101226</t>
  </si>
  <si>
    <t>USR-101227</t>
  </si>
  <si>
    <t>USR-101228</t>
  </si>
  <si>
    <t>USR-101229</t>
  </si>
  <si>
    <t>USR-101230</t>
  </si>
  <si>
    <t>USR-101231</t>
  </si>
  <si>
    <t>USR-101232</t>
  </si>
  <si>
    <t>USR-101233</t>
  </si>
  <si>
    <t>USR-101234</t>
  </si>
  <si>
    <t>USR-101235</t>
  </si>
  <si>
    <t>USR-101236</t>
  </si>
  <si>
    <t>USR-101237</t>
  </si>
  <si>
    <t>USR-101238</t>
  </si>
  <si>
    <t>USR-101239</t>
  </si>
  <si>
    <t>USR-101240</t>
  </si>
  <si>
    <t>USR-101241</t>
  </si>
  <si>
    <t>USR-101242</t>
  </si>
  <si>
    <t>USR-101243</t>
  </si>
  <si>
    <t>USR-101244</t>
  </si>
  <si>
    <t>USR-101245</t>
  </si>
  <si>
    <t>USR-101246</t>
  </si>
  <si>
    <t>USR-101247</t>
  </si>
  <si>
    <t>USR-101248</t>
  </si>
  <si>
    <t>USR-101249</t>
  </si>
  <si>
    <t>USR-101250</t>
  </si>
  <si>
    <t>USR-101251</t>
  </si>
  <si>
    <t>USR-101252</t>
  </si>
  <si>
    <t>USR-101253</t>
  </si>
  <si>
    <t>USR-101254</t>
  </si>
  <si>
    <t>USR-101255</t>
  </si>
  <si>
    <t>USR-101256</t>
  </si>
  <si>
    <t>USR-101257</t>
  </si>
  <si>
    <t>USR-101258</t>
  </si>
  <si>
    <t>USR-101259</t>
  </si>
  <si>
    <t>USR-101260</t>
  </si>
  <si>
    <t>USR-101261</t>
  </si>
  <si>
    <t>USR-101262</t>
  </si>
  <si>
    <t>USR-101263</t>
  </si>
  <si>
    <t>USR-101264</t>
  </si>
  <si>
    <t>USR-101265</t>
  </si>
  <si>
    <t>USR-101266</t>
  </si>
  <si>
    <t>USR-101267</t>
  </si>
  <si>
    <t>USR-101268</t>
  </si>
  <si>
    <t>USR-101269</t>
  </si>
  <si>
    <t>USR-101270</t>
  </si>
  <si>
    <t>USR-101271</t>
  </si>
  <si>
    <t>USR-101272</t>
  </si>
  <si>
    <t>USR-101273</t>
  </si>
  <si>
    <t>USR-101274</t>
  </si>
  <si>
    <t>USR-101275</t>
  </si>
  <si>
    <t>USR-101276</t>
  </si>
  <si>
    <t>USR-101277</t>
  </si>
  <si>
    <t>USR-101278</t>
  </si>
  <si>
    <t>USR-101279</t>
  </si>
  <si>
    <t>USR-101280</t>
  </si>
  <si>
    <t>USR-101281</t>
  </si>
  <si>
    <t>USR-101282</t>
  </si>
  <si>
    <t>USR-101283</t>
  </si>
  <si>
    <t>USR-101284</t>
  </si>
  <si>
    <t>USR-101285</t>
  </si>
  <si>
    <t>USR-101286</t>
  </si>
  <si>
    <t>USR-101287</t>
  </si>
  <si>
    <t>USR-101288</t>
  </si>
  <si>
    <t>USR-101289</t>
  </si>
  <si>
    <t>USR-101290</t>
  </si>
  <si>
    <t>USR-101291</t>
  </si>
  <si>
    <t>USR-101292</t>
  </si>
  <si>
    <t>USR-101293</t>
  </si>
  <si>
    <t>USR-101294</t>
  </si>
  <si>
    <t>USR-101295</t>
  </si>
  <si>
    <t>USR-101296</t>
  </si>
  <si>
    <t>USR-101297</t>
  </si>
  <si>
    <t>USR-101298</t>
  </si>
  <si>
    <t>USR-101299</t>
  </si>
  <si>
    <t>USR-101300</t>
  </si>
  <si>
    <t>USR-101301</t>
  </si>
  <si>
    <t>USR-101302</t>
  </si>
  <si>
    <t>USR-101303</t>
  </si>
  <si>
    <t>USR-101304</t>
  </si>
  <si>
    <t>USR-101305</t>
  </si>
  <si>
    <t>USR-101306</t>
  </si>
  <si>
    <t>USR-101307</t>
  </si>
  <si>
    <t>USR-101308</t>
  </si>
  <si>
    <t>USR-101309</t>
  </si>
  <si>
    <t>USR-101310</t>
  </si>
  <si>
    <t>USR-101311</t>
  </si>
  <si>
    <t>USR-101312</t>
  </si>
  <si>
    <t>USR-101313</t>
  </si>
  <si>
    <t>USR-101314</t>
  </si>
  <si>
    <t>USR-101315</t>
  </si>
  <si>
    <t>USR-101316</t>
  </si>
  <si>
    <t>USR-101317</t>
  </si>
  <si>
    <t>USR-101318</t>
  </si>
  <si>
    <t>USR-101319</t>
  </si>
  <si>
    <t>USR-101320</t>
  </si>
  <si>
    <t>USR-101321</t>
  </si>
  <si>
    <t>USR-101322</t>
  </si>
  <si>
    <t>USR-101323</t>
  </si>
  <si>
    <t>USR-101324</t>
  </si>
  <si>
    <t>USR-101325</t>
  </si>
  <si>
    <t>USR-101326</t>
  </si>
  <si>
    <t>USR-101327</t>
  </si>
  <si>
    <t>USR-101328</t>
  </si>
  <si>
    <t>USR-101329</t>
  </si>
  <si>
    <t>USR-101330</t>
  </si>
  <si>
    <t>USR-101331</t>
  </si>
  <si>
    <t>USR-101332</t>
  </si>
  <si>
    <t>USR-101333</t>
  </si>
  <si>
    <t>USR-101334</t>
  </si>
  <si>
    <t>USR-101335</t>
  </si>
  <si>
    <t>USR-101336</t>
  </si>
  <si>
    <t>USR-101337</t>
  </si>
  <si>
    <t>USR-101338</t>
  </si>
  <si>
    <t>USR-101339</t>
  </si>
  <si>
    <t>USR-101340</t>
  </si>
  <si>
    <t>USR-101341</t>
  </si>
  <si>
    <t>USR-101342</t>
  </si>
  <si>
    <t>USR-101343</t>
  </si>
  <si>
    <t>USR-101344</t>
  </si>
  <si>
    <t>USR-101345</t>
  </si>
  <si>
    <t>USR-101346</t>
  </si>
  <si>
    <t>USR-101347</t>
  </si>
  <si>
    <t>USR-101348</t>
  </si>
  <si>
    <t>USR-101349</t>
  </si>
  <si>
    <t>USR-101350</t>
  </si>
  <si>
    <t>USR-101351</t>
  </si>
  <si>
    <t>USR-101352</t>
  </si>
  <si>
    <t>USR-101353</t>
  </si>
  <si>
    <t>USR-101354</t>
  </si>
  <si>
    <t>USR-101355</t>
  </si>
  <si>
    <t>USR-101356</t>
  </si>
  <si>
    <t>USR-101357</t>
  </si>
  <si>
    <t>USR-101358</t>
  </si>
  <si>
    <t>USR-101359</t>
  </si>
  <si>
    <t>USR-101360</t>
  </si>
  <si>
    <t>USR-101361</t>
  </si>
  <si>
    <t>USR-101362</t>
  </si>
  <si>
    <t>USR-101363</t>
  </si>
  <si>
    <t>USR-101364</t>
  </si>
  <si>
    <t>USR-101365</t>
  </si>
  <si>
    <t>USR-101366</t>
  </si>
  <si>
    <t>USR-101367</t>
  </si>
  <si>
    <t>USR-101368</t>
  </si>
  <si>
    <t>USR-101369</t>
  </si>
  <si>
    <t>USR-101370</t>
  </si>
  <si>
    <t>USR-101371</t>
  </si>
  <si>
    <t>USR-101372</t>
  </si>
  <si>
    <t>USR-101373</t>
  </si>
  <si>
    <t>USR-101374</t>
  </si>
  <si>
    <t>USR-101375</t>
  </si>
  <si>
    <t>USR-101376</t>
  </si>
  <si>
    <t>USR-101377</t>
  </si>
  <si>
    <t>USR-101378</t>
  </si>
  <si>
    <t>USR-101379</t>
  </si>
  <si>
    <t>USR-101380</t>
  </si>
  <si>
    <t>USR-101381</t>
  </si>
  <si>
    <t>USR-101382</t>
  </si>
  <si>
    <t>USR-101383</t>
  </si>
  <si>
    <t>USR-101384</t>
  </si>
  <si>
    <t>USR-101385</t>
  </si>
  <si>
    <t>USR-101386</t>
  </si>
  <si>
    <t>USR-101387</t>
  </si>
  <si>
    <t>USR-101388</t>
  </si>
  <si>
    <t>USR-101389</t>
  </si>
  <si>
    <t>USR-101390</t>
  </si>
  <si>
    <t>USR-101391</t>
  </si>
  <si>
    <t>USR-101392</t>
  </si>
  <si>
    <t>USR-101393</t>
  </si>
  <si>
    <t>USR-101394</t>
  </si>
  <si>
    <t>USR-101395</t>
  </si>
  <si>
    <t>USR-101396</t>
  </si>
  <si>
    <t>USR-101397</t>
  </si>
  <si>
    <t>USR-101398</t>
  </si>
  <si>
    <t>USR-101399</t>
  </si>
  <si>
    <t>USR-101400</t>
  </si>
  <si>
    <t>Item</t>
  </si>
  <si>
    <t>Description</t>
  </si>
  <si>
    <t>Business context</t>
  </si>
  <si>
    <t>A subscription product tested a new onboarding and activation campaign against the existing experience.</t>
  </si>
  <si>
    <t>Existing onboarding experience.</t>
  </si>
  <si>
    <t>New campaign experience.</t>
  </si>
  <si>
    <t>Primary decision</t>
  </si>
  <si>
    <t>Decide whether to launch, reject, continue testing, or launch only for selected segments.</t>
  </si>
  <si>
    <t>1 if the user visited the landing page after signup; otherwise 0.</t>
  </si>
  <si>
    <t>1 if the user started a trial; otherwise 0.</t>
  </si>
  <si>
    <t>1 if the user completed onboarding; otherwise 0.</t>
  </si>
  <si>
    <t>1 if the user became a paid customer; otherwise 0.</t>
  </si>
  <si>
    <t>Revenue generated within 30 days of signup.</t>
  </si>
  <si>
    <t>Number of support tickets raised within 30 days.</t>
  </si>
  <si>
    <t>1 if the user requested a refund; otherwise 0.</t>
  </si>
  <si>
    <t>Internal engagement score from 0 to 100.</t>
  </si>
  <si>
    <t>Guardrail caution</t>
  </si>
  <si>
    <t>A better conversion rate may still be risky if refunds, support tickets, or low-quality revenue increase.</t>
  </si>
  <si>
    <t>Missing Values</t>
  </si>
  <si>
    <t>Field</t>
  </si>
  <si>
    <t>Count</t>
  </si>
  <si>
    <t>Duplicate User IDs</t>
  </si>
  <si>
    <t>Group Count</t>
  </si>
  <si>
    <t>Row Labels</t>
  </si>
  <si>
    <t>Grand Total</t>
  </si>
  <si>
    <t>Count of user_id</t>
  </si>
  <si>
    <t>Invalid binary values</t>
  </si>
  <si>
    <t>Outliers in revenue</t>
  </si>
  <si>
    <t>Segment distribution across groups</t>
  </si>
  <si>
    <t>revenue_outlier</t>
  </si>
  <si>
    <t>Q1</t>
  </si>
  <si>
    <t>Q3</t>
  </si>
  <si>
    <t>IQR (Q3-Q1)</t>
  </si>
  <si>
    <t>Lower Bound</t>
  </si>
  <si>
    <t>Upper Bound</t>
  </si>
  <si>
    <t>Outlier Revenue</t>
  </si>
  <si>
    <t>Normal Revenue</t>
  </si>
  <si>
    <t>Column Labels</t>
  </si>
  <si>
    <t>Region</t>
  </si>
  <si>
    <t>Device Type</t>
  </si>
  <si>
    <t>Traffic Source</t>
  </si>
  <si>
    <t>Plan Type</t>
  </si>
  <si>
    <t>User Count</t>
  </si>
  <si>
    <t>Duplicate Check</t>
  </si>
  <si>
    <t>row_text</t>
  </si>
  <si>
    <t>Number of exact duplicate rows</t>
  </si>
  <si>
    <t>Number of records flagged for review</t>
  </si>
  <si>
    <t>Copy of traffic_source before missing value update</t>
  </si>
  <si>
    <t>Copy of device_type before missing value update</t>
  </si>
  <si>
    <t>Unknown</t>
  </si>
  <si>
    <t>Visited Landing Page</t>
  </si>
  <si>
    <t>Started Trial</t>
  </si>
  <si>
    <t>Converted to Paid</t>
  </si>
  <si>
    <t>Onboarding Completion</t>
  </si>
  <si>
    <t>Average of revenue_30d</t>
  </si>
  <si>
    <t>Average Revenue</t>
  </si>
  <si>
    <t>Group</t>
  </si>
  <si>
    <t>Refund Requested</t>
  </si>
  <si>
    <t>Support Tickets</t>
  </si>
  <si>
    <t>Average days to convert</t>
  </si>
  <si>
    <t>Paid Conversion</t>
  </si>
  <si>
    <t>Total User Count</t>
  </si>
  <si>
    <t>Total Paid Converted</t>
  </si>
  <si>
    <t>Paid Converted</t>
  </si>
  <si>
    <t>Paid Conversion Rate by Region</t>
  </si>
  <si>
    <t>Average Engagement Score</t>
  </si>
  <si>
    <t>Average Engagement Score by Traffic Source</t>
  </si>
  <si>
    <t>Average Revenue per User by Device Type</t>
  </si>
  <si>
    <t>Landing page visit rate</t>
  </si>
  <si>
    <t>Trial start rate</t>
  </si>
  <si>
    <t>Onboarding completion rate</t>
  </si>
  <si>
    <t>Paid conversion rate</t>
  </si>
  <si>
    <t>Average revenue per user</t>
  </si>
  <si>
    <t>Average revenue per converted user</t>
  </si>
  <si>
    <t>Refund rate</t>
  </si>
  <si>
    <t>Support ticket rate</t>
  </si>
  <si>
    <t>Paid Conversion Rate by Plan Type</t>
  </si>
  <si>
    <t>Total Converted to Paid</t>
  </si>
  <si>
    <t>Control vs Treatment analyzed by segment</t>
  </si>
  <si>
    <t>Mean</t>
  </si>
  <si>
    <t>Variance</t>
  </si>
  <si>
    <t>Observations</t>
  </si>
  <si>
    <t>Hypothesized Mean Difference</t>
  </si>
  <si>
    <t>df</t>
  </si>
  <si>
    <t>t Stat</t>
  </si>
  <si>
    <t>P(T&lt;=t) one-tail</t>
  </si>
  <si>
    <t>t Critical one-tail</t>
  </si>
  <si>
    <t>P(T&lt;=t) two-tail</t>
  </si>
  <si>
    <t>t Critical two-tail</t>
  </si>
  <si>
    <t>converted_to_ paid_control</t>
  </si>
  <si>
    <t>converted_to_paid__treatement</t>
  </si>
  <si>
    <t>Z-Test</t>
  </si>
  <si>
    <t>Control Conversion Rate</t>
  </si>
  <si>
    <t>Treatment conversion rate</t>
  </si>
  <si>
    <t>Pooled proportion</t>
  </si>
  <si>
    <t>Standard Error</t>
  </si>
  <si>
    <t>Z statistic</t>
  </si>
  <si>
    <t>One-tailed p-value</t>
  </si>
  <si>
    <t>Control Conversions</t>
  </si>
  <si>
    <t>Treatment Conversions</t>
  </si>
  <si>
    <t>As p value of one-tail test is &lt;0.05, the decision is to reject null hypothesis</t>
  </si>
  <si>
    <t>Excel Data Analysis ToolPak (t-Test: Two-Sample Assuming Unequal Variances)</t>
  </si>
  <si>
    <t>Summary of Test Inputs</t>
  </si>
  <si>
    <t xml:space="preserve">Metric Tested: </t>
  </si>
  <si>
    <t>User Conversion Rate (Paid Conversion Rate)</t>
  </si>
  <si>
    <t xml:space="preserve">Test Used: t-Test: </t>
  </si>
  <si>
    <t>Two-Sample Assuming Unequal Variances</t>
  </si>
  <si>
    <t xml:space="preserve">Variable 1: </t>
  </si>
  <si>
    <t>converted_to_paid values for the Control group (0 = Not Converted, 1 = Converted)  [temp_data_hypothesis sheet]</t>
  </si>
  <si>
    <t xml:space="preserve">Variable 2: </t>
  </si>
  <si>
    <t>converted_to_paid values for the Treatment group (0 = Not Converted, 1 = Converted) [temp_data_hypothesis sheet]</t>
  </si>
  <si>
    <t xml:space="preserve">Significance Level (α): </t>
  </si>
  <si>
    <t xml:space="preserve">Hypothesized Mean Difference: </t>
  </si>
  <si>
    <t xml:space="preserve">Test Type: </t>
  </si>
  <si>
    <t>One-tailed</t>
  </si>
  <si>
    <t>Test Output</t>
  </si>
  <si>
    <t>Decision Rule</t>
  </si>
  <si>
    <t xml:space="preserve">Test Used: </t>
  </si>
  <si>
    <t>Two-Proportion Z-Test</t>
  </si>
  <si>
    <t>Control Group Users Count</t>
  </si>
  <si>
    <t>TreatmentGroup  Users Count</t>
  </si>
  <si>
    <t>Significance Level (α):</t>
  </si>
  <si>
    <t>Test Type:</t>
  </si>
  <si>
    <t xml:space="preserve">
If the p-value is less than 0.05, there is sufficient evidence that the new onboarding campaign improves the paid conversion rate compared to the existing onboarding experience. This supports recommending the campaign for rollout, provided the guardrail metrics remain acceptable.</t>
  </si>
  <si>
    <t>Business Interpretation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</si>
</sst>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76" formatCode="0.0000000000"/>
  </numFmts>
  <fonts count="9">
    <font>
      <sz val="11"/>
      <name val="Carlito"/>
    </font>
    <font>
      <b/>
      <sz val="11"/>
      <color rgb="FFFFFFFF"/>
      <name val="Carlito"/>
    </font>
    <font>
      <sz val="11"/>
      <color theme="1"/>
      <name val="Carlito"/>
    </font>
    <font>
      <b/>
      <sz val="11"/>
      <name val="Carlito"/>
    </font>
    <font>
      <b/>
      <sz val="11"/>
      <color theme="0"/>
      <name val="Carlito"/>
    </font>
    <font>
      <b/>
      <sz val="11"/>
      <color rgb="FF415173"/>
      <name val="Inter"/>
      <family val="2"/>
    </font>
    <font>
      <b/>
      <sz val="12"/>
      <name val="Carlito"/>
    </font>
    <font>
      <sz val="12"/>
      <name val="Carlito"/>
    </font>
    <font>
      <i/>
      <sz val="11"/>
      <name val="Carlito"/>
    </font>
  </fonts>
  <fills count="9">
    <fill>
      <patternFill patternType="none"/>
    </fill>
    <fill>
      <patternFill patternType="gray125"/>
    </fill>
    <fill>
      <patternFill patternType="solid">
        <fgColor rgb="FF155E75"/>
      </patternFill>
    </fill>
    <fill>
      <patternFill patternType="solid">
        <fgColor theme="3" tint="0.249977111117893"/>
        <bgColor indexed="64"/>
      </patternFill>
    </fill>
    <fill>
      <patternFill patternType="solid">
        <fgColor theme="3" tint="0.89999084444715716"/>
        <bgColor indexed="64"/>
      </patternFill>
    </fill>
    <fill>
      <patternFill patternType="solid">
        <fgColor theme="5" tint="0.59999389629810485"/>
        <bgColor indexed="64"/>
      </patternFill>
    </fill>
    <fill>
      <patternFill patternType="solid">
        <fgColor theme="8" tint="0.79998168889431442"/>
        <bgColor indexed="64"/>
      </patternFill>
    </fill>
    <fill>
      <patternFill patternType="solid">
        <fgColor theme="2" tint="-9.9978637043366805E-2"/>
        <bgColor indexed="64"/>
      </patternFill>
    </fill>
    <fill>
      <patternFill patternType="solid">
        <fgColor theme="1" tint="0.499984740745262"/>
        <bgColor indexed="64"/>
      </patternFill>
    </fill>
  </fills>
  <borders count="8">
    <border>
      <left/>
      <right/>
      <top/>
      <bottom/>
      <diagonal/>
    </border>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60">
    <xf numFmtId="0" fontId="0" fillId="0" borderId="0" xfId="0"/>
    <xf numFmtId="0" fontId="1" fillId="2" borderId="0" xfId="0" applyFont="1" applyFill="1" applyAlignment="1">
      <alignment horizontal="center" vertical="center" wrapText="1"/>
    </xf>
    <xf numFmtId="164" fontId="0" fillId="0" borderId="0" xfId="0" applyNumberFormat="1"/>
    <xf numFmtId="0" fontId="0" fillId="0" borderId="0" xfId="0" applyAlignment="1">
      <alignment wrapText="1"/>
    </xf>
    <xf numFmtId="0" fontId="2" fillId="0" borderId="2" xfId="0" applyFont="1" applyFill="1" applyBorder="1" applyAlignment="1">
      <alignment horizontal="left" vertical="center" wrapText="1"/>
    </xf>
    <xf numFmtId="0" fontId="0" fillId="0" borderId="2" xfId="0" applyBorder="1"/>
    <xf numFmtId="0" fontId="0" fillId="0" borderId="2" xfId="0" applyBorder="1" applyAlignment="1">
      <alignment horizontal="right"/>
    </xf>
    <xf numFmtId="0" fontId="0" fillId="0" borderId="0" xfId="0" applyAlignment="1">
      <alignment horizontal="center"/>
    </xf>
    <xf numFmtId="0" fontId="0" fillId="0" borderId="2" xfId="0" applyBorder="1" applyAlignment="1">
      <alignment horizontal="center"/>
    </xf>
    <xf numFmtId="0" fontId="3" fillId="4" borderId="2" xfId="0" applyFont="1" applyFill="1" applyBorder="1" applyAlignment="1">
      <alignment horizontal="center"/>
    </xf>
    <xf numFmtId="0" fontId="4" fillId="3" borderId="0" xfId="0" applyFont="1" applyFill="1" applyAlignment="1">
      <alignment horizontal="center"/>
    </xf>
    <xf numFmtId="0" fontId="4" fillId="2" borderId="0" xfId="0" applyFont="1" applyFill="1" applyAlignment="1">
      <alignment horizontal="center" vertical="center" wrapText="1"/>
    </xf>
    <xf numFmtId="0" fontId="2" fillId="0" borderId="1" xfId="0" applyFont="1" applyFill="1" applyBorder="1" applyAlignment="1">
      <alignment horizontal="left" vertical="center" wrapText="1"/>
    </xf>
    <xf numFmtId="0" fontId="0" fillId="0" borderId="0" xfId="0" pivotButton="1"/>
    <xf numFmtId="0" fontId="0" fillId="0" borderId="0" xfId="0" applyAlignment="1">
      <alignment horizontal="left"/>
    </xf>
    <xf numFmtId="0" fontId="0" fillId="0" borderId="0" xfId="0" applyNumberFormat="1"/>
    <xf numFmtId="0" fontId="3" fillId="0" borderId="0" xfId="0" applyFont="1"/>
    <xf numFmtId="0" fontId="0" fillId="0" borderId="0" xfId="0" applyFont="1" applyFill="1" applyAlignment="1">
      <alignment horizontal="left" vertical="center" wrapText="1"/>
    </xf>
    <xf numFmtId="0" fontId="0" fillId="0" borderId="2" xfId="0" applyFont="1" applyFill="1" applyBorder="1" applyAlignment="1">
      <alignment horizontal="left" vertical="center" wrapText="1"/>
    </xf>
    <xf numFmtId="0" fontId="5" fillId="5" borderId="1" xfId="0" applyFont="1" applyFill="1" applyBorder="1" applyAlignment="1">
      <alignment horizontal="left" vertical="center" wrapText="1" indent="1"/>
    </xf>
    <xf numFmtId="0" fontId="0" fillId="6" borderId="0" xfId="0" applyFill="1"/>
    <xf numFmtId="0" fontId="0" fillId="0" borderId="0" xfId="0" applyAlignment="1">
      <alignment horizontal="center" wrapText="1"/>
    </xf>
    <xf numFmtId="0" fontId="0" fillId="0" borderId="0" xfId="0"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wrapText="1"/>
    </xf>
    <xf numFmtId="164" fontId="0" fillId="0" borderId="0" xfId="0" applyNumberFormat="1" applyAlignment="1">
      <alignment horizontal="center" vertical="center"/>
    </xf>
    <xf numFmtId="0" fontId="0" fillId="0" borderId="0" xfId="0" applyAlignment="1">
      <alignment horizontal="center" vertical="center" wrapText="1"/>
    </xf>
    <xf numFmtId="0" fontId="0" fillId="0" borderId="1" xfId="0" applyFill="1" applyBorder="1" applyAlignment="1">
      <alignment horizontal="center"/>
    </xf>
    <xf numFmtId="0" fontId="4" fillId="0" borderId="1" xfId="0" applyFont="1" applyFill="1" applyBorder="1" applyAlignment="1"/>
    <xf numFmtId="0" fontId="0" fillId="0" borderId="1" xfId="0" applyBorder="1" applyAlignment="1">
      <alignment horizontal="center" vertical="center"/>
    </xf>
    <xf numFmtId="0" fontId="0" fillId="0" borderId="1" xfId="0" applyBorder="1" applyAlignment="1">
      <alignment vertical="center" wrapText="1"/>
    </xf>
    <xf numFmtId="0" fontId="0" fillId="0" borderId="0" xfId="0" applyNumberFormat="1" applyAlignment="1">
      <alignment horizontal="center"/>
    </xf>
    <xf numFmtId="10" fontId="0" fillId="0" borderId="0" xfId="0" applyNumberFormat="1" applyAlignment="1">
      <alignment horizontal="center"/>
    </xf>
    <xf numFmtId="2" fontId="0" fillId="0" borderId="0" xfId="0" applyNumberFormat="1" applyAlignment="1">
      <alignment horizontal="center"/>
    </xf>
    <xf numFmtId="0" fontId="0" fillId="6" borderId="0" xfId="0" applyFill="1" applyAlignment="1">
      <alignment horizontal="center"/>
    </xf>
    <xf numFmtId="0" fontId="0" fillId="0" borderId="0" xfId="0" pivotButton="1" applyAlignment="1">
      <alignment horizontal="center"/>
    </xf>
    <xf numFmtId="0" fontId="3" fillId="6" borderId="0" xfId="0" applyFont="1" applyFill="1"/>
    <xf numFmtId="0" fontId="0" fillId="0" borderId="0" xfId="0" applyFill="1"/>
    <xf numFmtId="0" fontId="3" fillId="6" borderId="0" xfId="0" applyFont="1" applyFill="1" applyAlignment="1">
      <alignment horizontal="left"/>
    </xf>
    <xf numFmtId="0" fontId="3" fillId="6" borderId="0" xfId="0" applyFont="1" applyFill="1" applyAlignment="1">
      <alignment horizontal="center"/>
    </xf>
    <xf numFmtId="0" fontId="0" fillId="0" borderId="0" xfId="0" applyFill="1" applyAlignment="1">
      <alignment horizontal="center"/>
    </xf>
    <xf numFmtId="0" fontId="6" fillId="7" borderId="3" xfId="0" applyFont="1" applyFill="1" applyBorder="1"/>
    <xf numFmtId="0" fontId="7" fillId="7" borderId="4" xfId="0" applyFont="1" applyFill="1" applyBorder="1"/>
    <xf numFmtId="0" fontId="7" fillId="7" borderId="5" xfId="0" applyFont="1" applyFill="1" applyBorder="1"/>
    <xf numFmtId="0" fontId="0" fillId="0" borderId="1" xfId="0" applyFill="1" applyBorder="1" applyAlignment="1"/>
    <xf numFmtId="0" fontId="0" fillId="0" borderId="6" xfId="0" applyFill="1" applyBorder="1" applyAlignment="1"/>
    <xf numFmtId="0" fontId="8" fillId="0" borderId="7" xfId="0" applyFont="1" applyFill="1" applyBorder="1" applyAlignment="1">
      <alignment horizontal="center"/>
    </xf>
    <xf numFmtId="0" fontId="0" fillId="0" borderId="2" xfId="0" applyFont="1" applyBorder="1"/>
    <xf numFmtId="176" fontId="0" fillId="0" borderId="2" xfId="0" applyNumberFormat="1" applyBorder="1"/>
    <xf numFmtId="0" fontId="3" fillId="0" borderId="1" xfId="0" applyFont="1" applyFill="1" applyBorder="1" applyAlignment="1"/>
    <xf numFmtId="0" fontId="3" fillId="0" borderId="2" xfId="0" applyFont="1" applyFill="1" applyBorder="1"/>
    <xf numFmtId="0" fontId="3" fillId="0" borderId="2" xfId="0" applyFont="1" applyBorder="1"/>
    <xf numFmtId="176" fontId="0" fillId="0" borderId="2" xfId="0" applyNumberFormat="1" applyBorder="1" applyAlignment="1">
      <alignment horizontal="right"/>
    </xf>
    <xf numFmtId="0" fontId="0" fillId="7" borderId="0" xfId="0" applyFill="1" applyAlignment="1">
      <alignment horizontal="center" vertical="center"/>
    </xf>
    <xf numFmtId="0" fontId="0" fillId="7" borderId="0" xfId="0" applyFill="1"/>
    <xf numFmtId="0" fontId="1" fillId="8" borderId="0" xfId="0" applyFont="1" applyFill="1" applyAlignment="1">
      <alignment horizontal="center" vertical="center" wrapText="1"/>
    </xf>
    <xf numFmtId="0" fontId="3" fillId="5" borderId="0" xfId="0" applyFont="1" applyFill="1"/>
    <xf numFmtId="0" fontId="3" fillId="4" borderId="0" xfId="0" applyFont="1" applyFill="1"/>
    <xf numFmtId="0" fontId="3" fillId="4" borderId="0" xfId="0" applyFont="1" applyFill="1" applyAlignment="1">
      <alignment horizontal="center" vertical="center" wrapText="1"/>
    </xf>
    <xf numFmtId="0" fontId="0" fillId="0" borderId="2" xfId="0" applyBorder="1" applyAlignment="1">
      <alignment vertical="top" wrapText="1"/>
    </xf>
  </cellXfs>
  <cellStyles count="1">
    <cellStyle name="Normal" xfId="0" builtinId="0"/>
  </cellStyles>
  <dxfs count="107">
    <dxf>
      <numFmt numFmtId="0" formatCode="General"/>
    </dxf>
    <dxf>
      <alignment horizontal="center"/>
    </dxf>
    <dxf>
      <alignment horizontal="center"/>
    </dxf>
    <dxf>
      <numFmt numFmtId="2" formatCode="0.00"/>
    </dxf>
    <dxf>
      <alignment horizontal="center"/>
    </dxf>
    <dxf>
      <fill>
        <patternFill patternType="solid">
          <bgColor theme="8" tint="0.79998168889431442"/>
        </patternFill>
      </fill>
    </dxf>
    <dxf>
      <alignment horizontal="left"/>
    </dxf>
    <dxf>
      <fill>
        <patternFill patternType="solid">
          <bgColor theme="8" tint="0.79998168889431442"/>
        </patternFill>
      </fill>
    </dxf>
    <dxf>
      <fill>
        <patternFill patternType="solid">
          <bgColor theme="8" tint="0.79998168889431442"/>
        </patternFill>
      </fill>
    </dxf>
    <dxf>
      <font>
        <b/>
      </font>
    </dxf>
    <dxf>
      <alignment horizontal="center"/>
    </dxf>
    <dxf>
      <alignment horizontal="center"/>
    </dxf>
    <dxf>
      <alignment horizontal="center"/>
    </dxf>
    <dxf>
      <alignment horizontal="center"/>
    </dxf>
    <dxf>
      <alignment horizontal="center"/>
    </dxf>
    <dxf>
      <numFmt numFmtId="14" formatCode="0.00%"/>
    </dxf>
    <dxf>
      <fill>
        <patternFill patternType="none">
          <bgColor auto="1"/>
        </patternFill>
      </fill>
    </dxf>
    <dxf>
      <alignment horizontal="center"/>
    </dxf>
    <dxf>
      <font>
        <b/>
      </font>
    </dxf>
    <dxf>
      <fill>
        <patternFill patternType="solid">
          <bgColor theme="8" tint="0.7999816888943144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2" formatCode="0.00"/>
    </dxf>
    <dxf>
      <alignment horizontal="center"/>
    </dxf>
    <dxf>
      <alignment horizontal="center"/>
    </dxf>
    <dxf>
      <alignment horizontal="center"/>
    </dxf>
    <dxf>
      <fill>
        <patternFill patternType="none">
          <bgColor auto="1"/>
        </patternFill>
      </fill>
    </dxf>
    <dxf>
      <alignment horizontal="center"/>
    </dxf>
    <dxf>
      <numFmt numFmtId="2" formatCode="0.00"/>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wrapText="1"/>
    </dxf>
    <dxf>
      <alignment wrapText="1"/>
    </dxf>
    <dxf>
      <alignment wrapText="1"/>
    </dxf>
    <dxf>
      <alignment wrapText="1"/>
    </dxf>
    <dxf>
      <alignment wrapText="1"/>
    </dxf>
    <dxf>
      <alignment wrapText="1"/>
    </dxf>
    <dxf>
      <alignment horizontal="center"/>
    </dxf>
    <dxf>
      <alignment horizontal="center"/>
    </dxf>
    <dxf>
      <alignment horizontal="center"/>
    </dxf>
    <dxf>
      <numFmt numFmtId="14" formatCode="0.00%"/>
    </dxf>
    <dxf>
      <fill>
        <patternFill patternType="solid">
          <bgColor theme="8" tint="0.79998168889431442"/>
        </patternFill>
      </fill>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alignment horizontal="center"/>
    </dxf>
    <dxf>
      <alignment horizontal="center"/>
    </dxf>
    <dxf>
      <numFmt numFmtId="14" formatCode="0.00%"/>
    </dxf>
    <dxf>
      <alignment horizontal="center"/>
    </dxf>
    <dxf>
      <alignment horizontal="center"/>
    </dxf>
    <dxf>
      <numFmt numFmtId="2" formatCode="0.00"/>
    </dxf>
    <dxf>
      <alignment horizontal="center"/>
    </dxf>
    <dxf>
      <alignment horizontal="center"/>
    </dxf>
    <dxf>
      <numFmt numFmtId="14" formatCode="0.00%"/>
    </dxf>
    <dxf>
      <alignment horizontal="center"/>
    </dxf>
    <dxf>
      <alignment horizontal="center"/>
    </dxf>
    <dxf>
      <alignment horizontal="center"/>
    </dxf>
    <dxf>
      <fill>
        <patternFill patternType="solid">
          <bgColor theme="8" tint="0.79998168889431442"/>
        </patternFill>
      </fill>
    </dxf>
    <dxf>
      <numFmt numFmtId="2" formatCode="0.00"/>
    </dxf>
    <dxf>
      <numFmt numFmtId="2" formatCode="0.00"/>
    </dxf>
    <dxf>
      <numFmt numFmtId="2" formatCode="0.00"/>
    </dxf>
    <dxf>
      <alignment horizontal="center"/>
    </dxf>
    <dxf>
      <alignment horizontal="center"/>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alignment horizontal="center"/>
    </dxf>
    <dxf>
      <numFmt numFmtId="14" formatCode="0.00%"/>
    </dxf>
    <dxf>
      <alignment horizontal="center"/>
    </dxf>
    <dxf>
      <fill>
        <patternFill patternType="solid">
          <bgColor theme="8" tint="0.79998168889431442"/>
        </patternFill>
      </fill>
    </dxf>
    <dxf>
      <fill>
        <patternFill patternType="solid">
          <bgColor theme="8" tint="0.79998168889431442"/>
        </patternFill>
      </fill>
    </dxf>
    <dxf>
      <numFmt numFmtId="14" formatCode="0.00%"/>
    </dxf>
    <dxf>
      <alignment horizontal="center"/>
    </dxf>
    <dxf>
      <fill>
        <patternFill patternType="solid">
          <bgColor theme="8" tint="0.79998168889431442"/>
        </patternFill>
      </fill>
    </dxf>
    <dxf>
      <numFmt numFmtId="14" formatCode="0.00%"/>
    </dxf>
    <dxf>
      <alignment horizontal="center"/>
    </dxf>
    <dxf>
      <numFmt numFmtId="14" formatCode="0.00%"/>
    </dxf>
    <dxf>
      <alignment horizontal="center"/>
    </dxf>
    <dxf>
      <fill>
        <patternFill patternType="solid">
          <bgColor theme="8"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tasha R" refreshedDate="46200.681427662035" createdVersion="8" refreshedVersion="8" minRefreshableVersion="3" recordCount="1408" xr:uid="{8C52FF85-2D4E-4B98-93E7-21337A79F6AC}">
  <cacheSource type="worksheet">
    <worksheetSource ref="A1:P1409" sheet="experiment_data_initialworking"/>
  </cacheSource>
  <cacheFields count="16">
    <cacheField name="user_id" numFmtId="0">
      <sharedItems count="1400">
        <s v="USR-100001"/>
        <s v="USR-100002"/>
        <s v="USR-100003"/>
        <s v="USR-100004"/>
        <s v="USR-100005"/>
        <s v="USR-100006"/>
        <s v="USR-100007"/>
        <s v="USR-100008"/>
        <s v="USR-100009"/>
        <s v="USR-100010"/>
        <s v="USR-100011"/>
        <s v="USR-100012"/>
        <s v="USR-100013"/>
        <s v="USR-100014"/>
        <s v="USR-100015"/>
        <s v="USR-100016"/>
        <s v="USR-100017"/>
        <s v="USR-100018"/>
        <s v="USR-100019"/>
        <s v="USR-100020"/>
        <s v="USR-100021"/>
        <s v="USR-100022"/>
        <s v="USR-100023"/>
        <s v="USR-100024"/>
        <s v="USR-100025"/>
        <s v="USR-100026"/>
        <s v="USR-100027"/>
        <s v="USR-100028"/>
        <s v="USR-100029"/>
        <s v="USR-100030"/>
        <s v="USR-100031"/>
        <s v="USR-100032"/>
        <s v="USR-100033"/>
        <s v="USR-100034"/>
        <s v="USR-100035"/>
        <s v="USR-100036"/>
        <s v="USR-100037"/>
        <s v="USR-100038"/>
        <s v="USR-100039"/>
        <s v="USR-100040"/>
        <s v="USR-100041"/>
        <s v="USR-100042"/>
        <s v="USR-100043"/>
        <s v="USR-100044"/>
        <s v="USR-100045"/>
        <s v="USR-100046"/>
        <s v="USR-100047"/>
        <s v="USR-100048"/>
        <s v="USR-100049"/>
        <s v="USR-100050"/>
        <s v="USR-100051"/>
        <s v="USR-100052"/>
        <s v="USR-100053"/>
        <s v="USR-100054"/>
        <s v="USR-100055"/>
        <s v="USR-100056"/>
        <s v="USR-100057"/>
        <s v="USR-100058"/>
        <s v="USR-100059"/>
        <s v="USR-100060"/>
        <s v="USR-100061"/>
        <s v="USR-100062"/>
        <s v="USR-100063"/>
        <s v="USR-100064"/>
        <s v="USR-100065"/>
        <s v="USR-100066"/>
        <s v="USR-100067"/>
        <s v="USR-100068"/>
        <s v="USR-100069"/>
        <s v="USR-100070"/>
        <s v="USR-100071"/>
        <s v="USR-100072"/>
        <s v="USR-100073"/>
        <s v="USR-100074"/>
        <s v="USR-100075"/>
        <s v="USR-100076"/>
        <s v="USR-100077"/>
        <s v="USR-100078"/>
        <s v="USR-100079"/>
        <s v="USR-100080"/>
        <s v="USR-100081"/>
        <s v="USR-100082"/>
        <s v="USR-100083"/>
        <s v="USR-100084"/>
        <s v="USR-100085"/>
        <s v="USR-100086"/>
        <s v="USR-100087"/>
        <s v="USR-100088"/>
        <s v="USR-100089"/>
        <s v="USR-100090"/>
        <s v="USR-100091"/>
        <s v="USR-100092"/>
        <s v="USR-100093"/>
        <s v="USR-100094"/>
        <s v="USR-100095"/>
        <s v="USR-100096"/>
        <s v="USR-100097"/>
        <s v="USR-100098"/>
        <s v="USR-100099"/>
        <s v="USR-100100"/>
        <s v="USR-100101"/>
        <s v="USR-100102"/>
        <s v="USR-100103"/>
        <s v="USR-100104"/>
        <s v="USR-100105"/>
        <s v="USR-100106"/>
        <s v="USR-100107"/>
        <s v="USR-100108"/>
        <s v="USR-100109"/>
        <s v="USR-100110"/>
        <s v="USR-100111"/>
        <s v="USR-100112"/>
        <s v="USR-100113"/>
        <s v="USR-100114"/>
        <s v="USR-100115"/>
        <s v="USR-100116"/>
        <s v="USR-100117"/>
        <s v="USR-100118"/>
        <s v="USR-100119"/>
        <s v="USR-100120"/>
        <s v="USR-100121"/>
        <s v="USR-100122"/>
        <s v="USR-100123"/>
        <s v="USR-100124"/>
        <s v="USR-100125"/>
        <s v="USR-100126"/>
        <s v="USR-100127"/>
        <s v="USR-100128"/>
        <s v="USR-100129"/>
        <s v="USR-100130"/>
        <s v="USR-100131"/>
        <s v="USR-100132"/>
        <s v="USR-100133"/>
        <s v="USR-100134"/>
        <s v="USR-100135"/>
        <s v="USR-100136"/>
        <s v="USR-100137"/>
        <s v="USR-100138"/>
        <s v="USR-100139"/>
        <s v="USR-100140"/>
        <s v="USR-100141"/>
        <s v="USR-100142"/>
        <s v="USR-100143"/>
        <s v="USR-100144"/>
        <s v="USR-100145"/>
        <s v="USR-100146"/>
        <s v="USR-100147"/>
        <s v="USR-100148"/>
        <s v="USR-100149"/>
        <s v="USR-100150"/>
        <s v="USR-100151"/>
        <s v="USR-100152"/>
        <s v="USR-100153"/>
        <s v="USR-100154"/>
        <s v="USR-100155"/>
        <s v="USR-100156"/>
        <s v="USR-100157"/>
        <s v="USR-100158"/>
        <s v="USR-100159"/>
        <s v="USR-100160"/>
        <s v="USR-100161"/>
        <s v="USR-100162"/>
        <s v="USR-100163"/>
        <s v="USR-100164"/>
        <s v="USR-100165"/>
        <s v="USR-100166"/>
        <s v="USR-100167"/>
        <s v="USR-100168"/>
        <s v="USR-100169"/>
        <s v="USR-100170"/>
        <s v="USR-100171"/>
        <s v="USR-100172"/>
        <s v="USR-100173"/>
        <s v="USR-100174"/>
        <s v="USR-100175"/>
        <s v="USR-100176"/>
        <s v="USR-100177"/>
        <s v="USR-100178"/>
        <s v="USR-100179"/>
        <s v="USR-100180"/>
        <s v="USR-100181"/>
        <s v="USR-100182"/>
        <s v="USR-100183"/>
        <s v="USR-100184"/>
        <s v="USR-100185"/>
        <s v="USR-100186"/>
        <s v="USR-100187"/>
        <s v="USR-100188"/>
        <s v="USR-100189"/>
        <s v="USR-100190"/>
        <s v="USR-100191"/>
        <s v="USR-100192"/>
        <s v="USR-100193"/>
        <s v="USR-100194"/>
        <s v="USR-100195"/>
        <s v="USR-100196"/>
        <s v="USR-100197"/>
        <s v="USR-100198"/>
        <s v="USR-100199"/>
        <s v="USR-100200"/>
        <s v="USR-100201"/>
        <s v="USR-100202"/>
        <s v="USR-100203"/>
        <s v="USR-100204"/>
        <s v="USR-100205"/>
        <s v="USR-100206"/>
        <s v="USR-100207"/>
        <s v="USR-100208"/>
        <s v="USR-100209"/>
        <s v="USR-100210"/>
        <s v="USR-100211"/>
        <s v="USR-100212"/>
        <s v="USR-100213"/>
        <s v="USR-100214"/>
        <s v="USR-100215"/>
        <s v="USR-100216"/>
        <s v="USR-100217"/>
        <s v="USR-100218"/>
        <s v="USR-100219"/>
        <s v="USR-100220"/>
        <s v="USR-100221"/>
        <s v="USR-100222"/>
        <s v="USR-100223"/>
        <s v="USR-100224"/>
        <s v="USR-100225"/>
        <s v="USR-100226"/>
        <s v="USR-100227"/>
        <s v="USR-100228"/>
        <s v="USR-100229"/>
        <s v="USR-100230"/>
        <s v="USR-100231"/>
        <s v="USR-100232"/>
        <s v="USR-100233"/>
        <s v="USR-100234"/>
        <s v="USR-100235"/>
        <s v="USR-100236"/>
        <s v="USR-100237"/>
        <s v="USR-100238"/>
        <s v="USR-100239"/>
        <s v="USR-100240"/>
        <s v="USR-100241"/>
        <s v="USR-100242"/>
        <s v="USR-100243"/>
        <s v="USR-100244"/>
        <s v="USR-100245"/>
        <s v="USR-100246"/>
        <s v="USR-100247"/>
        <s v="USR-100248"/>
        <s v="USR-100249"/>
        <s v="USR-100250"/>
        <s v="USR-100251"/>
        <s v="USR-100252"/>
        <s v="USR-100253"/>
        <s v="USR-100254"/>
        <s v="USR-100255"/>
        <s v="USR-100256"/>
        <s v="USR-100257"/>
        <s v="USR-100258"/>
        <s v="USR-100259"/>
        <s v="USR-100260"/>
        <s v="USR-100261"/>
        <s v="USR-100262"/>
        <s v="USR-100263"/>
        <s v="USR-100264"/>
        <s v="USR-100265"/>
        <s v="USR-100266"/>
        <s v="USR-100267"/>
        <s v="USR-100268"/>
        <s v="USR-100269"/>
        <s v="USR-100270"/>
        <s v="USR-100271"/>
        <s v="USR-100272"/>
        <s v="USR-100273"/>
        <s v="USR-100274"/>
        <s v="USR-100275"/>
        <s v="USR-100276"/>
        <s v="USR-100277"/>
        <s v="USR-100278"/>
        <s v="USR-100279"/>
        <s v="USR-100280"/>
        <s v="USR-100281"/>
        <s v="USR-100282"/>
        <s v="USR-100283"/>
        <s v="USR-100284"/>
        <s v="USR-100285"/>
        <s v="USR-100286"/>
        <s v="USR-100287"/>
        <s v="USR-100288"/>
        <s v="USR-100289"/>
        <s v="USR-100290"/>
        <s v="USR-100291"/>
        <s v="USR-100292"/>
        <s v="USR-100293"/>
        <s v="USR-100294"/>
        <s v="USR-100295"/>
        <s v="USR-100296"/>
        <s v="USR-100297"/>
        <s v="USR-100298"/>
        <s v="USR-100299"/>
        <s v="USR-100300"/>
        <s v="USR-100301"/>
        <s v="USR-100302"/>
        <s v="USR-100303"/>
        <s v="USR-100304"/>
        <s v="USR-100305"/>
        <s v="USR-100306"/>
        <s v="USR-100307"/>
        <s v="USR-100308"/>
        <s v="USR-100309"/>
        <s v="USR-100310"/>
        <s v="USR-100311"/>
        <s v="USR-100312"/>
        <s v="USR-100313"/>
        <s v="USR-100314"/>
        <s v="USR-100315"/>
        <s v="USR-100316"/>
        <s v="USR-100317"/>
        <s v="USR-100318"/>
        <s v="USR-100319"/>
        <s v="USR-100320"/>
        <s v="USR-100321"/>
        <s v="USR-100322"/>
        <s v="USR-100323"/>
        <s v="USR-100324"/>
        <s v="USR-100325"/>
        <s v="USR-100326"/>
        <s v="USR-100327"/>
        <s v="USR-100328"/>
        <s v="USR-100329"/>
        <s v="USR-100330"/>
        <s v="USR-100331"/>
        <s v="USR-100332"/>
        <s v="USR-100333"/>
        <s v="USR-100334"/>
        <s v="USR-100335"/>
        <s v="USR-100336"/>
        <s v="USR-100337"/>
        <s v="USR-100338"/>
        <s v="USR-100339"/>
        <s v="USR-100340"/>
        <s v="USR-100341"/>
        <s v="USR-100342"/>
        <s v="USR-100343"/>
        <s v="USR-100344"/>
        <s v="USR-100345"/>
        <s v="USR-100346"/>
        <s v="USR-100347"/>
        <s v="USR-100348"/>
        <s v="USR-100349"/>
        <s v="USR-100350"/>
        <s v="USR-100351"/>
        <s v="USR-100352"/>
        <s v="USR-100353"/>
        <s v="USR-100354"/>
        <s v="USR-100355"/>
        <s v="USR-100356"/>
        <s v="USR-100357"/>
        <s v="USR-100358"/>
        <s v="USR-100359"/>
        <s v="USR-100360"/>
        <s v="USR-100361"/>
        <s v="USR-100362"/>
        <s v="USR-100363"/>
        <s v="USR-100364"/>
        <s v="USR-100365"/>
        <s v="USR-100366"/>
        <s v="USR-100367"/>
        <s v="USR-100368"/>
        <s v="USR-100369"/>
        <s v="USR-100370"/>
        <s v="USR-100371"/>
        <s v="USR-100372"/>
        <s v="USR-100373"/>
        <s v="USR-100374"/>
        <s v="USR-100375"/>
        <s v="USR-100376"/>
        <s v="USR-100377"/>
        <s v="USR-100378"/>
        <s v="USR-100379"/>
        <s v="USR-100380"/>
        <s v="USR-100381"/>
        <s v="USR-100382"/>
        <s v="USR-100383"/>
        <s v="USR-100384"/>
        <s v="USR-100385"/>
        <s v="USR-100386"/>
        <s v="USR-100387"/>
        <s v="USR-100388"/>
        <s v="USR-100389"/>
        <s v="USR-100390"/>
        <s v="USR-100391"/>
        <s v="USR-100392"/>
        <s v="USR-100393"/>
        <s v="USR-100394"/>
        <s v="USR-100395"/>
        <s v="USR-100396"/>
        <s v="USR-100397"/>
        <s v="USR-100398"/>
        <s v="USR-100399"/>
        <s v="USR-100400"/>
        <s v="USR-100401"/>
        <s v="USR-100402"/>
        <s v="USR-100403"/>
        <s v="USR-100404"/>
        <s v="USR-100405"/>
        <s v="USR-100406"/>
        <s v="USR-100407"/>
        <s v="USR-100408"/>
        <s v="USR-100409"/>
        <s v="USR-100410"/>
        <s v="USR-100411"/>
        <s v="USR-100412"/>
        <s v="USR-100413"/>
        <s v="USR-100414"/>
        <s v="USR-100415"/>
        <s v="USR-100416"/>
        <s v="USR-100417"/>
        <s v="USR-100418"/>
        <s v="USR-100419"/>
        <s v="USR-100420"/>
        <s v="USR-100421"/>
        <s v="USR-100422"/>
        <s v="USR-100423"/>
        <s v="USR-100424"/>
        <s v="USR-100425"/>
        <s v="USR-100426"/>
        <s v="USR-100427"/>
        <s v="USR-100428"/>
        <s v="USR-100429"/>
        <s v="USR-100430"/>
        <s v="USR-100431"/>
        <s v="USR-100432"/>
        <s v="USR-100433"/>
        <s v="USR-100434"/>
        <s v="USR-100435"/>
        <s v="USR-100436"/>
        <s v="USR-100437"/>
        <s v="USR-100438"/>
        <s v="USR-100439"/>
        <s v="USR-100440"/>
        <s v="USR-100441"/>
        <s v="USR-100442"/>
        <s v="USR-100443"/>
        <s v="USR-100444"/>
        <s v="USR-100445"/>
        <s v="USR-100446"/>
        <s v="USR-100447"/>
        <s v="USR-100448"/>
        <s v="USR-100449"/>
        <s v="USR-100450"/>
        <s v="USR-100451"/>
        <s v="USR-100452"/>
        <s v="USR-100453"/>
        <s v="USR-100454"/>
        <s v="USR-100455"/>
        <s v="USR-100456"/>
        <s v="USR-100457"/>
        <s v="USR-100458"/>
        <s v="USR-100459"/>
        <s v="USR-100460"/>
        <s v="USR-100461"/>
        <s v="USR-100462"/>
        <s v="USR-100463"/>
        <s v="USR-100464"/>
        <s v="USR-100465"/>
        <s v="USR-100466"/>
        <s v="USR-100467"/>
        <s v="USR-100468"/>
        <s v="USR-100469"/>
        <s v="USR-100470"/>
        <s v="USR-100471"/>
        <s v="USR-100472"/>
        <s v="USR-100473"/>
        <s v="USR-100474"/>
        <s v="USR-100475"/>
        <s v="USR-100476"/>
        <s v="USR-100477"/>
        <s v="USR-100478"/>
        <s v="USR-100479"/>
        <s v="USR-100480"/>
        <s v="USR-100481"/>
        <s v="USR-100482"/>
        <s v="USR-100483"/>
        <s v="USR-100484"/>
        <s v="USR-100485"/>
        <s v="USR-100486"/>
        <s v="USR-100487"/>
        <s v="USR-100488"/>
        <s v="USR-100489"/>
        <s v="USR-100490"/>
        <s v="USR-100491"/>
        <s v="USR-100492"/>
        <s v="USR-100493"/>
        <s v="USR-100494"/>
        <s v="USR-100495"/>
        <s v="USR-100496"/>
        <s v="USR-100497"/>
        <s v="USR-100498"/>
        <s v="USR-100499"/>
        <s v="USR-100500"/>
        <s v="USR-100501"/>
        <s v="USR-100502"/>
        <s v="USR-100503"/>
        <s v="USR-100504"/>
        <s v="USR-100505"/>
        <s v="USR-100506"/>
        <s v="USR-100507"/>
        <s v="USR-100508"/>
        <s v="USR-100509"/>
        <s v="USR-100510"/>
        <s v="USR-100511"/>
        <s v="USR-100512"/>
        <s v="USR-100513"/>
        <s v="USR-100514"/>
        <s v="USR-100515"/>
        <s v="USR-100516"/>
        <s v="USR-100517"/>
        <s v="USR-100518"/>
        <s v="USR-100519"/>
        <s v="USR-100520"/>
        <s v="USR-100521"/>
        <s v="USR-100522"/>
        <s v="USR-100523"/>
        <s v="USR-100524"/>
        <s v="USR-100525"/>
        <s v="USR-100526"/>
        <s v="USR-100527"/>
        <s v="USR-100528"/>
        <s v="USR-100529"/>
        <s v="USR-100530"/>
        <s v="USR-100531"/>
        <s v="USR-100532"/>
        <s v="USR-100533"/>
        <s v="USR-100534"/>
        <s v="USR-100535"/>
        <s v="USR-100536"/>
        <s v="USR-100537"/>
        <s v="USR-100538"/>
        <s v="USR-100539"/>
        <s v="USR-100540"/>
        <s v="USR-100541"/>
        <s v="USR-100542"/>
        <s v="USR-100543"/>
        <s v="USR-100544"/>
        <s v="USR-100545"/>
        <s v="USR-100546"/>
        <s v="USR-100547"/>
        <s v="USR-100548"/>
        <s v="USR-100549"/>
        <s v="USR-100550"/>
        <s v="USR-100551"/>
        <s v="USR-100552"/>
        <s v="USR-100553"/>
        <s v="USR-100554"/>
        <s v="USR-100555"/>
        <s v="USR-100556"/>
        <s v="USR-100557"/>
        <s v="USR-100558"/>
        <s v="USR-100559"/>
        <s v="USR-100560"/>
        <s v="USR-100561"/>
        <s v="USR-100562"/>
        <s v="USR-100563"/>
        <s v="USR-100564"/>
        <s v="USR-100565"/>
        <s v="USR-100566"/>
        <s v="USR-100567"/>
        <s v="USR-100568"/>
        <s v="USR-100569"/>
        <s v="USR-100570"/>
        <s v="USR-100571"/>
        <s v="USR-100572"/>
        <s v="USR-100573"/>
        <s v="USR-100574"/>
        <s v="USR-100575"/>
        <s v="USR-100576"/>
        <s v="USR-100577"/>
        <s v="USR-100578"/>
        <s v="USR-100579"/>
        <s v="USR-100580"/>
        <s v="USR-100581"/>
        <s v="USR-100582"/>
        <s v="USR-100583"/>
        <s v="USR-100584"/>
        <s v="USR-100585"/>
        <s v="USR-100586"/>
        <s v="USR-100587"/>
        <s v="USR-100588"/>
        <s v="USR-100589"/>
        <s v="USR-100590"/>
        <s v="USR-100591"/>
        <s v="USR-100592"/>
        <s v="USR-100593"/>
        <s v="USR-100594"/>
        <s v="USR-100595"/>
        <s v="USR-100596"/>
        <s v="USR-100597"/>
        <s v="USR-100598"/>
        <s v="USR-100599"/>
        <s v="USR-100600"/>
        <s v="USR-100601"/>
        <s v="USR-100602"/>
        <s v="USR-100603"/>
        <s v="USR-100604"/>
        <s v="USR-100605"/>
        <s v="USR-100606"/>
        <s v="USR-100607"/>
        <s v="USR-100608"/>
        <s v="USR-100609"/>
        <s v="USR-100610"/>
        <s v="USR-100611"/>
        <s v="USR-100612"/>
        <s v="USR-100613"/>
        <s v="USR-100614"/>
        <s v="USR-100615"/>
        <s v="USR-100616"/>
        <s v="USR-100617"/>
        <s v="USR-100618"/>
        <s v="USR-100619"/>
        <s v="USR-100620"/>
        <s v="USR-100621"/>
        <s v="USR-100622"/>
        <s v="USR-100623"/>
        <s v="USR-100624"/>
        <s v="USR-100625"/>
        <s v="USR-100626"/>
        <s v="USR-100627"/>
        <s v="USR-100628"/>
        <s v="USR-100629"/>
        <s v="USR-100630"/>
        <s v="USR-100631"/>
        <s v="USR-100632"/>
        <s v="USR-100633"/>
        <s v="USR-100634"/>
        <s v="USR-100635"/>
        <s v="USR-100636"/>
        <s v="USR-100637"/>
        <s v="USR-100638"/>
        <s v="USR-100639"/>
        <s v="USR-100640"/>
        <s v="USR-100641"/>
        <s v="USR-100642"/>
        <s v="USR-100643"/>
        <s v="USR-100644"/>
        <s v="USR-100645"/>
        <s v="USR-100646"/>
        <s v="USR-100647"/>
        <s v="USR-100648"/>
        <s v="USR-100649"/>
        <s v="USR-100650"/>
        <s v="USR-100651"/>
        <s v="USR-100652"/>
        <s v="USR-100653"/>
        <s v="USR-100654"/>
        <s v="USR-100655"/>
        <s v="USR-100656"/>
        <s v="USR-100657"/>
        <s v="USR-100658"/>
        <s v="USR-100659"/>
        <s v="USR-100660"/>
        <s v="USR-100661"/>
        <s v="USR-100662"/>
        <s v="USR-100663"/>
        <s v="USR-100664"/>
        <s v="USR-100665"/>
        <s v="USR-100666"/>
        <s v="USR-100667"/>
        <s v="USR-100668"/>
        <s v="USR-100669"/>
        <s v="USR-100670"/>
        <s v="USR-100671"/>
        <s v="USR-100672"/>
        <s v="USR-100673"/>
        <s v="USR-100674"/>
        <s v="USR-100675"/>
        <s v="USR-100676"/>
        <s v="USR-100677"/>
        <s v="USR-100678"/>
        <s v="USR-100679"/>
        <s v="USR-100680"/>
        <s v="USR-100681"/>
        <s v="USR-100682"/>
        <s v="USR-100683"/>
        <s v="USR-100684"/>
        <s v="USR-100685"/>
        <s v="USR-100686"/>
        <s v="USR-100687"/>
        <s v="USR-100688"/>
        <s v="USR-100689"/>
        <s v="USR-100690"/>
        <s v="USR-100691"/>
        <s v="USR-100692"/>
        <s v="USR-100693"/>
        <s v="USR-100694"/>
        <s v="USR-100695"/>
        <s v="USR-100696"/>
        <s v="USR-100697"/>
        <s v="USR-100698"/>
        <s v="USR-100699"/>
        <s v="USR-100700"/>
        <s v="USR-100701"/>
        <s v="USR-100702"/>
        <s v="USR-100703"/>
        <s v="USR-100704"/>
        <s v="USR-100705"/>
        <s v="USR-100706"/>
        <s v="USR-100707"/>
        <s v="USR-100708"/>
        <s v="USR-100709"/>
        <s v="USR-100710"/>
        <s v="USR-100711"/>
        <s v="USR-100712"/>
        <s v="USR-100713"/>
        <s v="USR-100714"/>
        <s v="USR-100715"/>
        <s v="USR-100716"/>
        <s v="USR-100717"/>
        <s v="USR-100718"/>
        <s v="USR-100719"/>
        <s v="USR-100720"/>
        <s v="USR-100721"/>
        <s v="USR-100722"/>
        <s v="USR-100723"/>
        <s v="USR-100724"/>
        <s v="USR-100725"/>
        <s v="USR-100726"/>
        <s v="USR-100727"/>
        <s v="USR-100728"/>
        <s v="USR-100729"/>
        <s v="USR-100730"/>
        <s v="USR-100731"/>
        <s v="USR-100732"/>
        <s v="USR-100733"/>
        <s v="USR-100734"/>
        <s v="USR-100735"/>
        <s v="USR-100736"/>
        <s v="USR-100737"/>
        <s v="USR-100738"/>
        <s v="USR-100739"/>
        <s v="USR-100740"/>
        <s v="USR-100741"/>
        <s v="USR-100742"/>
        <s v="USR-100743"/>
        <s v="USR-100744"/>
        <s v="USR-100745"/>
        <s v="USR-100746"/>
        <s v="USR-100747"/>
        <s v="USR-100748"/>
        <s v="USR-100749"/>
        <s v="USR-100750"/>
        <s v="USR-100751"/>
        <s v="USR-100752"/>
        <s v="USR-100753"/>
        <s v="USR-100754"/>
        <s v="USR-100755"/>
        <s v="USR-100756"/>
        <s v="USR-100757"/>
        <s v="USR-100758"/>
        <s v="USR-100759"/>
        <s v="USR-100760"/>
        <s v="USR-100761"/>
        <s v="USR-100762"/>
        <s v="USR-100763"/>
        <s v="USR-100764"/>
        <s v="USR-100765"/>
        <s v="USR-100766"/>
        <s v="USR-100767"/>
        <s v="USR-100768"/>
        <s v="USR-100769"/>
        <s v="USR-100770"/>
        <s v="USR-100771"/>
        <s v="USR-100772"/>
        <s v="USR-100773"/>
        <s v="USR-100774"/>
        <s v="USR-100775"/>
        <s v="USR-100776"/>
        <s v="USR-100777"/>
        <s v="USR-100778"/>
        <s v="USR-100779"/>
        <s v="USR-100780"/>
        <s v="USR-100781"/>
        <s v="USR-100782"/>
        <s v="USR-100783"/>
        <s v="USR-100784"/>
        <s v="USR-100785"/>
        <s v="USR-100786"/>
        <s v="USR-100787"/>
        <s v="USR-100788"/>
        <s v="USR-100789"/>
        <s v="USR-100790"/>
        <s v="USR-100791"/>
        <s v="USR-100792"/>
        <s v="USR-100793"/>
        <s v="USR-100794"/>
        <s v="USR-100795"/>
        <s v="USR-100796"/>
        <s v="USR-100797"/>
        <s v="USR-100798"/>
        <s v="USR-100799"/>
        <s v="USR-100800"/>
        <s v="USR-100801"/>
        <s v="USR-100802"/>
        <s v="USR-100803"/>
        <s v="USR-100804"/>
        <s v="USR-100805"/>
        <s v="USR-100806"/>
        <s v="USR-100807"/>
        <s v="USR-100808"/>
        <s v="USR-100809"/>
        <s v="USR-100810"/>
        <s v="USR-100811"/>
        <s v="USR-100812"/>
        <s v="USR-100813"/>
        <s v="USR-100814"/>
        <s v="USR-100815"/>
        <s v="USR-100816"/>
        <s v="USR-100817"/>
        <s v="USR-100818"/>
        <s v="USR-100819"/>
        <s v="USR-100820"/>
        <s v="USR-100821"/>
        <s v="USR-100822"/>
        <s v="USR-100823"/>
        <s v="USR-100824"/>
        <s v="USR-100825"/>
        <s v="USR-100826"/>
        <s v="USR-100827"/>
        <s v="USR-100828"/>
        <s v="USR-100829"/>
        <s v="USR-100830"/>
        <s v="USR-100831"/>
        <s v="USR-100832"/>
        <s v="USR-100833"/>
        <s v="USR-100834"/>
        <s v="USR-100835"/>
        <s v="USR-100836"/>
        <s v="USR-100837"/>
        <s v="USR-100838"/>
        <s v="USR-100839"/>
        <s v="USR-100840"/>
        <s v="USR-100841"/>
        <s v="USR-100842"/>
        <s v="USR-100843"/>
        <s v="USR-100844"/>
        <s v="USR-100845"/>
        <s v="USR-100846"/>
        <s v="USR-100847"/>
        <s v="USR-100848"/>
        <s v="USR-100849"/>
        <s v="USR-100850"/>
        <s v="USR-100851"/>
        <s v="USR-100852"/>
        <s v="USR-100853"/>
        <s v="USR-100854"/>
        <s v="USR-100855"/>
        <s v="USR-100856"/>
        <s v="USR-100857"/>
        <s v="USR-100858"/>
        <s v="USR-100859"/>
        <s v="USR-100860"/>
        <s v="USR-100861"/>
        <s v="USR-100862"/>
        <s v="USR-100863"/>
        <s v="USR-100864"/>
        <s v="USR-100865"/>
        <s v="USR-100866"/>
        <s v="USR-100867"/>
        <s v="USR-100868"/>
        <s v="USR-100869"/>
        <s v="USR-100870"/>
        <s v="USR-100871"/>
        <s v="USR-100872"/>
        <s v="USR-100873"/>
        <s v="USR-100874"/>
        <s v="USR-100875"/>
        <s v="USR-100876"/>
        <s v="USR-100877"/>
        <s v="USR-100878"/>
        <s v="USR-100879"/>
        <s v="USR-100880"/>
        <s v="USR-100881"/>
        <s v="USR-100882"/>
        <s v="USR-100883"/>
        <s v="USR-100884"/>
        <s v="USR-100885"/>
        <s v="USR-100886"/>
        <s v="USR-100887"/>
        <s v="USR-100888"/>
        <s v="USR-100889"/>
        <s v="USR-100890"/>
        <s v="USR-100891"/>
        <s v="USR-100892"/>
        <s v="USR-100893"/>
        <s v="USR-100894"/>
        <s v="USR-100895"/>
        <s v="USR-100896"/>
        <s v="USR-100897"/>
        <s v="USR-100898"/>
        <s v="USR-100899"/>
        <s v="USR-100900"/>
        <s v="USR-100901"/>
        <s v="USR-100902"/>
        <s v="USR-100903"/>
        <s v="USR-100904"/>
        <s v="USR-100905"/>
        <s v="USR-100906"/>
        <s v="USR-100907"/>
        <s v="USR-100908"/>
        <s v="USR-100909"/>
        <s v="USR-100910"/>
        <s v="USR-100911"/>
        <s v="USR-100912"/>
        <s v="USR-100913"/>
        <s v="USR-100914"/>
        <s v="USR-100915"/>
        <s v="USR-100916"/>
        <s v="USR-100917"/>
        <s v="USR-100918"/>
        <s v="USR-100919"/>
        <s v="USR-100920"/>
        <s v="USR-100921"/>
        <s v="USR-100922"/>
        <s v="USR-100923"/>
        <s v="USR-100924"/>
        <s v="USR-100925"/>
        <s v="USR-100926"/>
        <s v="USR-100927"/>
        <s v="USR-100928"/>
        <s v="USR-100929"/>
        <s v="USR-100930"/>
        <s v="USR-100931"/>
        <s v="USR-100932"/>
        <s v="USR-100933"/>
        <s v="USR-100934"/>
        <s v="USR-100935"/>
        <s v="USR-100936"/>
        <s v="USR-100937"/>
        <s v="USR-100938"/>
        <s v="USR-100939"/>
        <s v="USR-100940"/>
        <s v="USR-100941"/>
        <s v="USR-100942"/>
        <s v="USR-100943"/>
        <s v="USR-100944"/>
        <s v="USR-100945"/>
        <s v="USR-100946"/>
        <s v="USR-100947"/>
        <s v="USR-100948"/>
        <s v="USR-100949"/>
        <s v="USR-100950"/>
        <s v="USR-100951"/>
        <s v="USR-100952"/>
        <s v="USR-100953"/>
        <s v="USR-100954"/>
        <s v="USR-100955"/>
        <s v="USR-100956"/>
        <s v="USR-100957"/>
        <s v="USR-100958"/>
        <s v="USR-100959"/>
        <s v="USR-100960"/>
        <s v="USR-100961"/>
        <s v="USR-100962"/>
        <s v="USR-100963"/>
        <s v="USR-100964"/>
        <s v="USR-100965"/>
        <s v="USR-100966"/>
        <s v="USR-100967"/>
        <s v="USR-100968"/>
        <s v="USR-100969"/>
        <s v="USR-100970"/>
        <s v="USR-100971"/>
        <s v="USR-100972"/>
        <s v="USR-100973"/>
        <s v="USR-100974"/>
        <s v="USR-100975"/>
        <s v="USR-100976"/>
        <s v="USR-100977"/>
        <s v="USR-100978"/>
        <s v="USR-100979"/>
        <s v="USR-100980"/>
        <s v="USR-100981"/>
        <s v="USR-100982"/>
        <s v="USR-100983"/>
        <s v="USR-100984"/>
        <s v="USR-100985"/>
        <s v="USR-100986"/>
        <s v="USR-100987"/>
        <s v="USR-100988"/>
        <s v="USR-100989"/>
        <s v="USR-100990"/>
        <s v="USR-100991"/>
        <s v="USR-100992"/>
        <s v="USR-100993"/>
        <s v="USR-100994"/>
        <s v="USR-100995"/>
        <s v="USR-100996"/>
        <s v="USR-100997"/>
        <s v="USR-100998"/>
        <s v="USR-100999"/>
        <s v="USR-101000"/>
        <s v="USR-101001"/>
        <s v="USR-101002"/>
        <s v="USR-101003"/>
        <s v="USR-101004"/>
        <s v="USR-101005"/>
        <s v="USR-101006"/>
        <s v="USR-101007"/>
        <s v="USR-101008"/>
        <s v="USR-101009"/>
        <s v="USR-101010"/>
        <s v="USR-101011"/>
        <s v="USR-101012"/>
        <s v="USR-101013"/>
        <s v="USR-101014"/>
        <s v="USR-101015"/>
        <s v="USR-101016"/>
        <s v="USR-101017"/>
        <s v="USR-101018"/>
        <s v="USR-101019"/>
        <s v="USR-101020"/>
        <s v="USR-101021"/>
        <s v="USR-101022"/>
        <s v="USR-101023"/>
        <s v="USR-101024"/>
        <s v="USR-101025"/>
        <s v="USR-101026"/>
        <s v="USR-101027"/>
        <s v="USR-101028"/>
        <s v="USR-101029"/>
        <s v="USR-101030"/>
        <s v="USR-101031"/>
        <s v="USR-101032"/>
        <s v="USR-101033"/>
        <s v="USR-101034"/>
        <s v="USR-101035"/>
        <s v="USR-101036"/>
        <s v="USR-101037"/>
        <s v="USR-101038"/>
        <s v="USR-101039"/>
        <s v="USR-101040"/>
        <s v="USR-101041"/>
        <s v="USR-101042"/>
        <s v="USR-101043"/>
        <s v="USR-101044"/>
        <s v="USR-101045"/>
        <s v="USR-101046"/>
        <s v="USR-101047"/>
        <s v="USR-101048"/>
        <s v="USR-101049"/>
        <s v="USR-101050"/>
        <s v="USR-101051"/>
        <s v="USR-101052"/>
        <s v="USR-101053"/>
        <s v="USR-101054"/>
        <s v="USR-101055"/>
        <s v="USR-101056"/>
        <s v="USR-101057"/>
        <s v="USR-101058"/>
        <s v="USR-101059"/>
        <s v="USR-101060"/>
        <s v="USR-101061"/>
        <s v="USR-101062"/>
        <s v="USR-101063"/>
        <s v="USR-101064"/>
        <s v="USR-101065"/>
        <s v="USR-101066"/>
        <s v="USR-101067"/>
        <s v="USR-101068"/>
        <s v="USR-101069"/>
        <s v="USR-101070"/>
        <s v="USR-101071"/>
        <s v="USR-101072"/>
        <s v="USR-101073"/>
        <s v="USR-101074"/>
        <s v="USR-101075"/>
        <s v="USR-101076"/>
        <s v="USR-101077"/>
        <s v="USR-101078"/>
        <s v="USR-101079"/>
        <s v="USR-101080"/>
        <s v="USR-101081"/>
        <s v="USR-101082"/>
        <s v="USR-101083"/>
        <s v="USR-101084"/>
        <s v="USR-101085"/>
        <s v="USR-101086"/>
        <s v="USR-101087"/>
        <s v="USR-101088"/>
        <s v="USR-101089"/>
        <s v="USR-101090"/>
        <s v="USR-101091"/>
        <s v="USR-101092"/>
        <s v="USR-101093"/>
        <s v="USR-101094"/>
        <s v="USR-101095"/>
        <s v="USR-101096"/>
        <s v="USR-101097"/>
        <s v="USR-101098"/>
        <s v="USR-101099"/>
        <s v="USR-101100"/>
        <s v="USR-101101"/>
        <s v="USR-101102"/>
        <s v="USR-101103"/>
        <s v="USR-101104"/>
        <s v="USR-101105"/>
        <s v="USR-101106"/>
        <s v="USR-101107"/>
        <s v="USR-101108"/>
        <s v="USR-101109"/>
        <s v="USR-101110"/>
        <s v="USR-101111"/>
        <s v="USR-101112"/>
        <s v="USR-101113"/>
        <s v="USR-101114"/>
        <s v="USR-101115"/>
        <s v="USR-101116"/>
        <s v="USR-101117"/>
        <s v="USR-101118"/>
        <s v="USR-101119"/>
        <s v="USR-101120"/>
        <s v="USR-101121"/>
        <s v="USR-101122"/>
        <s v="USR-101123"/>
        <s v="USR-101124"/>
        <s v="USR-101125"/>
        <s v="USR-101126"/>
        <s v="USR-101127"/>
        <s v="USR-101128"/>
        <s v="USR-101129"/>
        <s v="USR-101130"/>
        <s v="USR-101131"/>
        <s v="USR-101132"/>
        <s v="USR-101133"/>
        <s v="USR-101134"/>
        <s v="USR-101135"/>
        <s v="USR-101136"/>
        <s v="USR-101137"/>
        <s v="USR-101138"/>
        <s v="USR-101139"/>
        <s v="USR-101140"/>
        <s v="USR-101141"/>
        <s v="USR-101142"/>
        <s v="USR-101143"/>
        <s v="USR-101144"/>
        <s v="USR-101145"/>
        <s v="USR-101146"/>
        <s v="USR-101147"/>
        <s v="USR-101148"/>
        <s v="USR-101149"/>
        <s v="USR-101150"/>
        <s v="USR-101151"/>
        <s v="USR-101152"/>
        <s v="USR-101153"/>
        <s v="USR-101154"/>
        <s v="USR-101155"/>
        <s v="USR-101156"/>
        <s v="USR-101157"/>
        <s v="USR-101158"/>
        <s v="USR-101159"/>
        <s v="USR-101160"/>
        <s v="USR-101161"/>
        <s v="USR-101162"/>
        <s v="USR-101163"/>
        <s v="USR-101164"/>
        <s v="USR-101165"/>
        <s v="USR-101166"/>
        <s v="USR-101167"/>
        <s v="USR-101168"/>
        <s v="USR-101169"/>
        <s v="USR-101170"/>
        <s v="USR-101171"/>
        <s v="USR-101172"/>
        <s v="USR-101173"/>
        <s v="USR-101174"/>
        <s v="USR-101175"/>
        <s v="USR-101176"/>
        <s v="USR-101177"/>
        <s v="USR-101178"/>
        <s v="USR-101179"/>
        <s v="USR-101180"/>
        <s v="USR-101181"/>
        <s v="USR-101182"/>
        <s v="USR-101183"/>
        <s v="USR-101184"/>
        <s v="USR-101185"/>
        <s v="USR-101186"/>
        <s v="USR-101187"/>
        <s v="USR-101188"/>
        <s v="USR-101189"/>
        <s v="USR-101190"/>
        <s v="USR-101191"/>
        <s v="USR-101192"/>
        <s v="USR-101193"/>
        <s v="USR-101194"/>
        <s v="USR-101195"/>
        <s v="USR-101196"/>
        <s v="USR-101197"/>
        <s v="USR-101198"/>
        <s v="USR-101199"/>
        <s v="USR-101200"/>
        <s v="USR-101201"/>
        <s v="USR-101202"/>
        <s v="USR-101203"/>
        <s v="USR-101204"/>
        <s v="USR-101205"/>
        <s v="USR-101206"/>
        <s v="USR-101207"/>
        <s v="USR-101208"/>
        <s v="USR-101209"/>
        <s v="USR-101210"/>
        <s v="USR-101211"/>
        <s v="USR-101212"/>
        <s v="USR-101213"/>
        <s v="USR-101214"/>
        <s v="USR-101215"/>
        <s v="USR-101216"/>
        <s v="USR-101217"/>
        <s v="USR-101218"/>
        <s v="USR-101219"/>
        <s v="USR-101220"/>
        <s v="USR-101221"/>
        <s v="USR-101222"/>
        <s v="USR-101223"/>
        <s v="USR-101224"/>
        <s v="USR-101225"/>
        <s v="USR-101226"/>
        <s v="USR-101227"/>
        <s v="USR-101228"/>
        <s v="USR-101229"/>
        <s v="USR-101230"/>
        <s v="USR-101231"/>
        <s v="USR-101232"/>
        <s v="USR-101233"/>
        <s v="USR-101234"/>
        <s v="USR-101235"/>
        <s v="USR-101236"/>
        <s v="USR-101237"/>
        <s v="USR-101238"/>
        <s v="USR-101239"/>
        <s v="USR-101240"/>
        <s v="USR-101241"/>
        <s v="USR-101242"/>
        <s v="USR-101243"/>
        <s v="USR-101244"/>
        <s v="USR-101245"/>
        <s v="USR-101246"/>
        <s v="USR-101247"/>
        <s v="USR-101248"/>
        <s v="USR-101249"/>
        <s v="USR-101250"/>
        <s v="USR-101251"/>
        <s v="USR-101252"/>
        <s v="USR-101253"/>
        <s v="USR-101254"/>
        <s v="USR-101255"/>
        <s v="USR-101256"/>
        <s v="USR-101257"/>
        <s v="USR-101258"/>
        <s v="USR-101259"/>
        <s v="USR-101260"/>
        <s v="USR-101261"/>
        <s v="USR-101262"/>
        <s v="USR-101263"/>
        <s v="USR-101264"/>
        <s v="USR-101265"/>
        <s v="USR-101266"/>
        <s v="USR-101267"/>
        <s v="USR-101268"/>
        <s v="USR-101269"/>
        <s v="USR-101270"/>
        <s v="USR-101271"/>
        <s v="USR-101272"/>
        <s v="USR-101273"/>
        <s v="USR-101274"/>
        <s v="USR-101275"/>
        <s v="USR-101276"/>
        <s v="USR-101277"/>
        <s v="USR-101278"/>
        <s v="USR-101279"/>
        <s v="USR-101280"/>
        <s v="USR-101281"/>
        <s v="USR-101282"/>
        <s v="USR-101283"/>
        <s v="USR-101284"/>
        <s v="USR-101285"/>
        <s v="USR-101286"/>
        <s v="USR-101287"/>
        <s v="USR-101288"/>
        <s v="USR-101289"/>
        <s v="USR-101290"/>
        <s v="USR-101291"/>
        <s v="USR-101292"/>
        <s v="USR-101293"/>
        <s v="USR-101294"/>
        <s v="USR-101295"/>
        <s v="USR-101296"/>
        <s v="USR-101297"/>
        <s v="USR-101298"/>
        <s v="USR-101299"/>
        <s v="USR-101300"/>
        <s v="USR-101301"/>
        <s v="USR-101302"/>
        <s v="USR-101303"/>
        <s v="USR-101304"/>
        <s v="USR-101305"/>
        <s v="USR-101306"/>
        <s v="USR-101307"/>
        <s v="USR-101308"/>
        <s v="USR-101309"/>
        <s v="USR-101310"/>
        <s v="USR-101311"/>
        <s v="USR-101312"/>
        <s v="USR-101313"/>
        <s v="USR-101314"/>
        <s v="USR-101315"/>
        <s v="USR-101316"/>
        <s v="USR-101317"/>
        <s v="USR-101318"/>
        <s v="USR-101319"/>
        <s v="USR-101320"/>
        <s v="USR-101321"/>
        <s v="USR-101322"/>
        <s v="USR-101323"/>
        <s v="USR-101324"/>
        <s v="USR-101325"/>
        <s v="USR-101326"/>
        <s v="USR-101327"/>
        <s v="USR-101328"/>
        <s v="USR-101329"/>
        <s v="USR-101330"/>
        <s v="USR-101331"/>
        <s v="USR-101332"/>
        <s v="USR-101333"/>
        <s v="USR-101334"/>
        <s v="USR-101335"/>
        <s v="USR-101336"/>
        <s v="USR-101337"/>
        <s v="USR-101338"/>
        <s v="USR-101339"/>
        <s v="USR-101340"/>
        <s v="USR-101341"/>
        <s v="USR-101342"/>
        <s v="USR-101343"/>
        <s v="USR-101344"/>
        <s v="USR-101345"/>
        <s v="USR-101346"/>
        <s v="USR-101347"/>
        <s v="USR-101348"/>
        <s v="USR-101349"/>
        <s v="USR-101350"/>
        <s v="USR-101351"/>
        <s v="USR-101352"/>
        <s v="USR-101353"/>
        <s v="USR-101354"/>
        <s v="USR-101355"/>
        <s v="USR-101356"/>
        <s v="USR-101357"/>
        <s v="USR-101358"/>
        <s v="USR-101359"/>
        <s v="USR-101360"/>
        <s v="USR-101361"/>
        <s v="USR-101362"/>
        <s v="USR-101363"/>
        <s v="USR-101364"/>
        <s v="USR-101365"/>
        <s v="USR-101366"/>
        <s v="USR-101367"/>
        <s v="USR-101368"/>
        <s v="USR-101369"/>
        <s v="USR-101370"/>
        <s v="USR-101371"/>
        <s v="USR-101372"/>
        <s v="USR-101373"/>
        <s v="USR-101374"/>
        <s v="USR-101375"/>
        <s v="USR-101376"/>
        <s v="USR-101377"/>
        <s v="USR-101378"/>
        <s v="USR-101379"/>
        <s v="USR-101380"/>
        <s v="USR-101381"/>
        <s v="USR-101382"/>
        <s v="USR-101383"/>
        <s v="USR-101384"/>
        <s v="USR-101385"/>
        <s v="USR-101386"/>
        <s v="USR-101387"/>
        <s v="USR-101388"/>
        <s v="USR-101389"/>
        <s v="USR-101390"/>
        <s v="USR-101391"/>
        <s v="USR-101392"/>
        <s v="USR-101393"/>
        <s v="USR-101394"/>
        <s v="USR-101395"/>
        <s v="USR-101396"/>
        <s v="USR-101397"/>
        <s v="USR-101398"/>
        <s v="USR-101399"/>
        <s v="USR-101400"/>
      </sharedItems>
    </cacheField>
    <cacheField name="signup_date" numFmtId="164">
      <sharedItems containsSemiMixedTypes="0" containsNonDate="0" containsDate="1" containsString="0" minDate="2025-01-01T00:00:00" maxDate="2025-06-01T00:00:00"/>
    </cacheField>
    <cacheField name="experiment_group" numFmtId="0">
      <sharedItems/>
    </cacheField>
    <cacheField name="region" numFmtId="0">
      <sharedItems/>
    </cacheField>
    <cacheField name="device_type" numFmtId="0">
      <sharedItems containsBlank="1"/>
    </cacheField>
    <cacheField name="traffic_source" numFmtId="0">
      <sharedItems containsBlank="1"/>
    </cacheField>
    <cacheField name="plan_type" numFmtId="0">
      <sharedItems/>
    </cacheField>
    <cacheField name="visited_landing_page" numFmtId="0">
      <sharedItems containsSemiMixedTypes="0" containsString="0" containsNumber="1" containsInteger="1" minValue="0" maxValue="1"/>
    </cacheField>
    <cacheField name="started_trial" numFmtId="0">
      <sharedItems containsSemiMixedTypes="0" containsString="0" containsNumber="1" containsInteger="1" minValue="0" maxValue="1"/>
    </cacheField>
    <cacheField name="completed_onboarding" numFmtId="0">
      <sharedItems containsSemiMixedTypes="0" containsString="0" containsNumber="1" containsInteger="1" minValue="0" maxValue="1"/>
    </cacheField>
    <cacheField name="converted_to_paid" numFmtId="0">
      <sharedItems containsSemiMixedTypes="0" containsString="0" containsNumber="1" containsInteger="1" minValue="0" maxValue="1"/>
    </cacheField>
    <cacheField name="revenue_30d" numFmtId="0">
      <sharedItems containsSemiMixedTypes="0" containsString="0" containsNumber="1" minValue="0" maxValue="8610.7199999999993"/>
    </cacheField>
    <cacheField name="support_tickets_30d" numFmtId="0">
      <sharedItems containsSemiMixedTypes="0" containsString="0" containsNumber="1" containsInteger="1" minValue="0" maxValue="4"/>
    </cacheField>
    <cacheField name="refund_requested" numFmtId="0">
      <sharedItems containsSemiMixedTypes="0" containsString="0" containsNumber="1" containsInteger="1" minValue="0" maxValue="1"/>
    </cacheField>
    <cacheField name="days_to_convert" numFmtId="0">
      <sharedItems containsString="0" containsBlank="1" containsNumber="1" containsInteger="1" minValue="0" maxValue="17"/>
    </cacheField>
    <cacheField name="engagement_score" numFmtId="0">
      <sharedItems containsString="0" containsBlank="1" containsNumber="1" minValue="6.2" maxValue="1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tasha R" refreshedDate="46200.77145763889" createdVersion="8" refreshedVersion="8" minRefreshableVersion="3" recordCount="1400" xr:uid="{8EA80CE9-5CAD-48F5-A4C4-6122124294C0}">
  <cacheSource type="worksheet">
    <worksheetSource ref="A1:P1401" sheet="cleaned_experiment_data"/>
  </cacheSource>
  <cacheFields count="16">
    <cacheField name="user_id" numFmtId="0">
      <sharedItems/>
    </cacheField>
    <cacheField name="signup_date" numFmtId="164">
      <sharedItems containsSemiMixedTypes="0" containsNonDate="0" containsDate="1" containsString="0" minDate="2025-01-01T00:00:00" maxDate="2025-06-01T00:00:00"/>
    </cacheField>
    <cacheField name="experiment_group" numFmtId="0">
      <sharedItems count="2">
        <s v="Control"/>
        <s v="Treatment"/>
      </sharedItems>
    </cacheField>
    <cacheField name="region" numFmtId="0">
      <sharedItems count="4">
        <s v="North"/>
        <s v="West"/>
        <s v="East"/>
        <s v="South"/>
      </sharedItems>
    </cacheField>
    <cacheField name="device_type" numFmtId="0">
      <sharedItems count="4">
        <s v="Desktop"/>
        <s v="Mobile"/>
        <s v="Tablet"/>
        <s v="Unknown"/>
      </sharedItems>
    </cacheField>
    <cacheField name="traffic_source" numFmtId="0">
      <sharedItems count="6">
        <s v="Email"/>
        <s v="Organic"/>
        <s v="Paid Search"/>
        <s v="Referral"/>
        <s v="Social"/>
        <s v="Unknown"/>
      </sharedItems>
    </cacheField>
    <cacheField name="plan_type" numFmtId="0">
      <sharedItems count="3">
        <s v="Basic"/>
        <s v="Free"/>
        <s v="Premium"/>
      </sharedItems>
    </cacheField>
    <cacheField name="visited_landing_page" numFmtId="0">
      <sharedItems containsSemiMixedTypes="0" containsString="0" containsNumber="1" containsInteger="1" minValue="0" maxValue="1" count="2">
        <n v="0"/>
        <n v="1"/>
      </sharedItems>
    </cacheField>
    <cacheField name="started_trial" numFmtId="0">
      <sharedItems containsSemiMixedTypes="0" containsString="0" containsNumber="1" containsInteger="1" minValue="0" maxValue="1" count="2">
        <n v="0"/>
        <n v="1"/>
      </sharedItems>
    </cacheField>
    <cacheField name="completed_onboarding" numFmtId="0">
      <sharedItems containsSemiMixedTypes="0" containsString="0" containsNumber="1" containsInteger="1" minValue="0" maxValue="1" count="2">
        <n v="0"/>
        <n v="1"/>
      </sharedItems>
    </cacheField>
    <cacheField name="converted_to_paid" numFmtId="0">
      <sharedItems containsSemiMixedTypes="0" containsString="0" containsNumber="1" containsInteger="1" minValue="0" maxValue="1" count="2">
        <n v="0"/>
        <n v="1"/>
      </sharedItems>
    </cacheField>
    <cacheField name="revenue_30d" numFmtId="0">
      <sharedItems containsSemiMixedTypes="0" containsString="0" containsNumber="1" minValue="0" maxValue="8610.7199999999993" count="73">
        <n v="0"/>
        <n v="240.42"/>
        <n v="457.51"/>
        <n v="363.32"/>
        <n v="3887.98"/>
        <n v="8610.7199999999993"/>
        <n v="404.4"/>
        <n v="577.94000000000005"/>
        <n v="1281.25"/>
        <n v="1052.8"/>
        <n v="553.37"/>
        <n v="1250.78"/>
        <n v="1198.69"/>
        <n v="6788.95"/>
        <n v="409.39"/>
        <n v="426.82"/>
        <n v="874.55"/>
        <n v="2206.88"/>
        <n v="2144.8200000000002"/>
        <n v="1518.83"/>
        <n v="513.61"/>
        <n v="751.73"/>
        <n v="347.52"/>
        <n v="444.13"/>
        <n v="516.66999999999996"/>
        <n v="277.18"/>
        <n v="604.09"/>
        <n v="442.37"/>
        <n v="1506.24"/>
        <n v="402.88"/>
        <n v="277.69"/>
        <n v="460.83"/>
        <n v="782.23"/>
        <n v="1171.99"/>
        <n v="1010.4"/>
        <n v="431.27"/>
        <n v="428.8"/>
        <n v="398.33"/>
        <n v="1117.54"/>
        <n v="2064.5500000000002"/>
        <n v="341.38"/>
        <n v="513.52"/>
        <n v="476.44"/>
        <n v="324.68"/>
        <n v="301.98"/>
        <n v="1772.97"/>
        <n v="218.66"/>
        <n v="1938.31"/>
        <n v="1906.23"/>
        <n v="268.95999999999998"/>
        <n v="437.09"/>
        <n v="331.53"/>
        <n v="774.78"/>
        <n v="422.02"/>
        <n v="416.94"/>
        <n v="921.72"/>
        <n v="290.39"/>
        <n v="1858.85"/>
        <n v="1547.06"/>
        <n v="265.58999999999997"/>
        <n v="351.43"/>
        <n v="352.42"/>
        <n v="1074.1600000000001"/>
        <n v="618.91"/>
        <n v="923.67"/>
        <n v="420.27"/>
        <n v="1496.09"/>
        <n v="428.37"/>
        <n v="444.06"/>
        <n v="2660.21"/>
        <n v="323.60000000000002"/>
        <n v="751.33"/>
        <n v="1009.9"/>
      </sharedItems>
    </cacheField>
    <cacheField name="support_tickets_30d" numFmtId="0">
      <sharedItems containsSemiMixedTypes="0" containsString="0" containsNumber="1" containsInteger="1" minValue="0" maxValue="4" count="5">
        <n v="0"/>
        <n v="1"/>
        <n v="2"/>
        <n v="3"/>
        <n v="4"/>
      </sharedItems>
    </cacheField>
    <cacheField name="refund_requested" numFmtId="0">
      <sharedItems containsSemiMixedTypes="0" containsString="0" containsNumber="1" containsInteger="1" minValue="0" maxValue="1" count="2">
        <n v="0"/>
        <n v="1"/>
      </sharedItems>
    </cacheField>
    <cacheField name="days_to_convert" numFmtId="0">
      <sharedItems containsString="0" containsBlank="1" containsNumber="1" containsInteger="1" minValue="0" maxValue="17"/>
    </cacheField>
    <cacheField name="engagement_score" numFmtId="0">
      <sharedItems containsString="0" containsBlank="1" containsNumber="1" minValue="6.2" maxValue="100" count="528">
        <n v="45.7"/>
        <n v="48.6"/>
        <n v="35.4"/>
        <n v="64.599999999999994"/>
        <n v="66.599999999999994"/>
        <n v="40.799999999999997"/>
        <n v="57.1"/>
        <n v="36.4"/>
        <n v="55.4"/>
        <n v="57.3"/>
        <n v="63.6"/>
        <n v="80.400000000000006"/>
        <n v="62.4"/>
        <n v="82.4"/>
        <n v="61.2"/>
        <n v="68.900000000000006"/>
        <n v="71.900000000000006"/>
        <n v="50.5"/>
        <n v="49.3"/>
        <n v="60.9"/>
        <n v="62.7"/>
        <n v="52.7"/>
        <n v="54"/>
        <n v="51.6"/>
        <n v="66.900000000000006"/>
        <n v="67.400000000000006"/>
        <n v="58.8"/>
        <n v="73.8"/>
        <n v="60.1"/>
        <n v="41"/>
        <n v="80.3"/>
        <n v="67.599999999999994"/>
        <n v="64"/>
        <n v="27.2"/>
        <n v="85.4"/>
        <n v="75.900000000000006"/>
        <n v="34.799999999999997"/>
        <n v="48.9"/>
        <n v="41.5"/>
        <n v="51.5"/>
        <n v="53.2"/>
        <n v="55.6"/>
        <n v="73"/>
        <n v="65"/>
        <n v="56.3"/>
        <n v="58.1"/>
        <n v="80.8"/>
        <n v="42.9"/>
        <n v="46.9"/>
        <n v="63"/>
        <n v="53.6"/>
        <n v="49.6"/>
        <n v="50"/>
        <n v="48.1"/>
        <n v="56.5"/>
        <n v="53.7"/>
        <n v="62.2"/>
        <n v="50.2"/>
        <n v="74.3"/>
        <n v="58"/>
        <n v="46.7"/>
        <n v="60.4"/>
        <n v="55.3"/>
        <n v="56.2"/>
        <n v="29.4"/>
        <n v="54.2"/>
        <n v="46.4"/>
        <n v="54.5"/>
        <n v="58.5"/>
        <n v="84.9"/>
        <n v="48.4"/>
        <n v="38"/>
        <n v="44.2"/>
        <n v="81.2"/>
        <n v="63.8"/>
        <n v="64.7"/>
        <n v="50.9"/>
        <n v="51"/>
        <n v="65.8"/>
        <n v="61.8"/>
        <n v="72.2"/>
        <n v="42.3"/>
        <n v="76.2"/>
        <n v="37.4"/>
        <n v="84.2"/>
        <n v="68"/>
        <n v="53.5"/>
        <n v="63.2"/>
        <n v="55.9"/>
        <n v="63.5"/>
        <n v="74.400000000000006"/>
        <n v="60.2"/>
        <n v="67.2"/>
        <n v="79.599999999999994"/>
        <n v="61"/>
        <n v="51.1"/>
        <n v="92.1"/>
        <n v="82.1"/>
        <n v="74"/>
        <n v="63.4"/>
        <n v="61.5"/>
        <n v="39.1"/>
        <n v="43.8"/>
        <n v="59.9"/>
        <n v="71.400000000000006"/>
        <n v="36.1"/>
        <n v="47.9"/>
        <n v="62.5"/>
        <n v="56.9"/>
        <n v="75.2"/>
        <n v="79"/>
        <n v="33"/>
        <n v="67.900000000000006"/>
        <n v="42.2"/>
        <n v="43.4"/>
        <n v="54.4"/>
        <n v="32"/>
        <n v="70.900000000000006"/>
        <n v="59.1"/>
        <n v="80.599999999999994"/>
        <n v="54.8"/>
        <n v="53.9"/>
        <n v="41.3"/>
        <n v="38.9"/>
        <n v="76.599999999999994"/>
        <n v="43.1"/>
        <n v="58.3"/>
        <n v="69.8"/>
        <m/>
        <n v="41.9"/>
        <n v="33.1"/>
        <n v="58.6"/>
        <n v="55.7"/>
        <n v="64.900000000000006"/>
        <n v="72.3"/>
        <n v="42.1"/>
        <n v="64.8"/>
        <n v="72.099999999999994"/>
        <n v="50.6"/>
        <n v="59.7"/>
        <n v="71.099999999999994"/>
        <n v="44.4"/>
        <n v="61.7"/>
        <n v="81.3"/>
        <n v="28.7"/>
        <n v="53"/>
        <n v="54.9"/>
        <n v="58.2"/>
        <n v="38.4"/>
        <n v="56.1"/>
        <n v="62.6"/>
        <n v="36.299999999999997"/>
        <n v="52.1"/>
        <n v="45.1"/>
        <n v="67.5"/>
        <n v="80"/>
        <n v="56.4"/>
        <n v="54.3"/>
        <n v="37.5"/>
        <n v="52.6"/>
        <n v="46.1"/>
        <n v="54.7"/>
        <n v="74.2"/>
        <n v="65.900000000000006"/>
        <n v="57.2"/>
        <n v="80.5"/>
        <n v="77.5"/>
        <n v="69.3"/>
        <n v="69.599999999999994"/>
        <n v="40.700000000000003"/>
        <n v="46.3"/>
        <n v="64.2"/>
        <n v="62.1"/>
        <n v="45.4"/>
        <n v="53.3"/>
        <n v="38.200000000000003"/>
        <n v="59"/>
        <n v="67"/>
        <n v="74.099999999999994"/>
        <n v="84.8"/>
        <n v="52.5"/>
        <n v="32.700000000000003"/>
        <n v="70.599999999999994"/>
        <n v="69.400000000000006"/>
        <n v="55.8"/>
        <n v="71.8"/>
        <n v="39.700000000000003"/>
        <n v="69.900000000000006"/>
        <n v="45.9"/>
        <n v="48.2"/>
        <n v="81.099999999999994"/>
        <n v="57.7"/>
        <n v="78.900000000000006"/>
        <n v="52.3"/>
        <n v="70.8"/>
        <n v="39"/>
        <n v="61.6"/>
        <n v="46.8"/>
        <n v="43.2"/>
        <n v="33.9"/>
        <n v="45"/>
        <n v="86.5"/>
        <n v="62.8"/>
        <n v="62"/>
        <n v="29.3"/>
        <n v="65.5"/>
        <n v="74.5"/>
        <n v="87.1"/>
        <n v="56"/>
        <n v="70.5"/>
        <n v="33.4"/>
        <n v="57.5"/>
        <n v="85.7"/>
        <n v="70.2"/>
        <n v="42.6"/>
        <n v="30.4"/>
        <n v="63.7"/>
        <n v="42.7"/>
        <n v="40.6"/>
        <n v="48.8"/>
        <n v="88.9"/>
        <n v="60.5"/>
        <n v="58.4"/>
        <n v="79.7"/>
        <n v="44.9"/>
        <n v="38.799999999999997"/>
        <n v="70"/>
        <n v="77.7"/>
        <n v="71.2"/>
        <n v="39.299999999999997"/>
        <n v="66.2"/>
        <n v="61.3"/>
        <n v="84"/>
        <n v="59.8"/>
        <n v="66.8"/>
        <n v="68.8"/>
        <n v="72.400000000000006"/>
        <n v="63.3"/>
        <n v="30.8"/>
        <n v="40.4"/>
        <n v="68.099999999999994"/>
        <n v="86.3"/>
        <n v="61.4"/>
        <n v="73.3"/>
        <n v="59.4"/>
        <n v="35.200000000000003"/>
        <n v="66.400000000000006"/>
        <n v="61.9"/>
        <n v="55.5"/>
        <n v="37.200000000000003"/>
        <n v="91.7"/>
        <n v="46"/>
        <n v="50.8"/>
        <n v="52.8"/>
        <n v="28.4"/>
        <n v="65.599999999999994"/>
        <n v="70.400000000000006"/>
        <n v="79.2"/>
        <n v="69"/>
        <n v="32.799999999999997"/>
        <n v="76.400000000000006"/>
        <n v="28.5"/>
        <n v="48.3"/>
        <n v="43"/>
        <n v="91.8"/>
        <n v="58.9"/>
        <n v="76"/>
        <n v="54.1"/>
        <n v="43.7"/>
        <n v="32.200000000000003"/>
        <n v="49"/>
        <n v="76.5"/>
        <n v="80.2"/>
        <n v="69.099999999999994"/>
        <n v="57.9"/>
        <n v="41.4"/>
        <n v="45.5"/>
        <n v="72.599999999999994"/>
        <n v="50.1"/>
        <n v="69.7"/>
        <n v="35.799999999999997"/>
        <n v="28.2"/>
        <n v="49.9"/>
        <n v="52.4"/>
        <n v="68.2"/>
        <n v="65.400000000000006"/>
        <n v="78.3"/>
        <n v="49.2"/>
        <n v="44.5"/>
        <n v="43.9"/>
        <n v="67.7"/>
        <n v="59.2"/>
        <n v="52.2"/>
        <n v="50.3"/>
        <n v="51.3"/>
        <n v="6.2"/>
        <n v="52.9"/>
        <n v="67.8"/>
        <n v="48.7"/>
        <n v="68.7"/>
        <n v="64.400000000000006"/>
        <n v="100"/>
        <n v="50.4"/>
        <n v="86.2"/>
        <n v="87.5"/>
        <n v="43.6"/>
        <n v="78.599999999999994"/>
        <n v="44.3"/>
        <n v="45.2"/>
        <n v="60.8"/>
        <n v="29.9"/>
        <n v="57.8"/>
        <n v="78.2"/>
        <n v="56.8"/>
        <n v="59.6"/>
        <n v="35.700000000000003"/>
        <n v="47.2"/>
        <n v="31.4"/>
        <n v="38.299999999999997"/>
        <n v="63.1"/>
        <n v="59.5"/>
        <n v="78.8"/>
        <n v="66.3"/>
        <n v="76.7"/>
        <n v="47.4"/>
        <n v="81.7"/>
        <n v="36.799999999999997"/>
        <n v="66.5"/>
        <n v="64.3"/>
        <n v="49.1"/>
        <n v="84.3"/>
        <n v="47.1"/>
        <n v="54.6"/>
        <n v="65.2"/>
        <n v="39.9"/>
        <n v="76.8"/>
        <n v="45.3"/>
        <n v="37.1"/>
        <n v="89.8"/>
        <n v="46.2"/>
        <n v="78"/>
        <n v="62.3"/>
        <n v="25"/>
        <n v="53.4"/>
        <n v="36.700000000000003"/>
        <n v="65.099999999999994"/>
        <n v="20.3"/>
        <n v="78.7"/>
        <n v="47"/>
        <n v="75"/>
        <n v="40.1"/>
        <n v="61.1"/>
        <n v="42.4"/>
        <n v="46.6"/>
        <n v="21.5"/>
        <n v="59.3"/>
        <n v="74.8"/>
        <n v="24.3"/>
        <n v="41.7"/>
        <n v="87.6"/>
        <n v="23.6"/>
        <n v="51.8"/>
        <n v="75.8"/>
        <n v="72.8"/>
        <n v="40.299999999999997"/>
        <n v="60"/>
        <n v="42.5"/>
        <n v="65.3"/>
        <n v="37.6"/>
        <n v="51.7"/>
        <n v="57"/>
        <n v="39.5"/>
        <n v="32.4"/>
        <n v="57.6"/>
        <n v="73.099999999999994"/>
        <n v="33.700000000000003"/>
        <n v="44.8"/>
        <n v="30.7"/>
        <n v="19.100000000000001"/>
        <n v="68.5"/>
        <n v="47.5"/>
        <n v="77.099999999999994"/>
        <n v="52"/>
        <n v="27.6"/>
        <n v="55"/>
        <n v="41.8"/>
        <n v="73.2"/>
        <n v="82.8"/>
        <n v="34.4"/>
        <n v="71.599999999999994"/>
        <n v="37.700000000000003"/>
        <n v="80.7"/>
        <n v="69.2"/>
        <n v="73.599999999999994"/>
        <n v="47.3"/>
        <n v="55.2"/>
        <n v="49.4"/>
        <n v="77.900000000000006"/>
        <n v="82.3"/>
        <n v="79.3"/>
        <n v="67.3"/>
        <n v="83.3"/>
        <n v="24.5"/>
        <n v="81.5"/>
        <n v="37.9"/>
        <n v="53.8"/>
        <n v="73.5"/>
        <n v="76.3"/>
        <n v="56.6"/>
        <n v="47.6"/>
        <n v="56.7"/>
        <n v="67.099999999999994"/>
        <n v="83.8"/>
        <n v="53.1"/>
        <n v="66"/>
        <n v="41.2"/>
        <n v="66.7"/>
        <n v="39.4"/>
        <n v="82.7"/>
        <n v="63.9"/>
        <n v="58.7"/>
        <n v="85.6"/>
        <n v="87.9"/>
        <n v="79.5"/>
        <n v="93.2"/>
        <n v="88.6"/>
        <n v="60.7"/>
        <n v="51.9"/>
        <n v="34.5"/>
        <n v="88.4"/>
        <n v="69.5"/>
        <n v="85.1"/>
        <n v="49.5"/>
        <n v="77.8"/>
        <n v="79.8"/>
        <n v="80.900000000000006"/>
        <n v="86.9"/>
        <n v="68.400000000000006"/>
        <n v="28.3"/>
        <n v="44.1"/>
        <n v="22.9"/>
        <n v="81.900000000000006"/>
        <n v="72.5"/>
        <n v="64.5"/>
        <n v="72.900000000000006"/>
        <n v="82"/>
        <n v="68.3"/>
        <n v="49.7"/>
        <n v="74.599999999999994"/>
        <n v="64.099999999999994"/>
        <n v="83.4"/>
        <n v="80.099999999999994"/>
        <n v="57.4"/>
        <n v="83.6"/>
        <n v="45.8"/>
        <n v="66.099999999999994"/>
        <n v="87.8"/>
        <n v="86.4"/>
        <n v="70.3"/>
        <n v="65.7"/>
        <n v="77.400000000000006"/>
        <n v="84.6"/>
        <n v="93.7"/>
        <n v="73.900000000000006"/>
        <n v="97.4"/>
        <n v="81"/>
        <n v="44.7"/>
        <n v="83.1"/>
        <n v="72.7"/>
        <n v="86.7"/>
        <n v="75.7"/>
        <n v="72"/>
        <n v="75.099999999999994"/>
        <n v="84.1"/>
        <n v="92.7"/>
        <n v="60.3"/>
        <n v="70.099999999999994"/>
        <n v="71.3"/>
        <n v="70.7"/>
        <n v="77.3"/>
        <n v="30.6"/>
        <n v="91.5"/>
        <n v="49.8"/>
        <n v="91.3"/>
        <n v="62.9"/>
        <n v="38.1"/>
        <n v="77.599999999999994"/>
        <n v="27.4"/>
        <n v="73.7"/>
        <n v="82.6"/>
        <n v="84.5"/>
        <n v="34.200000000000003"/>
        <n v="47.7"/>
        <n v="34.700000000000003"/>
        <n v="78.400000000000006"/>
        <n v="74.900000000000006"/>
        <n v="83.7"/>
        <n v="88.7"/>
        <n v="37.299999999999997"/>
        <n v="76.099999999999994"/>
        <n v="88"/>
        <n v="55.1"/>
        <n v="48.5"/>
        <n v="37"/>
        <n v="36.5"/>
        <n v="81.8"/>
        <n v="79.400000000000006"/>
        <n v="43.5"/>
        <n v="51.2"/>
        <n v="71.5"/>
        <n v="88.3"/>
        <n v="81.599999999999994"/>
        <n v="91.6"/>
        <n v="32.6"/>
        <n v="99.9"/>
        <n v="90"/>
        <n v="39.6"/>
        <n v="76.900000000000006"/>
        <n v="51.4"/>
        <n v="90.5"/>
        <n v="33.6"/>
        <n v="88.2"/>
        <n v="60.6"/>
        <n v="31.2"/>
        <n v="75.400000000000006"/>
        <n v="34"/>
        <n v="38.5"/>
        <n v="89.7"/>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tasha R" refreshedDate="46200.772334606481" createdVersion="8" refreshedVersion="8" minRefreshableVersion="3" recordCount="153" xr:uid="{561DF2D3-9564-439B-B795-B77DFC8EB4E9}">
  <cacheSource type="worksheet">
    <worksheetSource ref="A1:P154" sheet="cleaned_experiment_data"/>
  </cacheSource>
  <cacheFields count="16">
    <cacheField name="user_id" numFmtId="0">
      <sharedItems/>
    </cacheField>
    <cacheField name="signup_date" numFmtId="164">
      <sharedItems containsSemiMixedTypes="0" containsNonDate="0" containsDate="1" containsString="0" minDate="2025-01-01T00:00:00" maxDate="2025-05-31T00:00:00"/>
    </cacheField>
    <cacheField name="experiment_group" numFmtId="0">
      <sharedItems count="1">
        <s v="Control"/>
      </sharedItems>
    </cacheField>
    <cacheField name="region" numFmtId="0">
      <sharedItems/>
    </cacheField>
    <cacheField name="device_type" numFmtId="0">
      <sharedItems count="4">
        <s v="Desktop"/>
        <s v="Mobile"/>
        <s v="Tablet"/>
        <s v="Unknown"/>
      </sharedItems>
    </cacheField>
    <cacheField name="traffic_source" numFmtId="0">
      <sharedItems count="5">
        <s v="Email"/>
        <s v="Organic"/>
        <s v="Paid Search"/>
        <s v="Referral"/>
        <s v="Social"/>
      </sharedItems>
    </cacheField>
    <cacheField name="plan_type" numFmtId="0">
      <sharedItems count="3">
        <s v="Basic"/>
        <s v="Free"/>
        <s v="Premium"/>
      </sharedItems>
    </cacheField>
    <cacheField name="visited_landing_page" numFmtId="0">
      <sharedItems containsSemiMixedTypes="0" containsString="0" containsNumber="1" containsInteger="1" minValue="0" maxValue="1" count="2">
        <n v="0"/>
        <n v="1"/>
      </sharedItems>
    </cacheField>
    <cacheField name="started_trial" numFmtId="0">
      <sharedItems containsSemiMixedTypes="0" containsString="0" containsNumber="1" containsInteger="1" minValue="0" maxValue="1"/>
    </cacheField>
    <cacheField name="completed_onboarding" numFmtId="0">
      <sharedItems containsSemiMixedTypes="0" containsString="0" containsNumber="1" containsInteger="1" minValue="0" maxValue="1"/>
    </cacheField>
    <cacheField name="converted_to_paid" numFmtId="0">
      <sharedItems containsSemiMixedTypes="0" containsString="0" containsNumber="1" containsInteger="1" minValue="0" maxValue="1"/>
    </cacheField>
    <cacheField name="revenue_30d" numFmtId="0">
      <sharedItems containsSemiMixedTypes="0" containsString="0" containsNumber="1" minValue="0" maxValue="8610.7199999999993"/>
    </cacheField>
    <cacheField name="support_tickets_30d" numFmtId="0">
      <sharedItems containsSemiMixedTypes="0" containsString="0" containsNumber="1" containsInteger="1" minValue="0" maxValue="4"/>
    </cacheField>
    <cacheField name="refund_requested" numFmtId="0">
      <sharedItems containsSemiMixedTypes="0" containsString="0" containsNumber="1" containsInteger="1" minValue="0" maxValue="0"/>
    </cacheField>
    <cacheField name="days_to_convert" numFmtId="0">
      <sharedItems containsString="0" containsBlank="1" containsNumber="1" containsInteger="1" minValue="6" maxValue="16"/>
    </cacheField>
    <cacheField name="engagement_score" numFmtId="0">
      <sharedItems containsSemiMixedTypes="0" containsString="0" containsNumber="1" minValue="27.2" maxValue="92.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tasha R" refreshedDate="46200.888274421297" createdVersion="8" refreshedVersion="8" minRefreshableVersion="3" recordCount="1400" xr:uid="{8B9CA639-45CF-4774-8F9B-99ED3C7486C0}">
  <cacheSource type="worksheet">
    <worksheetSource ref="A1:Q1401" sheet="cleaned_experiment_data"/>
  </cacheSource>
  <cacheFields count="17">
    <cacheField name="user_id" numFmtId="0">
      <sharedItems/>
    </cacheField>
    <cacheField name="signup_date" numFmtId="164">
      <sharedItems containsSemiMixedTypes="0" containsNonDate="0" containsDate="1" containsString="0" minDate="2025-01-01T00:00:00" maxDate="2025-06-01T00:00:00"/>
    </cacheField>
    <cacheField name="experiment_group" numFmtId="0">
      <sharedItems count="2">
        <s v="Control"/>
        <s v="Treatment"/>
      </sharedItems>
    </cacheField>
    <cacheField name="region" numFmtId="0">
      <sharedItems/>
    </cacheField>
    <cacheField name="device_type" numFmtId="0">
      <sharedItems/>
    </cacheField>
    <cacheField name="traffic_source" numFmtId="0">
      <sharedItems count="6">
        <s v="Email"/>
        <s v="Organic"/>
        <s v="Paid Search"/>
        <s v="Referral"/>
        <s v="Social"/>
        <s v="Unknown"/>
      </sharedItems>
    </cacheField>
    <cacheField name="plan_type" numFmtId="0">
      <sharedItems/>
    </cacheField>
    <cacheField name="visited_landing_page" numFmtId="0">
      <sharedItems containsSemiMixedTypes="0" containsString="0" containsNumber="1" containsInteger="1" minValue="0" maxValue="1"/>
    </cacheField>
    <cacheField name="started_trial" numFmtId="0">
      <sharedItems containsSemiMixedTypes="0" containsString="0" containsNumber="1" containsInteger="1" minValue="0" maxValue="1"/>
    </cacheField>
    <cacheField name="completed_onboarding" numFmtId="0">
      <sharedItems containsSemiMixedTypes="0" containsString="0" containsNumber="1" containsInteger="1" minValue="0" maxValue="1"/>
    </cacheField>
    <cacheField name="converted_to_paid" numFmtId="0">
      <sharedItems containsSemiMixedTypes="0" containsString="0" containsNumber="1" containsInteger="1" minValue="0" maxValue="1"/>
    </cacheField>
    <cacheField name="revenue_30d" numFmtId="0">
      <sharedItems containsSemiMixedTypes="0" containsString="0" containsNumber="1" minValue="0" maxValue="8610.7199999999993"/>
    </cacheField>
    <cacheField name="support_tickets_30d" numFmtId="0">
      <sharedItems containsSemiMixedTypes="0" containsString="0" containsNumber="1" containsInteger="1" minValue="0" maxValue="4"/>
    </cacheField>
    <cacheField name="refund_requested" numFmtId="0">
      <sharedItems containsSemiMixedTypes="0" containsString="0" containsNumber="1" containsInteger="1" minValue="0" maxValue="1"/>
    </cacheField>
    <cacheField name="days_to_convert" numFmtId="0">
      <sharedItems containsString="0" containsBlank="1" containsNumber="1" containsInteger="1" minValue="0" maxValue="17"/>
    </cacheField>
    <cacheField name="engagement_score" numFmtId="0">
      <sharedItems containsString="0" containsBlank="1" containsNumber="1" minValue="6.2" maxValue="100"/>
    </cacheField>
    <cacheField name="revenue_outli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08">
  <r>
    <x v="0"/>
    <d v="2025-03-16T00:00:00"/>
    <s v="Control"/>
    <s v="North"/>
    <s v="Desktop"/>
    <s v="Email"/>
    <s v="Basic"/>
    <n v="0"/>
    <n v="0"/>
    <n v="0"/>
    <n v="0"/>
    <n v="0"/>
    <n v="0"/>
    <n v="0"/>
    <m/>
    <n v="45.7"/>
  </r>
  <r>
    <x v="1"/>
    <d v="2025-03-08T00:00:00"/>
    <s v="Control"/>
    <s v="West"/>
    <s v="Mobile"/>
    <s v="Organic"/>
    <s v="Free"/>
    <n v="1"/>
    <n v="0"/>
    <n v="0"/>
    <n v="0"/>
    <n v="0"/>
    <n v="0"/>
    <n v="0"/>
    <m/>
    <n v="48.6"/>
  </r>
  <r>
    <x v="2"/>
    <d v="2025-04-24T00:00:00"/>
    <s v="Control"/>
    <s v="East"/>
    <s v="Mobile"/>
    <s v="Paid Search"/>
    <s v="Premium"/>
    <n v="1"/>
    <n v="0"/>
    <n v="0"/>
    <n v="0"/>
    <n v="0"/>
    <n v="1"/>
    <n v="0"/>
    <m/>
    <n v="35.4"/>
  </r>
  <r>
    <x v="3"/>
    <d v="2025-05-04T00:00:00"/>
    <s v="Control"/>
    <s v="South"/>
    <s v="Mobile"/>
    <s v="Email"/>
    <s v="Basic"/>
    <n v="1"/>
    <n v="0"/>
    <n v="0"/>
    <n v="0"/>
    <n v="0"/>
    <n v="0"/>
    <n v="0"/>
    <m/>
    <n v="64.599999999999994"/>
  </r>
  <r>
    <x v="4"/>
    <d v="2025-02-12T00:00:00"/>
    <s v="Control"/>
    <s v="North"/>
    <s v="Tablet"/>
    <s v="Organic"/>
    <s v="Free"/>
    <n v="0"/>
    <n v="0"/>
    <n v="0"/>
    <n v="0"/>
    <n v="0"/>
    <n v="0"/>
    <n v="0"/>
    <m/>
    <n v="66.599999999999994"/>
  </r>
  <r>
    <x v="5"/>
    <d v="2025-01-28T00:00:00"/>
    <s v="Control"/>
    <s v="East"/>
    <s v="Mobile"/>
    <s v="Organic"/>
    <s v="Premium"/>
    <n v="1"/>
    <n v="0"/>
    <n v="0"/>
    <n v="0"/>
    <n v="0"/>
    <n v="0"/>
    <n v="0"/>
    <m/>
    <n v="40.799999999999997"/>
  </r>
  <r>
    <x v="6"/>
    <d v="2025-04-08T00:00:00"/>
    <s v="Control"/>
    <s v="East"/>
    <s v="Mobile"/>
    <s v="Paid Search"/>
    <s v="Basic"/>
    <n v="1"/>
    <n v="1"/>
    <n v="0"/>
    <n v="0"/>
    <n v="0"/>
    <n v="0"/>
    <n v="0"/>
    <m/>
    <n v="57.1"/>
  </r>
  <r>
    <x v="7"/>
    <d v="2025-05-17T00:00:00"/>
    <s v="Control"/>
    <s v="South"/>
    <s v="Mobile"/>
    <s v="Paid Search"/>
    <s v="Free"/>
    <n v="0"/>
    <n v="0"/>
    <n v="0"/>
    <n v="0"/>
    <n v="0"/>
    <n v="0"/>
    <n v="0"/>
    <m/>
    <n v="36.4"/>
  </r>
  <r>
    <x v="8"/>
    <d v="2025-02-23T00:00:00"/>
    <s v="Control"/>
    <s v="South"/>
    <s v="Tablet"/>
    <s v="Referral"/>
    <s v="Basic"/>
    <n v="0"/>
    <n v="0"/>
    <n v="0"/>
    <n v="0"/>
    <n v="0"/>
    <n v="0"/>
    <n v="0"/>
    <m/>
    <n v="55.4"/>
  </r>
  <r>
    <x v="9"/>
    <d v="2025-05-29T00:00:00"/>
    <s v="Control"/>
    <s v="West"/>
    <s v="Desktop"/>
    <s v="Social"/>
    <s v="Free"/>
    <n v="1"/>
    <n v="0"/>
    <n v="0"/>
    <n v="0"/>
    <n v="0"/>
    <n v="0"/>
    <n v="0"/>
    <m/>
    <n v="57.3"/>
  </r>
  <r>
    <x v="10"/>
    <d v="2025-04-30T00:00:00"/>
    <s v="Control"/>
    <s v="East"/>
    <s v="Mobile"/>
    <s v="Paid Search"/>
    <s v="Basic"/>
    <n v="1"/>
    <n v="1"/>
    <n v="1"/>
    <n v="0"/>
    <n v="0"/>
    <n v="0"/>
    <n v="0"/>
    <m/>
    <n v="63.6"/>
  </r>
  <r>
    <x v="11"/>
    <d v="2025-03-16T00:00:00"/>
    <s v="Control"/>
    <s v="East"/>
    <s v="Mobile"/>
    <s v="Social"/>
    <s v="Premium"/>
    <n v="1"/>
    <n v="1"/>
    <n v="1"/>
    <n v="0"/>
    <n v="0"/>
    <n v="1"/>
    <n v="0"/>
    <m/>
    <n v="80.400000000000006"/>
  </r>
  <r>
    <x v="12"/>
    <d v="2025-02-07T00:00:00"/>
    <s v="Control"/>
    <s v="South"/>
    <s v="Desktop"/>
    <s v="Email"/>
    <s v="Basic"/>
    <n v="1"/>
    <n v="0"/>
    <n v="0"/>
    <n v="0"/>
    <n v="0"/>
    <n v="0"/>
    <n v="0"/>
    <m/>
    <n v="62.4"/>
  </r>
  <r>
    <x v="13"/>
    <d v="2025-03-02T00:00:00"/>
    <s v="Control"/>
    <s v="West"/>
    <s v="Mobile"/>
    <s v="Social"/>
    <s v="Basic"/>
    <n v="1"/>
    <n v="0"/>
    <n v="0"/>
    <n v="0"/>
    <n v="0"/>
    <n v="0"/>
    <n v="0"/>
    <m/>
    <n v="82.4"/>
  </r>
  <r>
    <x v="14"/>
    <d v="2025-05-30T00:00:00"/>
    <s v="Control"/>
    <s v="South"/>
    <s v="Mobile"/>
    <s v="Organic"/>
    <s v="Basic"/>
    <n v="0"/>
    <n v="0"/>
    <n v="0"/>
    <n v="0"/>
    <n v="0"/>
    <n v="0"/>
    <n v="0"/>
    <m/>
    <n v="61.2"/>
  </r>
  <r>
    <x v="15"/>
    <d v="2025-03-25T00:00:00"/>
    <s v="Control"/>
    <s v="South"/>
    <s v="Mobile"/>
    <s v="Social"/>
    <s v="Basic"/>
    <n v="1"/>
    <n v="0"/>
    <n v="0"/>
    <n v="0"/>
    <n v="0"/>
    <n v="0"/>
    <n v="0"/>
    <m/>
    <n v="68.900000000000006"/>
  </r>
  <r>
    <x v="16"/>
    <d v="2025-03-27T00:00:00"/>
    <s v="Control"/>
    <s v="East"/>
    <s v="Desktop"/>
    <s v="Paid Search"/>
    <s v="Free"/>
    <n v="1"/>
    <n v="1"/>
    <n v="1"/>
    <n v="0"/>
    <n v="0"/>
    <n v="0"/>
    <n v="0"/>
    <m/>
    <n v="71.900000000000006"/>
  </r>
  <r>
    <x v="17"/>
    <d v="2025-05-28T00:00:00"/>
    <s v="Control"/>
    <s v="South"/>
    <s v="Desktop"/>
    <s v="Paid Search"/>
    <s v="Free"/>
    <n v="0"/>
    <n v="0"/>
    <n v="0"/>
    <n v="0"/>
    <n v="0"/>
    <n v="0"/>
    <n v="0"/>
    <m/>
    <n v="50.5"/>
  </r>
  <r>
    <x v="18"/>
    <d v="2025-02-15T00:00:00"/>
    <s v="Control"/>
    <s v="North"/>
    <s v="Desktop"/>
    <s v="Paid Search"/>
    <s v="Basic"/>
    <n v="0"/>
    <n v="0"/>
    <n v="0"/>
    <n v="0"/>
    <n v="0"/>
    <n v="0"/>
    <n v="0"/>
    <m/>
    <n v="49.3"/>
  </r>
  <r>
    <x v="19"/>
    <d v="2025-05-05T00:00:00"/>
    <s v="Control"/>
    <s v="West"/>
    <s v="Desktop"/>
    <s v="Organic"/>
    <s v="Basic"/>
    <n v="0"/>
    <n v="0"/>
    <n v="0"/>
    <n v="0"/>
    <n v="0"/>
    <n v="2"/>
    <n v="0"/>
    <m/>
    <n v="60.9"/>
  </r>
  <r>
    <x v="20"/>
    <d v="2025-04-13T00:00:00"/>
    <s v="Control"/>
    <s v="East"/>
    <s v="Mobile"/>
    <s v="Social"/>
    <s v="Free"/>
    <n v="1"/>
    <n v="0"/>
    <n v="0"/>
    <n v="0"/>
    <n v="0"/>
    <n v="0"/>
    <n v="0"/>
    <m/>
    <n v="62.7"/>
  </r>
  <r>
    <x v="21"/>
    <d v="2025-05-07T00:00:00"/>
    <s v="Control"/>
    <s v="North"/>
    <s v="Desktop"/>
    <s v="Paid Search"/>
    <s v="Free"/>
    <n v="0"/>
    <n v="0"/>
    <n v="0"/>
    <n v="0"/>
    <n v="0"/>
    <n v="0"/>
    <n v="0"/>
    <m/>
    <n v="52.7"/>
  </r>
  <r>
    <x v="22"/>
    <d v="2025-05-25T00:00:00"/>
    <s v="Control"/>
    <s v="North"/>
    <s v="Desktop"/>
    <s v="Organic"/>
    <s v="Free"/>
    <n v="0"/>
    <n v="0"/>
    <n v="0"/>
    <n v="0"/>
    <n v="0"/>
    <n v="0"/>
    <n v="0"/>
    <m/>
    <n v="54"/>
  </r>
  <r>
    <x v="23"/>
    <d v="2025-04-01T00:00:00"/>
    <s v="Control"/>
    <s v="East"/>
    <s v="Mobile"/>
    <s v="Paid Search"/>
    <s v="Premium"/>
    <n v="1"/>
    <n v="1"/>
    <n v="0"/>
    <n v="0"/>
    <n v="0"/>
    <n v="0"/>
    <n v="0"/>
    <m/>
    <n v="51.6"/>
  </r>
  <r>
    <x v="24"/>
    <d v="2025-02-22T00:00:00"/>
    <s v="Control"/>
    <s v="North"/>
    <s v="Mobile"/>
    <s v="Paid Search"/>
    <s v="Premium"/>
    <n v="0"/>
    <n v="0"/>
    <n v="0"/>
    <n v="0"/>
    <n v="0"/>
    <n v="2"/>
    <n v="0"/>
    <m/>
    <n v="66.900000000000006"/>
  </r>
  <r>
    <x v="25"/>
    <d v="2025-03-24T00:00:00"/>
    <s v="Control"/>
    <s v="East"/>
    <s v="Mobile"/>
    <s v="Organic"/>
    <s v="Basic"/>
    <n v="0"/>
    <n v="0"/>
    <n v="0"/>
    <n v="0"/>
    <n v="0"/>
    <n v="0"/>
    <n v="0"/>
    <m/>
    <n v="67.400000000000006"/>
  </r>
  <r>
    <x v="26"/>
    <d v="2025-02-13T00:00:00"/>
    <s v="Control"/>
    <s v="North"/>
    <s v="Mobile"/>
    <s v="Organic"/>
    <s v="Free"/>
    <n v="0"/>
    <n v="0"/>
    <n v="0"/>
    <n v="0"/>
    <n v="0"/>
    <n v="0"/>
    <n v="0"/>
    <m/>
    <n v="58.8"/>
  </r>
  <r>
    <x v="27"/>
    <d v="2025-05-30T00:00:00"/>
    <s v="Control"/>
    <s v="South"/>
    <s v="Mobile"/>
    <s v="Organic"/>
    <s v="Free"/>
    <n v="1"/>
    <n v="0"/>
    <n v="0"/>
    <n v="0"/>
    <n v="0"/>
    <n v="0"/>
    <n v="0"/>
    <m/>
    <n v="73.8"/>
  </r>
  <r>
    <x v="28"/>
    <d v="2025-01-20T00:00:00"/>
    <s v="Control"/>
    <s v="East"/>
    <s v="Tablet"/>
    <s v="Organic"/>
    <s v="Basic"/>
    <n v="0"/>
    <n v="0"/>
    <n v="0"/>
    <n v="0"/>
    <n v="0"/>
    <n v="0"/>
    <n v="0"/>
    <m/>
    <n v="60.1"/>
  </r>
  <r>
    <x v="29"/>
    <d v="2025-05-19T00:00:00"/>
    <s v="Control"/>
    <s v="East"/>
    <s v="Mobile"/>
    <s v="Social"/>
    <s v="Basic"/>
    <n v="1"/>
    <n v="1"/>
    <n v="1"/>
    <n v="0"/>
    <n v="0"/>
    <n v="0"/>
    <n v="0"/>
    <m/>
    <n v="41"/>
  </r>
  <r>
    <x v="30"/>
    <d v="2025-02-18T00:00:00"/>
    <s v="Control"/>
    <s v="South"/>
    <s v="Mobile"/>
    <s v="Organic"/>
    <s v="Basic"/>
    <n v="1"/>
    <n v="0"/>
    <n v="0"/>
    <n v="0"/>
    <n v="0"/>
    <n v="0"/>
    <n v="0"/>
    <m/>
    <n v="80.3"/>
  </r>
  <r>
    <x v="31"/>
    <d v="2025-02-13T00:00:00"/>
    <s v="Control"/>
    <s v="East"/>
    <s v="Mobile"/>
    <s v="Organic"/>
    <s v="Free"/>
    <n v="0"/>
    <n v="0"/>
    <n v="0"/>
    <n v="0"/>
    <n v="0"/>
    <n v="0"/>
    <n v="0"/>
    <m/>
    <n v="67.599999999999994"/>
  </r>
  <r>
    <x v="32"/>
    <d v="2025-03-08T00:00:00"/>
    <s v="Control"/>
    <s v="East"/>
    <s v="Desktop"/>
    <s v="Referral"/>
    <s v="Premium"/>
    <n v="0"/>
    <n v="0"/>
    <n v="0"/>
    <n v="0"/>
    <n v="0"/>
    <n v="0"/>
    <n v="0"/>
    <m/>
    <n v="64"/>
  </r>
  <r>
    <x v="33"/>
    <d v="2025-01-11T00:00:00"/>
    <s v="Control"/>
    <s v="North"/>
    <s v="Mobile"/>
    <s v="Paid Search"/>
    <s v="Free"/>
    <n v="1"/>
    <n v="1"/>
    <n v="0"/>
    <n v="0"/>
    <n v="0"/>
    <n v="0"/>
    <n v="0"/>
    <m/>
    <n v="27.2"/>
  </r>
  <r>
    <x v="34"/>
    <d v="2025-02-12T00:00:00"/>
    <s v="Control"/>
    <s v="North"/>
    <s v="Desktop"/>
    <s v="Organic"/>
    <s v="Free"/>
    <n v="1"/>
    <n v="0"/>
    <n v="0"/>
    <n v="0"/>
    <n v="0"/>
    <n v="0"/>
    <n v="0"/>
    <m/>
    <n v="85.4"/>
  </r>
  <r>
    <x v="35"/>
    <d v="2025-04-13T00:00:00"/>
    <s v="Control"/>
    <s v="East"/>
    <s v="Desktop"/>
    <s v="Organic"/>
    <s v="Basic"/>
    <n v="1"/>
    <n v="0"/>
    <n v="0"/>
    <n v="0"/>
    <n v="0"/>
    <n v="0"/>
    <n v="0"/>
    <m/>
    <n v="75.900000000000006"/>
  </r>
  <r>
    <x v="36"/>
    <d v="2025-05-09T00:00:00"/>
    <s v="Control"/>
    <s v="East"/>
    <s v="Mobile"/>
    <s v="Organic"/>
    <s v="Premium"/>
    <n v="1"/>
    <n v="0"/>
    <n v="0"/>
    <n v="0"/>
    <n v="0"/>
    <n v="1"/>
    <n v="0"/>
    <m/>
    <n v="34.799999999999997"/>
  </r>
  <r>
    <x v="37"/>
    <d v="2025-01-20T00:00:00"/>
    <s v="Control"/>
    <s v="East"/>
    <s v="Mobile"/>
    <s v="Organic"/>
    <s v="Free"/>
    <n v="1"/>
    <n v="1"/>
    <n v="1"/>
    <n v="0"/>
    <n v="0"/>
    <n v="3"/>
    <n v="0"/>
    <m/>
    <n v="48.9"/>
  </r>
  <r>
    <x v="38"/>
    <d v="2025-05-13T00:00:00"/>
    <s v="Control"/>
    <s v="East"/>
    <s v="Mobile"/>
    <s v="Email"/>
    <s v="Premium"/>
    <n v="1"/>
    <n v="0"/>
    <n v="0"/>
    <n v="0"/>
    <n v="0"/>
    <n v="0"/>
    <n v="0"/>
    <m/>
    <n v="41.5"/>
  </r>
  <r>
    <x v="39"/>
    <d v="2025-04-07T00:00:00"/>
    <s v="Control"/>
    <s v="North"/>
    <s v="Desktop"/>
    <s v="Organic"/>
    <s v="Basic"/>
    <n v="1"/>
    <n v="0"/>
    <n v="0"/>
    <n v="0"/>
    <n v="0"/>
    <n v="0"/>
    <n v="0"/>
    <m/>
    <n v="51.5"/>
  </r>
  <r>
    <x v="40"/>
    <d v="2025-03-31T00:00:00"/>
    <s v="Control"/>
    <s v="North"/>
    <s v="Desktop"/>
    <s v="Organic"/>
    <s v="Free"/>
    <n v="0"/>
    <n v="0"/>
    <n v="0"/>
    <n v="0"/>
    <n v="0"/>
    <n v="0"/>
    <n v="0"/>
    <m/>
    <n v="53.2"/>
  </r>
  <r>
    <x v="41"/>
    <d v="2025-01-25T00:00:00"/>
    <s v="Control"/>
    <s v="East"/>
    <s v="Mobile"/>
    <s v="Email"/>
    <s v="Premium"/>
    <n v="0"/>
    <n v="0"/>
    <n v="0"/>
    <n v="0"/>
    <n v="0"/>
    <n v="0"/>
    <n v="0"/>
    <m/>
    <n v="55.6"/>
  </r>
  <r>
    <x v="42"/>
    <d v="2025-02-14T00:00:00"/>
    <s v="Control"/>
    <s v="South"/>
    <s v="Desktop"/>
    <s v="Organic"/>
    <s v="Free"/>
    <n v="0"/>
    <n v="0"/>
    <n v="0"/>
    <n v="0"/>
    <n v="0"/>
    <n v="0"/>
    <n v="0"/>
    <m/>
    <n v="73"/>
  </r>
  <r>
    <x v="43"/>
    <d v="2025-02-27T00:00:00"/>
    <s v="Control"/>
    <s v="East"/>
    <s v="Mobile"/>
    <s v="Email"/>
    <s v="Free"/>
    <n v="1"/>
    <n v="0"/>
    <n v="0"/>
    <n v="0"/>
    <n v="0"/>
    <n v="0"/>
    <n v="0"/>
    <m/>
    <n v="65"/>
  </r>
  <r>
    <x v="44"/>
    <d v="2025-03-28T00:00:00"/>
    <s v="Control"/>
    <s v="East"/>
    <s v="Mobile"/>
    <s v="Social"/>
    <s v="Free"/>
    <n v="1"/>
    <n v="0"/>
    <n v="0"/>
    <n v="0"/>
    <n v="0"/>
    <n v="4"/>
    <n v="0"/>
    <m/>
    <n v="56.3"/>
  </r>
  <r>
    <x v="45"/>
    <d v="2025-05-25T00:00:00"/>
    <s v="Control"/>
    <s v="East"/>
    <s v="Mobile"/>
    <s v="Referral"/>
    <s v="Premium"/>
    <n v="1"/>
    <n v="0"/>
    <n v="0"/>
    <n v="0"/>
    <n v="0"/>
    <n v="0"/>
    <n v="0"/>
    <m/>
    <n v="62.4"/>
  </r>
  <r>
    <x v="46"/>
    <d v="2025-05-05T00:00:00"/>
    <s v="Control"/>
    <s v="West"/>
    <s v="Desktop"/>
    <s v="Organic"/>
    <s v="Free"/>
    <n v="1"/>
    <n v="1"/>
    <n v="1"/>
    <n v="0"/>
    <n v="0"/>
    <n v="0"/>
    <n v="0"/>
    <m/>
    <n v="58.1"/>
  </r>
  <r>
    <x v="47"/>
    <d v="2025-05-16T00:00:00"/>
    <s v="Control"/>
    <s v="North"/>
    <s v="Mobile"/>
    <s v="Organic"/>
    <s v="Free"/>
    <n v="1"/>
    <n v="1"/>
    <n v="1"/>
    <n v="0"/>
    <n v="0"/>
    <n v="0"/>
    <n v="0"/>
    <m/>
    <n v="80.8"/>
  </r>
  <r>
    <x v="48"/>
    <d v="2025-01-08T00:00:00"/>
    <s v="Control"/>
    <s v="North"/>
    <s v="Mobile"/>
    <s v="Social"/>
    <s v="Free"/>
    <n v="1"/>
    <n v="1"/>
    <n v="0"/>
    <n v="0"/>
    <n v="0"/>
    <n v="0"/>
    <n v="0"/>
    <m/>
    <n v="42.9"/>
  </r>
  <r>
    <x v="49"/>
    <d v="2025-01-06T00:00:00"/>
    <s v="Control"/>
    <s v="West"/>
    <s v="Desktop"/>
    <s v="Paid Search"/>
    <s v="Free"/>
    <n v="1"/>
    <n v="0"/>
    <n v="0"/>
    <n v="0"/>
    <n v="0"/>
    <n v="0"/>
    <n v="0"/>
    <m/>
    <n v="52.7"/>
  </r>
  <r>
    <x v="50"/>
    <d v="2025-01-12T00:00:00"/>
    <s v="Control"/>
    <s v="North"/>
    <s v="Mobile"/>
    <s v="Social"/>
    <s v="Basic"/>
    <n v="0"/>
    <n v="0"/>
    <n v="0"/>
    <n v="0"/>
    <n v="0"/>
    <n v="0"/>
    <n v="0"/>
    <m/>
    <n v="46.9"/>
  </r>
  <r>
    <x v="51"/>
    <d v="2025-02-14T00:00:00"/>
    <s v="Control"/>
    <s v="East"/>
    <s v="Desktop"/>
    <s v="Email"/>
    <s v="Premium"/>
    <n v="1"/>
    <n v="0"/>
    <n v="0"/>
    <n v="0"/>
    <n v="0"/>
    <n v="0"/>
    <n v="0"/>
    <m/>
    <n v="63"/>
  </r>
  <r>
    <x v="52"/>
    <d v="2025-03-10T00:00:00"/>
    <s v="Control"/>
    <s v="South"/>
    <s v="Tablet"/>
    <s v="Organic"/>
    <s v="Free"/>
    <n v="0"/>
    <n v="0"/>
    <n v="0"/>
    <n v="0"/>
    <n v="0"/>
    <n v="0"/>
    <n v="0"/>
    <m/>
    <n v="53.6"/>
  </r>
  <r>
    <x v="53"/>
    <d v="2025-04-20T00:00:00"/>
    <s v="Control"/>
    <s v="West"/>
    <s v="Desktop"/>
    <s v="Organic"/>
    <s v="Basic"/>
    <n v="0"/>
    <n v="0"/>
    <n v="0"/>
    <n v="0"/>
    <n v="0"/>
    <n v="0"/>
    <n v="0"/>
    <m/>
    <n v="49.6"/>
  </r>
  <r>
    <x v="54"/>
    <d v="2025-02-19T00:00:00"/>
    <s v="Control"/>
    <s v="South"/>
    <s v="Mobile"/>
    <s v="Organic"/>
    <s v="Free"/>
    <n v="0"/>
    <n v="0"/>
    <n v="0"/>
    <n v="0"/>
    <n v="0"/>
    <n v="0"/>
    <n v="0"/>
    <m/>
    <n v="54"/>
  </r>
  <r>
    <x v="55"/>
    <d v="2025-05-17T00:00:00"/>
    <s v="Control"/>
    <s v="South"/>
    <s v="Mobile"/>
    <s v="Social"/>
    <s v="Basic"/>
    <n v="1"/>
    <n v="0"/>
    <n v="0"/>
    <n v="0"/>
    <n v="0"/>
    <n v="2"/>
    <n v="0"/>
    <m/>
    <n v="50"/>
  </r>
  <r>
    <x v="56"/>
    <d v="2025-04-01T00:00:00"/>
    <s v="Control"/>
    <s v="East"/>
    <s v="Mobile"/>
    <s v="Social"/>
    <s v="Basic"/>
    <n v="0"/>
    <n v="0"/>
    <n v="0"/>
    <n v="0"/>
    <n v="0"/>
    <n v="0"/>
    <n v="0"/>
    <m/>
    <n v="48.1"/>
  </r>
  <r>
    <x v="57"/>
    <d v="2025-02-04T00:00:00"/>
    <s v="Control"/>
    <s v="North"/>
    <s v="Desktop"/>
    <s v="Organic"/>
    <s v="Free"/>
    <n v="1"/>
    <n v="0"/>
    <n v="0"/>
    <n v="0"/>
    <n v="0"/>
    <n v="0"/>
    <n v="0"/>
    <m/>
    <n v="49.6"/>
  </r>
  <r>
    <x v="58"/>
    <d v="2025-04-14T00:00:00"/>
    <s v="Control"/>
    <s v="North"/>
    <s v="Mobile"/>
    <s v="Social"/>
    <s v="Free"/>
    <n v="0"/>
    <n v="0"/>
    <n v="0"/>
    <n v="0"/>
    <n v="0"/>
    <n v="2"/>
    <n v="0"/>
    <m/>
    <n v="48.9"/>
  </r>
  <r>
    <x v="59"/>
    <d v="2025-01-01T00:00:00"/>
    <s v="Control"/>
    <s v="West"/>
    <s v="Mobile"/>
    <s v="Social"/>
    <s v="Free"/>
    <n v="1"/>
    <n v="1"/>
    <n v="1"/>
    <n v="1"/>
    <n v="240.42"/>
    <n v="0"/>
    <n v="0"/>
    <n v="16"/>
    <n v="56.5"/>
  </r>
  <r>
    <x v="60"/>
    <d v="2025-04-02T00:00:00"/>
    <s v="Control"/>
    <s v="South"/>
    <s v="Mobile"/>
    <s v="Referral"/>
    <s v="Free"/>
    <n v="1"/>
    <n v="0"/>
    <n v="0"/>
    <n v="0"/>
    <n v="0"/>
    <n v="0"/>
    <n v="0"/>
    <m/>
    <n v="53.7"/>
  </r>
  <r>
    <x v="61"/>
    <d v="2025-03-29T00:00:00"/>
    <s v="Control"/>
    <s v="North"/>
    <s v="Mobile"/>
    <s v="Social"/>
    <s v="Premium"/>
    <n v="0"/>
    <n v="0"/>
    <n v="0"/>
    <n v="0"/>
    <n v="0"/>
    <n v="0"/>
    <n v="0"/>
    <m/>
    <n v="62.2"/>
  </r>
  <r>
    <x v="62"/>
    <d v="2025-05-15T00:00:00"/>
    <s v="Control"/>
    <s v="South"/>
    <s v="Desktop"/>
    <s v="Organic"/>
    <s v="Free"/>
    <n v="1"/>
    <n v="0"/>
    <n v="0"/>
    <n v="0"/>
    <n v="0"/>
    <n v="0"/>
    <n v="0"/>
    <m/>
    <n v="50.2"/>
  </r>
  <r>
    <x v="63"/>
    <d v="2025-04-11T00:00:00"/>
    <s v="Control"/>
    <s v="North"/>
    <s v="Mobile"/>
    <s v="Organic"/>
    <s v="Basic"/>
    <n v="1"/>
    <n v="0"/>
    <n v="0"/>
    <n v="0"/>
    <n v="0"/>
    <n v="0"/>
    <n v="0"/>
    <m/>
    <n v="74.3"/>
  </r>
  <r>
    <x v="64"/>
    <d v="2025-03-07T00:00:00"/>
    <s v="Control"/>
    <s v="South"/>
    <s v="Desktop"/>
    <s v="Paid Search"/>
    <s v="Free"/>
    <n v="1"/>
    <n v="0"/>
    <n v="0"/>
    <n v="0"/>
    <n v="0"/>
    <n v="0"/>
    <n v="0"/>
    <m/>
    <n v="58"/>
  </r>
  <r>
    <x v="65"/>
    <d v="2025-05-30T00:00:00"/>
    <s v="Control"/>
    <s v="South"/>
    <s v="Mobile"/>
    <s v="Organic"/>
    <s v="Free"/>
    <n v="0"/>
    <n v="0"/>
    <n v="0"/>
    <n v="0"/>
    <n v="0"/>
    <n v="0"/>
    <n v="0"/>
    <m/>
    <n v="46.7"/>
  </r>
  <r>
    <x v="66"/>
    <d v="2025-01-07T00:00:00"/>
    <s v="Control"/>
    <s v="South"/>
    <s v="Desktop"/>
    <s v="Organic"/>
    <s v="Premium"/>
    <n v="1"/>
    <n v="0"/>
    <n v="0"/>
    <n v="0"/>
    <n v="0"/>
    <n v="1"/>
    <n v="0"/>
    <m/>
    <n v="49.6"/>
  </r>
  <r>
    <x v="67"/>
    <d v="2025-05-08T00:00:00"/>
    <s v="Control"/>
    <s v="West"/>
    <s v="Mobile"/>
    <s v="Social"/>
    <s v="Free"/>
    <n v="0"/>
    <n v="0"/>
    <n v="0"/>
    <n v="0"/>
    <n v="0"/>
    <n v="0"/>
    <n v="0"/>
    <m/>
    <n v="60.4"/>
  </r>
  <r>
    <x v="68"/>
    <d v="2025-03-19T00:00:00"/>
    <s v="Control"/>
    <s v="East"/>
    <s v="Desktop"/>
    <s v="Email"/>
    <s v="Free"/>
    <n v="1"/>
    <n v="1"/>
    <n v="1"/>
    <n v="0"/>
    <n v="0"/>
    <n v="0"/>
    <n v="0"/>
    <m/>
    <n v="55.3"/>
  </r>
  <r>
    <x v="69"/>
    <d v="2025-05-16T00:00:00"/>
    <s v="Control"/>
    <s v="North"/>
    <s v="Desktop"/>
    <s v="Organic"/>
    <s v="Free"/>
    <n v="0"/>
    <n v="0"/>
    <n v="0"/>
    <n v="0"/>
    <n v="0"/>
    <n v="0"/>
    <n v="0"/>
    <m/>
    <n v="56.2"/>
  </r>
  <r>
    <x v="70"/>
    <d v="2025-03-08T00:00:00"/>
    <s v="Control"/>
    <s v="West"/>
    <s v="Mobile"/>
    <s v="Email"/>
    <s v="Free"/>
    <n v="0"/>
    <n v="0"/>
    <n v="0"/>
    <n v="0"/>
    <n v="0"/>
    <n v="0"/>
    <n v="0"/>
    <m/>
    <n v="29.4"/>
  </r>
  <r>
    <x v="71"/>
    <d v="2025-03-08T00:00:00"/>
    <s v="Control"/>
    <s v="East"/>
    <s v="Mobile"/>
    <s v="Email"/>
    <s v="Free"/>
    <n v="1"/>
    <n v="0"/>
    <n v="0"/>
    <n v="0"/>
    <n v="0"/>
    <n v="0"/>
    <n v="0"/>
    <m/>
    <n v="54.2"/>
  </r>
  <r>
    <x v="72"/>
    <d v="2025-01-14T00:00:00"/>
    <s v="Control"/>
    <s v="East"/>
    <s v="Desktop"/>
    <s v="Paid Search"/>
    <s v="Basic"/>
    <n v="0"/>
    <n v="0"/>
    <n v="0"/>
    <n v="0"/>
    <n v="0"/>
    <n v="0"/>
    <n v="0"/>
    <m/>
    <n v="46.4"/>
  </r>
  <r>
    <x v="73"/>
    <d v="2025-02-10T00:00:00"/>
    <s v="Control"/>
    <s v="South"/>
    <s v="Mobile"/>
    <s v="Paid Search"/>
    <s v="Basic"/>
    <n v="0"/>
    <n v="0"/>
    <n v="0"/>
    <n v="0"/>
    <n v="0"/>
    <n v="0"/>
    <n v="0"/>
    <m/>
    <n v="54.5"/>
  </r>
  <r>
    <x v="74"/>
    <d v="2025-03-17T00:00:00"/>
    <s v="Control"/>
    <s v="North"/>
    <s v="Mobile"/>
    <s v="Organic"/>
    <s v="Free"/>
    <n v="0"/>
    <n v="0"/>
    <n v="0"/>
    <n v="0"/>
    <n v="0"/>
    <n v="0"/>
    <n v="0"/>
    <m/>
    <n v="58.5"/>
  </r>
  <r>
    <x v="75"/>
    <d v="2025-01-09T00:00:00"/>
    <s v="Control"/>
    <s v="South"/>
    <s v="Mobile"/>
    <s v="Email"/>
    <s v="Free"/>
    <n v="0"/>
    <n v="0"/>
    <n v="0"/>
    <n v="0"/>
    <n v="0"/>
    <n v="0"/>
    <n v="0"/>
    <m/>
    <n v="75.900000000000006"/>
  </r>
  <r>
    <x v="76"/>
    <d v="2025-04-17T00:00:00"/>
    <s v="Control"/>
    <s v="North"/>
    <s v="Mobile"/>
    <s v="Referral"/>
    <s v="Free"/>
    <n v="0"/>
    <n v="0"/>
    <n v="0"/>
    <n v="0"/>
    <n v="0"/>
    <n v="1"/>
    <n v="0"/>
    <m/>
    <n v="84.9"/>
  </r>
  <r>
    <x v="77"/>
    <d v="2025-01-16T00:00:00"/>
    <s v="Control"/>
    <s v="North"/>
    <s v="Mobile"/>
    <s v="Organic"/>
    <s v="Free"/>
    <n v="0"/>
    <n v="0"/>
    <n v="0"/>
    <n v="0"/>
    <n v="0"/>
    <n v="2"/>
    <n v="0"/>
    <m/>
    <n v="48.4"/>
  </r>
  <r>
    <x v="78"/>
    <d v="2025-02-20T00:00:00"/>
    <s v="Control"/>
    <s v="West"/>
    <s v="Desktop"/>
    <s v="Organic"/>
    <s v="Free"/>
    <n v="1"/>
    <n v="1"/>
    <n v="1"/>
    <n v="1"/>
    <n v="457.51"/>
    <n v="0"/>
    <n v="0"/>
    <n v="7"/>
    <n v="38"/>
  </r>
  <r>
    <x v="79"/>
    <d v="2025-05-21T00:00:00"/>
    <s v="Control"/>
    <s v="East"/>
    <s v="Mobile"/>
    <s v="Social"/>
    <s v="Free"/>
    <n v="1"/>
    <n v="0"/>
    <n v="0"/>
    <n v="0"/>
    <n v="0"/>
    <n v="0"/>
    <n v="0"/>
    <m/>
    <n v="44.2"/>
  </r>
  <r>
    <x v="80"/>
    <d v="2025-05-08T00:00:00"/>
    <s v="Control"/>
    <s v="South"/>
    <s v="Mobile"/>
    <s v="Organic"/>
    <s v="Free"/>
    <n v="1"/>
    <n v="1"/>
    <n v="1"/>
    <n v="0"/>
    <n v="0"/>
    <n v="0"/>
    <n v="0"/>
    <m/>
    <n v="81.2"/>
  </r>
  <r>
    <x v="81"/>
    <d v="2025-03-08T00:00:00"/>
    <s v="Control"/>
    <s v="South"/>
    <s v="Mobile"/>
    <s v="Referral"/>
    <s v="Free"/>
    <n v="1"/>
    <n v="1"/>
    <n v="0"/>
    <n v="0"/>
    <n v="0"/>
    <n v="0"/>
    <n v="0"/>
    <m/>
    <n v="63.8"/>
  </r>
  <r>
    <x v="82"/>
    <d v="2025-04-01T00:00:00"/>
    <s v="Control"/>
    <s v="South"/>
    <s v="Desktop"/>
    <s v="Email"/>
    <s v="Free"/>
    <n v="0"/>
    <n v="0"/>
    <n v="0"/>
    <n v="0"/>
    <n v="0"/>
    <n v="0"/>
    <n v="0"/>
    <m/>
    <n v="64.7"/>
  </r>
  <r>
    <x v="83"/>
    <d v="2025-03-03T00:00:00"/>
    <s v="Control"/>
    <s v="West"/>
    <s v="Mobile"/>
    <s v="Social"/>
    <s v="Basic"/>
    <n v="0"/>
    <n v="0"/>
    <n v="0"/>
    <n v="0"/>
    <n v="0"/>
    <n v="0"/>
    <n v="0"/>
    <m/>
    <n v="60.4"/>
  </r>
  <r>
    <x v="84"/>
    <d v="2025-04-16T00:00:00"/>
    <s v="Control"/>
    <s v="South"/>
    <s v="Mobile"/>
    <s v="Paid Search"/>
    <s v="Free"/>
    <n v="0"/>
    <n v="0"/>
    <n v="0"/>
    <n v="0"/>
    <n v="0"/>
    <n v="0"/>
    <n v="0"/>
    <m/>
    <n v="66.599999999999994"/>
  </r>
  <r>
    <x v="85"/>
    <d v="2025-01-09T00:00:00"/>
    <s v="Control"/>
    <s v="North"/>
    <s v="Desktop"/>
    <s v="Organic"/>
    <s v="Free"/>
    <n v="1"/>
    <n v="0"/>
    <n v="0"/>
    <n v="0"/>
    <n v="0"/>
    <n v="0"/>
    <n v="0"/>
    <m/>
    <n v="50.9"/>
  </r>
  <r>
    <x v="86"/>
    <d v="2025-01-22T00:00:00"/>
    <s v="Control"/>
    <s v="West"/>
    <s v="Desktop"/>
    <s v="Social"/>
    <s v="Basic"/>
    <n v="0"/>
    <n v="0"/>
    <n v="0"/>
    <n v="0"/>
    <n v="0"/>
    <n v="0"/>
    <n v="0"/>
    <m/>
    <n v="51"/>
  </r>
  <r>
    <x v="87"/>
    <d v="2025-04-30T00:00:00"/>
    <s v="Control"/>
    <s v="South"/>
    <s v="Mobile"/>
    <s v="Email"/>
    <s v="Premium"/>
    <n v="0"/>
    <n v="0"/>
    <n v="0"/>
    <n v="0"/>
    <n v="0"/>
    <n v="0"/>
    <n v="0"/>
    <m/>
    <n v="65.8"/>
  </r>
  <r>
    <x v="88"/>
    <d v="2025-04-25T00:00:00"/>
    <s v="Control"/>
    <s v="North"/>
    <s v="Mobile"/>
    <s v="Referral"/>
    <s v="Basic"/>
    <n v="1"/>
    <n v="0"/>
    <n v="0"/>
    <n v="0"/>
    <n v="0"/>
    <n v="0"/>
    <n v="0"/>
    <m/>
    <n v="61.8"/>
  </r>
  <r>
    <x v="89"/>
    <d v="2025-02-01T00:00:00"/>
    <s v="Control"/>
    <s v="North"/>
    <s v="Mobile"/>
    <s v="Organic"/>
    <s v="Basic"/>
    <n v="1"/>
    <n v="0"/>
    <n v="0"/>
    <n v="0"/>
    <n v="0"/>
    <n v="0"/>
    <n v="0"/>
    <m/>
    <n v="54.5"/>
  </r>
  <r>
    <x v="90"/>
    <d v="2025-04-23T00:00:00"/>
    <s v="Control"/>
    <s v="South"/>
    <s v="Desktop"/>
    <s v="Organic"/>
    <s v="Free"/>
    <n v="1"/>
    <n v="0"/>
    <n v="0"/>
    <n v="0"/>
    <n v="0"/>
    <n v="0"/>
    <n v="0"/>
    <m/>
    <n v="72.2"/>
  </r>
  <r>
    <x v="91"/>
    <d v="2025-02-27T00:00:00"/>
    <s v="Control"/>
    <s v="South"/>
    <s v="Mobile"/>
    <s v="Social"/>
    <s v="Free"/>
    <n v="1"/>
    <n v="0"/>
    <n v="0"/>
    <n v="0"/>
    <n v="0"/>
    <n v="0"/>
    <n v="0"/>
    <m/>
    <n v="42.3"/>
  </r>
  <r>
    <x v="92"/>
    <d v="2025-04-09T00:00:00"/>
    <s v="Control"/>
    <s v="East"/>
    <s v="Desktop"/>
    <s v="Organic"/>
    <s v="Basic"/>
    <n v="1"/>
    <n v="0"/>
    <n v="0"/>
    <n v="0"/>
    <n v="0"/>
    <n v="0"/>
    <n v="0"/>
    <m/>
    <n v="76.2"/>
  </r>
  <r>
    <x v="93"/>
    <d v="2025-05-13T00:00:00"/>
    <s v="Control"/>
    <s v="South"/>
    <s v="Tablet"/>
    <s v="Organic"/>
    <s v="Premium"/>
    <n v="1"/>
    <n v="1"/>
    <n v="1"/>
    <n v="0"/>
    <n v="0"/>
    <n v="1"/>
    <n v="0"/>
    <m/>
    <n v="37.4"/>
  </r>
  <r>
    <x v="94"/>
    <d v="2025-04-13T00:00:00"/>
    <s v="Control"/>
    <s v="East"/>
    <s v="Mobile"/>
    <s v="Organic"/>
    <s v="Free"/>
    <n v="0"/>
    <n v="0"/>
    <n v="0"/>
    <n v="0"/>
    <n v="0"/>
    <n v="0"/>
    <n v="0"/>
    <m/>
    <n v="84.2"/>
  </r>
  <r>
    <x v="95"/>
    <d v="2025-02-05T00:00:00"/>
    <s v="Control"/>
    <s v="East"/>
    <s v="Mobile"/>
    <s v="Social"/>
    <s v="Free"/>
    <n v="0"/>
    <n v="0"/>
    <n v="0"/>
    <n v="0"/>
    <n v="0"/>
    <n v="0"/>
    <n v="0"/>
    <m/>
    <n v="68"/>
  </r>
  <r>
    <x v="96"/>
    <d v="2025-02-14T00:00:00"/>
    <s v="Control"/>
    <s v="West"/>
    <s v="Mobile"/>
    <s v="Organic"/>
    <s v="Basic"/>
    <n v="1"/>
    <n v="0"/>
    <n v="0"/>
    <n v="0"/>
    <n v="0"/>
    <n v="0"/>
    <n v="0"/>
    <m/>
    <n v="53.5"/>
  </r>
  <r>
    <x v="97"/>
    <d v="2025-02-11T00:00:00"/>
    <s v="Control"/>
    <s v="North"/>
    <s v="Desktop"/>
    <s v="Organic"/>
    <s v="Premium"/>
    <n v="1"/>
    <n v="0"/>
    <n v="0"/>
    <n v="0"/>
    <n v="0"/>
    <n v="0"/>
    <n v="0"/>
    <m/>
    <n v="63.2"/>
  </r>
  <r>
    <x v="98"/>
    <d v="2025-02-11T00:00:00"/>
    <s v="Control"/>
    <s v="East"/>
    <s v="Desktop"/>
    <s v="Social"/>
    <s v="Free"/>
    <n v="1"/>
    <n v="1"/>
    <n v="1"/>
    <n v="1"/>
    <n v="363.32"/>
    <n v="0"/>
    <n v="0"/>
    <n v="9"/>
    <n v="55.9"/>
  </r>
  <r>
    <x v="99"/>
    <d v="2025-05-26T00:00:00"/>
    <s v="Control"/>
    <s v="North"/>
    <s v="Mobile"/>
    <s v="Organic"/>
    <s v="Free"/>
    <n v="1"/>
    <n v="0"/>
    <n v="0"/>
    <n v="0"/>
    <n v="0"/>
    <n v="0"/>
    <n v="0"/>
    <m/>
    <n v="63.5"/>
  </r>
  <r>
    <x v="100"/>
    <d v="2025-03-22T00:00:00"/>
    <s v="Control"/>
    <s v="North"/>
    <s v="Mobile"/>
    <s v="Paid Search"/>
    <s v="Basic"/>
    <n v="1"/>
    <n v="0"/>
    <n v="0"/>
    <n v="0"/>
    <n v="0"/>
    <n v="0"/>
    <n v="0"/>
    <m/>
    <n v="51.5"/>
  </r>
  <r>
    <x v="101"/>
    <d v="2025-04-08T00:00:00"/>
    <s v="Control"/>
    <s v="West"/>
    <s v="Mobile"/>
    <s v="Paid Search"/>
    <s v="Free"/>
    <n v="1"/>
    <n v="0"/>
    <n v="0"/>
    <n v="0"/>
    <n v="0"/>
    <n v="0"/>
    <n v="0"/>
    <m/>
    <n v="74.400000000000006"/>
  </r>
  <r>
    <x v="102"/>
    <d v="2025-04-14T00:00:00"/>
    <s v="Control"/>
    <s v="North"/>
    <s v="Desktop"/>
    <s v="Social"/>
    <s v="Free"/>
    <n v="1"/>
    <n v="1"/>
    <n v="1"/>
    <n v="1"/>
    <n v="3887.98"/>
    <n v="0"/>
    <n v="0"/>
    <n v="13"/>
    <n v="60.2"/>
  </r>
  <r>
    <x v="103"/>
    <d v="2025-03-27T00:00:00"/>
    <s v="Control"/>
    <s v="South"/>
    <s v="Mobile"/>
    <s v="Email"/>
    <s v="Free"/>
    <n v="1"/>
    <n v="0"/>
    <n v="0"/>
    <n v="0"/>
    <n v="0"/>
    <n v="1"/>
    <n v="0"/>
    <m/>
    <n v="67.2"/>
  </r>
  <r>
    <x v="104"/>
    <d v="2025-01-05T00:00:00"/>
    <s v="Control"/>
    <s v="South"/>
    <s v="Mobile"/>
    <s v="Social"/>
    <s v="Free"/>
    <n v="1"/>
    <n v="1"/>
    <n v="1"/>
    <n v="0"/>
    <n v="0"/>
    <n v="0"/>
    <n v="0"/>
    <m/>
    <n v="79.599999999999994"/>
  </r>
  <r>
    <x v="105"/>
    <d v="2025-01-25T00:00:00"/>
    <s v="Control"/>
    <s v="South"/>
    <s v="Mobile"/>
    <s v="Social"/>
    <s v="Basic"/>
    <n v="1"/>
    <n v="1"/>
    <n v="1"/>
    <n v="1"/>
    <n v="8610.7199999999993"/>
    <n v="0"/>
    <n v="0"/>
    <n v="6"/>
    <n v="61"/>
  </r>
  <r>
    <x v="106"/>
    <d v="2025-01-23T00:00:00"/>
    <s v="Control"/>
    <s v="West"/>
    <s v="Mobile"/>
    <s v="Email"/>
    <s v="Free"/>
    <n v="1"/>
    <n v="1"/>
    <n v="1"/>
    <n v="0"/>
    <n v="0"/>
    <n v="4"/>
    <n v="0"/>
    <m/>
    <n v="51.1"/>
  </r>
  <r>
    <x v="107"/>
    <d v="2025-05-25T00:00:00"/>
    <s v="Control"/>
    <s v="East"/>
    <s v="Desktop"/>
    <s v="Referral"/>
    <s v="Free"/>
    <n v="1"/>
    <n v="0"/>
    <n v="0"/>
    <n v="0"/>
    <n v="0"/>
    <n v="0"/>
    <n v="0"/>
    <m/>
    <n v="92.1"/>
  </r>
  <r>
    <x v="108"/>
    <d v="2025-03-22T00:00:00"/>
    <s v="Control"/>
    <s v="South"/>
    <s v="Mobile"/>
    <s v="Referral"/>
    <s v="Basic"/>
    <n v="0"/>
    <n v="0"/>
    <n v="0"/>
    <n v="0"/>
    <n v="0"/>
    <n v="0"/>
    <n v="0"/>
    <m/>
    <n v="82.1"/>
  </r>
  <r>
    <x v="109"/>
    <d v="2025-02-12T00:00:00"/>
    <s v="Control"/>
    <s v="West"/>
    <s v="Desktop"/>
    <s v="Paid Search"/>
    <s v="Basic"/>
    <n v="1"/>
    <n v="0"/>
    <n v="0"/>
    <n v="0"/>
    <n v="0"/>
    <n v="1"/>
    <n v="0"/>
    <m/>
    <n v="74"/>
  </r>
  <r>
    <x v="110"/>
    <d v="2025-04-28T00:00:00"/>
    <s v="Control"/>
    <s v="West"/>
    <s v="Desktop"/>
    <s v="Organic"/>
    <s v="Basic"/>
    <n v="1"/>
    <n v="0"/>
    <n v="0"/>
    <n v="0"/>
    <n v="0"/>
    <n v="0"/>
    <n v="0"/>
    <m/>
    <n v="63.4"/>
  </r>
  <r>
    <x v="111"/>
    <d v="2025-01-30T00:00:00"/>
    <s v="Control"/>
    <s v="North"/>
    <s v="Mobile"/>
    <s v="Organic"/>
    <s v="Basic"/>
    <n v="1"/>
    <n v="0"/>
    <n v="0"/>
    <n v="0"/>
    <n v="0"/>
    <n v="0"/>
    <n v="0"/>
    <m/>
    <n v="53.2"/>
  </r>
  <r>
    <x v="112"/>
    <d v="2025-05-19T00:00:00"/>
    <s v="Control"/>
    <s v="East"/>
    <s v="Tablet"/>
    <s v="Paid Search"/>
    <s v="Free"/>
    <n v="0"/>
    <n v="0"/>
    <n v="0"/>
    <n v="0"/>
    <n v="0"/>
    <n v="0"/>
    <n v="0"/>
    <m/>
    <n v="48.1"/>
  </r>
  <r>
    <x v="113"/>
    <d v="2025-01-23T00:00:00"/>
    <s v="Control"/>
    <s v="South"/>
    <s v="Mobile"/>
    <s v="Social"/>
    <s v="Free"/>
    <n v="1"/>
    <n v="1"/>
    <n v="0"/>
    <n v="0"/>
    <n v="0"/>
    <n v="0"/>
    <n v="0"/>
    <m/>
    <n v="61.5"/>
  </r>
  <r>
    <x v="114"/>
    <d v="2025-03-28T00:00:00"/>
    <s v="Control"/>
    <s v="East"/>
    <s v="Desktop"/>
    <s v="Social"/>
    <s v="Free"/>
    <n v="1"/>
    <n v="0"/>
    <n v="0"/>
    <n v="0"/>
    <n v="0"/>
    <n v="0"/>
    <n v="0"/>
    <m/>
    <n v="63.2"/>
  </r>
  <r>
    <x v="115"/>
    <d v="2025-01-11T00:00:00"/>
    <s v="Control"/>
    <s v="West"/>
    <s v="Mobile"/>
    <s v="Organic"/>
    <s v="Free"/>
    <n v="0"/>
    <n v="0"/>
    <n v="0"/>
    <n v="0"/>
    <n v="0"/>
    <n v="0"/>
    <n v="0"/>
    <m/>
    <n v="71.900000000000006"/>
  </r>
  <r>
    <x v="116"/>
    <d v="2025-04-11T00:00:00"/>
    <s v="Control"/>
    <s v="North"/>
    <s v="Mobile"/>
    <s v="Referral"/>
    <s v="Free"/>
    <n v="0"/>
    <n v="0"/>
    <n v="0"/>
    <n v="0"/>
    <n v="0"/>
    <n v="0"/>
    <n v="0"/>
    <m/>
    <n v="62.7"/>
  </r>
  <r>
    <x v="117"/>
    <d v="2025-01-02T00:00:00"/>
    <s v="Control"/>
    <s v="West"/>
    <s v="Mobile"/>
    <s v="Paid Search"/>
    <s v="Free"/>
    <n v="1"/>
    <n v="0"/>
    <n v="0"/>
    <n v="0"/>
    <n v="0"/>
    <n v="0"/>
    <n v="0"/>
    <m/>
    <n v="51.5"/>
  </r>
  <r>
    <x v="118"/>
    <d v="2025-03-18T00:00:00"/>
    <s v="Control"/>
    <s v="East"/>
    <s v="Mobile"/>
    <s v="Social"/>
    <s v="Free"/>
    <n v="1"/>
    <n v="1"/>
    <n v="1"/>
    <n v="0"/>
    <n v="0"/>
    <n v="0"/>
    <n v="0"/>
    <m/>
    <n v="39.1"/>
  </r>
  <r>
    <x v="119"/>
    <d v="2025-03-31T00:00:00"/>
    <s v="Control"/>
    <s v="North"/>
    <s v="Mobile"/>
    <s v="Email"/>
    <s v="Free"/>
    <n v="1"/>
    <n v="0"/>
    <n v="0"/>
    <n v="0"/>
    <n v="0"/>
    <n v="0"/>
    <n v="0"/>
    <m/>
    <n v="43.8"/>
  </r>
  <r>
    <x v="120"/>
    <d v="2025-01-06T00:00:00"/>
    <s v="Control"/>
    <s v="North"/>
    <s v="Mobile"/>
    <s v="Paid Search"/>
    <s v="Basic"/>
    <n v="1"/>
    <n v="0"/>
    <n v="0"/>
    <n v="0"/>
    <n v="0"/>
    <n v="0"/>
    <n v="0"/>
    <m/>
    <n v="59.9"/>
  </r>
  <r>
    <x v="121"/>
    <d v="2025-01-26T00:00:00"/>
    <s v="Control"/>
    <s v="North"/>
    <s v="Mobile"/>
    <s v="Referral"/>
    <s v="Free"/>
    <n v="1"/>
    <n v="1"/>
    <n v="0"/>
    <n v="0"/>
    <n v="0"/>
    <n v="0"/>
    <n v="0"/>
    <m/>
    <n v="71.400000000000006"/>
  </r>
  <r>
    <x v="122"/>
    <d v="2025-04-22T00:00:00"/>
    <s v="Control"/>
    <s v="South"/>
    <s v="Mobile"/>
    <s v="Referral"/>
    <s v="Basic"/>
    <n v="0"/>
    <n v="0"/>
    <n v="0"/>
    <n v="0"/>
    <n v="0"/>
    <n v="0"/>
    <n v="0"/>
    <m/>
    <n v="36.1"/>
  </r>
  <r>
    <x v="123"/>
    <d v="2025-05-30T00:00:00"/>
    <s v="Control"/>
    <s v="West"/>
    <m/>
    <s v="Email"/>
    <s v="Basic"/>
    <n v="1"/>
    <n v="1"/>
    <n v="0"/>
    <n v="0"/>
    <n v="0"/>
    <n v="0"/>
    <n v="0"/>
    <m/>
    <n v="47.9"/>
  </r>
  <r>
    <x v="124"/>
    <d v="2025-05-18T00:00:00"/>
    <s v="Control"/>
    <s v="West"/>
    <s v="Desktop"/>
    <s v="Organic"/>
    <s v="Premium"/>
    <n v="1"/>
    <n v="0"/>
    <n v="0"/>
    <n v="0"/>
    <n v="0"/>
    <n v="0"/>
    <n v="0"/>
    <m/>
    <n v="62.5"/>
  </r>
  <r>
    <x v="125"/>
    <d v="2025-01-13T00:00:00"/>
    <s v="Control"/>
    <s v="South"/>
    <s v="Desktop"/>
    <s v="Paid Search"/>
    <s v="Premium"/>
    <n v="1"/>
    <n v="0"/>
    <n v="0"/>
    <n v="0"/>
    <n v="0"/>
    <n v="0"/>
    <n v="0"/>
    <m/>
    <n v="56.9"/>
  </r>
  <r>
    <x v="126"/>
    <d v="2025-03-25T00:00:00"/>
    <s v="Control"/>
    <s v="North"/>
    <s v="Desktop"/>
    <s v="Email"/>
    <s v="Free"/>
    <n v="0"/>
    <n v="0"/>
    <n v="0"/>
    <n v="0"/>
    <n v="0"/>
    <n v="0"/>
    <n v="0"/>
    <m/>
    <n v="64.7"/>
  </r>
  <r>
    <x v="127"/>
    <d v="2025-04-29T00:00:00"/>
    <s v="Control"/>
    <s v="South"/>
    <s v="Desktop"/>
    <s v="Organic"/>
    <s v="Free"/>
    <n v="1"/>
    <n v="1"/>
    <n v="1"/>
    <n v="0"/>
    <n v="0"/>
    <n v="0"/>
    <n v="0"/>
    <m/>
    <n v="64"/>
  </r>
  <r>
    <x v="128"/>
    <d v="2025-05-17T00:00:00"/>
    <s v="Control"/>
    <s v="East"/>
    <s v="Mobile"/>
    <s v="Referral"/>
    <s v="Basic"/>
    <n v="1"/>
    <n v="1"/>
    <n v="1"/>
    <n v="0"/>
    <n v="0"/>
    <n v="0"/>
    <n v="0"/>
    <m/>
    <n v="75.2"/>
  </r>
  <r>
    <x v="129"/>
    <d v="2025-01-02T00:00:00"/>
    <s v="Control"/>
    <s v="North"/>
    <s v="Mobile"/>
    <s v="Paid Search"/>
    <s v="Free"/>
    <n v="1"/>
    <n v="0"/>
    <n v="0"/>
    <n v="0"/>
    <n v="0"/>
    <n v="1"/>
    <n v="0"/>
    <m/>
    <n v="79"/>
  </r>
  <r>
    <x v="130"/>
    <d v="2025-02-03T00:00:00"/>
    <s v="Control"/>
    <s v="South"/>
    <s v="Mobile"/>
    <s v="Organic"/>
    <s v="Free"/>
    <n v="0"/>
    <n v="0"/>
    <n v="0"/>
    <n v="0"/>
    <n v="0"/>
    <n v="0"/>
    <n v="0"/>
    <m/>
    <n v="33"/>
  </r>
  <r>
    <x v="131"/>
    <d v="2025-03-04T00:00:00"/>
    <s v="Control"/>
    <s v="East"/>
    <s v="Mobile"/>
    <s v="Organic"/>
    <s v="Free"/>
    <n v="1"/>
    <n v="0"/>
    <n v="0"/>
    <n v="0"/>
    <n v="0"/>
    <n v="0"/>
    <n v="0"/>
    <m/>
    <n v="67.900000000000006"/>
  </r>
  <r>
    <x v="132"/>
    <d v="2025-01-26T00:00:00"/>
    <s v="Control"/>
    <s v="South"/>
    <s v="Mobile"/>
    <s v="Paid Search"/>
    <s v="Basic"/>
    <n v="0"/>
    <n v="0"/>
    <n v="0"/>
    <n v="0"/>
    <n v="0"/>
    <n v="0"/>
    <n v="0"/>
    <m/>
    <n v="42.2"/>
  </r>
  <r>
    <x v="133"/>
    <d v="2025-05-12T00:00:00"/>
    <s v="Control"/>
    <s v="West"/>
    <s v="Mobile"/>
    <s v="Paid Search"/>
    <s v="Basic"/>
    <n v="1"/>
    <n v="1"/>
    <n v="1"/>
    <n v="0"/>
    <n v="0"/>
    <n v="0"/>
    <n v="0"/>
    <m/>
    <n v="43.4"/>
  </r>
  <r>
    <x v="134"/>
    <d v="2025-03-06T00:00:00"/>
    <s v="Control"/>
    <s v="North"/>
    <s v="Mobile"/>
    <s v="Organic"/>
    <s v="Basic"/>
    <n v="0"/>
    <n v="0"/>
    <n v="0"/>
    <n v="0"/>
    <n v="0"/>
    <n v="0"/>
    <n v="0"/>
    <m/>
    <n v="54.4"/>
  </r>
  <r>
    <x v="135"/>
    <d v="2025-03-10T00:00:00"/>
    <s v="Control"/>
    <s v="South"/>
    <s v="Desktop"/>
    <s v="Email"/>
    <s v="Premium"/>
    <n v="0"/>
    <n v="0"/>
    <n v="0"/>
    <n v="0"/>
    <n v="0"/>
    <n v="0"/>
    <n v="0"/>
    <m/>
    <n v="45.7"/>
  </r>
  <r>
    <x v="136"/>
    <d v="2025-05-06T00:00:00"/>
    <s v="Control"/>
    <s v="North"/>
    <s v="Mobile"/>
    <s v="Paid Search"/>
    <s v="Free"/>
    <n v="0"/>
    <n v="0"/>
    <n v="0"/>
    <n v="0"/>
    <n v="0"/>
    <n v="3"/>
    <n v="0"/>
    <m/>
    <n v="32"/>
  </r>
  <r>
    <x v="137"/>
    <d v="2025-02-23T00:00:00"/>
    <s v="Control"/>
    <s v="South"/>
    <s v="Desktop"/>
    <s v="Paid Search"/>
    <s v="Free"/>
    <n v="1"/>
    <n v="0"/>
    <n v="0"/>
    <n v="0"/>
    <n v="0"/>
    <n v="0"/>
    <n v="0"/>
    <m/>
    <n v="70.900000000000006"/>
  </r>
  <r>
    <x v="138"/>
    <d v="2025-01-29T00:00:00"/>
    <s v="Control"/>
    <s v="West"/>
    <s v="Mobile"/>
    <s v="Social"/>
    <s v="Basic"/>
    <n v="1"/>
    <n v="1"/>
    <n v="1"/>
    <n v="0"/>
    <n v="0"/>
    <n v="0"/>
    <n v="0"/>
    <m/>
    <n v="59.1"/>
  </r>
  <r>
    <x v="139"/>
    <d v="2025-01-31T00:00:00"/>
    <s v="Control"/>
    <s v="North"/>
    <s v="Mobile"/>
    <s v="Organic"/>
    <s v="Basic"/>
    <n v="0"/>
    <n v="0"/>
    <n v="0"/>
    <n v="0"/>
    <n v="0"/>
    <n v="0"/>
    <n v="0"/>
    <m/>
    <n v="62.4"/>
  </r>
  <r>
    <x v="140"/>
    <d v="2025-01-19T00:00:00"/>
    <s v="Control"/>
    <s v="South"/>
    <s v="Mobile"/>
    <s v="Organic"/>
    <s v="Free"/>
    <n v="0"/>
    <n v="0"/>
    <n v="0"/>
    <n v="0"/>
    <n v="0"/>
    <n v="0"/>
    <n v="0"/>
    <m/>
    <n v="49.6"/>
  </r>
  <r>
    <x v="141"/>
    <d v="2025-04-03T00:00:00"/>
    <s v="Control"/>
    <s v="West"/>
    <s v="Desktop"/>
    <s v="Social"/>
    <s v="Free"/>
    <n v="1"/>
    <n v="1"/>
    <n v="1"/>
    <n v="1"/>
    <n v="404.4"/>
    <n v="0"/>
    <n v="0"/>
    <n v="9"/>
    <n v="80.599999999999994"/>
  </r>
  <r>
    <x v="142"/>
    <d v="2025-04-07T00:00:00"/>
    <s v="Control"/>
    <s v="North"/>
    <s v="Mobile"/>
    <s v="Paid Search"/>
    <s v="Free"/>
    <n v="1"/>
    <n v="0"/>
    <n v="0"/>
    <n v="0"/>
    <n v="0"/>
    <n v="0"/>
    <n v="0"/>
    <m/>
    <n v="47.9"/>
  </r>
  <r>
    <x v="143"/>
    <d v="2025-01-06T00:00:00"/>
    <s v="Control"/>
    <s v="East"/>
    <s v="Mobile"/>
    <s v="Paid Search"/>
    <s v="Basic"/>
    <n v="1"/>
    <n v="1"/>
    <n v="0"/>
    <n v="0"/>
    <n v="0"/>
    <n v="0"/>
    <n v="0"/>
    <m/>
    <n v="54.8"/>
  </r>
  <r>
    <x v="144"/>
    <d v="2025-04-11T00:00:00"/>
    <s v="Control"/>
    <s v="East"/>
    <s v="Mobile"/>
    <s v="Organic"/>
    <s v="Free"/>
    <n v="1"/>
    <n v="0"/>
    <n v="0"/>
    <n v="0"/>
    <n v="0"/>
    <n v="1"/>
    <n v="0"/>
    <m/>
    <n v="53.9"/>
  </r>
  <r>
    <x v="145"/>
    <d v="2025-04-23T00:00:00"/>
    <s v="Control"/>
    <s v="East"/>
    <s v="Mobile"/>
    <s v="Paid Search"/>
    <s v="Free"/>
    <n v="1"/>
    <n v="0"/>
    <n v="0"/>
    <n v="0"/>
    <n v="0"/>
    <n v="0"/>
    <n v="0"/>
    <m/>
    <n v="41.3"/>
  </r>
  <r>
    <x v="146"/>
    <d v="2025-03-25T00:00:00"/>
    <s v="Control"/>
    <s v="West"/>
    <s v="Mobile"/>
    <s v="Organic"/>
    <s v="Basic"/>
    <n v="1"/>
    <n v="1"/>
    <n v="0"/>
    <n v="0"/>
    <n v="0"/>
    <n v="0"/>
    <n v="0"/>
    <m/>
    <n v="38.9"/>
  </r>
  <r>
    <x v="147"/>
    <d v="2025-05-25T00:00:00"/>
    <s v="Control"/>
    <s v="South"/>
    <s v="Desktop"/>
    <s v="Organic"/>
    <s v="Basic"/>
    <n v="1"/>
    <n v="0"/>
    <n v="0"/>
    <n v="0"/>
    <n v="0"/>
    <n v="0"/>
    <n v="0"/>
    <m/>
    <n v="63.6"/>
  </r>
  <r>
    <x v="148"/>
    <d v="2025-01-28T00:00:00"/>
    <s v="Control"/>
    <s v="North"/>
    <s v="Mobile"/>
    <s v="Organic"/>
    <s v="Free"/>
    <n v="1"/>
    <n v="1"/>
    <n v="1"/>
    <n v="1"/>
    <n v="577.94000000000005"/>
    <n v="0"/>
    <n v="0"/>
    <n v="9"/>
    <n v="76.599999999999994"/>
  </r>
  <r>
    <x v="149"/>
    <d v="2025-02-12T00:00:00"/>
    <s v="Control"/>
    <s v="West"/>
    <s v="Mobile"/>
    <s v="Paid Search"/>
    <s v="Premium"/>
    <n v="0"/>
    <n v="0"/>
    <n v="0"/>
    <n v="0"/>
    <n v="0"/>
    <n v="1"/>
    <n v="0"/>
    <m/>
    <n v="67.599999999999994"/>
  </r>
  <r>
    <x v="150"/>
    <d v="2025-04-29T00:00:00"/>
    <s v="Control"/>
    <s v="North"/>
    <s v="Mobile"/>
    <s v="Social"/>
    <s v="Premium"/>
    <n v="1"/>
    <n v="0"/>
    <n v="0"/>
    <n v="0"/>
    <n v="0"/>
    <n v="0"/>
    <n v="0"/>
    <m/>
    <n v="43.1"/>
  </r>
  <r>
    <x v="151"/>
    <d v="2025-03-13T00:00:00"/>
    <s v="Control"/>
    <s v="South"/>
    <s v="Mobile"/>
    <s v="Email"/>
    <s v="Free"/>
    <n v="1"/>
    <n v="0"/>
    <n v="0"/>
    <n v="0"/>
    <n v="0"/>
    <n v="0"/>
    <n v="0"/>
    <m/>
    <n v="58.3"/>
  </r>
  <r>
    <x v="152"/>
    <d v="2025-02-04T00:00:00"/>
    <s v="Control"/>
    <s v="East"/>
    <s v="Desktop"/>
    <s v="Paid Search"/>
    <s v="Free"/>
    <n v="1"/>
    <n v="0"/>
    <n v="0"/>
    <n v="0"/>
    <n v="0"/>
    <n v="0"/>
    <n v="0"/>
    <m/>
    <n v="69.8"/>
  </r>
  <r>
    <x v="153"/>
    <d v="2025-03-04T00:00:00"/>
    <s v="Control"/>
    <s v="South"/>
    <s v="Mobile"/>
    <s v="Referral"/>
    <s v="Free"/>
    <n v="1"/>
    <n v="1"/>
    <n v="0"/>
    <n v="0"/>
    <n v="0"/>
    <n v="0"/>
    <n v="0"/>
    <m/>
    <m/>
  </r>
  <r>
    <x v="154"/>
    <d v="2025-02-04T00:00:00"/>
    <s v="Control"/>
    <s v="West"/>
    <s v="Mobile"/>
    <s v="Paid Search"/>
    <s v="Basic"/>
    <n v="1"/>
    <n v="1"/>
    <n v="0"/>
    <n v="0"/>
    <n v="0"/>
    <n v="0"/>
    <n v="0"/>
    <m/>
    <n v="41.9"/>
  </r>
  <r>
    <x v="155"/>
    <d v="2025-03-11T00:00:00"/>
    <s v="Control"/>
    <s v="North"/>
    <s v="Desktop"/>
    <s v="Organic"/>
    <s v="Free"/>
    <n v="0"/>
    <n v="0"/>
    <n v="0"/>
    <n v="0"/>
    <n v="0"/>
    <n v="0"/>
    <n v="0"/>
    <m/>
    <n v="33.1"/>
  </r>
  <r>
    <x v="156"/>
    <d v="2025-04-22T00:00:00"/>
    <s v="Control"/>
    <s v="West"/>
    <s v="Mobile"/>
    <s v="Organic"/>
    <s v="Free"/>
    <n v="0"/>
    <n v="0"/>
    <n v="0"/>
    <n v="0"/>
    <n v="0"/>
    <n v="0"/>
    <n v="0"/>
    <m/>
    <n v="58.6"/>
  </r>
  <r>
    <x v="157"/>
    <d v="2025-03-08T00:00:00"/>
    <s v="Control"/>
    <s v="North"/>
    <s v="Desktop"/>
    <s v="Paid Search"/>
    <s v="Free"/>
    <n v="0"/>
    <n v="0"/>
    <n v="0"/>
    <n v="0"/>
    <n v="0"/>
    <n v="0"/>
    <n v="0"/>
    <m/>
    <n v="55.7"/>
  </r>
  <r>
    <x v="158"/>
    <d v="2025-03-10T00:00:00"/>
    <s v="Control"/>
    <s v="East"/>
    <s v="Mobile"/>
    <s v="Organic"/>
    <s v="Free"/>
    <n v="0"/>
    <n v="0"/>
    <n v="0"/>
    <n v="0"/>
    <n v="0"/>
    <n v="2"/>
    <n v="0"/>
    <m/>
    <n v="64.900000000000006"/>
  </r>
  <r>
    <x v="159"/>
    <d v="2025-05-18T00:00:00"/>
    <s v="Control"/>
    <s v="North"/>
    <s v="Desktop"/>
    <s v="Paid Search"/>
    <s v="Basic"/>
    <n v="0"/>
    <n v="0"/>
    <n v="0"/>
    <n v="0"/>
    <n v="0"/>
    <n v="0"/>
    <n v="0"/>
    <m/>
    <n v="72.3"/>
  </r>
  <r>
    <x v="160"/>
    <d v="2025-05-14T00:00:00"/>
    <s v="Control"/>
    <s v="North"/>
    <s v="Mobile"/>
    <s v="Social"/>
    <s v="Basic"/>
    <n v="0"/>
    <n v="0"/>
    <n v="0"/>
    <n v="0"/>
    <n v="0"/>
    <n v="0"/>
    <n v="0"/>
    <m/>
    <n v="42.1"/>
  </r>
  <r>
    <x v="161"/>
    <d v="2025-02-01T00:00:00"/>
    <s v="Control"/>
    <s v="North"/>
    <s v="Mobile"/>
    <s v="Organic"/>
    <s v="Free"/>
    <n v="0"/>
    <n v="0"/>
    <n v="0"/>
    <n v="0"/>
    <n v="0"/>
    <n v="0"/>
    <n v="0"/>
    <m/>
    <m/>
  </r>
  <r>
    <x v="162"/>
    <d v="2025-04-11T00:00:00"/>
    <s v="Control"/>
    <s v="South"/>
    <s v="Mobile"/>
    <s v="Organic"/>
    <s v="Basic"/>
    <n v="0"/>
    <n v="0"/>
    <n v="0"/>
    <n v="0"/>
    <n v="0"/>
    <n v="1"/>
    <n v="0"/>
    <m/>
    <n v="64.8"/>
  </r>
  <r>
    <x v="163"/>
    <d v="2025-02-14T00:00:00"/>
    <s v="Control"/>
    <s v="East"/>
    <s v="Mobile"/>
    <s v="Organic"/>
    <s v="Free"/>
    <n v="0"/>
    <n v="0"/>
    <n v="0"/>
    <n v="0"/>
    <n v="0"/>
    <n v="0"/>
    <n v="0"/>
    <m/>
    <n v="72.099999999999994"/>
  </r>
  <r>
    <x v="164"/>
    <d v="2025-05-19T00:00:00"/>
    <s v="Control"/>
    <s v="East"/>
    <s v="Mobile"/>
    <s v="Social"/>
    <s v="Free"/>
    <n v="1"/>
    <n v="0"/>
    <n v="0"/>
    <n v="0"/>
    <n v="0"/>
    <n v="0"/>
    <n v="0"/>
    <m/>
    <n v="50.6"/>
  </r>
  <r>
    <x v="165"/>
    <d v="2025-04-26T00:00:00"/>
    <s v="Control"/>
    <s v="North"/>
    <s v="Desktop"/>
    <s v="Paid Search"/>
    <s v="Basic"/>
    <n v="1"/>
    <n v="1"/>
    <n v="1"/>
    <n v="1"/>
    <n v="1281.25"/>
    <n v="1"/>
    <n v="0"/>
    <n v="9"/>
    <n v="43.4"/>
  </r>
  <r>
    <x v="166"/>
    <d v="2025-04-06T00:00:00"/>
    <s v="Control"/>
    <s v="South"/>
    <s v="Mobile"/>
    <s v="Social"/>
    <s v="Free"/>
    <n v="1"/>
    <n v="0"/>
    <n v="0"/>
    <n v="0"/>
    <n v="0"/>
    <n v="0"/>
    <n v="0"/>
    <m/>
    <n v="59.7"/>
  </r>
  <r>
    <x v="167"/>
    <d v="2025-03-06T00:00:00"/>
    <s v="Control"/>
    <s v="South"/>
    <s v="Mobile"/>
    <s v="Paid Search"/>
    <s v="Free"/>
    <n v="1"/>
    <n v="0"/>
    <n v="0"/>
    <n v="0"/>
    <n v="0"/>
    <n v="1"/>
    <n v="0"/>
    <m/>
    <m/>
  </r>
  <r>
    <x v="168"/>
    <d v="2025-03-10T00:00:00"/>
    <s v="Control"/>
    <s v="West"/>
    <s v="Mobile"/>
    <s v="Social"/>
    <s v="Basic"/>
    <n v="0"/>
    <n v="0"/>
    <n v="0"/>
    <n v="0"/>
    <n v="0"/>
    <n v="0"/>
    <n v="0"/>
    <m/>
    <n v="54.5"/>
  </r>
  <r>
    <x v="169"/>
    <d v="2025-03-30T00:00:00"/>
    <s v="Control"/>
    <s v="North"/>
    <s v="Mobile"/>
    <s v="Organic"/>
    <s v="Free"/>
    <n v="1"/>
    <n v="0"/>
    <n v="0"/>
    <n v="0"/>
    <n v="0"/>
    <n v="0"/>
    <n v="0"/>
    <m/>
    <n v="71.099999999999994"/>
  </r>
  <r>
    <x v="170"/>
    <d v="2025-05-29T00:00:00"/>
    <s v="Control"/>
    <s v="East"/>
    <m/>
    <s v="Paid Search"/>
    <s v="Free"/>
    <n v="1"/>
    <n v="1"/>
    <n v="1"/>
    <n v="0"/>
    <n v="0"/>
    <n v="0"/>
    <n v="0"/>
    <m/>
    <n v="44.4"/>
  </r>
  <r>
    <x v="171"/>
    <d v="2025-03-23T00:00:00"/>
    <s v="Control"/>
    <s v="North"/>
    <s v="Mobile"/>
    <s v="Organic"/>
    <s v="Free"/>
    <n v="1"/>
    <n v="0"/>
    <n v="0"/>
    <n v="0"/>
    <n v="0"/>
    <n v="0"/>
    <n v="0"/>
    <m/>
    <n v="61.7"/>
  </r>
  <r>
    <x v="172"/>
    <d v="2025-02-18T00:00:00"/>
    <s v="Control"/>
    <s v="North"/>
    <s v="Tablet"/>
    <s v="Organic"/>
    <s v="Basic"/>
    <n v="0"/>
    <n v="0"/>
    <n v="0"/>
    <n v="0"/>
    <n v="0"/>
    <n v="1"/>
    <n v="0"/>
    <m/>
    <n v="81.3"/>
  </r>
  <r>
    <x v="173"/>
    <d v="2025-01-26T00:00:00"/>
    <s v="Control"/>
    <s v="North"/>
    <s v="Desktop"/>
    <s v="Email"/>
    <s v="Free"/>
    <n v="1"/>
    <n v="0"/>
    <n v="0"/>
    <n v="0"/>
    <n v="0"/>
    <n v="2"/>
    <n v="0"/>
    <m/>
    <n v="28.7"/>
  </r>
  <r>
    <x v="174"/>
    <d v="2025-04-23T00:00:00"/>
    <s v="Control"/>
    <s v="East"/>
    <s v="Mobile"/>
    <s v="Social"/>
    <s v="Basic"/>
    <n v="0"/>
    <n v="0"/>
    <n v="0"/>
    <n v="0"/>
    <n v="0"/>
    <n v="0"/>
    <n v="0"/>
    <m/>
    <n v="53"/>
  </r>
  <r>
    <x v="175"/>
    <d v="2025-03-16T00:00:00"/>
    <s v="Control"/>
    <s v="South"/>
    <s v="Tablet"/>
    <s v="Referral"/>
    <s v="Basic"/>
    <n v="1"/>
    <n v="0"/>
    <n v="0"/>
    <n v="0"/>
    <n v="0"/>
    <n v="0"/>
    <n v="0"/>
    <m/>
    <n v="54.9"/>
  </r>
  <r>
    <x v="176"/>
    <d v="2025-04-29T00:00:00"/>
    <s v="Control"/>
    <s v="West"/>
    <s v="Mobile"/>
    <s v="Organic"/>
    <s v="Basic"/>
    <n v="1"/>
    <n v="0"/>
    <n v="0"/>
    <n v="0"/>
    <n v="0"/>
    <n v="0"/>
    <n v="0"/>
    <m/>
    <n v="58.2"/>
  </r>
  <r>
    <x v="177"/>
    <d v="2025-04-06T00:00:00"/>
    <s v="Control"/>
    <s v="North"/>
    <s v="Mobile"/>
    <s v="Organic"/>
    <s v="Free"/>
    <n v="0"/>
    <n v="0"/>
    <n v="0"/>
    <n v="0"/>
    <n v="0"/>
    <n v="0"/>
    <n v="0"/>
    <m/>
    <n v="80.599999999999994"/>
  </r>
  <r>
    <x v="178"/>
    <d v="2025-04-17T00:00:00"/>
    <s v="Control"/>
    <s v="North"/>
    <s v="Desktop"/>
    <s v="Referral"/>
    <s v="Premium"/>
    <n v="1"/>
    <n v="1"/>
    <n v="1"/>
    <n v="0"/>
    <n v="0"/>
    <n v="0"/>
    <n v="0"/>
    <m/>
    <n v="38.4"/>
  </r>
  <r>
    <x v="179"/>
    <d v="2025-04-03T00:00:00"/>
    <s v="Control"/>
    <s v="South"/>
    <s v="Mobile"/>
    <s v="Paid Search"/>
    <s v="Free"/>
    <n v="1"/>
    <n v="0"/>
    <n v="0"/>
    <n v="0"/>
    <n v="0"/>
    <n v="0"/>
    <n v="0"/>
    <m/>
    <n v="56.1"/>
  </r>
  <r>
    <x v="180"/>
    <d v="2025-04-25T00:00:00"/>
    <s v="Control"/>
    <s v="West"/>
    <s v="Mobile"/>
    <s v="Paid Search"/>
    <s v="Free"/>
    <n v="0"/>
    <n v="0"/>
    <n v="0"/>
    <n v="0"/>
    <n v="0"/>
    <n v="0"/>
    <n v="0"/>
    <m/>
    <n v="62.6"/>
  </r>
  <r>
    <x v="181"/>
    <d v="2025-04-30T00:00:00"/>
    <s v="Control"/>
    <s v="South"/>
    <s v="Mobile"/>
    <s v="Organic"/>
    <s v="Premium"/>
    <n v="0"/>
    <n v="0"/>
    <n v="0"/>
    <n v="0"/>
    <n v="0"/>
    <n v="0"/>
    <n v="0"/>
    <m/>
    <n v="36.299999999999997"/>
  </r>
  <r>
    <x v="182"/>
    <d v="2025-03-12T00:00:00"/>
    <s v="Control"/>
    <s v="South"/>
    <s v="Mobile"/>
    <s v="Paid Search"/>
    <s v="Free"/>
    <n v="1"/>
    <n v="0"/>
    <n v="0"/>
    <n v="0"/>
    <n v="0"/>
    <n v="0"/>
    <n v="0"/>
    <m/>
    <n v="52.1"/>
  </r>
  <r>
    <x v="183"/>
    <d v="2025-05-04T00:00:00"/>
    <s v="Control"/>
    <s v="South"/>
    <s v="Mobile"/>
    <s v="Organic"/>
    <s v="Free"/>
    <n v="1"/>
    <n v="0"/>
    <n v="0"/>
    <n v="0"/>
    <n v="0"/>
    <n v="0"/>
    <n v="0"/>
    <m/>
    <n v="45.1"/>
  </r>
  <r>
    <x v="184"/>
    <d v="2025-02-07T00:00:00"/>
    <s v="Control"/>
    <s v="South"/>
    <s v="Tablet"/>
    <s v="Paid Search"/>
    <s v="Premium"/>
    <n v="0"/>
    <n v="0"/>
    <n v="0"/>
    <n v="0"/>
    <n v="0"/>
    <n v="0"/>
    <n v="0"/>
    <m/>
    <n v="67.5"/>
  </r>
  <r>
    <x v="185"/>
    <d v="2025-04-28T00:00:00"/>
    <s v="Control"/>
    <s v="East"/>
    <s v="Tablet"/>
    <s v="Email"/>
    <s v="Basic"/>
    <n v="1"/>
    <n v="1"/>
    <n v="1"/>
    <n v="0"/>
    <n v="0"/>
    <n v="0"/>
    <n v="0"/>
    <m/>
    <n v="80"/>
  </r>
  <r>
    <x v="186"/>
    <d v="2025-05-15T00:00:00"/>
    <s v="Control"/>
    <s v="East"/>
    <s v="Desktop"/>
    <s v="Referral"/>
    <s v="Free"/>
    <n v="0"/>
    <n v="0"/>
    <n v="0"/>
    <n v="0"/>
    <n v="0"/>
    <n v="0"/>
    <n v="0"/>
    <m/>
    <n v="56.4"/>
  </r>
  <r>
    <x v="187"/>
    <d v="2025-01-18T00:00:00"/>
    <s v="Control"/>
    <s v="West"/>
    <s v="Mobile"/>
    <s v="Paid Search"/>
    <s v="Basic"/>
    <n v="0"/>
    <n v="0"/>
    <n v="0"/>
    <n v="0"/>
    <n v="0"/>
    <n v="0"/>
    <n v="0"/>
    <m/>
    <n v="55.4"/>
  </r>
  <r>
    <x v="188"/>
    <d v="2025-02-15T00:00:00"/>
    <s v="Control"/>
    <s v="South"/>
    <s v="Mobile"/>
    <s v="Social"/>
    <s v="Basic"/>
    <n v="1"/>
    <n v="0"/>
    <n v="0"/>
    <n v="0"/>
    <n v="0"/>
    <n v="0"/>
    <n v="0"/>
    <m/>
    <n v="67.900000000000006"/>
  </r>
  <r>
    <x v="189"/>
    <d v="2025-02-18T00:00:00"/>
    <s v="Control"/>
    <s v="North"/>
    <s v="Tablet"/>
    <s v="Email"/>
    <s v="Free"/>
    <n v="1"/>
    <n v="0"/>
    <n v="0"/>
    <n v="0"/>
    <n v="0"/>
    <n v="0"/>
    <n v="0"/>
    <m/>
    <n v="62.5"/>
  </r>
  <r>
    <x v="190"/>
    <d v="2025-01-30T00:00:00"/>
    <s v="Control"/>
    <s v="South"/>
    <s v="Desktop"/>
    <s v="Email"/>
    <s v="Basic"/>
    <n v="1"/>
    <n v="1"/>
    <n v="1"/>
    <n v="0"/>
    <n v="0"/>
    <n v="0"/>
    <n v="0"/>
    <m/>
    <n v="54.3"/>
  </r>
  <r>
    <x v="191"/>
    <d v="2025-02-09T00:00:00"/>
    <s v="Control"/>
    <s v="South"/>
    <s v="Desktop"/>
    <s v="Organic"/>
    <s v="Basic"/>
    <n v="1"/>
    <n v="0"/>
    <n v="0"/>
    <n v="0"/>
    <n v="0"/>
    <n v="0"/>
    <n v="0"/>
    <m/>
    <n v="37.5"/>
  </r>
  <r>
    <x v="192"/>
    <d v="2025-03-16T00:00:00"/>
    <s v="Control"/>
    <s v="West"/>
    <s v="Mobile"/>
    <s v="Paid Search"/>
    <s v="Basic"/>
    <n v="1"/>
    <n v="0"/>
    <n v="0"/>
    <n v="0"/>
    <n v="0"/>
    <n v="0"/>
    <n v="0"/>
    <m/>
    <n v="52.6"/>
  </r>
  <r>
    <x v="193"/>
    <d v="2025-05-19T00:00:00"/>
    <s v="Control"/>
    <s v="North"/>
    <s v="Mobile"/>
    <s v="Paid Search"/>
    <s v="Free"/>
    <n v="1"/>
    <n v="0"/>
    <n v="0"/>
    <n v="0"/>
    <n v="0"/>
    <n v="0"/>
    <n v="0"/>
    <m/>
    <n v="46.1"/>
  </r>
  <r>
    <x v="194"/>
    <d v="2025-05-16T00:00:00"/>
    <s v="Control"/>
    <s v="South"/>
    <s v="Desktop"/>
    <s v="Organic"/>
    <s v="Basic"/>
    <n v="1"/>
    <n v="0"/>
    <n v="0"/>
    <n v="0"/>
    <n v="0"/>
    <n v="0"/>
    <n v="0"/>
    <m/>
    <n v="54.7"/>
  </r>
  <r>
    <x v="195"/>
    <d v="2025-04-25T00:00:00"/>
    <s v="Control"/>
    <s v="West"/>
    <s v="Desktop"/>
    <s v="Referral"/>
    <s v="Basic"/>
    <n v="0"/>
    <n v="0"/>
    <n v="0"/>
    <n v="0"/>
    <n v="0"/>
    <n v="0"/>
    <n v="0"/>
    <m/>
    <n v="74.2"/>
  </r>
  <r>
    <x v="196"/>
    <d v="2025-02-27T00:00:00"/>
    <s v="Control"/>
    <s v="North"/>
    <s v="Mobile"/>
    <s v="Social"/>
    <s v="Basic"/>
    <n v="1"/>
    <n v="1"/>
    <n v="1"/>
    <n v="1"/>
    <n v="1052.8"/>
    <n v="2"/>
    <n v="0"/>
    <n v="6"/>
    <n v="64.7"/>
  </r>
  <r>
    <x v="197"/>
    <d v="2025-04-26T00:00:00"/>
    <s v="Control"/>
    <s v="South"/>
    <s v="Mobile"/>
    <s v="Paid Search"/>
    <s v="Basic"/>
    <n v="0"/>
    <n v="0"/>
    <n v="0"/>
    <n v="0"/>
    <n v="0"/>
    <n v="0"/>
    <n v="0"/>
    <m/>
    <n v="65.900000000000006"/>
  </r>
  <r>
    <x v="198"/>
    <d v="2025-05-14T00:00:00"/>
    <s v="Control"/>
    <s v="North"/>
    <s v="Mobile"/>
    <s v="Organic"/>
    <s v="Basic"/>
    <n v="1"/>
    <n v="0"/>
    <n v="0"/>
    <n v="0"/>
    <n v="0"/>
    <n v="0"/>
    <n v="0"/>
    <m/>
    <n v="64"/>
  </r>
  <r>
    <x v="199"/>
    <d v="2025-03-05T00:00:00"/>
    <s v="Control"/>
    <s v="North"/>
    <s v="Mobile"/>
    <s v="Organic"/>
    <s v="Premium"/>
    <n v="1"/>
    <n v="0"/>
    <n v="0"/>
    <n v="0"/>
    <n v="0"/>
    <n v="0"/>
    <n v="0"/>
    <m/>
    <n v="57.2"/>
  </r>
  <r>
    <x v="200"/>
    <d v="2025-04-02T00:00:00"/>
    <s v="Control"/>
    <s v="West"/>
    <s v="Desktop"/>
    <s v="Organic"/>
    <s v="Free"/>
    <n v="1"/>
    <n v="0"/>
    <n v="0"/>
    <n v="0"/>
    <n v="0"/>
    <n v="0"/>
    <n v="0"/>
    <m/>
    <n v="80.5"/>
  </r>
  <r>
    <x v="201"/>
    <d v="2025-05-14T00:00:00"/>
    <s v="Control"/>
    <s v="South"/>
    <s v="Tablet"/>
    <s v="Organic"/>
    <s v="Free"/>
    <n v="0"/>
    <n v="0"/>
    <n v="0"/>
    <n v="0"/>
    <n v="0"/>
    <n v="0"/>
    <n v="0"/>
    <m/>
    <n v="53.9"/>
  </r>
  <r>
    <x v="202"/>
    <d v="2025-05-21T00:00:00"/>
    <s v="Control"/>
    <s v="North"/>
    <s v="Mobile"/>
    <s v="Paid Search"/>
    <s v="Free"/>
    <n v="1"/>
    <n v="1"/>
    <n v="0"/>
    <n v="0"/>
    <n v="0"/>
    <n v="0"/>
    <n v="0"/>
    <m/>
    <n v="77.5"/>
  </r>
  <r>
    <x v="203"/>
    <d v="2025-01-27T00:00:00"/>
    <s v="Control"/>
    <s v="East"/>
    <s v="Mobile"/>
    <s v="Social"/>
    <s v="Basic"/>
    <n v="0"/>
    <n v="0"/>
    <n v="0"/>
    <n v="0"/>
    <n v="0"/>
    <n v="0"/>
    <n v="0"/>
    <m/>
    <n v="84.2"/>
  </r>
  <r>
    <x v="204"/>
    <d v="2025-05-22T00:00:00"/>
    <s v="Control"/>
    <s v="West"/>
    <s v="Desktop"/>
    <s v="Organic"/>
    <s v="Free"/>
    <n v="1"/>
    <n v="1"/>
    <n v="0"/>
    <n v="0"/>
    <n v="0"/>
    <n v="0"/>
    <n v="0"/>
    <m/>
    <n v="54.9"/>
  </r>
  <r>
    <x v="205"/>
    <d v="2025-05-19T00:00:00"/>
    <s v="Control"/>
    <s v="South"/>
    <s v="Mobile"/>
    <s v="Paid Search"/>
    <s v="Free"/>
    <n v="0"/>
    <n v="0"/>
    <n v="0"/>
    <n v="0"/>
    <n v="0"/>
    <n v="0"/>
    <n v="0"/>
    <m/>
    <n v="69.3"/>
  </r>
  <r>
    <x v="206"/>
    <d v="2025-01-14T00:00:00"/>
    <s v="Control"/>
    <s v="South"/>
    <s v="Desktop"/>
    <s v="Paid Search"/>
    <s v="Free"/>
    <n v="1"/>
    <n v="0"/>
    <n v="0"/>
    <n v="0"/>
    <n v="0"/>
    <n v="2"/>
    <n v="0"/>
    <m/>
    <n v="42.3"/>
  </r>
  <r>
    <x v="207"/>
    <d v="2025-01-21T00:00:00"/>
    <s v="Control"/>
    <s v="North"/>
    <s v="Desktop"/>
    <s v="Referral"/>
    <s v="Premium"/>
    <n v="1"/>
    <n v="0"/>
    <n v="0"/>
    <n v="0"/>
    <n v="0"/>
    <n v="1"/>
    <n v="0"/>
    <m/>
    <n v="69.599999999999994"/>
  </r>
  <r>
    <x v="208"/>
    <d v="2025-05-16T00:00:00"/>
    <s v="Control"/>
    <s v="East"/>
    <s v="Mobile"/>
    <s v="Organic"/>
    <s v="Free"/>
    <n v="0"/>
    <n v="0"/>
    <n v="0"/>
    <n v="0"/>
    <n v="0"/>
    <n v="0"/>
    <n v="0"/>
    <m/>
    <n v="40.700000000000003"/>
  </r>
  <r>
    <x v="209"/>
    <d v="2025-02-02T00:00:00"/>
    <s v="Control"/>
    <s v="North"/>
    <s v="Mobile"/>
    <s v="Email"/>
    <s v="Free"/>
    <n v="1"/>
    <n v="0"/>
    <n v="0"/>
    <n v="0"/>
    <n v="0"/>
    <n v="0"/>
    <n v="0"/>
    <m/>
    <n v="54"/>
  </r>
  <r>
    <x v="210"/>
    <d v="2025-03-23T00:00:00"/>
    <s v="Control"/>
    <s v="East"/>
    <m/>
    <s v="Referral"/>
    <s v="Free"/>
    <n v="1"/>
    <n v="1"/>
    <n v="1"/>
    <n v="1"/>
    <n v="553.37"/>
    <n v="0"/>
    <n v="0"/>
    <n v="5"/>
    <n v="46.3"/>
  </r>
  <r>
    <x v="211"/>
    <d v="2025-01-24T00:00:00"/>
    <s v="Control"/>
    <s v="East"/>
    <s v="Mobile"/>
    <s v="Organic"/>
    <s v="Free"/>
    <n v="1"/>
    <n v="0"/>
    <n v="0"/>
    <n v="0"/>
    <n v="0"/>
    <n v="0"/>
    <n v="0"/>
    <m/>
    <n v="64.2"/>
  </r>
  <r>
    <x v="212"/>
    <d v="2025-04-12T00:00:00"/>
    <s v="Control"/>
    <s v="North"/>
    <s v="Desktop"/>
    <s v="Organic"/>
    <s v="Free"/>
    <n v="1"/>
    <n v="0"/>
    <n v="0"/>
    <n v="0"/>
    <n v="0"/>
    <n v="0"/>
    <n v="0"/>
    <m/>
    <n v="75.2"/>
  </r>
  <r>
    <x v="213"/>
    <d v="2025-02-18T00:00:00"/>
    <s v="Control"/>
    <s v="East"/>
    <s v="Desktop"/>
    <s v="Paid Search"/>
    <s v="Free"/>
    <n v="1"/>
    <n v="1"/>
    <n v="0"/>
    <n v="0"/>
    <n v="0"/>
    <n v="0"/>
    <n v="0"/>
    <m/>
    <n v="60.9"/>
  </r>
  <r>
    <x v="214"/>
    <d v="2025-05-28T00:00:00"/>
    <s v="Control"/>
    <s v="South"/>
    <s v="Mobile"/>
    <s v="Email"/>
    <s v="Basic"/>
    <n v="1"/>
    <n v="1"/>
    <n v="1"/>
    <n v="0"/>
    <n v="0"/>
    <n v="0"/>
    <n v="0"/>
    <m/>
    <n v="62.1"/>
  </r>
  <r>
    <x v="215"/>
    <d v="2025-04-18T00:00:00"/>
    <s v="Control"/>
    <s v="South"/>
    <s v="Mobile"/>
    <s v="Social"/>
    <s v="Basic"/>
    <n v="0"/>
    <n v="0"/>
    <n v="0"/>
    <n v="0"/>
    <n v="0"/>
    <n v="0"/>
    <n v="0"/>
    <m/>
    <n v="45.4"/>
  </r>
  <r>
    <x v="216"/>
    <d v="2025-03-27T00:00:00"/>
    <s v="Control"/>
    <s v="North"/>
    <s v="Mobile"/>
    <s v="Paid Search"/>
    <s v="Basic"/>
    <n v="1"/>
    <n v="0"/>
    <n v="0"/>
    <n v="0"/>
    <n v="0"/>
    <n v="0"/>
    <n v="0"/>
    <m/>
    <n v="53.3"/>
  </r>
  <r>
    <x v="217"/>
    <d v="2025-02-25T00:00:00"/>
    <s v="Control"/>
    <s v="North"/>
    <s v="Tablet"/>
    <s v="Social"/>
    <s v="Free"/>
    <n v="1"/>
    <n v="0"/>
    <n v="0"/>
    <n v="0"/>
    <n v="0"/>
    <n v="0"/>
    <n v="0"/>
    <m/>
    <m/>
  </r>
  <r>
    <x v="218"/>
    <d v="2025-02-19T00:00:00"/>
    <s v="Control"/>
    <s v="East"/>
    <s v="Mobile"/>
    <s v="Paid Search"/>
    <s v="Free"/>
    <n v="0"/>
    <n v="0"/>
    <n v="0"/>
    <n v="0"/>
    <n v="0"/>
    <n v="1"/>
    <n v="0"/>
    <m/>
    <n v="38.200000000000003"/>
  </r>
  <r>
    <x v="219"/>
    <d v="2025-04-11T00:00:00"/>
    <s v="Control"/>
    <s v="West"/>
    <s v="Mobile"/>
    <s v="Paid Search"/>
    <s v="Free"/>
    <n v="1"/>
    <n v="1"/>
    <n v="0"/>
    <n v="0"/>
    <n v="0"/>
    <n v="3"/>
    <n v="0"/>
    <m/>
    <n v="59"/>
  </r>
  <r>
    <x v="220"/>
    <d v="2025-01-22T00:00:00"/>
    <s v="Control"/>
    <s v="East"/>
    <s v="Tablet"/>
    <s v="Referral"/>
    <s v="Premium"/>
    <n v="1"/>
    <n v="1"/>
    <n v="1"/>
    <n v="0"/>
    <n v="0"/>
    <n v="0"/>
    <n v="0"/>
    <m/>
    <n v="80.599999999999994"/>
  </r>
  <r>
    <x v="221"/>
    <d v="2025-01-12T00:00:00"/>
    <s v="Control"/>
    <s v="South"/>
    <s v="Mobile"/>
    <s v="Social"/>
    <s v="Free"/>
    <n v="1"/>
    <n v="0"/>
    <n v="0"/>
    <n v="0"/>
    <n v="0"/>
    <n v="0"/>
    <n v="0"/>
    <m/>
    <n v="67"/>
  </r>
  <r>
    <x v="222"/>
    <d v="2025-02-17T00:00:00"/>
    <s v="Control"/>
    <s v="West"/>
    <s v="Mobile"/>
    <s v="Email"/>
    <s v="Free"/>
    <n v="1"/>
    <n v="0"/>
    <n v="0"/>
    <n v="0"/>
    <n v="0"/>
    <n v="1"/>
    <n v="0"/>
    <m/>
    <n v="72.099999999999994"/>
  </r>
  <r>
    <x v="223"/>
    <d v="2025-04-11T00:00:00"/>
    <s v="Control"/>
    <s v="West"/>
    <s v="Desktop"/>
    <s v="Organic"/>
    <s v="Free"/>
    <n v="0"/>
    <n v="0"/>
    <n v="0"/>
    <n v="0"/>
    <n v="0"/>
    <n v="0"/>
    <n v="0"/>
    <m/>
    <n v="74.099999999999994"/>
  </r>
  <r>
    <x v="224"/>
    <d v="2025-05-25T00:00:00"/>
    <s v="Control"/>
    <s v="South"/>
    <s v="Mobile"/>
    <s v="Referral"/>
    <s v="Premium"/>
    <n v="0"/>
    <n v="0"/>
    <n v="0"/>
    <n v="0"/>
    <n v="0"/>
    <n v="0"/>
    <n v="0"/>
    <m/>
    <n v="84.8"/>
  </r>
  <r>
    <x v="225"/>
    <d v="2025-03-12T00:00:00"/>
    <s v="Control"/>
    <s v="South"/>
    <s v="Mobile"/>
    <s v="Organic"/>
    <s v="Basic"/>
    <n v="1"/>
    <n v="0"/>
    <n v="0"/>
    <n v="0"/>
    <n v="0"/>
    <n v="0"/>
    <n v="0"/>
    <m/>
    <n v="33"/>
  </r>
  <r>
    <x v="226"/>
    <d v="2025-04-20T00:00:00"/>
    <s v="Control"/>
    <s v="North"/>
    <s v="Tablet"/>
    <s v="Email"/>
    <s v="Free"/>
    <n v="0"/>
    <n v="0"/>
    <n v="0"/>
    <n v="0"/>
    <n v="0"/>
    <n v="0"/>
    <n v="0"/>
    <m/>
    <n v="52.5"/>
  </r>
  <r>
    <x v="227"/>
    <d v="2025-02-23T00:00:00"/>
    <s v="Control"/>
    <s v="North"/>
    <s v="Tablet"/>
    <s v="Organic"/>
    <s v="Free"/>
    <n v="0"/>
    <n v="0"/>
    <n v="0"/>
    <n v="0"/>
    <n v="0"/>
    <n v="0"/>
    <n v="0"/>
    <m/>
    <n v="66.900000000000006"/>
  </r>
  <r>
    <x v="228"/>
    <d v="2025-01-24T00:00:00"/>
    <s v="Control"/>
    <s v="North"/>
    <s v="Mobile"/>
    <s v="Organic"/>
    <s v="Basic"/>
    <n v="1"/>
    <n v="1"/>
    <n v="1"/>
    <n v="0"/>
    <n v="0"/>
    <n v="1"/>
    <n v="0"/>
    <m/>
    <n v="32.700000000000003"/>
  </r>
  <r>
    <x v="229"/>
    <d v="2025-01-16T00:00:00"/>
    <s v="Control"/>
    <s v="West"/>
    <s v="Mobile"/>
    <s v="Organic"/>
    <s v="Premium"/>
    <n v="1"/>
    <n v="1"/>
    <n v="1"/>
    <n v="0"/>
    <n v="0"/>
    <n v="1"/>
    <n v="0"/>
    <m/>
    <n v="70.599999999999994"/>
  </r>
  <r>
    <x v="230"/>
    <d v="2025-02-17T00:00:00"/>
    <s v="Control"/>
    <s v="North"/>
    <s v="Mobile"/>
    <s v="Social"/>
    <s v="Free"/>
    <n v="0"/>
    <n v="0"/>
    <n v="0"/>
    <n v="0"/>
    <n v="0"/>
    <n v="0"/>
    <n v="0"/>
    <m/>
    <n v="69.400000000000006"/>
  </r>
  <r>
    <x v="231"/>
    <d v="2025-05-04T00:00:00"/>
    <s v="Control"/>
    <s v="North"/>
    <s v="Desktop"/>
    <s v="Organic"/>
    <s v="Basic"/>
    <n v="1"/>
    <n v="0"/>
    <n v="0"/>
    <n v="0"/>
    <n v="0"/>
    <n v="0"/>
    <n v="0"/>
    <m/>
    <n v="56.1"/>
  </r>
  <r>
    <x v="232"/>
    <d v="2025-01-12T00:00:00"/>
    <s v="Control"/>
    <s v="West"/>
    <s v="Mobile"/>
    <s v="Organic"/>
    <s v="Basic"/>
    <n v="0"/>
    <n v="0"/>
    <n v="0"/>
    <n v="0"/>
    <n v="0"/>
    <n v="0"/>
    <n v="0"/>
    <m/>
    <n v="55.8"/>
  </r>
  <r>
    <x v="233"/>
    <d v="2025-04-28T00:00:00"/>
    <s v="Control"/>
    <s v="North"/>
    <s v="Tablet"/>
    <s v="Organic"/>
    <s v="Free"/>
    <n v="0"/>
    <n v="0"/>
    <n v="0"/>
    <n v="0"/>
    <n v="0"/>
    <n v="0"/>
    <n v="0"/>
    <m/>
    <n v="49.3"/>
  </r>
  <r>
    <x v="234"/>
    <d v="2025-02-26T00:00:00"/>
    <s v="Control"/>
    <s v="North"/>
    <s v="Mobile"/>
    <s v="Organic"/>
    <s v="Free"/>
    <n v="0"/>
    <n v="0"/>
    <n v="0"/>
    <n v="0"/>
    <n v="0"/>
    <n v="0"/>
    <n v="0"/>
    <m/>
    <n v="71.8"/>
  </r>
  <r>
    <x v="235"/>
    <d v="2025-03-18T00:00:00"/>
    <s v="Control"/>
    <s v="West"/>
    <s v="Mobile"/>
    <s v="Social"/>
    <s v="Free"/>
    <n v="1"/>
    <n v="0"/>
    <n v="0"/>
    <n v="0"/>
    <n v="0"/>
    <n v="3"/>
    <n v="0"/>
    <m/>
    <n v="39.700000000000003"/>
  </r>
  <r>
    <x v="236"/>
    <d v="2025-03-01T00:00:00"/>
    <s v="Control"/>
    <s v="South"/>
    <s v="Desktop"/>
    <s v="Organic"/>
    <s v="Premium"/>
    <n v="1"/>
    <n v="0"/>
    <n v="0"/>
    <n v="0"/>
    <n v="0"/>
    <n v="0"/>
    <n v="0"/>
    <m/>
    <n v="45.4"/>
  </r>
  <r>
    <x v="237"/>
    <d v="2025-04-05T00:00:00"/>
    <s v="Control"/>
    <s v="North"/>
    <s v="Desktop"/>
    <s v="Social"/>
    <s v="Premium"/>
    <n v="1"/>
    <n v="0"/>
    <n v="0"/>
    <n v="0"/>
    <n v="0"/>
    <n v="0"/>
    <n v="0"/>
    <m/>
    <n v="69.900000000000006"/>
  </r>
  <r>
    <x v="238"/>
    <d v="2025-03-12T00:00:00"/>
    <s v="Control"/>
    <s v="North"/>
    <s v="Desktop"/>
    <s v="Social"/>
    <s v="Free"/>
    <n v="1"/>
    <n v="1"/>
    <n v="1"/>
    <n v="0"/>
    <n v="0"/>
    <n v="0"/>
    <n v="0"/>
    <m/>
    <n v="56.1"/>
  </r>
  <r>
    <x v="239"/>
    <d v="2025-03-15T00:00:00"/>
    <s v="Control"/>
    <s v="West"/>
    <s v="Mobile"/>
    <s v="Referral"/>
    <s v="Basic"/>
    <n v="1"/>
    <n v="1"/>
    <n v="0"/>
    <n v="0"/>
    <n v="0"/>
    <n v="0"/>
    <n v="0"/>
    <m/>
    <n v="45.9"/>
  </r>
  <r>
    <x v="240"/>
    <d v="2025-02-23T00:00:00"/>
    <s v="Control"/>
    <s v="West"/>
    <s v="Mobile"/>
    <s v="Email"/>
    <s v="Free"/>
    <n v="0"/>
    <n v="0"/>
    <n v="0"/>
    <n v="0"/>
    <n v="0"/>
    <n v="0"/>
    <n v="0"/>
    <m/>
    <n v="65.8"/>
  </r>
  <r>
    <x v="241"/>
    <d v="2025-04-22T00:00:00"/>
    <s v="Control"/>
    <s v="North"/>
    <s v="Mobile"/>
    <s v="Organic"/>
    <s v="Basic"/>
    <n v="1"/>
    <n v="0"/>
    <n v="0"/>
    <n v="0"/>
    <n v="0"/>
    <n v="0"/>
    <n v="0"/>
    <m/>
    <n v="48.2"/>
  </r>
  <r>
    <x v="242"/>
    <d v="2025-01-09T00:00:00"/>
    <s v="Control"/>
    <s v="East"/>
    <s v="Mobile"/>
    <s v="Organic"/>
    <s v="Basic"/>
    <n v="1"/>
    <n v="1"/>
    <n v="1"/>
    <n v="0"/>
    <n v="0"/>
    <n v="0"/>
    <n v="0"/>
    <m/>
    <n v="81.099999999999994"/>
  </r>
  <r>
    <x v="243"/>
    <d v="2025-03-05T00:00:00"/>
    <s v="Control"/>
    <s v="East"/>
    <s v="Tablet"/>
    <s v="Social"/>
    <s v="Premium"/>
    <n v="1"/>
    <n v="1"/>
    <n v="0"/>
    <n v="0"/>
    <n v="0"/>
    <n v="0"/>
    <n v="0"/>
    <m/>
    <n v="53.2"/>
  </r>
  <r>
    <x v="244"/>
    <d v="2025-01-28T00:00:00"/>
    <s v="Control"/>
    <s v="North"/>
    <s v="Mobile"/>
    <s v="Social"/>
    <s v="Free"/>
    <n v="1"/>
    <n v="1"/>
    <n v="1"/>
    <n v="0"/>
    <n v="0"/>
    <n v="0"/>
    <n v="0"/>
    <m/>
    <n v="57.7"/>
  </r>
  <r>
    <x v="245"/>
    <d v="2025-01-21T00:00:00"/>
    <s v="Control"/>
    <s v="West"/>
    <s v="Mobile"/>
    <s v="Paid Search"/>
    <s v="Premium"/>
    <n v="1"/>
    <n v="1"/>
    <n v="0"/>
    <n v="0"/>
    <n v="0"/>
    <n v="0"/>
    <n v="0"/>
    <m/>
    <n v="78.900000000000006"/>
  </r>
  <r>
    <x v="246"/>
    <d v="2025-03-14T00:00:00"/>
    <s v="Control"/>
    <s v="South"/>
    <s v="Mobile"/>
    <s v="Referral"/>
    <s v="Basic"/>
    <n v="0"/>
    <n v="0"/>
    <n v="0"/>
    <n v="0"/>
    <n v="0"/>
    <n v="0"/>
    <n v="0"/>
    <m/>
    <n v="55.7"/>
  </r>
  <r>
    <x v="247"/>
    <d v="2025-02-03T00:00:00"/>
    <s v="Control"/>
    <s v="West"/>
    <s v="Mobile"/>
    <s v="Paid Search"/>
    <s v="Free"/>
    <n v="0"/>
    <n v="0"/>
    <n v="0"/>
    <n v="0"/>
    <n v="0"/>
    <n v="0"/>
    <n v="0"/>
    <m/>
    <n v="52.3"/>
  </r>
  <r>
    <x v="248"/>
    <d v="2025-05-22T00:00:00"/>
    <s v="Control"/>
    <s v="North"/>
    <s v="Mobile"/>
    <s v="Social"/>
    <s v="Free"/>
    <n v="1"/>
    <n v="0"/>
    <n v="0"/>
    <n v="0"/>
    <n v="0"/>
    <n v="0"/>
    <n v="0"/>
    <m/>
    <n v="51.5"/>
  </r>
  <r>
    <x v="249"/>
    <d v="2025-04-25T00:00:00"/>
    <s v="Control"/>
    <s v="North"/>
    <s v="Desktop"/>
    <s v="Email"/>
    <s v="Free"/>
    <n v="1"/>
    <n v="0"/>
    <n v="0"/>
    <n v="0"/>
    <n v="0"/>
    <n v="0"/>
    <n v="0"/>
    <m/>
    <n v="70.8"/>
  </r>
  <r>
    <x v="250"/>
    <d v="2025-01-30T00:00:00"/>
    <s v="Control"/>
    <s v="North"/>
    <s v="Desktop"/>
    <s v="Email"/>
    <s v="Basic"/>
    <n v="1"/>
    <n v="1"/>
    <n v="1"/>
    <n v="1"/>
    <n v="1250.78"/>
    <n v="0"/>
    <n v="0"/>
    <n v="10"/>
    <n v="39"/>
  </r>
  <r>
    <x v="251"/>
    <d v="2025-05-23T00:00:00"/>
    <s v="Control"/>
    <s v="West"/>
    <s v="Mobile"/>
    <s v="Organic"/>
    <s v="Free"/>
    <n v="1"/>
    <n v="0"/>
    <n v="0"/>
    <n v="0"/>
    <n v="0"/>
    <n v="0"/>
    <n v="0"/>
    <m/>
    <n v="61.6"/>
  </r>
  <r>
    <x v="252"/>
    <d v="2025-02-14T00:00:00"/>
    <s v="Control"/>
    <s v="East"/>
    <s v="Desktop"/>
    <s v="Organic"/>
    <s v="Free"/>
    <n v="1"/>
    <n v="1"/>
    <n v="1"/>
    <n v="0"/>
    <n v="0"/>
    <n v="0"/>
    <n v="0"/>
    <m/>
    <n v="46.8"/>
  </r>
  <r>
    <x v="253"/>
    <d v="2025-03-05T00:00:00"/>
    <s v="Control"/>
    <s v="North"/>
    <s v="Mobile"/>
    <s v="Paid Search"/>
    <s v="Premium"/>
    <n v="0"/>
    <n v="0"/>
    <n v="0"/>
    <n v="0"/>
    <n v="0"/>
    <n v="1"/>
    <n v="0"/>
    <m/>
    <n v="58.5"/>
  </r>
  <r>
    <x v="254"/>
    <d v="2025-05-27T00:00:00"/>
    <s v="Control"/>
    <s v="North"/>
    <s v="Mobile"/>
    <s v="Paid Search"/>
    <s v="Basic"/>
    <n v="0"/>
    <n v="0"/>
    <n v="0"/>
    <n v="0"/>
    <n v="0"/>
    <n v="0"/>
    <n v="0"/>
    <m/>
    <n v="70.900000000000006"/>
  </r>
  <r>
    <x v="255"/>
    <d v="2025-01-07T00:00:00"/>
    <s v="Control"/>
    <s v="South"/>
    <s v="Mobile"/>
    <s v="Paid Search"/>
    <s v="Free"/>
    <n v="1"/>
    <n v="0"/>
    <n v="0"/>
    <n v="0"/>
    <n v="0"/>
    <n v="0"/>
    <n v="0"/>
    <m/>
    <n v="48.4"/>
  </r>
  <r>
    <x v="256"/>
    <d v="2025-04-21T00:00:00"/>
    <s v="Control"/>
    <s v="North"/>
    <s v="Mobile"/>
    <s v="Email"/>
    <s v="Free"/>
    <n v="1"/>
    <n v="0"/>
    <n v="0"/>
    <n v="0"/>
    <n v="0"/>
    <n v="0"/>
    <n v="0"/>
    <m/>
    <n v="58"/>
  </r>
  <r>
    <x v="257"/>
    <d v="2025-05-13T00:00:00"/>
    <s v="Control"/>
    <s v="North"/>
    <s v="Mobile"/>
    <s v="Paid Search"/>
    <s v="Free"/>
    <n v="0"/>
    <n v="0"/>
    <n v="0"/>
    <n v="0"/>
    <n v="0"/>
    <n v="0"/>
    <n v="0"/>
    <m/>
    <n v="61.6"/>
  </r>
  <r>
    <x v="258"/>
    <d v="2025-01-28T00:00:00"/>
    <s v="Control"/>
    <s v="East"/>
    <s v="Desktop"/>
    <s v="Organic"/>
    <s v="Free"/>
    <n v="1"/>
    <n v="0"/>
    <n v="0"/>
    <n v="0"/>
    <n v="0"/>
    <n v="0"/>
    <n v="0"/>
    <m/>
    <n v="43.2"/>
  </r>
  <r>
    <x v="259"/>
    <d v="2025-03-16T00:00:00"/>
    <s v="Control"/>
    <s v="East"/>
    <s v="Desktop"/>
    <s v="Paid Search"/>
    <s v="Basic"/>
    <n v="1"/>
    <n v="0"/>
    <n v="0"/>
    <n v="0"/>
    <n v="0"/>
    <n v="1"/>
    <n v="0"/>
    <m/>
    <n v="53.3"/>
  </r>
  <r>
    <x v="260"/>
    <d v="2025-04-10T00:00:00"/>
    <s v="Control"/>
    <s v="East"/>
    <s v="Desktop"/>
    <s v="Social"/>
    <s v="Basic"/>
    <n v="0"/>
    <n v="0"/>
    <n v="0"/>
    <n v="0"/>
    <n v="0"/>
    <n v="0"/>
    <n v="0"/>
    <m/>
    <n v="33.9"/>
  </r>
  <r>
    <x v="261"/>
    <d v="2025-03-15T00:00:00"/>
    <s v="Control"/>
    <s v="East"/>
    <s v="Desktop"/>
    <s v="Referral"/>
    <s v="Free"/>
    <n v="1"/>
    <n v="1"/>
    <n v="1"/>
    <n v="0"/>
    <n v="0"/>
    <n v="0"/>
    <n v="0"/>
    <m/>
    <n v="35.4"/>
  </r>
  <r>
    <x v="262"/>
    <d v="2025-04-07T00:00:00"/>
    <s v="Control"/>
    <s v="West"/>
    <s v="Desktop"/>
    <s v="Organic"/>
    <s v="Basic"/>
    <n v="1"/>
    <n v="0"/>
    <n v="0"/>
    <n v="0"/>
    <n v="0"/>
    <n v="0"/>
    <n v="0"/>
    <m/>
    <n v="45"/>
  </r>
  <r>
    <x v="263"/>
    <d v="2025-02-12T00:00:00"/>
    <s v="Control"/>
    <s v="South"/>
    <s v="Mobile"/>
    <s v="Organic"/>
    <s v="Free"/>
    <n v="1"/>
    <n v="1"/>
    <n v="0"/>
    <n v="0"/>
    <n v="0"/>
    <n v="0"/>
    <n v="0"/>
    <m/>
    <n v="86.5"/>
  </r>
  <r>
    <x v="264"/>
    <d v="2025-05-05T00:00:00"/>
    <s v="Control"/>
    <s v="West"/>
    <s v="Mobile"/>
    <s v="Social"/>
    <s v="Free"/>
    <n v="0"/>
    <n v="0"/>
    <n v="0"/>
    <n v="0"/>
    <n v="0"/>
    <n v="0"/>
    <n v="0"/>
    <m/>
    <n v="58.1"/>
  </r>
  <r>
    <x v="265"/>
    <d v="2025-03-11T00:00:00"/>
    <s v="Control"/>
    <s v="West"/>
    <s v="Mobile"/>
    <s v="Referral"/>
    <s v="Free"/>
    <n v="1"/>
    <n v="0"/>
    <n v="0"/>
    <n v="0"/>
    <n v="0"/>
    <n v="0"/>
    <n v="0"/>
    <m/>
    <n v="36.1"/>
  </r>
  <r>
    <x v="266"/>
    <d v="2025-02-10T00:00:00"/>
    <s v="Control"/>
    <s v="East"/>
    <s v="Mobile"/>
    <s v="Social"/>
    <s v="Free"/>
    <n v="0"/>
    <n v="0"/>
    <n v="0"/>
    <n v="0"/>
    <n v="0"/>
    <n v="0"/>
    <n v="0"/>
    <m/>
    <n v="62.8"/>
  </r>
  <r>
    <x v="267"/>
    <d v="2025-04-06T00:00:00"/>
    <s v="Control"/>
    <s v="South"/>
    <s v="Mobile"/>
    <s v="Organic"/>
    <s v="Free"/>
    <n v="0"/>
    <n v="0"/>
    <n v="0"/>
    <n v="0"/>
    <n v="0"/>
    <n v="0"/>
    <n v="0"/>
    <m/>
    <n v="54.2"/>
  </r>
  <r>
    <x v="268"/>
    <d v="2025-01-06T00:00:00"/>
    <s v="Control"/>
    <s v="East"/>
    <s v="Mobile"/>
    <s v="Referral"/>
    <s v="Free"/>
    <n v="0"/>
    <n v="0"/>
    <n v="0"/>
    <n v="0"/>
    <n v="0"/>
    <n v="0"/>
    <n v="0"/>
    <m/>
    <n v="50"/>
  </r>
  <r>
    <x v="269"/>
    <d v="2025-03-25T00:00:00"/>
    <s v="Control"/>
    <s v="East"/>
    <s v="Tablet"/>
    <s v="Paid Search"/>
    <s v="Basic"/>
    <n v="1"/>
    <n v="0"/>
    <n v="0"/>
    <n v="0"/>
    <n v="0"/>
    <n v="0"/>
    <n v="0"/>
    <m/>
    <n v="62"/>
  </r>
  <r>
    <x v="270"/>
    <d v="2025-02-13T00:00:00"/>
    <s v="Control"/>
    <s v="East"/>
    <s v="Desktop"/>
    <s v="Referral"/>
    <s v="Free"/>
    <n v="1"/>
    <n v="0"/>
    <n v="0"/>
    <n v="0"/>
    <n v="0"/>
    <n v="0"/>
    <n v="0"/>
    <m/>
    <n v="29.3"/>
  </r>
  <r>
    <x v="271"/>
    <d v="2025-03-17T00:00:00"/>
    <s v="Control"/>
    <s v="West"/>
    <s v="Desktop"/>
    <s v="Organic"/>
    <s v="Free"/>
    <n v="1"/>
    <n v="0"/>
    <n v="0"/>
    <n v="0"/>
    <n v="0"/>
    <n v="0"/>
    <n v="0"/>
    <m/>
    <n v="67.900000000000006"/>
  </r>
  <r>
    <x v="272"/>
    <d v="2025-05-10T00:00:00"/>
    <s v="Control"/>
    <s v="North"/>
    <s v="Mobile"/>
    <s v="Referral"/>
    <s v="Free"/>
    <n v="1"/>
    <n v="1"/>
    <n v="1"/>
    <n v="0"/>
    <n v="0"/>
    <n v="0"/>
    <n v="0"/>
    <m/>
    <n v="67.599999999999994"/>
  </r>
  <r>
    <x v="273"/>
    <d v="2025-05-07T00:00:00"/>
    <s v="Control"/>
    <s v="South"/>
    <s v="Mobile"/>
    <s v="Paid Search"/>
    <s v="Basic"/>
    <n v="0"/>
    <n v="0"/>
    <n v="0"/>
    <n v="0"/>
    <n v="0"/>
    <n v="0"/>
    <n v="0"/>
    <m/>
    <n v="67.400000000000006"/>
  </r>
  <r>
    <x v="274"/>
    <d v="2025-02-26T00:00:00"/>
    <s v="Control"/>
    <s v="West"/>
    <s v="Desktop"/>
    <s v="Paid Search"/>
    <s v="Premium"/>
    <n v="0"/>
    <n v="0"/>
    <n v="0"/>
    <n v="0"/>
    <n v="0"/>
    <n v="2"/>
    <n v="0"/>
    <m/>
    <n v="53"/>
  </r>
  <r>
    <x v="275"/>
    <d v="2025-05-11T00:00:00"/>
    <s v="Control"/>
    <s v="North"/>
    <s v="Mobile"/>
    <s v="Organic"/>
    <s v="Basic"/>
    <n v="0"/>
    <n v="0"/>
    <n v="0"/>
    <n v="0"/>
    <n v="0"/>
    <n v="0"/>
    <n v="0"/>
    <m/>
    <n v="65.5"/>
  </r>
  <r>
    <x v="276"/>
    <d v="2025-03-20T00:00:00"/>
    <s v="Control"/>
    <s v="South"/>
    <s v="Mobile"/>
    <s v="Organic"/>
    <s v="Basic"/>
    <n v="1"/>
    <n v="1"/>
    <n v="0"/>
    <n v="0"/>
    <n v="0"/>
    <n v="0"/>
    <n v="0"/>
    <m/>
    <n v="49.6"/>
  </r>
  <r>
    <x v="277"/>
    <d v="2025-01-19T00:00:00"/>
    <s v="Control"/>
    <s v="North"/>
    <s v="Mobile"/>
    <s v="Email"/>
    <s v="Free"/>
    <n v="1"/>
    <n v="1"/>
    <n v="0"/>
    <n v="0"/>
    <n v="0"/>
    <n v="0"/>
    <n v="0"/>
    <m/>
    <n v="74.5"/>
  </r>
  <r>
    <x v="278"/>
    <d v="2025-03-08T00:00:00"/>
    <s v="Control"/>
    <s v="North"/>
    <s v="Tablet"/>
    <s v="Paid Search"/>
    <s v="Premium"/>
    <n v="1"/>
    <n v="0"/>
    <n v="0"/>
    <n v="0"/>
    <n v="0"/>
    <n v="1"/>
    <n v="0"/>
    <m/>
    <n v="46.9"/>
  </r>
  <r>
    <x v="279"/>
    <d v="2025-04-25T00:00:00"/>
    <s v="Control"/>
    <s v="North"/>
    <s v="Mobile"/>
    <s v="Organic"/>
    <s v="Free"/>
    <n v="0"/>
    <n v="0"/>
    <n v="0"/>
    <n v="0"/>
    <n v="0"/>
    <n v="0"/>
    <n v="0"/>
    <m/>
    <n v="87.1"/>
  </r>
  <r>
    <x v="280"/>
    <d v="2025-04-04T00:00:00"/>
    <s v="Control"/>
    <s v="North"/>
    <s v="Desktop"/>
    <s v="Organic"/>
    <s v="Free"/>
    <n v="1"/>
    <n v="0"/>
    <n v="0"/>
    <n v="0"/>
    <n v="0"/>
    <n v="0"/>
    <n v="0"/>
    <m/>
    <n v="56"/>
  </r>
  <r>
    <x v="281"/>
    <d v="2025-05-01T00:00:00"/>
    <s v="Control"/>
    <s v="East"/>
    <s v="Mobile"/>
    <s v="Paid Search"/>
    <s v="Premium"/>
    <n v="1"/>
    <n v="0"/>
    <n v="0"/>
    <n v="0"/>
    <n v="0"/>
    <n v="1"/>
    <n v="0"/>
    <m/>
    <n v="61.7"/>
  </r>
  <r>
    <x v="282"/>
    <d v="2025-01-21T00:00:00"/>
    <s v="Control"/>
    <s v="South"/>
    <s v="Mobile"/>
    <s v="Social"/>
    <s v="Free"/>
    <n v="1"/>
    <n v="0"/>
    <n v="0"/>
    <n v="0"/>
    <n v="0"/>
    <n v="1"/>
    <n v="0"/>
    <m/>
    <n v="70.5"/>
  </r>
  <r>
    <x v="283"/>
    <d v="2025-02-10T00:00:00"/>
    <s v="Control"/>
    <s v="North"/>
    <s v="Desktop"/>
    <s v="Referral"/>
    <s v="Basic"/>
    <n v="1"/>
    <n v="0"/>
    <n v="0"/>
    <n v="0"/>
    <n v="0"/>
    <n v="0"/>
    <n v="0"/>
    <m/>
    <n v="33.4"/>
  </r>
  <r>
    <x v="284"/>
    <d v="2025-05-06T00:00:00"/>
    <s v="Control"/>
    <s v="South"/>
    <s v="Desktop"/>
    <s v="Organic"/>
    <s v="Free"/>
    <n v="1"/>
    <n v="0"/>
    <n v="0"/>
    <n v="0"/>
    <n v="0"/>
    <n v="0"/>
    <n v="0"/>
    <m/>
    <n v="57.5"/>
  </r>
  <r>
    <x v="285"/>
    <d v="2025-02-08T00:00:00"/>
    <s v="Control"/>
    <s v="North"/>
    <s v="Desktop"/>
    <s v="Paid Search"/>
    <s v="Basic"/>
    <n v="1"/>
    <n v="1"/>
    <n v="0"/>
    <n v="0"/>
    <n v="0"/>
    <n v="0"/>
    <n v="0"/>
    <m/>
    <n v="85.7"/>
  </r>
  <r>
    <x v="286"/>
    <d v="2025-05-31T00:00:00"/>
    <s v="Control"/>
    <s v="East"/>
    <s v="Mobile"/>
    <s v="Social"/>
    <s v="Free"/>
    <n v="1"/>
    <n v="0"/>
    <n v="0"/>
    <n v="0"/>
    <n v="0"/>
    <n v="0"/>
    <n v="0"/>
    <m/>
    <n v="41.9"/>
  </r>
  <r>
    <x v="287"/>
    <d v="2025-02-07T00:00:00"/>
    <s v="Control"/>
    <s v="West"/>
    <s v="Mobile"/>
    <s v="Email"/>
    <s v="Basic"/>
    <n v="1"/>
    <n v="0"/>
    <n v="0"/>
    <n v="0"/>
    <n v="0"/>
    <n v="0"/>
    <n v="0"/>
    <m/>
    <n v="70.2"/>
  </r>
  <r>
    <x v="288"/>
    <d v="2025-02-10T00:00:00"/>
    <s v="Control"/>
    <s v="North"/>
    <s v="Mobile"/>
    <s v="Social"/>
    <s v="Free"/>
    <n v="1"/>
    <n v="0"/>
    <n v="0"/>
    <n v="0"/>
    <n v="0"/>
    <n v="0"/>
    <n v="0"/>
    <m/>
    <n v="42.6"/>
  </r>
  <r>
    <x v="289"/>
    <d v="2025-01-31T00:00:00"/>
    <s v="Control"/>
    <s v="West"/>
    <s v="Mobile"/>
    <s v="Social"/>
    <s v="Basic"/>
    <n v="0"/>
    <n v="0"/>
    <n v="0"/>
    <n v="0"/>
    <n v="0"/>
    <n v="2"/>
    <n v="0"/>
    <m/>
    <n v="30.4"/>
  </r>
  <r>
    <x v="290"/>
    <d v="2025-03-16T00:00:00"/>
    <s v="Control"/>
    <s v="East"/>
    <s v="Mobile"/>
    <s v="Paid Search"/>
    <s v="Basic"/>
    <n v="1"/>
    <n v="0"/>
    <n v="0"/>
    <n v="0"/>
    <n v="0"/>
    <n v="0"/>
    <n v="0"/>
    <m/>
    <n v="63.7"/>
  </r>
  <r>
    <x v="291"/>
    <d v="2025-04-24T00:00:00"/>
    <s v="Control"/>
    <s v="South"/>
    <s v="Mobile"/>
    <s v="Social"/>
    <s v="Basic"/>
    <n v="0"/>
    <n v="0"/>
    <n v="0"/>
    <n v="0"/>
    <n v="0"/>
    <n v="0"/>
    <n v="0"/>
    <m/>
    <n v="42.7"/>
  </r>
  <r>
    <x v="292"/>
    <d v="2025-01-28T00:00:00"/>
    <s v="Control"/>
    <s v="North"/>
    <s v="Mobile"/>
    <s v="Organic"/>
    <s v="Free"/>
    <n v="0"/>
    <n v="0"/>
    <n v="0"/>
    <n v="0"/>
    <n v="0"/>
    <n v="0"/>
    <n v="0"/>
    <m/>
    <n v="74.3"/>
  </r>
  <r>
    <x v="293"/>
    <d v="2025-02-16T00:00:00"/>
    <s v="Control"/>
    <s v="West"/>
    <s v="Desktop"/>
    <s v="Email"/>
    <s v="Free"/>
    <n v="1"/>
    <n v="0"/>
    <n v="0"/>
    <n v="0"/>
    <n v="0"/>
    <n v="0"/>
    <n v="0"/>
    <m/>
    <n v="40.6"/>
  </r>
  <r>
    <x v="294"/>
    <d v="2025-03-23T00:00:00"/>
    <s v="Control"/>
    <s v="East"/>
    <s v="Mobile"/>
    <s v="Organic"/>
    <s v="Premium"/>
    <n v="0"/>
    <n v="0"/>
    <n v="0"/>
    <n v="0"/>
    <n v="0"/>
    <n v="0"/>
    <n v="0"/>
    <m/>
    <n v="67"/>
  </r>
  <r>
    <x v="295"/>
    <d v="2025-05-31T00:00:00"/>
    <s v="Control"/>
    <s v="East"/>
    <s v="Mobile"/>
    <s v="Paid Search"/>
    <s v="Premium"/>
    <n v="0"/>
    <n v="0"/>
    <n v="0"/>
    <n v="0"/>
    <n v="0"/>
    <n v="0"/>
    <n v="0"/>
    <m/>
    <n v="51"/>
  </r>
  <r>
    <x v="296"/>
    <d v="2025-04-13T00:00:00"/>
    <s v="Control"/>
    <s v="West"/>
    <s v="Mobile"/>
    <s v="Social"/>
    <s v="Basic"/>
    <n v="1"/>
    <n v="1"/>
    <n v="0"/>
    <n v="0"/>
    <n v="0"/>
    <n v="1"/>
    <n v="0"/>
    <m/>
    <n v="54.8"/>
  </r>
  <r>
    <x v="297"/>
    <d v="2025-05-14T00:00:00"/>
    <s v="Control"/>
    <s v="North"/>
    <s v="Tablet"/>
    <s v="Email"/>
    <s v="Basic"/>
    <n v="0"/>
    <n v="0"/>
    <n v="0"/>
    <n v="0"/>
    <n v="0"/>
    <n v="0"/>
    <n v="0"/>
    <m/>
    <n v="40.799999999999997"/>
  </r>
  <r>
    <x v="298"/>
    <d v="2025-02-19T00:00:00"/>
    <s v="Control"/>
    <s v="East"/>
    <s v="Mobile"/>
    <s v="Paid Search"/>
    <s v="Free"/>
    <n v="0"/>
    <n v="0"/>
    <n v="0"/>
    <n v="0"/>
    <n v="0"/>
    <n v="0"/>
    <n v="0"/>
    <m/>
    <n v="48.8"/>
  </r>
  <r>
    <x v="299"/>
    <d v="2025-01-24T00:00:00"/>
    <s v="Control"/>
    <s v="South"/>
    <s v="Mobile"/>
    <m/>
    <s v="Basic"/>
    <n v="1"/>
    <n v="1"/>
    <n v="1"/>
    <n v="1"/>
    <n v="1198.69"/>
    <n v="1"/>
    <n v="0"/>
    <n v="6"/>
    <n v="88.9"/>
  </r>
  <r>
    <x v="300"/>
    <d v="2025-05-09T00:00:00"/>
    <s v="Control"/>
    <s v="North"/>
    <s v="Mobile"/>
    <s v="Email"/>
    <s v="Basic"/>
    <n v="1"/>
    <n v="1"/>
    <n v="1"/>
    <n v="0"/>
    <n v="0"/>
    <n v="1"/>
    <n v="0"/>
    <m/>
    <n v="60.5"/>
  </r>
  <r>
    <x v="301"/>
    <d v="2025-02-11T00:00:00"/>
    <s v="Control"/>
    <s v="North"/>
    <s v="Mobile"/>
    <s v="Organic"/>
    <s v="Basic"/>
    <n v="1"/>
    <n v="0"/>
    <n v="0"/>
    <n v="0"/>
    <n v="0"/>
    <n v="0"/>
    <n v="0"/>
    <m/>
    <n v="63.6"/>
  </r>
  <r>
    <x v="302"/>
    <d v="2025-02-26T00:00:00"/>
    <s v="Control"/>
    <s v="North"/>
    <s v="Desktop"/>
    <s v="Organic"/>
    <s v="Basic"/>
    <n v="1"/>
    <n v="1"/>
    <n v="1"/>
    <n v="1"/>
    <n v="6788.95"/>
    <n v="0"/>
    <n v="0"/>
    <n v="17"/>
    <n v="58.4"/>
  </r>
  <r>
    <x v="303"/>
    <d v="2025-02-12T00:00:00"/>
    <s v="Control"/>
    <s v="South"/>
    <s v="Mobile"/>
    <s v="Social"/>
    <s v="Premium"/>
    <n v="0"/>
    <n v="0"/>
    <n v="0"/>
    <n v="0"/>
    <n v="0"/>
    <n v="0"/>
    <n v="0"/>
    <m/>
    <n v="52.7"/>
  </r>
  <r>
    <x v="304"/>
    <d v="2025-01-05T00:00:00"/>
    <s v="Control"/>
    <s v="South"/>
    <s v="Tablet"/>
    <s v="Social"/>
    <s v="Premium"/>
    <n v="1"/>
    <n v="1"/>
    <n v="1"/>
    <n v="0"/>
    <n v="0"/>
    <n v="2"/>
    <n v="0"/>
    <m/>
    <n v="48.9"/>
  </r>
  <r>
    <x v="305"/>
    <d v="2025-05-19T00:00:00"/>
    <s v="Control"/>
    <s v="West"/>
    <s v="Mobile"/>
    <s v="Organic"/>
    <s v="Premium"/>
    <n v="0"/>
    <n v="0"/>
    <n v="0"/>
    <n v="0"/>
    <n v="0"/>
    <n v="0"/>
    <n v="0"/>
    <m/>
    <n v="79.7"/>
  </r>
  <r>
    <x v="306"/>
    <d v="2025-02-02T00:00:00"/>
    <s v="Control"/>
    <s v="North"/>
    <s v="Mobile"/>
    <s v="Social"/>
    <s v="Free"/>
    <n v="1"/>
    <n v="0"/>
    <n v="0"/>
    <n v="0"/>
    <n v="0"/>
    <n v="0"/>
    <n v="0"/>
    <m/>
    <n v="44.9"/>
  </r>
  <r>
    <x v="307"/>
    <d v="2025-01-30T00:00:00"/>
    <s v="Control"/>
    <s v="West"/>
    <s v="Tablet"/>
    <s v="Paid Search"/>
    <s v="Free"/>
    <n v="1"/>
    <n v="1"/>
    <n v="1"/>
    <n v="1"/>
    <n v="409.39"/>
    <n v="0"/>
    <n v="0"/>
    <n v="10"/>
    <n v="38.799999999999997"/>
  </r>
  <r>
    <x v="308"/>
    <d v="2025-05-01T00:00:00"/>
    <s v="Control"/>
    <s v="South"/>
    <s v="Desktop"/>
    <s v="Email"/>
    <s v="Free"/>
    <n v="0"/>
    <n v="0"/>
    <n v="0"/>
    <n v="0"/>
    <n v="0"/>
    <n v="0"/>
    <n v="0"/>
    <m/>
    <n v="70"/>
  </r>
  <r>
    <x v="309"/>
    <d v="2025-05-16T00:00:00"/>
    <s v="Control"/>
    <s v="South"/>
    <s v="Desktop"/>
    <s v="Referral"/>
    <s v="Basic"/>
    <n v="1"/>
    <n v="0"/>
    <n v="0"/>
    <n v="0"/>
    <n v="0"/>
    <n v="0"/>
    <n v="0"/>
    <m/>
    <n v="77.7"/>
  </r>
  <r>
    <x v="310"/>
    <d v="2025-03-08T00:00:00"/>
    <s v="Control"/>
    <s v="West"/>
    <s v="Mobile"/>
    <s v="Organic"/>
    <s v="Free"/>
    <n v="0"/>
    <n v="0"/>
    <n v="0"/>
    <n v="0"/>
    <n v="0"/>
    <n v="0"/>
    <n v="0"/>
    <m/>
    <n v="71.2"/>
  </r>
  <r>
    <x v="311"/>
    <d v="2025-04-04T00:00:00"/>
    <s v="Control"/>
    <s v="North"/>
    <s v="Mobile"/>
    <s v="Organic"/>
    <s v="Basic"/>
    <n v="1"/>
    <n v="0"/>
    <n v="0"/>
    <n v="0"/>
    <n v="0"/>
    <n v="0"/>
    <n v="0"/>
    <m/>
    <n v="43.8"/>
  </r>
  <r>
    <x v="312"/>
    <d v="2025-05-30T00:00:00"/>
    <s v="Control"/>
    <s v="South"/>
    <s v="Tablet"/>
    <s v="Organic"/>
    <s v="Free"/>
    <n v="1"/>
    <n v="0"/>
    <n v="0"/>
    <n v="0"/>
    <n v="0"/>
    <n v="0"/>
    <n v="0"/>
    <m/>
    <n v="50.9"/>
  </r>
  <r>
    <x v="313"/>
    <d v="2025-01-05T00:00:00"/>
    <s v="Control"/>
    <s v="West"/>
    <s v="Mobile"/>
    <s v="Organic"/>
    <s v="Premium"/>
    <n v="0"/>
    <n v="0"/>
    <n v="0"/>
    <n v="0"/>
    <n v="0"/>
    <n v="0"/>
    <n v="0"/>
    <m/>
    <n v="58.5"/>
  </r>
  <r>
    <x v="314"/>
    <d v="2025-01-20T00:00:00"/>
    <s v="Control"/>
    <s v="East"/>
    <s v="Mobile"/>
    <s v="Organic"/>
    <s v="Free"/>
    <n v="1"/>
    <n v="1"/>
    <n v="1"/>
    <n v="0"/>
    <n v="0"/>
    <n v="0"/>
    <n v="0"/>
    <m/>
    <n v="53.6"/>
  </r>
  <r>
    <x v="315"/>
    <d v="2025-05-01T00:00:00"/>
    <s v="Control"/>
    <s v="East"/>
    <s v="Mobile"/>
    <s v="Email"/>
    <s v="Free"/>
    <n v="0"/>
    <n v="0"/>
    <n v="0"/>
    <n v="0"/>
    <n v="0"/>
    <n v="0"/>
    <n v="0"/>
    <m/>
    <n v="54.9"/>
  </r>
  <r>
    <x v="316"/>
    <d v="2025-03-05T00:00:00"/>
    <s v="Control"/>
    <s v="North"/>
    <s v="Desktop"/>
    <s v="Organic"/>
    <s v="Premium"/>
    <n v="0"/>
    <n v="0"/>
    <n v="0"/>
    <n v="0"/>
    <n v="0"/>
    <n v="0"/>
    <n v="0"/>
    <m/>
    <n v="57.3"/>
  </r>
  <r>
    <x v="317"/>
    <d v="2025-04-01T00:00:00"/>
    <s v="Control"/>
    <s v="East"/>
    <s v="Desktop"/>
    <s v="Referral"/>
    <s v="Free"/>
    <n v="1"/>
    <n v="0"/>
    <n v="0"/>
    <n v="0"/>
    <n v="0"/>
    <n v="0"/>
    <n v="0"/>
    <m/>
    <n v="52.1"/>
  </r>
  <r>
    <x v="318"/>
    <d v="2025-05-03T00:00:00"/>
    <s v="Control"/>
    <s v="North"/>
    <s v="Mobile"/>
    <s v="Organic"/>
    <s v="Free"/>
    <n v="1"/>
    <n v="0"/>
    <n v="0"/>
    <n v="0"/>
    <n v="0"/>
    <n v="0"/>
    <n v="0"/>
    <m/>
    <n v="80"/>
  </r>
  <r>
    <x v="319"/>
    <d v="2025-03-06T00:00:00"/>
    <s v="Control"/>
    <s v="South"/>
    <s v="Desktop"/>
    <s v="Paid Search"/>
    <s v="Premium"/>
    <n v="1"/>
    <n v="0"/>
    <n v="0"/>
    <n v="0"/>
    <n v="0"/>
    <n v="0"/>
    <n v="0"/>
    <m/>
    <n v="39.299999999999997"/>
  </r>
  <r>
    <x v="320"/>
    <d v="2025-04-01T00:00:00"/>
    <s v="Control"/>
    <s v="North"/>
    <s v="Desktop"/>
    <s v="Referral"/>
    <s v="Premium"/>
    <n v="0"/>
    <n v="0"/>
    <n v="0"/>
    <n v="0"/>
    <n v="0"/>
    <n v="0"/>
    <n v="0"/>
    <m/>
    <n v="45.7"/>
  </r>
  <r>
    <x v="321"/>
    <d v="2025-02-09T00:00:00"/>
    <s v="Control"/>
    <s v="North"/>
    <s v="Desktop"/>
    <s v="Social"/>
    <s v="Basic"/>
    <n v="1"/>
    <n v="0"/>
    <n v="0"/>
    <n v="0"/>
    <n v="0"/>
    <n v="2"/>
    <n v="0"/>
    <m/>
    <n v="61.2"/>
  </r>
  <r>
    <x v="322"/>
    <d v="2025-04-12T00:00:00"/>
    <s v="Control"/>
    <s v="West"/>
    <s v="Mobile"/>
    <s v="Organic"/>
    <s v="Basic"/>
    <n v="1"/>
    <n v="1"/>
    <n v="0"/>
    <n v="0"/>
    <n v="0"/>
    <n v="0"/>
    <n v="0"/>
    <m/>
    <n v="66.2"/>
  </r>
  <r>
    <x v="323"/>
    <d v="2025-03-18T00:00:00"/>
    <s v="Control"/>
    <s v="East"/>
    <s v="Mobile"/>
    <s v="Social"/>
    <s v="Free"/>
    <n v="1"/>
    <n v="1"/>
    <n v="1"/>
    <n v="0"/>
    <n v="0"/>
    <n v="0"/>
    <n v="0"/>
    <m/>
    <n v="61.3"/>
  </r>
  <r>
    <x v="324"/>
    <d v="2025-04-03T00:00:00"/>
    <s v="Control"/>
    <s v="East"/>
    <s v="Mobile"/>
    <s v="Paid Search"/>
    <s v="Free"/>
    <n v="1"/>
    <n v="0"/>
    <n v="0"/>
    <n v="0"/>
    <n v="0"/>
    <n v="0"/>
    <n v="0"/>
    <m/>
    <n v="72.2"/>
  </r>
  <r>
    <x v="325"/>
    <d v="2025-04-02T00:00:00"/>
    <s v="Control"/>
    <s v="West"/>
    <s v="Mobile"/>
    <s v="Email"/>
    <s v="Premium"/>
    <n v="1"/>
    <n v="1"/>
    <n v="1"/>
    <n v="0"/>
    <n v="0"/>
    <n v="0"/>
    <n v="0"/>
    <m/>
    <n v="84"/>
  </r>
  <r>
    <x v="326"/>
    <d v="2025-05-10T00:00:00"/>
    <s v="Control"/>
    <s v="West"/>
    <s v="Desktop"/>
    <s v="Email"/>
    <s v="Basic"/>
    <n v="0"/>
    <n v="0"/>
    <n v="0"/>
    <n v="0"/>
    <n v="0"/>
    <n v="0"/>
    <n v="0"/>
    <m/>
    <n v="59.8"/>
  </r>
  <r>
    <x v="327"/>
    <d v="2025-04-29T00:00:00"/>
    <s v="Control"/>
    <s v="West"/>
    <s v="Desktop"/>
    <s v="Paid Search"/>
    <s v="Free"/>
    <n v="1"/>
    <n v="0"/>
    <n v="0"/>
    <n v="0"/>
    <n v="0"/>
    <n v="0"/>
    <n v="0"/>
    <m/>
    <n v="64.900000000000006"/>
  </r>
  <r>
    <x v="328"/>
    <d v="2025-02-27T00:00:00"/>
    <s v="Control"/>
    <s v="South"/>
    <s v="Mobile"/>
    <s v="Paid Search"/>
    <s v="Free"/>
    <n v="1"/>
    <n v="0"/>
    <n v="0"/>
    <n v="0"/>
    <n v="0"/>
    <n v="0"/>
    <n v="0"/>
    <m/>
    <n v="66.8"/>
  </r>
  <r>
    <x v="329"/>
    <d v="2025-04-10T00:00:00"/>
    <s v="Control"/>
    <s v="North"/>
    <s v="Desktop"/>
    <s v="Organic"/>
    <s v="Premium"/>
    <n v="0"/>
    <n v="0"/>
    <n v="0"/>
    <n v="0"/>
    <n v="0"/>
    <n v="0"/>
    <n v="0"/>
    <m/>
    <n v="70.900000000000006"/>
  </r>
  <r>
    <x v="330"/>
    <d v="2025-02-13T00:00:00"/>
    <s v="Control"/>
    <s v="East"/>
    <s v="Mobile"/>
    <s v="Organic"/>
    <s v="Free"/>
    <n v="1"/>
    <n v="1"/>
    <n v="1"/>
    <n v="1"/>
    <n v="426.82"/>
    <n v="1"/>
    <n v="0"/>
    <n v="14"/>
    <n v="68.8"/>
  </r>
  <r>
    <x v="331"/>
    <d v="2025-05-03T00:00:00"/>
    <s v="Control"/>
    <s v="North"/>
    <s v="Mobile"/>
    <s v="Organic"/>
    <s v="Basic"/>
    <n v="1"/>
    <n v="0"/>
    <n v="0"/>
    <n v="0"/>
    <n v="0"/>
    <n v="0"/>
    <n v="0"/>
    <m/>
    <n v="72.400000000000006"/>
  </r>
  <r>
    <x v="332"/>
    <d v="2025-03-10T00:00:00"/>
    <s v="Control"/>
    <s v="East"/>
    <s v="Mobile"/>
    <s v="Organic"/>
    <s v="Basic"/>
    <n v="0"/>
    <n v="0"/>
    <n v="0"/>
    <n v="0"/>
    <n v="0"/>
    <n v="0"/>
    <n v="0"/>
    <m/>
    <n v="63.3"/>
  </r>
  <r>
    <x v="333"/>
    <d v="2025-01-10T00:00:00"/>
    <s v="Control"/>
    <s v="West"/>
    <s v="Tablet"/>
    <s v="Social"/>
    <s v="Free"/>
    <n v="1"/>
    <n v="0"/>
    <n v="0"/>
    <n v="0"/>
    <n v="0"/>
    <n v="0"/>
    <n v="0"/>
    <m/>
    <n v="30.8"/>
  </r>
  <r>
    <x v="334"/>
    <d v="2025-01-16T00:00:00"/>
    <s v="Control"/>
    <s v="South"/>
    <s v="Mobile"/>
    <s v="Email"/>
    <s v="Basic"/>
    <n v="1"/>
    <n v="1"/>
    <n v="1"/>
    <n v="1"/>
    <n v="874.55"/>
    <n v="0"/>
    <n v="0"/>
    <n v="9"/>
    <n v="44.2"/>
  </r>
  <r>
    <x v="335"/>
    <d v="2025-02-11T00:00:00"/>
    <s v="Control"/>
    <s v="South"/>
    <s v="Desktop"/>
    <s v="Organic"/>
    <s v="Premium"/>
    <n v="1"/>
    <n v="1"/>
    <n v="1"/>
    <n v="1"/>
    <n v="2206.88"/>
    <n v="0"/>
    <n v="0"/>
    <n v="10"/>
    <n v="56.2"/>
  </r>
  <r>
    <x v="336"/>
    <d v="2025-04-13T00:00:00"/>
    <s v="Control"/>
    <s v="West"/>
    <s v="Mobile"/>
    <s v="Organic"/>
    <s v="Free"/>
    <n v="0"/>
    <n v="0"/>
    <n v="0"/>
    <n v="0"/>
    <n v="0"/>
    <n v="0"/>
    <n v="0"/>
    <m/>
    <n v="40.4"/>
  </r>
  <r>
    <x v="337"/>
    <d v="2025-02-08T00:00:00"/>
    <s v="Control"/>
    <s v="East"/>
    <s v="Mobile"/>
    <s v="Paid Search"/>
    <s v="Free"/>
    <n v="1"/>
    <n v="1"/>
    <n v="1"/>
    <n v="0"/>
    <n v="0"/>
    <n v="0"/>
    <n v="0"/>
    <m/>
    <n v="68.099999999999994"/>
  </r>
  <r>
    <x v="338"/>
    <d v="2025-03-31T00:00:00"/>
    <s v="Control"/>
    <s v="West"/>
    <s v="Desktop"/>
    <s v="Referral"/>
    <s v="Free"/>
    <n v="1"/>
    <n v="0"/>
    <n v="0"/>
    <n v="0"/>
    <n v="0"/>
    <n v="0"/>
    <n v="0"/>
    <m/>
    <n v="86.3"/>
  </r>
  <r>
    <x v="339"/>
    <d v="2025-01-31T00:00:00"/>
    <s v="Control"/>
    <s v="West"/>
    <s v="Desktop"/>
    <s v="Referral"/>
    <s v="Free"/>
    <n v="1"/>
    <n v="1"/>
    <n v="0"/>
    <n v="0"/>
    <n v="0"/>
    <n v="0"/>
    <n v="0"/>
    <m/>
    <n v="42.9"/>
  </r>
  <r>
    <x v="340"/>
    <d v="2025-05-08T00:00:00"/>
    <s v="Control"/>
    <s v="West"/>
    <s v="Tablet"/>
    <s v="Organic"/>
    <s v="Free"/>
    <n v="0"/>
    <n v="0"/>
    <n v="0"/>
    <n v="0"/>
    <n v="0"/>
    <n v="0"/>
    <n v="0"/>
    <m/>
    <n v="61.4"/>
  </r>
  <r>
    <x v="341"/>
    <d v="2025-03-15T00:00:00"/>
    <s v="Control"/>
    <s v="North"/>
    <s v="Mobile"/>
    <s v="Paid Search"/>
    <s v="Free"/>
    <n v="1"/>
    <n v="0"/>
    <n v="0"/>
    <n v="0"/>
    <n v="0"/>
    <n v="1"/>
    <n v="0"/>
    <m/>
    <n v="73.3"/>
  </r>
  <r>
    <x v="342"/>
    <d v="2025-01-13T00:00:00"/>
    <s v="Control"/>
    <s v="South"/>
    <s v="Mobile"/>
    <s v="Referral"/>
    <s v="Basic"/>
    <n v="1"/>
    <n v="0"/>
    <n v="0"/>
    <n v="0"/>
    <n v="0"/>
    <n v="0"/>
    <n v="0"/>
    <m/>
    <n v="59.4"/>
  </r>
  <r>
    <x v="343"/>
    <d v="2025-03-07T00:00:00"/>
    <s v="Control"/>
    <s v="South"/>
    <s v="Tablet"/>
    <s v="Organic"/>
    <s v="Basic"/>
    <n v="1"/>
    <n v="0"/>
    <n v="0"/>
    <n v="0"/>
    <n v="0"/>
    <n v="0"/>
    <n v="0"/>
    <m/>
    <n v="35.200000000000003"/>
  </r>
  <r>
    <x v="344"/>
    <d v="2025-02-10T00:00:00"/>
    <s v="Control"/>
    <s v="South"/>
    <s v="Mobile"/>
    <s v="Social"/>
    <s v="Premium"/>
    <n v="1"/>
    <n v="1"/>
    <n v="0"/>
    <n v="0"/>
    <n v="0"/>
    <n v="0"/>
    <n v="0"/>
    <m/>
    <n v="55.3"/>
  </r>
  <r>
    <x v="345"/>
    <d v="2025-03-12T00:00:00"/>
    <s v="Control"/>
    <s v="East"/>
    <s v="Mobile"/>
    <s v="Paid Search"/>
    <s v="Free"/>
    <n v="0"/>
    <n v="0"/>
    <n v="0"/>
    <n v="0"/>
    <n v="0"/>
    <n v="0"/>
    <n v="0"/>
    <m/>
    <n v="37.5"/>
  </r>
  <r>
    <x v="346"/>
    <d v="2025-01-03T00:00:00"/>
    <s v="Control"/>
    <s v="South"/>
    <s v="Desktop"/>
    <s v="Paid Search"/>
    <s v="Free"/>
    <n v="0"/>
    <n v="0"/>
    <n v="0"/>
    <n v="0"/>
    <n v="0"/>
    <n v="1"/>
    <n v="0"/>
    <m/>
    <n v="66.400000000000006"/>
  </r>
  <r>
    <x v="347"/>
    <d v="2025-04-28T00:00:00"/>
    <s v="Control"/>
    <s v="North"/>
    <s v="Tablet"/>
    <s v="Social"/>
    <s v="Basic"/>
    <n v="1"/>
    <n v="0"/>
    <n v="0"/>
    <n v="0"/>
    <n v="0"/>
    <n v="0"/>
    <n v="0"/>
    <m/>
    <n v="61.9"/>
  </r>
  <r>
    <x v="348"/>
    <d v="2025-04-17T00:00:00"/>
    <s v="Control"/>
    <s v="East"/>
    <s v="Mobile"/>
    <s v="Organic"/>
    <s v="Free"/>
    <n v="0"/>
    <n v="0"/>
    <n v="0"/>
    <n v="0"/>
    <n v="0"/>
    <n v="0"/>
    <n v="0"/>
    <m/>
    <n v="56"/>
  </r>
  <r>
    <x v="349"/>
    <d v="2025-05-23T00:00:00"/>
    <s v="Control"/>
    <s v="South"/>
    <s v="Desktop"/>
    <s v="Social"/>
    <s v="Basic"/>
    <n v="1"/>
    <n v="0"/>
    <n v="0"/>
    <n v="0"/>
    <n v="0"/>
    <n v="0"/>
    <n v="0"/>
    <m/>
    <n v="55.5"/>
  </r>
  <r>
    <x v="350"/>
    <d v="2025-02-19T00:00:00"/>
    <s v="Control"/>
    <s v="West"/>
    <s v="Tablet"/>
    <s v="Referral"/>
    <s v="Basic"/>
    <n v="1"/>
    <n v="0"/>
    <n v="0"/>
    <n v="0"/>
    <n v="0"/>
    <n v="0"/>
    <n v="0"/>
    <m/>
    <n v="37.200000000000003"/>
  </r>
  <r>
    <x v="351"/>
    <d v="2025-01-18T00:00:00"/>
    <s v="Control"/>
    <s v="South"/>
    <s v="Desktop"/>
    <s v="Organic"/>
    <s v="Free"/>
    <n v="1"/>
    <n v="1"/>
    <n v="0"/>
    <n v="0"/>
    <n v="0"/>
    <n v="1"/>
    <n v="0"/>
    <m/>
    <n v="70.5"/>
  </r>
  <r>
    <x v="352"/>
    <d v="2025-04-17T00:00:00"/>
    <s v="Control"/>
    <s v="North"/>
    <s v="Mobile"/>
    <s v="Organic"/>
    <s v="Free"/>
    <n v="0"/>
    <n v="0"/>
    <n v="0"/>
    <n v="0"/>
    <n v="0"/>
    <n v="0"/>
    <n v="0"/>
    <m/>
    <n v="61.2"/>
  </r>
  <r>
    <x v="353"/>
    <d v="2025-04-12T00:00:00"/>
    <s v="Control"/>
    <s v="East"/>
    <s v="Tablet"/>
    <s v="Social"/>
    <s v="Free"/>
    <n v="1"/>
    <n v="1"/>
    <n v="1"/>
    <n v="0"/>
    <n v="0"/>
    <n v="0"/>
    <n v="0"/>
    <m/>
    <n v="64.599999999999994"/>
  </r>
  <r>
    <x v="354"/>
    <d v="2025-05-16T00:00:00"/>
    <s v="Control"/>
    <s v="East"/>
    <s v="Mobile"/>
    <s v="Email"/>
    <s v="Free"/>
    <n v="1"/>
    <n v="1"/>
    <n v="0"/>
    <n v="0"/>
    <n v="0"/>
    <n v="0"/>
    <n v="0"/>
    <m/>
    <n v="91.7"/>
  </r>
  <r>
    <x v="355"/>
    <d v="2025-03-24T00:00:00"/>
    <s v="Control"/>
    <s v="West"/>
    <s v="Mobile"/>
    <s v="Social"/>
    <s v="Free"/>
    <n v="0"/>
    <n v="0"/>
    <n v="0"/>
    <n v="0"/>
    <n v="0"/>
    <n v="0"/>
    <n v="0"/>
    <m/>
    <n v="46"/>
  </r>
  <r>
    <x v="356"/>
    <d v="2025-02-16T00:00:00"/>
    <s v="Control"/>
    <s v="West"/>
    <s v="Mobile"/>
    <s v="Organic"/>
    <s v="Basic"/>
    <n v="0"/>
    <n v="0"/>
    <n v="0"/>
    <n v="0"/>
    <n v="0"/>
    <n v="0"/>
    <n v="0"/>
    <m/>
    <n v="50.8"/>
  </r>
  <r>
    <x v="357"/>
    <d v="2025-03-19T00:00:00"/>
    <s v="Control"/>
    <s v="North"/>
    <s v="Tablet"/>
    <s v="Organic"/>
    <s v="Free"/>
    <n v="1"/>
    <n v="1"/>
    <n v="1"/>
    <n v="0"/>
    <n v="0"/>
    <n v="0"/>
    <n v="0"/>
    <m/>
    <n v="52.8"/>
  </r>
  <r>
    <x v="358"/>
    <d v="2025-04-21T00:00:00"/>
    <s v="Control"/>
    <s v="South"/>
    <s v="Mobile"/>
    <s v="Organic"/>
    <s v="Basic"/>
    <n v="1"/>
    <n v="1"/>
    <n v="1"/>
    <n v="0"/>
    <n v="0"/>
    <n v="0"/>
    <n v="0"/>
    <m/>
    <n v="63"/>
  </r>
  <r>
    <x v="359"/>
    <d v="2025-01-11T00:00:00"/>
    <s v="Control"/>
    <s v="West"/>
    <s v="Mobile"/>
    <s v="Organic"/>
    <s v="Free"/>
    <n v="0"/>
    <n v="0"/>
    <n v="0"/>
    <n v="0"/>
    <n v="0"/>
    <n v="0"/>
    <n v="0"/>
    <m/>
    <n v="28.4"/>
  </r>
  <r>
    <x v="360"/>
    <d v="2025-04-24T00:00:00"/>
    <s v="Control"/>
    <s v="West"/>
    <s v="Desktop"/>
    <s v="Organic"/>
    <s v="Free"/>
    <n v="1"/>
    <n v="1"/>
    <n v="0"/>
    <n v="0"/>
    <n v="0"/>
    <n v="0"/>
    <n v="0"/>
    <m/>
    <n v="65.599999999999994"/>
  </r>
  <r>
    <x v="361"/>
    <d v="2025-03-13T00:00:00"/>
    <s v="Control"/>
    <s v="North"/>
    <s v="Mobile"/>
    <s v="Social"/>
    <s v="Premium"/>
    <n v="1"/>
    <n v="1"/>
    <n v="1"/>
    <n v="0"/>
    <n v="0"/>
    <n v="0"/>
    <n v="0"/>
    <m/>
    <n v="54.7"/>
  </r>
  <r>
    <x v="362"/>
    <d v="2025-01-30T00:00:00"/>
    <s v="Control"/>
    <s v="North"/>
    <s v="Mobile"/>
    <s v="Social"/>
    <s v="Basic"/>
    <n v="0"/>
    <n v="0"/>
    <n v="0"/>
    <n v="0"/>
    <n v="0"/>
    <n v="0"/>
    <n v="0"/>
    <m/>
    <n v="36.1"/>
  </r>
  <r>
    <x v="363"/>
    <d v="2025-05-08T00:00:00"/>
    <s v="Control"/>
    <s v="South"/>
    <s v="Mobile"/>
    <s v="Social"/>
    <s v="Basic"/>
    <n v="1"/>
    <n v="1"/>
    <n v="1"/>
    <n v="0"/>
    <n v="0"/>
    <n v="0"/>
    <n v="0"/>
    <m/>
    <n v="70.400000000000006"/>
  </r>
  <r>
    <x v="364"/>
    <d v="2025-01-08T00:00:00"/>
    <s v="Control"/>
    <s v="East"/>
    <s v="Desktop"/>
    <s v="Social"/>
    <s v="Free"/>
    <n v="1"/>
    <n v="0"/>
    <n v="0"/>
    <n v="0"/>
    <n v="0"/>
    <n v="0"/>
    <n v="0"/>
    <m/>
    <n v="56.4"/>
  </r>
  <r>
    <x v="365"/>
    <d v="2025-05-03T00:00:00"/>
    <s v="Control"/>
    <s v="South"/>
    <s v="Mobile"/>
    <s v="Organic"/>
    <s v="Free"/>
    <n v="1"/>
    <n v="0"/>
    <n v="0"/>
    <n v="0"/>
    <n v="0"/>
    <n v="0"/>
    <n v="0"/>
    <m/>
    <n v="79.2"/>
  </r>
  <r>
    <x v="366"/>
    <d v="2025-02-12T00:00:00"/>
    <s v="Control"/>
    <s v="East"/>
    <s v="Mobile"/>
    <s v="Paid Search"/>
    <s v="Free"/>
    <n v="1"/>
    <n v="1"/>
    <n v="1"/>
    <n v="0"/>
    <n v="0"/>
    <n v="0"/>
    <n v="0"/>
    <m/>
    <n v="60.1"/>
  </r>
  <r>
    <x v="367"/>
    <d v="2025-02-25T00:00:00"/>
    <s v="Control"/>
    <s v="South"/>
    <s v="Tablet"/>
    <s v="Organic"/>
    <s v="Free"/>
    <n v="0"/>
    <n v="0"/>
    <n v="0"/>
    <n v="0"/>
    <n v="0"/>
    <n v="0"/>
    <n v="0"/>
    <m/>
    <n v="58"/>
  </r>
  <r>
    <x v="368"/>
    <d v="2025-04-14T00:00:00"/>
    <s v="Control"/>
    <s v="South"/>
    <s v="Mobile"/>
    <s v="Referral"/>
    <s v="Free"/>
    <n v="1"/>
    <n v="1"/>
    <n v="1"/>
    <n v="0"/>
    <n v="0"/>
    <n v="0"/>
    <n v="0"/>
    <m/>
    <n v="69"/>
  </r>
  <r>
    <x v="369"/>
    <d v="2025-01-08T00:00:00"/>
    <s v="Control"/>
    <s v="North"/>
    <s v="Mobile"/>
    <s v="Referral"/>
    <s v="Premium"/>
    <n v="1"/>
    <n v="1"/>
    <n v="1"/>
    <n v="0"/>
    <n v="0"/>
    <n v="1"/>
    <n v="0"/>
    <m/>
    <n v="80.8"/>
  </r>
  <r>
    <x v="370"/>
    <d v="2025-03-14T00:00:00"/>
    <s v="Control"/>
    <s v="East"/>
    <s v="Mobile"/>
    <s v="Email"/>
    <s v="Free"/>
    <n v="0"/>
    <n v="0"/>
    <n v="0"/>
    <n v="0"/>
    <n v="0"/>
    <n v="0"/>
    <n v="0"/>
    <m/>
    <n v="32.799999999999997"/>
  </r>
  <r>
    <x v="371"/>
    <d v="2025-04-29T00:00:00"/>
    <s v="Control"/>
    <s v="North"/>
    <s v="Desktop"/>
    <s v="Paid Search"/>
    <s v="Premium"/>
    <n v="1"/>
    <n v="0"/>
    <n v="0"/>
    <n v="0"/>
    <n v="0"/>
    <n v="0"/>
    <n v="0"/>
    <m/>
    <n v="56"/>
  </r>
  <r>
    <x v="372"/>
    <d v="2025-05-01T00:00:00"/>
    <s v="Control"/>
    <s v="East"/>
    <s v="Desktop"/>
    <s v="Social"/>
    <s v="Free"/>
    <n v="1"/>
    <n v="0"/>
    <n v="0"/>
    <n v="0"/>
    <n v="0"/>
    <n v="0"/>
    <n v="0"/>
    <m/>
    <n v="76.400000000000006"/>
  </r>
  <r>
    <x v="373"/>
    <d v="2025-03-19T00:00:00"/>
    <s v="Control"/>
    <s v="North"/>
    <s v="Mobile"/>
    <s v="Referral"/>
    <s v="Free"/>
    <n v="1"/>
    <n v="0"/>
    <n v="0"/>
    <n v="0"/>
    <n v="0"/>
    <n v="0"/>
    <n v="0"/>
    <m/>
    <n v="28.5"/>
  </r>
  <r>
    <x v="374"/>
    <d v="2025-05-01T00:00:00"/>
    <s v="Control"/>
    <s v="South"/>
    <s v="Desktop"/>
    <s v="Social"/>
    <s v="Basic"/>
    <n v="1"/>
    <n v="1"/>
    <n v="1"/>
    <n v="0"/>
    <n v="0"/>
    <n v="0"/>
    <n v="0"/>
    <m/>
    <n v="48.3"/>
  </r>
  <r>
    <x v="375"/>
    <d v="2025-03-14T00:00:00"/>
    <s v="Control"/>
    <s v="West"/>
    <s v="Mobile"/>
    <s v="Organic"/>
    <s v="Free"/>
    <n v="1"/>
    <n v="1"/>
    <n v="0"/>
    <n v="0"/>
    <n v="0"/>
    <n v="0"/>
    <n v="0"/>
    <m/>
    <n v="43.4"/>
  </r>
  <r>
    <x v="376"/>
    <d v="2025-03-23T00:00:00"/>
    <s v="Control"/>
    <s v="North"/>
    <s v="Mobile"/>
    <s v="Paid Search"/>
    <s v="Free"/>
    <n v="0"/>
    <n v="0"/>
    <n v="0"/>
    <n v="0"/>
    <n v="0"/>
    <n v="0"/>
    <n v="0"/>
    <m/>
    <n v="43"/>
  </r>
  <r>
    <x v="377"/>
    <d v="2025-02-08T00:00:00"/>
    <s v="Control"/>
    <s v="East"/>
    <s v="Mobile"/>
    <s v="Referral"/>
    <s v="Basic"/>
    <n v="1"/>
    <n v="1"/>
    <n v="1"/>
    <n v="0"/>
    <n v="0"/>
    <n v="0"/>
    <n v="0"/>
    <m/>
    <n v="91.8"/>
  </r>
  <r>
    <x v="378"/>
    <d v="2025-04-15T00:00:00"/>
    <s v="Control"/>
    <s v="West"/>
    <s v="Tablet"/>
    <s v="Paid Search"/>
    <s v="Basic"/>
    <n v="1"/>
    <n v="0"/>
    <n v="0"/>
    <n v="0"/>
    <n v="0"/>
    <n v="1"/>
    <n v="0"/>
    <m/>
    <n v="69.3"/>
  </r>
  <r>
    <x v="379"/>
    <d v="2025-01-03T00:00:00"/>
    <s v="Control"/>
    <s v="South"/>
    <s v="Desktop"/>
    <s v="Paid Search"/>
    <s v="Basic"/>
    <n v="1"/>
    <n v="0"/>
    <n v="0"/>
    <n v="0"/>
    <n v="0"/>
    <n v="0"/>
    <n v="0"/>
    <m/>
    <n v="58.9"/>
  </r>
  <r>
    <x v="380"/>
    <d v="2025-03-23T00:00:00"/>
    <s v="Control"/>
    <s v="West"/>
    <s v="Mobile"/>
    <s v="Social"/>
    <s v="Free"/>
    <n v="1"/>
    <n v="1"/>
    <n v="1"/>
    <n v="0"/>
    <n v="0"/>
    <n v="0"/>
    <n v="0"/>
    <m/>
    <n v="76"/>
  </r>
  <r>
    <x v="381"/>
    <d v="2025-05-27T00:00:00"/>
    <s v="Control"/>
    <s v="South"/>
    <s v="Mobile"/>
    <s v="Referral"/>
    <s v="Premium"/>
    <n v="1"/>
    <n v="0"/>
    <n v="0"/>
    <n v="0"/>
    <n v="0"/>
    <n v="0"/>
    <n v="0"/>
    <m/>
    <n v="46"/>
  </r>
  <r>
    <x v="382"/>
    <d v="2025-04-30T00:00:00"/>
    <s v="Control"/>
    <s v="East"/>
    <s v="Mobile"/>
    <s v="Organic"/>
    <s v="Free"/>
    <n v="1"/>
    <n v="0"/>
    <n v="0"/>
    <n v="0"/>
    <n v="0"/>
    <n v="0"/>
    <n v="0"/>
    <m/>
    <n v="54.1"/>
  </r>
  <r>
    <x v="383"/>
    <d v="2025-03-07T00:00:00"/>
    <s v="Control"/>
    <s v="West"/>
    <s v="Mobile"/>
    <s v="Social"/>
    <s v="Basic"/>
    <n v="1"/>
    <n v="0"/>
    <n v="0"/>
    <n v="0"/>
    <n v="0"/>
    <n v="0"/>
    <n v="0"/>
    <m/>
    <n v="82.4"/>
  </r>
  <r>
    <x v="384"/>
    <d v="2025-05-10T00:00:00"/>
    <s v="Control"/>
    <s v="South"/>
    <s v="Mobile"/>
    <s v="Organic"/>
    <s v="Basic"/>
    <n v="1"/>
    <n v="1"/>
    <n v="1"/>
    <n v="0"/>
    <n v="0"/>
    <n v="0"/>
    <n v="0"/>
    <m/>
    <n v="71.900000000000006"/>
  </r>
  <r>
    <x v="385"/>
    <d v="2025-05-22T00:00:00"/>
    <s v="Control"/>
    <s v="East"/>
    <s v="Mobile"/>
    <s v="Organic"/>
    <s v="Free"/>
    <n v="0"/>
    <n v="0"/>
    <n v="0"/>
    <n v="0"/>
    <n v="0"/>
    <n v="2"/>
    <n v="0"/>
    <m/>
    <n v="38"/>
  </r>
  <r>
    <x v="386"/>
    <d v="2025-02-09T00:00:00"/>
    <s v="Control"/>
    <s v="East"/>
    <s v="Mobile"/>
    <s v="Paid Search"/>
    <s v="Free"/>
    <n v="1"/>
    <n v="1"/>
    <n v="0"/>
    <n v="0"/>
    <n v="0"/>
    <n v="0"/>
    <n v="0"/>
    <m/>
    <n v="43.7"/>
  </r>
  <r>
    <x v="387"/>
    <d v="2025-05-30T00:00:00"/>
    <s v="Control"/>
    <s v="West"/>
    <s v="Desktop"/>
    <s v="Organic"/>
    <s v="Premium"/>
    <n v="1"/>
    <n v="0"/>
    <n v="0"/>
    <n v="0"/>
    <n v="0"/>
    <n v="1"/>
    <n v="0"/>
    <m/>
    <n v="32.200000000000003"/>
  </r>
  <r>
    <x v="388"/>
    <d v="2025-05-01T00:00:00"/>
    <s v="Control"/>
    <s v="South"/>
    <s v="Mobile"/>
    <s v="Organic"/>
    <s v="Premium"/>
    <n v="1"/>
    <n v="0"/>
    <n v="0"/>
    <n v="0"/>
    <n v="0"/>
    <n v="0"/>
    <n v="0"/>
    <m/>
    <n v="61"/>
  </r>
  <r>
    <x v="389"/>
    <d v="2025-01-03T00:00:00"/>
    <s v="Control"/>
    <s v="South"/>
    <s v="Mobile"/>
    <s v="Paid Search"/>
    <s v="Free"/>
    <n v="1"/>
    <n v="0"/>
    <n v="0"/>
    <n v="0"/>
    <n v="0"/>
    <n v="0"/>
    <n v="0"/>
    <m/>
    <n v="49"/>
  </r>
  <r>
    <x v="390"/>
    <d v="2025-02-13T00:00:00"/>
    <s v="Control"/>
    <s v="East"/>
    <s v="Mobile"/>
    <s v="Organic"/>
    <s v="Free"/>
    <n v="0"/>
    <n v="0"/>
    <n v="0"/>
    <n v="0"/>
    <n v="0"/>
    <n v="0"/>
    <n v="0"/>
    <m/>
    <n v="48.1"/>
  </r>
  <r>
    <x v="391"/>
    <d v="2025-01-14T00:00:00"/>
    <s v="Control"/>
    <s v="South"/>
    <s v="Desktop"/>
    <s v="Organic"/>
    <s v="Free"/>
    <n v="0"/>
    <n v="0"/>
    <n v="0"/>
    <n v="0"/>
    <n v="0"/>
    <n v="2"/>
    <n v="0"/>
    <m/>
    <n v="46.3"/>
  </r>
  <r>
    <x v="392"/>
    <d v="2025-02-24T00:00:00"/>
    <s v="Control"/>
    <s v="North"/>
    <s v="Mobile"/>
    <s v="Referral"/>
    <s v="Free"/>
    <n v="0"/>
    <n v="0"/>
    <n v="0"/>
    <n v="0"/>
    <n v="0"/>
    <n v="0"/>
    <n v="0"/>
    <m/>
    <n v="64"/>
  </r>
  <r>
    <x v="393"/>
    <d v="2025-05-16T00:00:00"/>
    <s v="Control"/>
    <s v="West"/>
    <s v="Desktop"/>
    <s v="Organic"/>
    <s v="Basic"/>
    <n v="1"/>
    <n v="1"/>
    <n v="0"/>
    <n v="0"/>
    <n v="0"/>
    <n v="0"/>
    <n v="0"/>
    <m/>
    <n v="56.2"/>
  </r>
  <r>
    <x v="394"/>
    <d v="2025-04-29T00:00:00"/>
    <s v="Control"/>
    <s v="North"/>
    <s v="Mobile"/>
    <s v="Paid Search"/>
    <s v="Free"/>
    <n v="1"/>
    <n v="1"/>
    <n v="1"/>
    <n v="0"/>
    <n v="0"/>
    <n v="0"/>
    <n v="0"/>
    <m/>
    <n v="77.5"/>
  </r>
  <r>
    <x v="395"/>
    <d v="2025-04-30T00:00:00"/>
    <s v="Control"/>
    <s v="South"/>
    <s v="Desktop"/>
    <s v="Email"/>
    <s v="Basic"/>
    <n v="1"/>
    <n v="0"/>
    <n v="0"/>
    <n v="0"/>
    <n v="0"/>
    <n v="0"/>
    <n v="0"/>
    <m/>
    <n v="59.9"/>
  </r>
  <r>
    <x v="396"/>
    <d v="2025-01-09T00:00:00"/>
    <s v="Control"/>
    <s v="South"/>
    <s v="Desktop"/>
    <s v="Organic"/>
    <s v="Free"/>
    <n v="1"/>
    <n v="1"/>
    <n v="0"/>
    <n v="0"/>
    <n v="0"/>
    <n v="0"/>
    <n v="0"/>
    <m/>
    <n v="63"/>
  </r>
  <r>
    <x v="397"/>
    <d v="2025-04-25T00:00:00"/>
    <s v="Control"/>
    <s v="South"/>
    <s v="Mobile"/>
    <s v="Organic"/>
    <s v="Free"/>
    <n v="1"/>
    <n v="1"/>
    <n v="0"/>
    <n v="0"/>
    <n v="0"/>
    <n v="0"/>
    <n v="0"/>
    <m/>
    <n v="76.5"/>
  </r>
  <r>
    <x v="398"/>
    <d v="2025-03-12T00:00:00"/>
    <s v="Control"/>
    <s v="North"/>
    <s v="Desktop"/>
    <s v="Paid Search"/>
    <s v="Free"/>
    <n v="1"/>
    <n v="0"/>
    <n v="0"/>
    <n v="0"/>
    <n v="0"/>
    <n v="0"/>
    <n v="0"/>
    <m/>
    <n v="39.700000000000003"/>
  </r>
  <r>
    <x v="399"/>
    <d v="2025-03-20T00:00:00"/>
    <s v="Control"/>
    <s v="North"/>
    <s v="Mobile"/>
    <s v="Organic"/>
    <s v="Free"/>
    <n v="1"/>
    <n v="1"/>
    <n v="0"/>
    <n v="0"/>
    <n v="0"/>
    <n v="0"/>
    <n v="0"/>
    <m/>
    <n v="80.2"/>
  </r>
  <r>
    <x v="400"/>
    <d v="2025-02-18T00:00:00"/>
    <s v="Control"/>
    <s v="West"/>
    <s v="Mobile"/>
    <s v="Paid Search"/>
    <s v="Free"/>
    <n v="1"/>
    <n v="0"/>
    <n v="0"/>
    <n v="0"/>
    <n v="0"/>
    <n v="0"/>
    <n v="0"/>
    <m/>
    <n v="72.2"/>
  </r>
  <r>
    <x v="401"/>
    <d v="2025-01-22T00:00:00"/>
    <s v="Control"/>
    <s v="North"/>
    <s v="Mobile"/>
    <s v="Social"/>
    <s v="Basic"/>
    <n v="0"/>
    <n v="0"/>
    <n v="0"/>
    <n v="0"/>
    <n v="0"/>
    <n v="0"/>
    <n v="0"/>
    <m/>
    <n v="56"/>
  </r>
  <r>
    <x v="402"/>
    <d v="2025-02-08T00:00:00"/>
    <s v="Control"/>
    <s v="West"/>
    <s v="Mobile"/>
    <s v="Email"/>
    <s v="Basic"/>
    <n v="1"/>
    <n v="1"/>
    <n v="1"/>
    <n v="0"/>
    <n v="0"/>
    <n v="0"/>
    <n v="0"/>
    <m/>
    <n v="69.099999999999994"/>
  </r>
  <r>
    <x v="403"/>
    <d v="2025-01-20T00:00:00"/>
    <s v="Control"/>
    <s v="North"/>
    <s v="Mobile"/>
    <s v="Email"/>
    <s v="Premium"/>
    <n v="0"/>
    <n v="0"/>
    <n v="0"/>
    <n v="0"/>
    <n v="0"/>
    <n v="1"/>
    <n v="0"/>
    <m/>
    <n v="70.599999999999994"/>
  </r>
  <r>
    <x v="404"/>
    <d v="2025-04-22T00:00:00"/>
    <s v="Control"/>
    <s v="West"/>
    <s v="Desktop"/>
    <s v="Referral"/>
    <s v="Free"/>
    <n v="1"/>
    <n v="0"/>
    <n v="0"/>
    <n v="0"/>
    <n v="0"/>
    <n v="0"/>
    <n v="0"/>
    <m/>
    <n v="57.9"/>
  </r>
  <r>
    <x v="405"/>
    <d v="2025-01-22T00:00:00"/>
    <s v="Control"/>
    <s v="East"/>
    <s v="Mobile"/>
    <s v="Organic"/>
    <s v="Basic"/>
    <n v="1"/>
    <n v="1"/>
    <n v="0"/>
    <n v="0"/>
    <n v="0"/>
    <n v="0"/>
    <n v="0"/>
    <m/>
    <n v="41.4"/>
  </r>
  <r>
    <x v="406"/>
    <d v="2025-05-11T00:00:00"/>
    <s v="Control"/>
    <s v="West"/>
    <s v="Mobile"/>
    <s v="Organic"/>
    <s v="Basic"/>
    <n v="1"/>
    <n v="0"/>
    <n v="0"/>
    <n v="0"/>
    <n v="0"/>
    <n v="0"/>
    <n v="0"/>
    <m/>
    <n v="60.9"/>
  </r>
  <r>
    <x v="407"/>
    <d v="2025-02-06T00:00:00"/>
    <s v="Control"/>
    <s v="South"/>
    <s v="Mobile"/>
    <s v="Organic"/>
    <s v="Basic"/>
    <n v="0"/>
    <n v="0"/>
    <n v="0"/>
    <n v="0"/>
    <n v="0"/>
    <n v="1"/>
    <n v="0"/>
    <m/>
    <n v="63.8"/>
  </r>
  <r>
    <x v="408"/>
    <d v="2025-02-21T00:00:00"/>
    <s v="Control"/>
    <s v="North"/>
    <s v="Desktop"/>
    <s v="Organic"/>
    <s v="Premium"/>
    <n v="1"/>
    <n v="0"/>
    <n v="0"/>
    <n v="0"/>
    <n v="0"/>
    <n v="0"/>
    <n v="0"/>
    <m/>
    <n v="79.2"/>
  </r>
  <r>
    <x v="409"/>
    <d v="2025-01-13T00:00:00"/>
    <s v="Control"/>
    <s v="West"/>
    <s v="Mobile"/>
    <s v="Email"/>
    <s v="Premium"/>
    <n v="1"/>
    <n v="1"/>
    <n v="1"/>
    <n v="0"/>
    <n v="0"/>
    <n v="0"/>
    <n v="0"/>
    <m/>
    <n v="53.3"/>
  </r>
  <r>
    <x v="410"/>
    <d v="2025-03-07T00:00:00"/>
    <s v="Control"/>
    <s v="North"/>
    <s v="Mobile"/>
    <s v="Referral"/>
    <s v="Premium"/>
    <n v="1"/>
    <n v="1"/>
    <n v="1"/>
    <n v="1"/>
    <n v="2144.8200000000002"/>
    <n v="0"/>
    <n v="0"/>
    <n v="6"/>
    <n v="52.3"/>
  </r>
  <r>
    <x v="411"/>
    <d v="2025-02-26T00:00:00"/>
    <s v="Control"/>
    <s v="West"/>
    <s v="Desktop"/>
    <s v="Organic"/>
    <s v="Basic"/>
    <n v="1"/>
    <n v="1"/>
    <n v="0"/>
    <n v="0"/>
    <n v="0"/>
    <n v="0"/>
    <n v="0"/>
    <m/>
    <n v="62.4"/>
  </r>
  <r>
    <x v="412"/>
    <d v="2025-05-05T00:00:00"/>
    <s v="Control"/>
    <s v="North"/>
    <s v="Mobile"/>
    <s v="Referral"/>
    <s v="Premium"/>
    <n v="1"/>
    <n v="0"/>
    <n v="0"/>
    <n v="0"/>
    <n v="0"/>
    <n v="0"/>
    <n v="0"/>
    <m/>
    <n v="45.5"/>
  </r>
  <r>
    <x v="413"/>
    <d v="2025-01-08T00:00:00"/>
    <s v="Control"/>
    <s v="East"/>
    <s v="Desktop"/>
    <s v="Organic"/>
    <s v="Basic"/>
    <n v="0"/>
    <n v="0"/>
    <n v="0"/>
    <n v="0"/>
    <n v="0"/>
    <n v="1"/>
    <n v="0"/>
    <m/>
    <n v="72.599999999999994"/>
  </r>
  <r>
    <x v="414"/>
    <d v="2025-03-19T00:00:00"/>
    <s v="Control"/>
    <s v="South"/>
    <s v="Mobile"/>
    <s v="Email"/>
    <s v="Premium"/>
    <n v="1"/>
    <n v="1"/>
    <n v="1"/>
    <n v="0"/>
    <n v="0"/>
    <n v="0"/>
    <n v="0"/>
    <m/>
    <n v="50.1"/>
  </r>
  <r>
    <x v="415"/>
    <d v="2025-01-30T00:00:00"/>
    <s v="Control"/>
    <s v="East"/>
    <s v="Desktop"/>
    <s v="Paid Search"/>
    <s v="Free"/>
    <n v="1"/>
    <n v="1"/>
    <n v="1"/>
    <n v="0"/>
    <n v="0"/>
    <n v="2"/>
    <n v="0"/>
    <m/>
    <n v="58.1"/>
  </r>
  <r>
    <x v="416"/>
    <d v="2025-04-28T00:00:00"/>
    <s v="Control"/>
    <s v="East"/>
    <s v="Mobile"/>
    <s v="Organic"/>
    <s v="Basic"/>
    <n v="1"/>
    <n v="0"/>
    <n v="0"/>
    <n v="0"/>
    <n v="0"/>
    <n v="0"/>
    <n v="0"/>
    <m/>
    <n v="42.9"/>
  </r>
  <r>
    <x v="417"/>
    <d v="2025-03-07T00:00:00"/>
    <s v="Control"/>
    <s v="North"/>
    <s v="Mobile"/>
    <s v="Referral"/>
    <s v="Basic"/>
    <n v="0"/>
    <n v="0"/>
    <n v="0"/>
    <n v="0"/>
    <n v="0"/>
    <n v="0"/>
    <n v="0"/>
    <m/>
    <n v="69.7"/>
  </r>
  <r>
    <x v="418"/>
    <d v="2025-04-07T00:00:00"/>
    <s v="Control"/>
    <s v="North"/>
    <s v="Desktop"/>
    <s v="Organic"/>
    <s v="Free"/>
    <n v="0"/>
    <n v="0"/>
    <n v="0"/>
    <n v="0"/>
    <n v="0"/>
    <n v="0"/>
    <n v="0"/>
    <m/>
    <n v="63.3"/>
  </r>
  <r>
    <x v="419"/>
    <d v="2025-05-08T00:00:00"/>
    <s v="Control"/>
    <s v="North"/>
    <s v="Desktop"/>
    <s v="Organic"/>
    <s v="Premium"/>
    <n v="1"/>
    <n v="0"/>
    <n v="0"/>
    <n v="0"/>
    <n v="0"/>
    <n v="0"/>
    <n v="0"/>
    <m/>
    <n v="71.2"/>
  </r>
  <r>
    <x v="420"/>
    <d v="2025-04-15T00:00:00"/>
    <s v="Control"/>
    <s v="South"/>
    <s v="Mobile"/>
    <s v="Email"/>
    <s v="Free"/>
    <n v="1"/>
    <n v="0"/>
    <n v="0"/>
    <n v="0"/>
    <n v="0"/>
    <n v="0"/>
    <n v="0"/>
    <m/>
    <n v="39.1"/>
  </r>
  <r>
    <x v="421"/>
    <d v="2025-04-20T00:00:00"/>
    <s v="Control"/>
    <s v="East"/>
    <s v="Desktop"/>
    <s v="Social"/>
    <s v="Free"/>
    <n v="1"/>
    <n v="0"/>
    <n v="0"/>
    <n v="0"/>
    <n v="0"/>
    <n v="0"/>
    <n v="0"/>
    <m/>
    <n v="42.6"/>
  </r>
  <r>
    <x v="422"/>
    <d v="2025-05-30T00:00:00"/>
    <s v="Control"/>
    <s v="South"/>
    <s v="Tablet"/>
    <s v="Organic"/>
    <s v="Free"/>
    <n v="0"/>
    <n v="0"/>
    <n v="0"/>
    <n v="0"/>
    <n v="0"/>
    <n v="0"/>
    <n v="0"/>
    <m/>
    <n v="74.400000000000006"/>
  </r>
  <r>
    <x v="423"/>
    <d v="2025-02-13T00:00:00"/>
    <s v="Control"/>
    <s v="West"/>
    <s v="Mobile"/>
    <s v="Referral"/>
    <s v="Free"/>
    <n v="0"/>
    <n v="0"/>
    <n v="0"/>
    <n v="0"/>
    <n v="0"/>
    <n v="0"/>
    <n v="0"/>
    <m/>
    <n v="55.6"/>
  </r>
  <r>
    <x v="424"/>
    <d v="2025-04-28T00:00:00"/>
    <s v="Control"/>
    <s v="West"/>
    <s v="Mobile"/>
    <s v="Social"/>
    <s v="Free"/>
    <n v="1"/>
    <n v="0"/>
    <n v="0"/>
    <n v="0"/>
    <n v="0"/>
    <n v="0"/>
    <n v="0"/>
    <m/>
    <n v="35.799999999999997"/>
  </r>
  <r>
    <x v="425"/>
    <d v="2025-02-12T00:00:00"/>
    <s v="Control"/>
    <s v="North"/>
    <s v="Mobile"/>
    <s v="Paid Search"/>
    <s v="Basic"/>
    <n v="1"/>
    <n v="0"/>
    <n v="0"/>
    <n v="0"/>
    <n v="0"/>
    <n v="1"/>
    <n v="0"/>
    <m/>
    <n v="28.2"/>
  </r>
  <r>
    <x v="426"/>
    <d v="2025-02-12T00:00:00"/>
    <s v="Control"/>
    <s v="East"/>
    <s v="Mobile"/>
    <s v="Organic"/>
    <s v="Free"/>
    <n v="0"/>
    <n v="0"/>
    <n v="0"/>
    <n v="0"/>
    <n v="0"/>
    <n v="2"/>
    <n v="0"/>
    <m/>
    <n v="44.4"/>
  </r>
  <r>
    <x v="427"/>
    <d v="2025-03-27T00:00:00"/>
    <s v="Control"/>
    <s v="North"/>
    <s v="Mobile"/>
    <s v="Email"/>
    <s v="Premium"/>
    <n v="1"/>
    <n v="0"/>
    <n v="0"/>
    <n v="0"/>
    <n v="0"/>
    <n v="0"/>
    <n v="0"/>
    <m/>
    <n v="49.9"/>
  </r>
  <r>
    <x v="428"/>
    <d v="2025-04-12T00:00:00"/>
    <s v="Control"/>
    <s v="South"/>
    <s v="Desktop"/>
    <s v="Organic"/>
    <s v="Free"/>
    <n v="0"/>
    <n v="0"/>
    <n v="0"/>
    <n v="0"/>
    <n v="0"/>
    <n v="0"/>
    <n v="0"/>
    <m/>
    <n v="40.4"/>
  </r>
  <r>
    <x v="429"/>
    <d v="2025-01-30T00:00:00"/>
    <s v="Control"/>
    <s v="West"/>
    <s v="Mobile"/>
    <s v="Social"/>
    <s v="Free"/>
    <n v="0"/>
    <n v="0"/>
    <n v="0"/>
    <n v="0"/>
    <n v="0"/>
    <n v="0"/>
    <n v="0"/>
    <m/>
    <n v="60.4"/>
  </r>
  <r>
    <x v="430"/>
    <d v="2025-05-28T00:00:00"/>
    <s v="Control"/>
    <s v="West"/>
    <s v="Mobile"/>
    <s v="Social"/>
    <s v="Premium"/>
    <n v="0"/>
    <n v="0"/>
    <n v="0"/>
    <n v="0"/>
    <n v="0"/>
    <n v="1"/>
    <n v="0"/>
    <m/>
    <n v="52.4"/>
  </r>
  <r>
    <x v="431"/>
    <d v="2025-05-01T00:00:00"/>
    <s v="Control"/>
    <s v="South"/>
    <s v="Mobile"/>
    <s v="Organic"/>
    <s v="Basic"/>
    <n v="1"/>
    <n v="1"/>
    <n v="0"/>
    <n v="0"/>
    <n v="0"/>
    <n v="0"/>
    <n v="0"/>
    <m/>
    <n v="48.8"/>
  </r>
  <r>
    <x v="432"/>
    <d v="2025-02-03T00:00:00"/>
    <s v="Control"/>
    <s v="North"/>
    <s v="Tablet"/>
    <s v="Email"/>
    <s v="Basic"/>
    <n v="1"/>
    <n v="0"/>
    <n v="0"/>
    <n v="0"/>
    <n v="0"/>
    <n v="0"/>
    <n v="0"/>
    <m/>
    <n v="60.9"/>
  </r>
  <r>
    <x v="433"/>
    <d v="2025-01-10T00:00:00"/>
    <s v="Control"/>
    <s v="South"/>
    <s v="Desktop"/>
    <s v="Social"/>
    <s v="Basic"/>
    <n v="0"/>
    <n v="0"/>
    <n v="0"/>
    <n v="0"/>
    <n v="0"/>
    <n v="0"/>
    <n v="0"/>
    <m/>
    <n v="68.2"/>
  </r>
  <r>
    <x v="434"/>
    <d v="2025-05-02T00:00:00"/>
    <s v="Control"/>
    <s v="North"/>
    <s v="Desktop"/>
    <s v="Organic"/>
    <s v="Basic"/>
    <n v="1"/>
    <n v="0"/>
    <n v="0"/>
    <n v="0"/>
    <n v="0"/>
    <n v="0"/>
    <n v="0"/>
    <m/>
    <n v="65.599999999999994"/>
  </r>
  <r>
    <x v="435"/>
    <d v="2025-05-26T00:00:00"/>
    <s v="Control"/>
    <s v="North"/>
    <s v="Desktop"/>
    <s v="Organic"/>
    <s v="Basic"/>
    <n v="1"/>
    <n v="0"/>
    <n v="0"/>
    <n v="0"/>
    <n v="0"/>
    <n v="0"/>
    <n v="0"/>
    <m/>
    <n v="65.400000000000006"/>
  </r>
  <r>
    <x v="436"/>
    <d v="2025-01-12T00:00:00"/>
    <s v="Control"/>
    <s v="West"/>
    <s v="Mobile"/>
    <s v="Organic"/>
    <s v="Basic"/>
    <n v="1"/>
    <n v="0"/>
    <n v="0"/>
    <n v="0"/>
    <n v="0"/>
    <n v="0"/>
    <n v="0"/>
    <m/>
    <n v="78.900000000000006"/>
  </r>
  <r>
    <x v="437"/>
    <d v="2025-05-27T00:00:00"/>
    <s v="Control"/>
    <s v="East"/>
    <s v="Mobile"/>
    <s v="Paid Search"/>
    <s v="Basic"/>
    <n v="1"/>
    <n v="1"/>
    <n v="1"/>
    <n v="0"/>
    <n v="0"/>
    <n v="0"/>
    <n v="0"/>
    <m/>
    <n v="78.3"/>
  </r>
  <r>
    <x v="438"/>
    <d v="2025-05-22T00:00:00"/>
    <s v="Control"/>
    <s v="West"/>
    <s v="Desktop"/>
    <s v="Email"/>
    <s v="Basic"/>
    <n v="0"/>
    <n v="0"/>
    <n v="0"/>
    <n v="0"/>
    <n v="0"/>
    <n v="0"/>
    <n v="0"/>
    <m/>
    <n v="49.2"/>
  </r>
  <r>
    <x v="439"/>
    <d v="2025-04-01T00:00:00"/>
    <s v="Control"/>
    <s v="East"/>
    <s v="Mobile"/>
    <s v="Social"/>
    <s v="Premium"/>
    <n v="1"/>
    <n v="1"/>
    <n v="1"/>
    <n v="1"/>
    <n v="1518.83"/>
    <n v="0"/>
    <n v="0"/>
    <n v="9"/>
    <n v="32.200000000000003"/>
  </r>
  <r>
    <x v="440"/>
    <d v="2025-01-22T00:00:00"/>
    <s v="Control"/>
    <s v="North"/>
    <s v="Mobile"/>
    <s v="Paid Search"/>
    <s v="Basic"/>
    <n v="1"/>
    <n v="1"/>
    <n v="1"/>
    <n v="0"/>
    <n v="0"/>
    <n v="0"/>
    <n v="0"/>
    <m/>
    <n v="46.3"/>
  </r>
  <r>
    <x v="441"/>
    <d v="2025-05-24T00:00:00"/>
    <s v="Control"/>
    <s v="East"/>
    <s v="Mobile"/>
    <s v="Paid Search"/>
    <s v="Basic"/>
    <n v="1"/>
    <n v="0"/>
    <n v="0"/>
    <n v="0"/>
    <n v="0"/>
    <n v="0"/>
    <n v="0"/>
    <m/>
    <n v="55.7"/>
  </r>
  <r>
    <x v="442"/>
    <d v="2025-04-25T00:00:00"/>
    <s v="Control"/>
    <s v="South"/>
    <s v="Mobile"/>
    <s v="Social"/>
    <s v="Free"/>
    <n v="1"/>
    <n v="0"/>
    <n v="0"/>
    <n v="0"/>
    <n v="0"/>
    <n v="0"/>
    <n v="0"/>
    <m/>
    <n v="44.5"/>
  </r>
  <r>
    <x v="443"/>
    <d v="2025-04-12T00:00:00"/>
    <s v="Control"/>
    <s v="West"/>
    <s v="Desktop"/>
    <s v="Referral"/>
    <s v="Free"/>
    <n v="1"/>
    <n v="1"/>
    <n v="1"/>
    <n v="0"/>
    <n v="0"/>
    <n v="1"/>
    <n v="0"/>
    <m/>
    <n v="47.9"/>
  </r>
  <r>
    <x v="444"/>
    <d v="2025-04-23T00:00:00"/>
    <s v="Control"/>
    <s v="South"/>
    <s v="Mobile"/>
    <s v="Organic"/>
    <s v="Premium"/>
    <n v="1"/>
    <n v="0"/>
    <n v="0"/>
    <n v="0"/>
    <n v="0"/>
    <n v="0"/>
    <n v="0"/>
    <m/>
    <n v="43.9"/>
  </r>
  <r>
    <x v="445"/>
    <d v="2025-03-30T00:00:00"/>
    <s v="Control"/>
    <s v="North"/>
    <s v="Desktop"/>
    <s v="Referral"/>
    <s v="Free"/>
    <n v="1"/>
    <n v="1"/>
    <n v="1"/>
    <n v="0"/>
    <n v="0"/>
    <n v="1"/>
    <n v="0"/>
    <m/>
    <n v="67.7"/>
  </r>
  <r>
    <x v="446"/>
    <d v="2025-01-18T00:00:00"/>
    <s v="Control"/>
    <s v="East"/>
    <s v="Mobile"/>
    <s v="Referral"/>
    <s v="Basic"/>
    <n v="0"/>
    <n v="0"/>
    <n v="0"/>
    <n v="0"/>
    <n v="0"/>
    <n v="0"/>
    <n v="0"/>
    <m/>
    <n v="43.7"/>
  </r>
  <r>
    <x v="447"/>
    <d v="2025-04-09T00:00:00"/>
    <s v="Control"/>
    <s v="East"/>
    <s v="Mobile"/>
    <s v="Organic"/>
    <s v="Free"/>
    <n v="1"/>
    <n v="0"/>
    <n v="0"/>
    <n v="0"/>
    <n v="0"/>
    <n v="0"/>
    <n v="0"/>
    <m/>
    <n v="68.8"/>
  </r>
  <r>
    <x v="448"/>
    <d v="2025-01-11T00:00:00"/>
    <s v="Control"/>
    <s v="West"/>
    <s v="Mobile"/>
    <s v="Organic"/>
    <s v="Free"/>
    <n v="1"/>
    <n v="1"/>
    <n v="1"/>
    <n v="0"/>
    <n v="0"/>
    <n v="0"/>
    <n v="0"/>
    <m/>
    <n v="59.2"/>
  </r>
  <r>
    <x v="449"/>
    <d v="2025-03-05T00:00:00"/>
    <s v="Control"/>
    <s v="East"/>
    <s v="Mobile"/>
    <s v="Paid Search"/>
    <s v="Free"/>
    <n v="1"/>
    <n v="0"/>
    <n v="0"/>
    <n v="0"/>
    <n v="0"/>
    <n v="0"/>
    <n v="0"/>
    <m/>
    <n v="48.6"/>
  </r>
  <r>
    <x v="450"/>
    <d v="2025-02-17T00:00:00"/>
    <s v="Control"/>
    <s v="North"/>
    <s v="Tablet"/>
    <s v="Social"/>
    <s v="Free"/>
    <n v="1"/>
    <n v="1"/>
    <n v="1"/>
    <n v="0"/>
    <n v="0"/>
    <n v="0"/>
    <n v="0"/>
    <m/>
    <n v="56.9"/>
  </r>
  <r>
    <x v="451"/>
    <d v="2025-05-07T00:00:00"/>
    <s v="Control"/>
    <s v="North"/>
    <s v="Desktop"/>
    <s v="Paid Search"/>
    <s v="Free"/>
    <n v="0"/>
    <n v="0"/>
    <n v="0"/>
    <n v="0"/>
    <n v="0"/>
    <n v="0"/>
    <n v="0"/>
    <m/>
    <n v="55.8"/>
  </r>
  <r>
    <x v="452"/>
    <d v="2025-04-10T00:00:00"/>
    <s v="Control"/>
    <s v="East"/>
    <s v="Mobile"/>
    <s v="Paid Search"/>
    <s v="Premium"/>
    <n v="0"/>
    <n v="0"/>
    <n v="0"/>
    <n v="0"/>
    <n v="0"/>
    <n v="0"/>
    <n v="0"/>
    <m/>
    <n v="63.3"/>
  </r>
  <r>
    <x v="453"/>
    <d v="2025-04-21T00:00:00"/>
    <s v="Control"/>
    <s v="North"/>
    <s v="Mobile"/>
    <s v="Social"/>
    <s v="Free"/>
    <n v="1"/>
    <n v="0"/>
    <n v="0"/>
    <n v="0"/>
    <n v="0"/>
    <n v="0"/>
    <n v="0"/>
    <m/>
    <n v="52.2"/>
  </r>
  <r>
    <x v="454"/>
    <d v="2025-02-25T00:00:00"/>
    <s v="Control"/>
    <s v="South"/>
    <s v="Tablet"/>
    <m/>
    <s v="Free"/>
    <n v="0"/>
    <n v="0"/>
    <n v="0"/>
    <n v="0"/>
    <n v="0"/>
    <n v="0"/>
    <n v="0"/>
    <m/>
    <n v="51.5"/>
  </r>
  <r>
    <x v="455"/>
    <d v="2025-05-14T00:00:00"/>
    <s v="Control"/>
    <s v="East"/>
    <s v="Desktop"/>
    <s v="Organic"/>
    <s v="Free"/>
    <n v="0"/>
    <n v="0"/>
    <n v="0"/>
    <n v="0"/>
    <n v="0"/>
    <n v="0"/>
    <n v="0"/>
    <m/>
    <n v="50.3"/>
  </r>
  <r>
    <x v="456"/>
    <d v="2025-03-10T00:00:00"/>
    <s v="Control"/>
    <s v="North"/>
    <s v="Mobile"/>
    <s v="Email"/>
    <s v="Basic"/>
    <n v="1"/>
    <n v="0"/>
    <n v="0"/>
    <n v="0"/>
    <n v="0"/>
    <n v="1"/>
    <n v="0"/>
    <m/>
    <n v="35.4"/>
  </r>
  <r>
    <x v="457"/>
    <d v="2025-01-31T00:00:00"/>
    <s v="Control"/>
    <s v="West"/>
    <s v="Desktop"/>
    <s v="Organic"/>
    <s v="Premium"/>
    <n v="1"/>
    <n v="0"/>
    <n v="0"/>
    <n v="0"/>
    <n v="0"/>
    <n v="1"/>
    <n v="0"/>
    <m/>
    <n v="54.1"/>
  </r>
  <r>
    <x v="458"/>
    <d v="2025-01-17T00:00:00"/>
    <s v="Control"/>
    <s v="South"/>
    <s v="Mobile"/>
    <s v="Organic"/>
    <s v="Premium"/>
    <n v="1"/>
    <n v="0"/>
    <n v="0"/>
    <n v="0"/>
    <n v="0"/>
    <n v="0"/>
    <n v="0"/>
    <m/>
    <n v="56.2"/>
  </r>
  <r>
    <x v="459"/>
    <d v="2025-03-12T00:00:00"/>
    <s v="Control"/>
    <s v="South"/>
    <s v="Mobile"/>
    <s v="Paid Search"/>
    <s v="Free"/>
    <n v="0"/>
    <n v="0"/>
    <n v="0"/>
    <n v="0"/>
    <n v="0"/>
    <n v="3"/>
    <n v="0"/>
    <m/>
    <n v="43.7"/>
  </r>
  <r>
    <x v="460"/>
    <d v="2025-02-28T00:00:00"/>
    <s v="Control"/>
    <s v="West"/>
    <s v="Desktop"/>
    <s v="Organic"/>
    <s v="Premium"/>
    <n v="1"/>
    <n v="1"/>
    <n v="0"/>
    <n v="0"/>
    <n v="0"/>
    <n v="0"/>
    <n v="0"/>
    <m/>
    <n v="51.3"/>
  </r>
  <r>
    <x v="461"/>
    <d v="2025-05-19T00:00:00"/>
    <s v="Control"/>
    <s v="North"/>
    <m/>
    <s v="Organic"/>
    <s v="Basic"/>
    <n v="1"/>
    <n v="0"/>
    <n v="0"/>
    <n v="0"/>
    <n v="0"/>
    <n v="0"/>
    <n v="0"/>
    <m/>
    <n v="50.5"/>
  </r>
  <r>
    <x v="462"/>
    <d v="2025-02-23T00:00:00"/>
    <s v="Control"/>
    <s v="North"/>
    <s v="Mobile"/>
    <s v="Referral"/>
    <s v="Basic"/>
    <n v="1"/>
    <n v="0"/>
    <n v="0"/>
    <n v="0"/>
    <n v="0"/>
    <n v="0"/>
    <n v="0"/>
    <m/>
    <n v="57.3"/>
  </r>
  <r>
    <x v="463"/>
    <d v="2025-02-20T00:00:00"/>
    <s v="Control"/>
    <s v="West"/>
    <s v="Desktop"/>
    <s v="Organic"/>
    <s v="Free"/>
    <n v="1"/>
    <n v="1"/>
    <n v="1"/>
    <n v="0"/>
    <n v="0"/>
    <n v="0"/>
    <n v="0"/>
    <m/>
    <n v="58.4"/>
  </r>
  <r>
    <x v="464"/>
    <d v="2025-04-12T00:00:00"/>
    <s v="Control"/>
    <s v="North"/>
    <s v="Mobile"/>
    <m/>
    <s v="Free"/>
    <n v="0"/>
    <n v="0"/>
    <n v="0"/>
    <n v="0"/>
    <n v="0"/>
    <n v="0"/>
    <n v="0"/>
    <m/>
    <n v="56.5"/>
  </r>
  <r>
    <x v="465"/>
    <d v="2025-01-08T00:00:00"/>
    <s v="Control"/>
    <s v="West"/>
    <s v="Mobile"/>
    <s v="Email"/>
    <s v="Free"/>
    <n v="0"/>
    <n v="0"/>
    <n v="0"/>
    <n v="0"/>
    <n v="0"/>
    <n v="0"/>
    <n v="0"/>
    <m/>
    <n v="69.599999999999994"/>
  </r>
  <r>
    <x v="466"/>
    <d v="2025-02-13T00:00:00"/>
    <s v="Control"/>
    <s v="West"/>
    <s v="Mobile"/>
    <s v="Organic"/>
    <s v="Basic"/>
    <n v="0"/>
    <n v="0"/>
    <n v="0"/>
    <n v="0"/>
    <n v="0"/>
    <n v="0"/>
    <n v="0"/>
    <m/>
    <n v="6.2"/>
  </r>
  <r>
    <x v="467"/>
    <d v="2025-05-21T00:00:00"/>
    <s v="Control"/>
    <s v="East"/>
    <s v="Desktop"/>
    <s v="Email"/>
    <s v="Free"/>
    <n v="1"/>
    <n v="1"/>
    <n v="1"/>
    <n v="0"/>
    <n v="0"/>
    <n v="0"/>
    <n v="0"/>
    <m/>
    <n v="54.3"/>
  </r>
  <r>
    <x v="468"/>
    <d v="2025-05-30T00:00:00"/>
    <s v="Control"/>
    <s v="North"/>
    <s v="Mobile"/>
    <s v="Organic"/>
    <s v="Basic"/>
    <n v="0"/>
    <n v="0"/>
    <n v="0"/>
    <n v="0"/>
    <n v="0"/>
    <n v="0"/>
    <n v="0"/>
    <m/>
    <n v="59.8"/>
  </r>
  <r>
    <x v="469"/>
    <d v="2025-05-20T00:00:00"/>
    <s v="Control"/>
    <s v="West"/>
    <s v="Mobile"/>
    <s v="Paid Search"/>
    <s v="Free"/>
    <n v="0"/>
    <n v="0"/>
    <n v="0"/>
    <n v="0"/>
    <n v="0"/>
    <n v="0"/>
    <n v="0"/>
    <m/>
    <n v="58.9"/>
  </r>
  <r>
    <x v="470"/>
    <d v="2025-01-09T00:00:00"/>
    <s v="Control"/>
    <s v="East"/>
    <s v="Desktop"/>
    <s v="Organic"/>
    <s v="Free"/>
    <n v="0"/>
    <n v="0"/>
    <n v="0"/>
    <n v="0"/>
    <n v="0"/>
    <n v="1"/>
    <n v="0"/>
    <m/>
    <n v="52.9"/>
  </r>
  <r>
    <x v="471"/>
    <d v="2025-03-07T00:00:00"/>
    <s v="Control"/>
    <s v="West"/>
    <s v="Mobile"/>
    <s v="Organic"/>
    <s v="Free"/>
    <n v="0"/>
    <n v="0"/>
    <n v="0"/>
    <n v="0"/>
    <n v="0"/>
    <n v="0"/>
    <n v="0"/>
    <m/>
    <n v="67.8"/>
  </r>
  <r>
    <x v="472"/>
    <d v="2025-04-23T00:00:00"/>
    <s v="Control"/>
    <s v="South"/>
    <s v="Mobile"/>
    <s v="Social"/>
    <s v="Free"/>
    <n v="0"/>
    <n v="0"/>
    <n v="0"/>
    <n v="0"/>
    <n v="0"/>
    <n v="0"/>
    <n v="0"/>
    <m/>
    <n v="48.7"/>
  </r>
  <r>
    <x v="473"/>
    <d v="2025-03-08T00:00:00"/>
    <s v="Control"/>
    <s v="East"/>
    <s v="Mobile"/>
    <s v="Organic"/>
    <s v="Basic"/>
    <n v="0"/>
    <n v="0"/>
    <n v="0"/>
    <n v="0"/>
    <n v="0"/>
    <n v="0"/>
    <n v="0"/>
    <m/>
    <n v="59"/>
  </r>
  <r>
    <x v="474"/>
    <d v="2025-02-14T00:00:00"/>
    <s v="Control"/>
    <s v="South"/>
    <s v="Mobile"/>
    <s v="Referral"/>
    <s v="Free"/>
    <n v="0"/>
    <n v="0"/>
    <n v="0"/>
    <n v="0"/>
    <n v="0"/>
    <n v="0"/>
    <n v="0"/>
    <m/>
    <n v="63.2"/>
  </r>
  <r>
    <x v="475"/>
    <d v="2025-05-17T00:00:00"/>
    <s v="Control"/>
    <s v="West"/>
    <s v="Mobile"/>
    <s v="Referral"/>
    <s v="Basic"/>
    <n v="1"/>
    <n v="0"/>
    <n v="0"/>
    <n v="0"/>
    <n v="0"/>
    <n v="0"/>
    <n v="0"/>
    <m/>
    <n v="68.7"/>
  </r>
  <r>
    <x v="476"/>
    <d v="2025-04-25T00:00:00"/>
    <s v="Control"/>
    <s v="South"/>
    <s v="Mobile"/>
    <s v="Referral"/>
    <s v="Free"/>
    <n v="0"/>
    <n v="0"/>
    <n v="0"/>
    <n v="0"/>
    <n v="0"/>
    <n v="0"/>
    <n v="0"/>
    <m/>
    <n v="52.1"/>
  </r>
  <r>
    <x v="477"/>
    <d v="2025-03-04T00:00:00"/>
    <s v="Control"/>
    <s v="South"/>
    <s v="Desktop"/>
    <s v="Social"/>
    <s v="Basic"/>
    <n v="0"/>
    <n v="0"/>
    <n v="0"/>
    <n v="0"/>
    <n v="0"/>
    <n v="0"/>
    <n v="0"/>
    <m/>
    <n v="56.5"/>
  </r>
  <r>
    <x v="478"/>
    <d v="2025-03-18T00:00:00"/>
    <s v="Control"/>
    <s v="South"/>
    <s v="Mobile"/>
    <s v="Organic"/>
    <s v="Free"/>
    <n v="1"/>
    <n v="0"/>
    <n v="0"/>
    <n v="0"/>
    <n v="0"/>
    <n v="0"/>
    <n v="0"/>
    <m/>
    <n v="64.400000000000006"/>
  </r>
  <r>
    <x v="479"/>
    <d v="2025-01-30T00:00:00"/>
    <s v="Control"/>
    <s v="West"/>
    <s v="Mobile"/>
    <s v="Paid Search"/>
    <s v="Premium"/>
    <n v="1"/>
    <n v="0"/>
    <n v="0"/>
    <n v="0"/>
    <n v="0"/>
    <n v="0"/>
    <n v="0"/>
    <m/>
    <n v="65.900000000000006"/>
  </r>
  <r>
    <x v="480"/>
    <d v="2025-05-20T00:00:00"/>
    <s v="Control"/>
    <s v="West"/>
    <s v="Tablet"/>
    <s v="Referral"/>
    <s v="Free"/>
    <n v="1"/>
    <n v="1"/>
    <n v="1"/>
    <n v="0"/>
    <n v="0"/>
    <n v="0"/>
    <n v="0"/>
    <m/>
    <n v="100"/>
  </r>
  <r>
    <x v="481"/>
    <d v="2025-02-13T00:00:00"/>
    <s v="Control"/>
    <s v="North"/>
    <m/>
    <s v="Organic"/>
    <s v="Basic"/>
    <n v="1"/>
    <n v="1"/>
    <n v="1"/>
    <n v="0"/>
    <n v="0"/>
    <n v="0"/>
    <n v="0"/>
    <m/>
    <n v="50.4"/>
  </r>
  <r>
    <x v="482"/>
    <d v="2025-04-12T00:00:00"/>
    <s v="Control"/>
    <s v="West"/>
    <s v="Desktop"/>
    <s v="Organic"/>
    <s v="Basic"/>
    <n v="0"/>
    <n v="0"/>
    <n v="0"/>
    <n v="0"/>
    <n v="0"/>
    <n v="0"/>
    <n v="0"/>
    <m/>
    <n v="41.5"/>
  </r>
  <r>
    <x v="483"/>
    <d v="2025-04-07T00:00:00"/>
    <s v="Control"/>
    <s v="North"/>
    <s v="Mobile"/>
    <s v="Email"/>
    <s v="Free"/>
    <n v="0"/>
    <n v="0"/>
    <n v="0"/>
    <n v="0"/>
    <n v="0"/>
    <n v="0"/>
    <n v="0"/>
    <m/>
    <n v="86.2"/>
  </r>
  <r>
    <x v="484"/>
    <d v="2025-03-12T00:00:00"/>
    <s v="Control"/>
    <s v="North"/>
    <s v="Desktop"/>
    <s v="Social"/>
    <s v="Free"/>
    <n v="1"/>
    <n v="1"/>
    <n v="1"/>
    <n v="0"/>
    <n v="0"/>
    <n v="2"/>
    <n v="0"/>
    <m/>
    <n v="50.8"/>
  </r>
  <r>
    <x v="485"/>
    <d v="2025-02-07T00:00:00"/>
    <s v="Control"/>
    <s v="West"/>
    <s v="Mobile"/>
    <s v="Organic"/>
    <s v="Free"/>
    <n v="1"/>
    <n v="0"/>
    <n v="0"/>
    <n v="0"/>
    <n v="0"/>
    <n v="0"/>
    <n v="0"/>
    <m/>
    <n v="50.9"/>
  </r>
  <r>
    <x v="486"/>
    <d v="2025-05-05T00:00:00"/>
    <s v="Control"/>
    <s v="North"/>
    <s v="Mobile"/>
    <s v="Organic"/>
    <s v="Premium"/>
    <n v="1"/>
    <n v="1"/>
    <n v="0"/>
    <n v="0"/>
    <n v="0"/>
    <n v="0"/>
    <n v="0"/>
    <m/>
    <n v="87.5"/>
  </r>
  <r>
    <x v="487"/>
    <d v="2025-03-18T00:00:00"/>
    <s v="Control"/>
    <s v="South"/>
    <s v="Mobile"/>
    <s v="Referral"/>
    <s v="Free"/>
    <n v="0"/>
    <n v="0"/>
    <n v="0"/>
    <n v="0"/>
    <n v="0"/>
    <n v="0"/>
    <n v="0"/>
    <m/>
    <n v="43.6"/>
  </r>
  <r>
    <x v="488"/>
    <d v="2025-01-05T00:00:00"/>
    <s v="Control"/>
    <s v="South"/>
    <s v="Mobile"/>
    <s v="Paid Search"/>
    <s v="Basic"/>
    <n v="1"/>
    <n v="0"/>
    <n v="0"/>
    <n v="0"/>
    <n v="0"/>
    <n v="0"/>
    <n v="0"/>
    <m/>
    <n v="55.5"/>
  </r>
  <r>
    <x v="489"/>
    <d v="2025-05-10T00:00:00"/>
    <s v="Control"/>
    <s v="South"/>
    <s v="Desktop"/>
    <s v="Referral"/>
    <s v="Basic"/>
    <n v="0"/>
    <n v="0"/>
    <n v="0"/>
    <n v="0"/>
    <n v="0"/>
    <n v="0"/>
    <n v="0"/>
    <m/>
    <n v="78.599999999999994"/>
  </r>
  <r>
    <x v="490"/>
    <d v="2025-01-03T00:00:00"/>
    <s v="Control"/>
    <s v="South"/>
    <s v="Mobile"/>
    <s v="Social"/>
    <s v="Basic"/>
    <n v="1"/>
    <n v="1"/>
    <n v="0"/>
    <n v="0"/>
    <n v="0"/>
    <n v="1"/>
    <n v="0"/>
    <m/>
    <n v="44.3"/>
  </r>
  <r>
    <x v="491"/>
    <d v="2025-05-08T00:00:00"/>
    <s v="Control"/>
    <s v="South"/>
    <s v="Mobile"/>
    <s v="Paid Search"/>
    <s v="Free"/>
    <n v="1"/>
    <n v="1"/>
    <n v="0"/>
    <n v="0"/>
    <n v="0"/>
    <n v="0"/>
    <n v="0"/>
    <m/>
    <n v="45.2"/>
  </r>
  <r>
    <x v="492"/>
    <d v="2025-03-05T00:00:00"/>
    <s v="Control"/>
    <s v="South"/>
    <s v="Desktop"/>
    <s v="Email"/>
    <s v="Basic"/>
    <n v="1"/>
    <n v="0"/>
    <n v="0"/>
    <n v="0"/>
    <n v="0"/>
    <n v="2"/>
    <n v="0"/>
    <m/>
    <n v="46.1"/>
  </r>
  <r>
    <x v="493"/>
    <d v="2025-02-17T00:00:00"/>
    <s v="Control"/>
    <s v="North"/>
    <s v="Mobile"/>
    <s v="Organic"/>
    <s v="Premium"/>
    <n v="1"/>
    <n v="0"/>
    <n v="0"/>
    <n v="0"/>
    <n v="0"/>
    <n v="0"/>
    <n v="0"/>
    <m/>
    <n v="49.6"/>
  </r>
  <r>
    <x v="494"/>
    <d v="2025-01-09T00:00:00"/>
    <s v="Control"/>
    <s v="South"/>
    <s v="Mobile"/>
    <s v="Referral"/>
    <s v="Basic"/>
    <n v="0"/>
    <n v="0"/>
    <n v="0"/>
    <n v="0"/>
    <n v="0"/>
    <n v="0"/>
    <n v="0"/>
    <m/>
    <n v="70.5"/>
  </r>
  <r>
    <x v="495"/>
    <d v="2025-05-05T00:00:00"/>
    <s v="Control"/>
    <s v="South"/>
    <s v="Mobile"/>
    <s v="Email"/>
    <s v="Basic"/>
    <n v="0"/>
    <n v="0"/>
    <n v="0"/>
    <n v="0"/>
    <n v="0"/>
    <n v="1"/>
    <n v="0"/>
    <m/>
    <n v="60.8"/>
  </r>
  <r>
    <x v="496"/>
    <d v="2025-04-16T00:00:00"/>
    <s v="Control"/>
    <s v="East"/>
    <s v="Mobile"/>
    <s v="Email"/>
    <s v="Basic"/>
    <n v="0"/>
    <n v="0"/>
    <n v="0"/>
    <n v="0"/>
    <n v="0"/>
    <n v="1"/>
    <n v="0"/>
    <m/>
    <n v="50.5"/>
  </r>
  <r>
    <x v="497"/>
    <d v="2025-03-02T00:00:00"/>
    <s v="Control"/>
    <s v="South"/>
    <s v="Desktop"/>
    <s v="Organic"/>
    <s v="Free"/>
    <n v="1"/>
    <n v="0"/>
    <n v="0"/>
    <n v="0"/>
    <n v="0"/>
    <n v="0"/>
    <n v="0"/>
    <m/>
    <n v="54.9"/>
  </r>
  <r>
    <x v="498"/>
    <d v="2025-04-14T00:00:00"/>
    <s v="Control"/>
    <s v="South"/>
    <s v="Mobile"/>
    <s v="Social"/>
    <s v="Premium"/>
    <n v="0"/>
    <n v="0"/>
    <n v="0"/>
    <n v="0"/>
    <n v="0"/>
    <n v="0"/>
    <n v="0"/>
    <m/>
    <n v="29.9"/>
  </r>
  <r>
    <x v="499"/>
    <d v="2025-02-15T00:00:00"/>
    <s v="Control"/>
    <s v="East"/>
    <s v="Desktop"/>
    <s v="Paid Search"/>
    <s v="Basic"/>
    <n v="0"/>
    <n v="0"/>
    <n v="0"/>
    <n v="0"/>
    <n v="0"/>
    <n v="0"/>
    <n v="0"/>
    <m/>
    <n v="48.3"/>
  </r>
  <r>
    <x v="500"/>
    <d v="2025-02-13T00:00:00"/>
    <s v="Control"/>
    <s v="West"/>
    <s v="Mobile"/>
    <s v="Social"/>
    <s v="Free"/>
    <n v="1"/>
    <n v="1"/>
    <n v="1"/>
    <n v="1"/>
    <n v="513.61"/>
    <n v="0"/>
    <n v="0"/>
    <n v="7"/>
    <n v="41.3"/>
  </r>
  <r>
    <x v="501"/>
    <d v="2025-03-06T00:00:00"/>
    <s v="Control"/>
    <s v="North"/>
    <s v="Mobile"/>
    <s v="Email"/>
    <s v="Free"/>
    <n v="0"/>
    <n v="0"/>
    <n v="0"/>
    <n v="0"/>
    <n v="0"/>
    <n v="0"/>
    <n v="0"/>
    <m/>
    <n v="61.4"/>
  </r>
  <r>
    <x v="502"/>
    <d v="2025-02-18T00:00:00"/>
    <s v="Control"/>
    <s v="South"/>
    <s v="Desktop"/>
    <s v="Social"/>
    <s v="Free"/>
    <n v="0"/>
    <n v="0"/>
    <n v="0"/>
    <n v="0"/>
    <n v="0"/>
    <n v="0"/>
    <n v="0"/>
    <m/>
    <n v="57.8"/>
  </r>
  <r>
    <x v="503"/>
    <d v="2025-04-07T00:00:00"/>
    <s v="Control"/>
    <s v="North"/>
    <s v="Desktop"/>
    <s v="Organic"/>
    <s v="Free"/>
    <n v="0"/>
    <n v="0"/>
    <n v="0"/>
    <n v="0"/>
    <n v="0"/>
    <n v="0"/>
    <n v="0"/>
    <m/>
    <n v="78.2"/>
  </r>
  <r>
    <x v="504"/>
    <d v="2025-04-06T00:00:00"/>
    <s v="Control"/>
    <s v="North"/>
    <s v="Mobile"/>
    <s v="Referral"/>
    <s v="Free"/>
    <n v="0"/>
    <n v="0"/>
    <n v="0"/>
    <n v="0"/>
    <n v="0"/>
    <n v="0"/>
    <n v="0"/>
    <m/>
    <n v="63.8"/>
  </r>
  <r>
    <x v="505"/>
    <d v="2025-01-30T00:00:00"/>
    <s v="Control"/>
    <s v="North"/>
    <s v="Desktop"/>
    <s v="Social"/>
    <s v="Free"/>
    <n v="1"/>
    <n v="0"/>
    <n v="0"/>
    <n v="0"/>
    <n v="0"/>
    <n v="0"/>
    <n v="0"/>
    <m/>
    <n v="56.8"/>
  </r>
  <r>
    <x v="506"/>
    <d v="2025-05-13T00:00:00"/>
    <s v="Control"/>
    <s v="South"/>
    <s v="Desktop"/>
    <s v="Organic"/>
    <s v="Basic"/>
    <n v="1"/>
    <n v="1"/>
    <n v="0"/>
    <n v="0"/>
    <n v="0"/>
    <n v="0"/>
    <n v="0"/>
    <m/>
    <n v="59.6"/>
  </r>
  <r>
    <x v="507"/>
    <d v="2025-01-20T00:00:00"/>
    <s v="Control"/>
    <s v="West"/>
    <s v="Mobile"/>
    <s v="Paid Search"/>
    <s v="Premium"/>
    <n v="1"/>
    <n v="1"/>
    <n v="0"/>
    <n v="0"/>
    <n v="0"/>
    <n v="0"/>
    <n v="0"/>
    <m/>
    <n v="50"/>
  </r>
  <r>
    <x v="508"/>
    <d v="2025-01-30T00:00:00"/>
    <s v="Control"/>
    <s v="North"/>
    <s v="Tablet"/>
    <s v="Organic"/>
    <s v="Free"/>
    <n v="1"/>
    <n v="0"/>
    <n v="0"/>
    <n v="0"/>
    <n v="0"/>
    <n v="0"/>
    <n v="0"/>
    <m/>
    <n v="35.700000000000003"/>
  </r>
  <r>
    <x v="509"/>
    <d v="2025-01-13T00:00:00"/>
    <s v="Control"/>
    <s v="South"/>
    <s v="Mobile"/>
    <s v="Organic"/>
    <s v="Free"/>
    <n v="0"/>
    <n v="0"/>
    <n v="0"/>
    <n v="0"/>
    <n v="0"/>
    <n v="2"/>
    <n v="0"/>
    <m/>
    <n v="47.2"/>
  </r>
  <r>
    <x v="510"/>
    <d v="2025-02-11T00:00:00"/>
    <s v="Control"/>
    <s v="North"/>
    <s v="Mobile"/>
    <s v="Social"/>
    <s v="Free"/>
    <n v="1"/>
    <n v="1"/>
    <n v="0"/>
    <n v="0"/>
    <n v="0"/>
    <n v="0"/>
    <n v="0"/>
    <m/>
    <n v="56.9"/>
  </r>
  <r>
    <x v="511"/>
    <d v="2025-04-15T00:00:00"/>
    <s v="Control"/>
    <s v="South"/>
    <s v="Mobile"/>
    <s v="Organic"/>
    <s v="Free"/>
    <n v="0"/>
    <n v="0"/>
    <n v="0"/>
    <n v="0"/>
    <n v="0"/>
    <n v="1"/>
    <n v="0"/>
    <m/>
    <n v="57.2"/>
  </r>
  <r>
    <x v="512"/>
    <d v="2025-02-13T00:00:00"/>
    <s v="Control"/>
    <s v="South"/>
    <s v="Mobile"/>
    <m/>
    <s v="Free"/>
    <n v="1"/>
    <n v="1"/>
    <n v="0"/>
    <n v="0"/>
    <n v="0"/>
    <n v="0"/>
    <n v="0"/>
    <m/>
    <n v="31.4"/>
  </r>
  <r>
    <x v="513"/>
    <d v="2025-05-09T00:00:00"/>
    <s v="Control"/>
    <s v="South"/>
    <s v="Desktop"/>
    <s v="Organic"/>
    <s v="Free"/>
    <n v="0"/>
    <n v="0"/>
    <n v="0"/>
    <n v="0"/>
    <n v="0"/>
    <n v="0"/>
    <n v="0"/>
    <m/>
    <n v="71.2"/>
  </r>
  <r>
    <x v="514"/>
    <d v="2025-03-10T00:00:00"/>
    <s v="Control"/>
    <s v="North"/>
    <s v="Mobile"/>
    <s v="Paid Search"/>
    <s v="Free"/>
    <n v="1"/>
    <n v="1"/>
    <n v="1"/>
    <n v="0"/>
    <n v="0"/>
    <n v="1"/>
    <n v="0"/>
    <m/>
    <n v="38.299999999999997"/>
  </r>
  <r>
    <x v="515"/>
    <d v="2025-04-01T00:00:00"/>
    <s v="Control"/>
    <s v="North"/>
    <s v="Mobile"/>
    <s v="Organic"/>
    <s v="Free"/>
    <n v="1"/>
    <n v="1"/>
    <n v="0"/>
    <n v="0"/>
    <n v="0"/>
    <n v="0"/>
    <n v="0"/>
    <m/>
    <n v="63.1"/>
  </r>
  <r>
    <x v="516"/>
    <d v="2025-05-15T00:00:00"/>
    <s v="Control"/>
    <s v="East"/>
    <s v="Mobile"/>
    <s v="Referral"/>
    <s v="Basic"/>
    <n v="1"/>
    <n v="0"/>
    <n v="0"/>
    <n v="0"/>
    <n v="0"/>
    <n v="0"/>
    <n v="0"/>
    <m/>
    <n v="59.7"/>
  </r>
  <r>
    <x v="517"/>
    <d v="2025-05-04T00:00:00"/>
    <s v="Control"/>
    <s v="South"/>
    <s v="Desktop"/>
    <s v="Social"/>
    <s v="Premium"/>
    <n v="1"/>
    <n v="1"/>
    <n v="1"/>
    <n v="0"/>
    <n v="0"/>
    <n v="0"/>
    <n v="0"/>
    <m/>
    <n v="59.5"/>
  </r>
  <r>
    <x v="518"/>
    <d v="2025-05-20T00:00:00"/>
    <s v="Control"/>
    <s v="East"/>
    <s v="Mobile"/>
    <s v="Paid Search"/>
    <s v="Free"/>
    <n v="0"/>
    <n v="0"/>
    <n v="0"/>
    <n v="0"/>
    <n v="0"/>
    <n v="0"/>
    <n v="0"/>
    <m/>
    <n v="78.8"/>
  </r>
  <r>
    <x v="519"/>
    <d v="2025-05-16T00:00:00"/>
    <s v="Control"/>
    <s v="West"/>
    <s v="Desktop"/>
    <s v="Referral"/>
    <s v="Free"/>
    <n v="0"/>
    <n v="0"/>
    <n v="0"/>
    <n v="0"/>
    <n v="0"/>
    <n v="0"/>
    <n v="0"/>
    <m/>
    <n v="54"/>
  </r>
  <r>
    <x v="520"/>
    <d v="2025-03-17T00:00:00"/>
    <s v="Control"/>
    <s v="West"/>
    <s v="Mobile"/>
    <s v="Organic"/>
    <s v="Free"/>
    <n v="1"/>
    <n v="0"/>
    <n v="0"/>
    <n v="0"/>
    <n v="0"/>
    <n v="0"/>
    <n v="0"/>
    <m/>
    <n v="66.3"/>
  </r>
  <r>
    <x v="521"/>
    <d v="2025-01-27T00:00:00"/>
    <s v="Control"/>
    <s v="East"/>
    <s v="Tablet"/>
    <s v="Paid Search"/>
    <s v="Free"/>
    <n v="1"/>
    <n v="1"/>
    <n v="0"/>
    <n v="0"/>
    <n v="0"/>
    <n v="0"/>
    <n v="0"/>
    <m/>
    <n v="54.7"/>
  </r>
  <r>
    <x v="522"/>
    <d v="2025-04-13T00:00:00"/>
    <s v="Control"/>
    <s v="South"/>
    <s v="Mobile"/>
    <s v="Organic"/>
    <s v="Basic"/>
    <n v="1"/>
    <n v="0"/>
    <n v="0"/>
    <n v="0"/>
    <n v="0"/>
    <n v="0"/>
    <n v="0"/>
    <m/>
    <n v="76.7"/>
  </r>
  <r>
    <x v="523"/>
    <d v="2025-05-03T00:00:00"/>
    <s v="Control"/>
    <s v="South"/>
    <s v="Desktop"/>
    <s v="Email"/>
    <s v="Basic"/>
    <n v="1"/>
    <n v="0"/>
    <n v="0"/>
    <n v="0"/>
    <n v="0"/>
    <n v="2"/>
    <n v="0"/>
    <m/>
    <n v="47.4"/>
  </r>
  <r>
    <x v="524"/>
    <d v="2025-03-30T00:00:00"/>
    <s v="Control"/>
    <s v="North"/>
    <s v="Mobile"/>
    <s v="Organic"/>
    <s v="Free"/>
    <n v="1"/>
    <n v="1"/>
    <n v="1"/>
    <n v="0"/>
    <n v="0"/>
    <n v="0"/>
    <n v="0"/>
    <m/>
    <n v="81.7"/>
  </r>
  <r>
    <x v="525"/>
    <d v="2025-01-01T00:00:00"/>
    <s v="Control"/>
    <s v="West"/>
    <s v="Mobile"/>
    <s v="Paid Search"/>
    <s v="Basic"/>
    <n v="1"/>
    <n v="1"/>
    <n v="1"/>
    <n v="0"/>
    <n v="0"/>
    <n v="0"/>
    <n v="0"/>
    <m/>
    <n v="67.5"/>
  </r>
  <r>
    <x v="526"/>
    <d v="2025-02-06T00:00:00"/>
    <s v="Control"/>
    <s v="West"/>
    <s v="Mobile"/>
    <s v="Paid Search"/>
    <s v="Basic"/>
    <n v="1"/>
    <n v="0"/>
    <n v="0"/>
    <n v="0"/>
    <n v="0"/>
    <n v="0"/>
    <n v="0"/>
    <m/>
    <n v="36.799999999999997"/>
  </r>
  <r>
    <x v="527"/>
    <d v="2025-02-25T00:00:00"/>
    <s v="Control"/>
    <s v="North"/>
    <s v="Desktop"/>
    <s v="Organic"/>
    <s v="Free"/>
    <n v="0"/>
    <n v="0"/>
    <n v="0"/>
    <n v="0"/>
    <n v="0"/>
    <n v="0"/>
    <n v="0"/>
    <m/>
    <n v="66.5"/>
  </r>
  <r>
    <x v="528"/>
    <d v="2025-05-14T00:00:00"/>
    <s v="Control"/>
    <s v="East"/>
    <s v="Tablet"/>
    <s v="Social"/>
    <s v="Free"/>
    <n v="1"/>
    <n v="0"/>
    <n v="0"/>
    <n v="0"/>
    <n v="0"/>
    <n v="0"/>
    <n v="0"/>
    <m/>
    <n v="35.4"/>
  </r>
  <r>
    <x v="529"/>
    <d v="2025-05-20T00:00:00"/>
    <s v="Control"/>
    <s v="South"/>
    <s v="Mobile"/>
    <s v="Organic"/>
    <s v="Basic"/>
    <n v="0"/>
    <n v="0"/>
    <n v="0"/>
    <n v="0"/>
    <n v="0"/>
    <n v="0"/>
    <n v="0"/>
    <m/>
    <n v="64.3"/>
  </r>
  <r>
    <x v="530"/>
    <d v="2025-02-11T00:00:00"/>
    <s v="Control"/>
    <s v="South"/>
    <s v="Mobile"/>
    <s v="Organic"/>
    <s v="Free"/>
    <n v="0"/>
    <n v="0"/>
    <n v="0"/>
    <n v="0"/>
    <n v="0"/>
    <n v="0"/>
    <n v="0"/>
    <m/>
    <n v="49.1"/>
  </r>
  <r>
    <x v="531"/>
    <d v="2025-02-13T00:00:00"/>
    <s v="Control"/>
    <s v="West"/>
    <s v="Mobile"/>
    <s v="Organic"/>
    <s v="Free"/>
    <n v="1"/>
    <n v="0"/>
    <n v="0"/>
    <n v="0"/>
    <n v="0"/>
    <n v="0"/>
    <n v="0"/>
    <m/>
    <n v="84.3"/>
  </r>
  <r>
    <x v="532"/>
    <d v="2025-04-07T00:00:00"/>
    <s v="Control"/>
    <s v="South"/>
    <s v="Mobile"/>
    <s v="Paid Search"/>
    <s v="Premium"/>
    <n v="1"/>
    <n v="0"/>
    <n v="0"/>
    <n v="0"/>
    <n v="0"/>
    <n v="0"/>
    <n v="0"/>
    <m/>
    <n v="65.599999999999994"/>
  </r>
  <r>
    <x v="533"/>
    <d v="2025-03-08T00:00:00"/>
    <s v="Control"/>
    <s v="East"/>
    <s v="Mobile"/>
    <s v="Email"/>
    <s v="Free"/>
    <n v="1"/>
    <n v="0"/>
    <n v="0"/>
    <n v="0"/>
    <n v="0"/>
    <n v="0"/>
    <n v="0"/>
    <m/>
    <n v="47.1"/>
  </r>
  <r>
    <x v="534"/>
    <d v="2025-02-16T00:00:00"/>
    <s v="Control"/>
    <s v="North"/>
    <s v="Desktop"/>
    <s v="Paid Search"/>
    <s v="Free"/>
    <n v="1"/>
    <n v="1"/>
    <n v="1"/>
    <n v="0"/>
    <n v="0"/>
    <n v="0"/>
    <n v="0"/>
    <m/>
    <n v="70"/>
  </r>
  <r>
    <x v="535"/>
    <d v="2025-04-28T00:00:00"/>
    <s v="Control"/>
    <s v="South"/>
    <s v="Mobile"/>
    <s v="Paid Search"/>
    <s v="Premium"/>
    <n v="1"/>
    <n v="0"/>
    <n v="0"/>
    <n v="0"/>
    <n v="0"/>
    <n v="0"/>
    <n v="0"/>
    <m/>
    <n v="54.6"/>
  </r>
  <r>
    <x v="536"/>
    <d v="2025-03-10T00:00:00"/>
    <s v="Control"/>
    <s v="West"/>
    <s v="Tablet"/>
    <s v="Social"/>
    <s v="Basic"/>
    <n v="1"/>
    <n v="1"/>
    <n v="0"/>
    <n v="0"/>
    <n v="0"/>
    <n v="1"/>
    <n v="0"/>
    <m/>
    <n v="65.2"/>
  </r>
  <r>
    <x v="537"/>
    <d v="2025-01-25T00:00:00"/>
    <s v="Control"/>
    <s v="East"/>
    <s v="Mobile"/>
    <s v="Social"/>
    <s v="Free"/>
    <n v="1"/>
    <n v="0"/>
    <n v="0"/>
    <n v="0"/>
    <n v="0"/>
    <n v="0"/>
    <n v="0"/>
    <m/>
    <n v="65"/>
  </r>
  <r>
    <x v="538"/>
    <d v="2025-01-11T00:00:00"/>
    <s v="Control"/>
    <s v="West"/>
    <s v="Mobile"/>
    <s v="Paid Search"/>
    <s v="Premium"/>
    <n v="1"/>
    <n v="1"/>
    <n v="1"/>
    <n v="0"/>
    <n v="0"/>
    <n v="1"/>
    <n v="0"/>
    <m/>
    <n v="42.1"/>
  </r>
  <r>
    <x v="539"/>
    <d v="2025-03-31T00:00:00"/>
    <s v="Control"/>
    <s v="West"/>
    <s v="Tablet"/>
    <s v="Paid Search"/>
    <s v="Free"/>
    <n v="1"/>
    <n v="0"/>
    <n v="0"/>
    <n v="0"/>
    <n v="0"/>
    <n v="0"/>
    <n v="0"/>
    <m/>
    <n v="43.4"/>
  </r>
  <r>
    <x v="540"/>
    <d v="2025-05-22T00:00:00"/>
    <s v="Control"/>
    <s v="North"/>
    <s v="Mobile"/>
    <s v="Paid Search"/>
    <s v="Basic"/>
    <n v="1"/>
    <n v="1"/>
    <n v="0"/>
    <n v="0"/>
    <n v="0"/>
    <n v="0"/>
    <n v="0"/>
    <m/>
    <n v="39.9"/>
  </r>
  <r>
    <x v="541"/>
    <d v="2025-05-16T00:00:00"/>
    <s v="Control"/>
    <s v="North"/>
    <s v="Mobile"/>
    <s v="Referral"/>
    <s v="Basic"/>
    <n v="0"/>
    <n v="0"/>
    <n v="0"/>
    <n v="0"/>
    <n v="0"/>
    <n v="0"/>
    <n v="0"/>
    <m/>
    <n v="74.099999999999994"/>
  </r>
  <r>
    <x v="542"/>
    <d v="2025-04-25T00:00:00"/>
    <s v="Control"/>
    <s v="East"/>
    <s v="Desktop"/>
    <s v="Paid Search"/>
    <s v="Free"/>
    <n v="1"/>
    <n v="0"/>
    <n v="0"/>
    <n v="0"/>
    <n v="0"/>
    <n v="0"/>
    <n v="0"/>
    <m/>
    <n v="61.4"/>
  </r>
  <r>
    <x v="543"/>
    <d v="2025-04-17T00:00:00"/>
    <s v="Control"/>
    <s v="East"/>
    <s v="Mobile"/>
    <s v="Social"/>
    <s v="Premium"/>
    <n v="1"/>
    <n v="1"/>
    <n v="1"/>
    <n v="0"/>
    <n v="0"/>
    <n v="0"/>
    <n v="0"/>
    <m/>
    <n v="76.8"/>
  </r>
  <r>
    <x v="544"/>
    <d v="2025-01-01T00:00:00"/>
    <s v="Control"/>
    <s v="South"/>
    <s v="Desktop"/>
    <s v="Social"/>
    <s v="Basic"/>
    <n v="0"/>
    <n v="0"/>
    <n v="0"/>
    <n v="0"/>
    <n v="0"/>
    <n v="0"/>
    <n v="0"/>
    <m/>
    <m/>
  </r>
  <r>
    <x v="545"/>
    <d v="2025-03-18T00:00:00"/>
    <s v="Control"/>
    <s v="East"/>
    <s v="Mobile"/>
    <s v="Paid Search"/>
    <s v="Basic"/>
    <n v="1"/>
    <n v="1"/>
    <n v="1"/>
    <n v="0"/>
    <n v="0"/>
    <n v="0"/>
    <n v="0"/>
    <m/>
    <n v="45.3"/>
  </r>
  <r>
    <x v="546"/>
    <d v="2025-05-20T00:00:00"/>
    <s v="Control"/>
    <s v="North"/>
    <s v="Tablet"/>
    <s v="Paid Search"/>
    <s v="Free"/>
    <n v="1"/>
    <n v="0"/>
    <n v="0"/>
    <n v="0"/>
    <n v="0"/>
    <n v="0"/>
    <n v="0"/>
    <m/>
    <n v="41.4"/>
  </r>
  <r>
    <x v="547"/>
    <d v="2025-03-16T00:00:00"/>
    <s v="Control"/>
    <s v="North"/>
    <s v="Mobile"/>
    <s v="Organic"/>
    <s v="Basic"/>
    <n v="1"/>
    <n v="0"/>
    <n v="0"/>
    <n v="0"/>
    <n v="0"/>
    <n v="0"/>
    <n v="0"/>
    <m/>
    <n v="37.1"/>
  </r>
  <r>
    <x v="548"/>
    <d v="2025-05-30T00:00:00"/>
    <s v="Control"/>
    <s v="East"/>
    <s v="Desktop"/>
    <s v="Social"/>
    <s v="Free"/>
    <n v="1"/>
    <n v="0"/>
    <n v="0"/>
    <n v="0"/>
    <n v="0"/>
    <n v="0"/>
    <n v="0"/>
    <m/>
    <n v="40.700000000000003"/>
  </r>
  <r>
    <x v="549"/>
    <d v="2025-02-20T00:00:00"/>
    <s v="Control"/>
    <s v="North"/>
    <s v="Mobile"/>
    <s v="Social"/>
    <s v="Premium"/>
    <n v="0"/>
    <n v="0"/>
    <n v="0"/>
    <n v="0"/>
    <n v="0"/>
    <n v="2"/>
    <n v="0"/>
    <m/>
    <n v="55.9"/>
  </r>
  <r>
    <x v="550"/>
    <d v="2025-02-11T00:00:00"/>
    <s v="Control"/>
    <s v="East"/>
    <m/>
    <s v="Social"/>
    <s v="Free"/>
    <n v="1"/>
    <n v="1"/>
    <n v="0"/>
    <n v="0"/>
    <n v="0"/>
    <n v="0"/>
    <n v="0"/>
    <m/>
    <n v="55.8"/>
  </r>
  <r>
    <x v="551"/>
    <d v="2025-01-02T00:00:00"/>
    <s v="Control"/>
    <s v="South"/>
    <s v="Tablet"/>
    <s v="Referral"/>
    <s v="Basic"/>
    <n v="1"/>
    <n v="0"/>
    <n v="0"/>
    <n v="0"/>
    <n v="0"/>
    <n v="0"/>
    <n v="0"/>
    <m/>
    <n v="64.3"/>
  </r>
  <r>
    <x v="552"/>
    <d v="2025-05-03T00:00:00"/>
    <s v="Control"/>
    <s v="North"/>
    <s v="Mobile"/>
    <s v="Organic"/>
    <s v="Free"/>
    <n v="0"/>
    <n v="0"/>
    <n v="0"/>
    <n v="0"/>
    <n v="0"/>
    <n v="0"/>
    <n v="0"/>
    <m/>
    <n v="65.400000000000006"/>
  </r>
  <r>
    <x v="553"/>
    <d v="2025-02-24T00:00:00"/>
    <s v="Control"/>
    <s v="West"/>
    <s v="Mobile"/>
    <s v="Organic"/>
    <s v="Free"/>
    <n v="1"/>
    <n v="0"/>
    <n v="0"/>
    <n v="0"/>
    <n v="0"/>
    <n v="0"/>
    <n v="0"/>
    <m/>
    <n v="89.8"/>
  </r>
  <r>
    <x v="554"/>
    <d v="2025-02-11T00:00:00"/>
    <s v="Control"/>
    <s v="South"/>
    <m/>
    <s v="Organic"/>
    <s v="Free"/>
    <n v="1"/>
    <n v="1"/>
    <n v="1"/>
    <n v="0"/>
    <n v="0"/>
    <n v="0"/>
    <n v="0"/>
    <m/>
    <n v="58.3"/>
  </r>
  <r>
    <x v="555"/>
    <d v="2025-05-06T00:00:00"/>
    <s v="Control"/>
    <s v="South"/>
    <s v="Mobile"/>
    <s v="Social"/>
    <s v="Basic"/>
    <n v="1"/>
    <n v="0"/>
    <n v="0"/>
    <n v="0"/>
    <n v="0"/>
    <n v="0"/>
    <n v="0"/>
    <m/>
    <n v="64.400000000000006"/>
  </r>
  <r>
    <x v="556"/>
    <d v="2025-05-23T00:00:00"/>
    <s v="Control"/>
    <s v="North"/>
    <s v="Mobile"/>
    <s v="Paid Search"/>
    <s v="Premium"/>
    <n v="0"/>
    <n v="0"/>
    <n v="0"/>
    <n v="0"/>
    <n v="0"/>
    <n v="0"/>
    <n v="0"/>
    <m/>
    <n v="46.2"/>
  </r>
  <r>
    <x v="557"/>
    <d v="2025-01-09T00:00:00"/>
    <s v="Control"/>
    <s v="North"/>
    <s v="Desktop"/>
    <s v="Paid Search"/>
    <s v="Free"/>
    <n v="0"/>
    <n v="0"/>
    <n v="0"/>
    <n v="0"/>
    <n v="0"/>
    <n v="0"/>
    <n v="0"/>
    <m/>
    <n v="78"/>
  </r>
  <r>
    <x v="558"/>
    <d v="2025-04-01T00:00:00"/>
    <s v="Control"/>
    <s v="North"/>
    <s v="Desktop"/>
    <s v="Organic"/>
    <s v="Premium"/>
    <n v="1"/>
    <n v="0"/>
    <n v="0"/>
    <n v="0"/>
    <n v="0"/>
    <n v="0"/>
    <n v="0"/>
    <m/>
    <n v="62.3"/>
  </r>
  <r>
    <x v="559"/>
    <d v="2025-03-08T00:00:00"/>
    <s v="Control"/>
    <s v="North"/>
    <s v="Mobile"/>
    <s v="Organic"/>
    <s v="Free"/>
    <n v="1"/>
    <n v="0"/>
    <n v="0"/>
    <n v="0"/>
    <n v="0"/>
    <n v="0"/>
    <n v="0"/>
    <m/>
    <n v="78.8"/>
  </r>
  <r>
    <x v="560"/>
    <d v="2025-02-20T00:00:00"/>
    <s v="Control"/>
    <s v="North"/>
    <s v="Mobile"/>
    <s v="Social"/>
    <s v="Basic"/>
    <n v="1"/>
    <n v="0"/>
    <n v="0"/>
    <n v="0"/>
    <n v="0"/>
    <n v="0"/>
    <n v="0"/>
    <m/>
    <n v="25"/>
  </r>
  <r>
    <x v="561"/>
    <d v="2025-03-30T00:00:00"/>
    <s v="Control"/>
    <s v="East"/>
    <s v="Mobile"/>
    <s v="Social"/>
    <s v="Basic"/>
    <n v="0"/>
    <n v="0"/>
    <n v="0"/>
    <n v="0"/>
    <n v="0"/>
    <n v="0"/>
    <n v="0"/>
    <m/>
    <n v="53.4"/>
  </r>
  <r>
    <x v="562"/>
    <d v="2025-04-10T00:00:00"/>
    <s v="Control"/>
    <s v="East"/>
    <s v="Desktop"/>
    <s v="Organic"/>
    <s v="Basic"/>
    <n v="0"/>
    <n v="0"/>
    <n v="0"/>
    <n v="0"/>
    <n v="0"/>
    <n v="0"/>
    <n v="0"/>
    <m/>
    <n v="40.700000000000003"/>
  </r>
  <r>
    <x v="563"/>
    <d v="2025-03-24T00:00:00"/>
    <s v="Control"/>
    <s v="East"/>
    <s v="Mobile"/>
    <s v="Organic"/>
    <s v="Premium"/>
    <n v="1"/>
    <n v="1"/>
    <n v="0"/>
    <n v="0"/>
    <n v="0"/>
    <n v="0"/>
    <n v="0"/>
    <m/>
    <n v="36.700000000000003"/>
  </r>
  <r>
    <x v="564"/>
    <d v="2025-05-21T00:00:00"/>
    <s v="Control"/>
    <s v="West"/>
    <s v="Mobile"/>
    <s v="Organic"/>
    <s v="Basic"/>
    <n v="1"/>
    <n v="0"/>
    <n v="0"/>
    <n v="0"/>
    <n v="0"/>
    <n v="1"/>
    <n v="0"/>
    <m/>
    <n v="67.5"/>
  </r>
  <r>
    <x v="565"/>
    <d v="2025-03-29T00:00:00"/>
    <s v="Control"/>
    <s v="East"/>
    <s v="Mobile"/>
    <s v="Social"/>
    <s v="Premium"/>
    <n v="1"/>
    <n v="1"/>
    <n v="1"/>
    <n v="0"/>
    <n v="0"/>
    <n v="0"/>
    <n v="0"/>
    <m/>
    <n v="69.900000000000006"/>
  </r>
  <r>
    <x v="566"/>
    <d v="2025-02-23T00:00:00"/>
    <s v="Control"/>
    <s v="North"/>
    <s v="Tablet"/>
    <s v="Referral"/>
    <s v="Basic"/>
    <n v="1"/>
    <n v="0"/>
    <n v="0"/>
    <n v="0"/>
    <n v="0"/>
    <n v="0"/>
    <n v="0"/>
    <m/>
    <n v="65.099999999999994"/>
  </r>
  <r>
    <x v="567"/>
    <d v="2025-02-16T00:00:00"/>
    <s v="Control"/>
    <s v="West"/>
    <s v="Mobile"/>
    <s v="Paid Search"/>
    <s v="Premium"/>
    <n v="1"/>
    <n v="0"/>
    <n v="0"/>
    <n v="0"/>
    <n v="0"/>
    <n v="0"/>
    <n v="0"/>
    <m/>
    <n v="48.7"/>
  </r>
  <r>
    <x v="568"/>
    <d v="2025-02-21T00:00:00"/>
    <s v="Control"/>
    <s v="West"/>
    <s v="Desktop"/>
    <s v="Organic"/>
    <s v="Basic"/>
    <n v="1"/>
    <n v="1"/>
    <n v="0"/>
    <n v="0"/>
    <n v="0"/>
    <n v="0"/>
    <n v="0"/>
    <m/>
    <n v="47.2"/>
  </r>
  <r>
    <x v="569"/>
    <d v="2025-01-07T00:00:00"/>
    <s v="Control"/>
    <s v="North"/>
    <s v="Mobile"/>
    <s v="Referral"/>
    <s v="Free"/>
    <n v="1"/>
    <n v="0"/>
    <n v="0"/>
    <n v="0"/>
    <n v="0"/>
    <n v="2"/>
    <n v="0"/>
    <m/>
    <n v="20.3"/>
  </r>
  <r>
    <x v="570"/>
    <d v="2025-03-06T00:00:00"/>
    <s v="Control"/>
    <s v="West"/>
    <s v="Mobile"/>
    <s v="Paid Search"/>
    <s v="Free"/>
    <n v="0"/>
    <n v="0"/>
    <n v="0"/>
    <n v="0"/>
    <n v="0"/>
    <n v="1"/>
    <n v="0"/>
    <m/>
    <n v="57.8"/>
  </r>
  <r>
    <x v="571"/>
    <d v="2025-03-30T00:00:00"/>
    <s v="Control"/>
    <s v="East"/>
    <s v="Mobile"/>
    <s v="Email"/>
    <s v="Basic"/>
    <n v="1"/>
    <n v="0"/>
    <n v="0"/>
    <n v="0"/>
    <n v="0"/>
    <n v="0"/>
    <n v="0"/>
    <m/>
    <n v="78.7"/>
  </r>
  <r>
    <x v="572"/>
    <d v="2025-05-31T00:00:00"/>
    <s v="Control"/>
    <s v="South"/>
    <s v="Desktop"/>
    <s v="Organic"/>
    <s v="Free"/>
    <n v="1"/>
    <n v="0"/>
    <n v="0"/>
    <n v="0"/>
    <n v="0"/>
    <n v="0"/>
    <n v="0"/>
    <m/>
    <n v="63.6"/>
  </r>
  <r>
    <x v="573"/>
    <d v="2025-02-20T00:00:00"/>
    <s v="Control"/>
    <s v="South"/>
    <s v="Mobile"/>
    <s v="Email"/>
    <s v="Free"/>
    <n v="0"/>
    <n v="0"/>
    <n v="0"/>
    <n v="0"/>
    <n v="0"/>
    <n v="2"/>
    <n v="0"/>
    <m/>
    <n v="45.1"/>
  </r>
  <r>
    <x v="574"/>
    <d v="2025-01-13T00:00:00"/>
    <s v="Control"/>
    <s v="West"/>
    <s v="Mobile"/>
    <s v="Social"/>
    <s v="Free"/>
    <n v="0"/>
    <n v="0"/>
    <n v="0"/>
    <n v="0"/>
    <n v="0"/>
    <n v="0"/>
    <n v="0"/>
    <m/>
    <n v="77.5"/>
  </r>
  <r>
    <x v="575"/>
    <d v="2025-05-13T00:00:00"/>
    <s v="Control"/>
    <s v="East"/>
    <s v="Desktop"/>
    <s v="Paid Search"/>
    <s v="Basic"/>
    <n v="1"/>
    <n v="1"/>
    <n v="0"/>
    <n v="0"/>
    <n v="0"/>
    <n v="0"/>
    <n v="0"/>
    <m/>
    <n v="58"/>
  </r>
  <r>
    <x v="576"/>
    <d v="2025-04-21T00:00:00"/>
    <s v="Control"/>
    <s v="South"/>
    <s v="Tablet"/>
    <s v="Organic"/>
    <s v="Free"/>
    <n v="1"/>
    <n v="0"/>
    <n v="0"/>
    <n v="0"/>
    <n v="0"/>
    <n v="0"/>
    <n v="0"/>
    <m/>
    <n v="68.099999999999994"/>
  </r>
  <r>
    <x v="577"/>
    <d v="2025-03-01T00:00:00"/>
    <s v="Control"/>
    <s v="East"/>
    <s v="Tablet"/>
    <s v="Organic"/>
    <s v="Premium"/>
    <n v="1"/>
    <n v="0"/>
    <n v="0"/>
    <n v="0"/>
    <n v="0"/>
    <n v="0"/>
    <n v="0"/>
    <m/>
    <n v="35.4"/>
  </r>
  <r>
    <x v="578"/>
    <d v="2025-03-10T00:00:00"/>
    <s v="Control"/>
    <s v="West"/>
    <s v="Tablet"/>
    <s v="Organic"/>
    <s v="Free"/>
    <n v="0"/>
    <n v="0"/>
    <n v="0"/>
    <n v="0"/>
    <n v="0"/>
    <n v="0"/>
    <n v="0"/>
    <m/>
    <n v="47"/>
  </r>
  <r>
    <x v="579"/>
    <d v="2025-03-08T00:00:00"/>
    <s v="Control"/>
    <s v="East"/>
    <s v="Desktop"/>
    <s v="Paid Search"/>
    <s v="Free"/>
    <n v="0"/>
    <n v="0"/>
    <n v="0"/>
    <n v="0"/>
    <n v="0"/>
    <n v="0"/>
    <n v="0"/>
    <m/>
    <n v="75"/>
  </r>
  <r>
    <x v="580"/>
    <d v="2025-05-26T00:00:00"/>
    <s v="Control"/>
    <s v="South"/>
    <s v="Desktop"/>
    <s v="Paid Search"/>
    <s v="Free"/>
    <n v="1"/>
    <n v="1"/>
    <n v="1"/>
    <n v="0"/>
    <n v="0"/>
    <n v="3"/>
    <n v="0"/>
    <m/>
    <n v="50.2"/>
  </r>
  <r>
    <x v="581"/>
    <d v="2025-05-20T00:00:00"/>
    <s v="Control"/>
    <s v="East"/>
    <s v="Desktop"/>
    <s v="Paid Search"/>
    <s v="Free"/>
    <n v="1"/>
    <n v="0"/>
    <n v="0"/>
    <n v="0"/>
    <n v="0"/>
    <n v="0"/>
    <n v="0"/>
    <m/>
    <n v="40.1"/>
  </r>
  <r>
    <x v="582"/>
    <d v="2025-03-22T00:00:00"/>
    <s v="Control"/>
    <s v="West"/>
    <s v="Desktop"/>
    <s v="Paid Search"/>
    <s v="Free"/>
    <n v="0"/>
    <n v="0"/>
    <n v="0"/>
    <n v="0"/>
    <n v="0"/>
    <n v="0"/>
    <n v="0"/>
    <m/>
    <n v="61.1"/>
  </r>
  <r>
    <x v="583"/>
    <d v="2025-02-15T00:00:00"/>
    <s v="Control"/>
    <s v="South"/>
    <s v="Desktop"/>
    <s v="Paid Search"/>
    <s v="Free"/>
    <n v="0"/>
    <n v="0"/>
    <n v="0"/>
    <n v="0"/>
    <n v="0"/>
    <n v="0"/>
    <n v="0"/>
    <m/>
    <n v="42.4"/>
  </r>
  <r>
    <x v="584"/>
    <d v="2025-01-08T00:00:00"/>
    <s v="Control"/>
    <s v="North"/>
    <s v="Mobile"/>
    <s v="Social"/>
    <s v="Free"/>
    <n v="0"/>
    <n v="0"/>
    <n v="0"/>
    <n v="0"/>
    <n v="0"/>
    <n v="1"/>
    <n v="0"/>
    <m/>
    <n v="46.6"/>
  </r>
  <r>
    <x v="585"/>
    <d v="2025-01-29T00:00:00"/>
    <s v="Control"/>
    <s v="South"/>
    <s v="Mobile"/>
    <s v="Organic"/>
    <s v="Premium"/>
    <n v="1"/>
    <n v="1"/>
    <n v="0"/>
    <n v="0"/>
    <n v="0"/>
    <n v="0"/>
    <n v="0"/>
    <m/>
    <n v="72.099999999999994"/>
  </r>
  <r>
    <x v="586"/>
    <d v="2025-05-07T00:00:00"/>
    <s v="Control"/>
    <s v="East"/>
    <s v="Tablet"/>
    <s v="Organic"/>
    <s v="Free"/>
    <n v="0"/>
    <n v="0"/>
    <n v="0"/>
    <n v="0"/>
    <n v="0"/>
    <n v="0"/>
    <n v="0"/>
    <m/>
    <n v="21.5"/>
  </r>
  <r>
    <x v="587"/>
    <d v="2025-03-01T00:00:00"/>
    <s v="Control"/>
    <s v="North"/>
    <s v="Mobile"/>
    <s v="Social"/>
    <s v="Basic"/>
    <n v="1"/>
    <n v="0"/>
    <n v="0"/>
    <n v="0"/>
    <n v="0"/>
    <n v="1"/>
    <n v="0"/>
    <m/>
    <n v="65.400000000000006"/>
  </r>
  <r>
    <x v="588"/>
    <d v="2025-04-20T00:00:00"/>
    <s v="Control"/>
    <s v="East"/>
    <s v="Mobile"/>
    <s v="Organic"/>
    <s v="Free"/>
    <n v="1"/>
    <n v="1"/>
    <n v="0"/>
    <n v="0"/>
    <n v="0"/>
    <n v="0"/>
    <n v="0"/>
    <m/>
    <n v="53.3"/>
  </r>
  <r>
    <x v="589"/>
    <d v="2025-01-16T00:00:00"/>
    <s v="Control"/>
    <s v="East"/>
    <s v="Mobile"/>
    <s v="Organic"/>
    <s v="Premium"/>
    <n v="0"/>
    <n v="0"/>
    <n v="0"/>
    <n v="0"/>
    <n v="0"/>
    <n v="2"/>
    <n v="0"/>
    <m/>
    <n v="52.3"/>
  </r>
  <r>
    <x v="590"/>
    <d v="2025-04-04T00:00:00"/>
    <s v="Control"/>
    <s v="East"/>
    <s v="Mobile"/>
    <s v="Paid Search"/>
    <s v="Free"/>
    <n v="1"/>
    <n v="0"/>
    <n v="0"/>
    <n v="0"/>
    <n v="0"/>
    <n v="0"/>
    <n v="0"/>
    <m/>
    <n v="62.5"/>
  </r>
  <r>
    <x v="591"/>
    <d v="2025-01-29T00:00:00"/>
    <s v="Control"/>
    <s v="North"/>
    <s v="Tablet"/>
    <s v="Social"/>
    <s v="Free"/>
    <n v="1"/>
    <n v="0"/>
    <n v="0"/>
    <n v="0"/>
    <n v="0"/>
    <n v="0"/>
    <n v="0"/>
    <m/>
    <n v="69.8"/>
  </r>
  <r>
    <x v="592"/>
    <d v="2025-04-19T00:00:00"/>
    <s v="Control"/>
    <s v="East"/>
    <s v="Mobile"/>
    <s v="Email"/>
    <s v="Free"/>
    <n v="1"/>
    <n v="0"/>
    <n v="0"/>
    <n v="0"/>
    <n v="0"/>
    <n v="0"/>
    <n v="0"/>
    <m/>
    <n v="68.2"/>
  </r>
  <r>
    <x v="593"/>
    <d v="2025-03-10T00:00:00"/>
    <s v="Control"/>
    <s v="South"/>
    <s v="Mobile"/>
    <s v="Social"/>
    <s v="Basic"/>
    <n v="1"/>
    <n v="1"/>
    <n v="1"/>
    <n v="1"/>
    <n v="751.73"/>
    <n v="0"/>
    <n v="0"/>
    <n v="6"/>
    <n v="35.200000000000003"/>
  </r>
  <r>
    <x v="594"/>
    <d v="2025-05-10T00:00:00"/>
    <s v="Control"/>
    <s v="South"/>
    <s v="Mobile"/>
    <s v="Social"/>
    <s v="Basic"/>
    <n v="0"/>
    <n v="0"/>
    <n v="0"/>
    <n v="0"/>
    <n v="0"/>
    <n v="0"/>
    <n v="0"/>
    <m/>
    <n v="59.3"/>
  </r>
  <r>
    <x v="595"/>
    <d v="2025-02-02T00:00:00"/>
    <s v="Control"/>
    <s v="North"/>
    <s v="Mobile"/>
    <s v="Social"/>
    <s v="Free"/>
    <n v="0"/>
    <n v="0"/>
    <n v="0"/>
    <n v="0"/>
    <n v="0"/>
    <n v="0"/>
    <n v="0"/>
    <m/>
    <n v="68.099999999999994"/>
  </r>
  <r>
    <x v="596"/>
    <d v="2025-05-06T00:00:00"/>
    <s v="Control"/>
    <s v="North"/>
    <s v="Desktop"/>
    <s v="Organic"/>
    <s v="Free"/>
    <n v="1"/>
    <n v="1"/>
    <n v="0"/>
    <n v="0"/>
    <n v="0"/>
    <n v="0"/>
    <n v="0"/>
    <m/>
    <n v="74.8"/>
  </r>
  <r>
    <x v="597"/>
    <d v="2025-01-19T00:00:00"/>
    <s v="Control"/>
    <s v="West"/>
    <s v="Desktop"/>
    <s v="Organic"/>
    <s v="Free"/>
    <n v="1"/>
    <n v="1"/>
    <n v="1"/>
    <n v="0"/>
    <n v="0"/>
    <n v="0"/>
    <n v="0"/>
    <m/>
    <n v="61.7"/>
  </r>
  <r>
    <x v="598"/>
    <d v="2025-01-02T00:00:00"/>
    <s v="Control"/>
    <s v="North"/>
    <s v="Mobile"/>
    <s v="Organic"/>
    <s v="Free"/>
    <n v="1"/>
    <n v="0"/>
    <n v="0"/>
    <n v="0"/>
    <n v="0"/>
    <n v="0"/>
    <n v="0"/>
    <m/>
    <n v="24.3"/>
  </r>
  <r>
    <x v="599"/>
    <d v="2025-05-03T00:00:00"/>
    <s v="Control"/>
    <s v="South"/>
    <s v="Desktop"/>
    <s v="Paid Search"/>
    <s v="Free"/>
    <n v="0"/>
    <n v="0"/>
    <n v="0"/>
    <n v="0"/>
    <n v="0"/>
    <n v="1"/>
    <n v="0"/>
    <m/>
    <n v="61.9"/>
  </r>
  <r>
    <x v="600"/>
    <d v="2025-05-27T00:00:00"/>
    <s v="Control"/>
    <s v="East"/>
    <s v="Desktop"/>
    <s v="Referral"/>
    <s v="Premium"/>
    <n v="0"/>
    <n v="0"/>
    <n v="0"/>
    <n v="0"/>
    <n v="0"/>
    <n v="2"/>
    <n v="0"/>
    <m/>
    <n v="41.7"/>
  </r>
  <r>
    <x v="601"/>
    <d v="2025-02-09T00:00:00"/>
    <s v="Control"/>
    <s v="South"/>
    <s v="Desktop"/>
    <s v="Social"/>
    <s v="Free"/>
    <n v="1"/>
    <n v="0"/>
    <n v="0"/>
    <n v="0"/>
    <n v="0"/>
    <n v="0"/>
    <n v="0"/>
    <m/>
    <n v="87.6"/>
  </r>
  <r>
    <x v="602"/>
    <d v="2025-05-18T00:00:00"/>
    <s v="Control"/>
    <s v="East"/>
    <s v="Mobile"/>
    <s v="Paid Search"/>
    <s v="Free"/>
    <n v="1"/>
    <n v="0"/>
    <n v="0"/>
    <n v="0"/>
    <n v="0"/>
    <n v="0"/>
    <n v="0"/>
    <m/>
    <n v="30.8"/>
  </r>
  <r>
    <x v="603"/>
    <d v="2025-05-17T00:00:00"/>
    <s v="Control"/>
    <s v="North"/>
    <s v="Mobile"/>
    <s v="Email"/>
    <s v="Free"/>
    <n v="0"/>
    <n v="0"/>
    <n v="0"/>
    <n v="0"/>
    <n v="0"/>
    <n v="0"/>
    <n v="0"/>
    <m/>
    <n v="54"/>
  </r>
  <r>
    <x v="604"/>
    <d v="2025-01-25T00:00:00"/>
    <s v="Control"/>
    <s v="East"/>
    <s v="Desktop"/>
    <s v="Referral"/>
    <s v="Basic"/>
    <n v="1"/>
    <n v="0"/>
    <n v="0"/>
    <n v="0"/>
    <n v="0"/>
    <n v="1"/>
    <n v="0"/>
    <m/>
    <n v="54.5"/>
  </r>
  <r>
    <x v="605"/>
    <d v="2025-05-04T00:00:00"/>
    <s v="Control"/>
    <s v="West"/>
    <s v="Mobile"/>
    <s v="Paid Search"/>
    <s v="Premium"/>
    <n v="1"/>
    <n v="1"/>
    <n v="0"/>
    <n v="0"/>
    <n v="0"/>
    <n v="0"/>
    <n v="0"/>
    <m/>
    <n v="61.3"/>
  </r>
  <r>
    <x v="606"/>
    <d v="2025-04-14T00:00:00"/>
    <s v="Control"/>
    <s v="West"/>
    <s v="Mobile"/>
    <s v="Organic"/>
    <s v="Free"/>
    <n v="1"/>
    <n v="0"/>
    <n v="0"/>
    <n v="0"/>
    <n v="0"/>
    <n v="0"/>
    <n v="0"/>
    <m/>
    <n v="62.7"/>
  </r>
  <r>
    <x v="607"/>
    <d v="2025-04-18T00:00:00"/>
    <s v="Control"/>
    <s v="South"/>
    <s v="Mobile"/>
    <s v="Paid Search"/>
    <s v="Free"/>
    <n v="1"/>
    <n v="1"/>
    <n v="0"/>
    <n v="0"/>
    <n v="0"/>
    <n v="0"/>
    <n v="0"/>
    <m/>
    <n v="43.1"/>
  </r>
  <r>
    <x v="608"/>
    <d v="2025-02-24T00:00:00"/>
    <s v="Control"/>
    <s v="South"/>
    <s v="Desktop"/>
    <s v="Email"/>
    <s v="Basic"/>
    <n v="0"/>
    <n v="0"/>
    <n v="0"/>
    <n v="0"/>
    <n v="0"/>
    <n v="0"/>
    <n v="0"/>
    <m/>
    <n v="59.9"/>
  </r>
  <r>
    <x v="609"/>
    <d v="2025-04-19T00:00:00"/>
    <s v="Control"/>
    <s v="North"/>
    <s v="Tablet"/>
    <s v="Paid Search"/>
    <s v="Free"/>
    <n v="1"/>
    <n v="1"/>
    <n v="1"/>
    <n v="0"/>
    <n v="0"/>
    <n v="0"/>
    <n v="0"/>
    <m/>
    <n v="55.7"/>
  </r>
  <r>
    <x v="610"/>
    <d v="2025-03-07T00:00:00"/>
    <s v="Control"/>
    <s v="South"/>
    <s v="Desktop"/>
    <s v="Organic"/>
    <s v="Basic"/>
    <n v="1"/>
    <n v="0"/>
    <n v="0"/>
    <n v="0"/>
    <n v="0"/>
    <n v="0"/>
    <n v="0"/>
    <m/>
    <n v="37.1"/>
  </r>
  <r>
    <x v="611"/>
    <d v="2025-03-09T00:00:00"/>
    <s v="Control"/>
    <s v="East"/>
    <s v="Mobile"/>
    <s v="Organic"/>
    <s v="Basic"/>
    <n v="0"/>
    <n v="0"/>
    <n v="0"/>
    <n v="0"/>
    <n v="0"/>
    <n v="1"/>
    <n v="0"/>
    <m/>
    <n v="46.7"/>
  </r>
  <r>
    <x v="612"/>
    <d v="2025-05-01T00:00:00"/>
    <s v="Control"/>
    <s v="South"/>
    <s v="Desktop"/>
    <s v="Organic"/>
    <s v="Basic"/>
    <n v="1"/>
    <n v="0"/>
    <n v="0"/>
    <n v="0"/>
    <n v="0"/>
    <n v="0"/>
    <n v="0"/>
    <m/>
    <n v="54.1"/>
  </r>
  <r>
    <x v="613"/>
    <d v="2025-02-09T00:00:00"/>
    <s v="Control"/>
    <s v="West"/>
    <s v="Desktop"/>
    <s v="Organic"/>
    <s v="Premium"/>
    <n v="1"/>
    <n v="1"/>
    <n v="1"/>
    <n v="0"/>
    <n v="0"/>
    <n v="0"/>
    <n v="0"/>
    <m/>
    <n v="56.1"/>
  </r>
  <r>
    <x v="614"/>
    <d v="2025-05-22T00:00:00"/>
    <s v="Control"/>
    <s v="West"/>
    <s v="Mobile"/>
    <s v="Referral"/>
    <s v="Premium"/>
    <n v="0"/>
    <n v="0"/>
    <n v="0"/>
    <n v="0"/>
    <n v="0"/>
    <n v="0"/>
    <n v="0"/>
    <m/>
    <n v="23.6"/>
  </r>
  <r>
    <x v="615"/>
    <d v="2025-02-11T00:00:00"/>
    <s v="Control"/>
    <s v="North"/>
    <s v="Mobile"/>
    <s v="Organic"/>
    <s v="Premium"/>
    <n v="0"/>
    <n v="0"/>
    <n v="0"/>
    <n v="0"/>
    <n v="0"/>
    <n v="0"/>
    <n v="0"/>
    <m/>
    <n v="54.7"/>
  </r>
  <r>
    <x v="616"/>
    <d v="2025-04-12T00:00:00"/>
    <s v="Control"/>
    <s v="North"/>
    <s v="Mobile"/>
    <s v="Referral"/>
    <s v="Basic"/>
    <n v="0"/>
    <n v="0"/>
    <n v="0"/>
    <n v="0"/>
    <n v="0"/>
    <n v="2"/>
    <n v="0"/>
    <m/>
    <n v="50.4"/>
  </r>
  <r>
    <x v="617"/>
    <d v="2025-03-01T00:00:00"/>
    <s v="Control"/>
    <s v="West"/>
    <s v="Mobile"/>
    <s v="Social"/>
    <s v="Free"/>
    <n v="1"/>
    <n v="0"/>
    <n v="0"/>
    <n v="0"/>
    <n v="0"/>
    <n v="0"/>
    <n v="0"/>
    <m/>
    <n v="54.5"/>
  </r>
  <r>
    <x v="618"/>
    <d v="2025-03-17T00:00:00"/>
    <s v="Control"/>
    <s v="West"/>
    <s v="Desktop"/>
    <s v="Email"/>
    <s v="Basic"/>
    <n v="0"/>
    <n v="0"/>
    <n v="0"/>
    <n v="0"/>
    <n v="0"/>
    <n v="0"/>
    <n v="0"/>
    <m/>
    <n v="58"/>
  </r>
  <r>
    <x v="619"/>
    <d v="2025-01-11T00:00:00"/>
    <s v="Control"/>
    <s v="North"/>
    <s v="Mobile"/>
    <s v="Paid Search"/>
    <s v="Free"/>
    <n v="0"/>
    <n v="0"/>
    <n v="0"/>
    <n v="0"/>
    <n v="0"/>
    <n v="0"/>
    <n v="0"/>
    <m/>
    <n v="42.9"/>
  </r>
  <r>
    <x v="620"/>
    <d v="2025-02-17T00:00:00"/>
    <s v="Control"/>
    <s v="South"/>
    <s v="Mobile"/>
    <s v="Social"/>
    <s v="Premium"/>
    <n v="1"/>
    <n v="0"/>
    <n v="0"/>
    <n v="0"/>
    <n v="0"/>
    <n v="0"/>
    <n v="0"/>
    <m/>
    <n v="51.1"/>
  </r>
  <r>
    <x v="621"/>
    <d v="2025-03-25T00:00:00"/>
    <s v="Control"/>
    <s v="East"/>
    <s v="Mobile"/>
    <s v="Paid Search"/>
    <s v="Basic"/>
    <n v="1"/>
    <n v="1"/>
    <n v="0"/>
    <n v="0"/>
    <n v="0"/>
    <n v="0"/>
    <n v="0"/>
    <m/>
    <n v="51.8"/>
  </r>
  <r>
    <x v="622"/>
    <d v="2025-05-01T00:00:00"/>
    <s v="Control"/>
    <s v="South"/>
    <s v="Mobile"/>
    <s v="Paid Search"/>
    <s v="Free"/>
    <n v="0"/>
    <n v="0"/>
    <n v="0"/>
    <n v="0"/>
    <n v="0"/>
    <n v="0"/>
    <n v="0"/>
    <m/>
    <n v="67.7"/>
  </r>
  <r>
    <x v="623"/>
    <d v="2025-04-02T00:00:00"/>
    <s v="Control"/>
    <s v="East"/>
    <s v="Mobile"/>
    <s v="Organic"/>
    <s v="Basic"/>
    <n v="0"/>
    <n v="0"/>
    <n v="0"/>
    <n v="0"/>
    <n v="0"/>
    <n v="0"/>
    <n v="0"/>
    <m/>
    <n v="75.8"/>
  </r>
  <r>
    <x v="624"/>
    <d v="2025-04-05T00:00:00"/>
    <s v="Control"/>
    <s v="East"/>
    <s v="Mobile"/>
    <s v="Email"/>
    <s v="Free"/>
    <n v="1"/>
    <n v="1"/>
    <n v="0"/>
    <n v="0"/>
    <n v="0"/>
    <n v="0"/>
    <n v="0"/>
    <m/>
    <n v="72.8"/>
  </r>
  <r>
    <x v="625"/>
    <d v="2025-02-24T00:00:00"/>
    <s v="Control"/>
    <s v="North"/>
    <s v="Desktop"/>
    <s v="Social"/>
    <s v="Free"/>
    <n v="1"/>
    <n v="1"/>
    <n v="0"/>
    <n v="0"/>
    <n v="0"/>
    <n v="0"/>
    <n v="0"/>
    <m/>
    <n v="54.4"/>
  </r>
  <r>
    <x v="626"/>
    <d v="2025-01-24T00:00:00"/>
    <s v="Control"/>
    <s v="West"/>
    <s v="Mobile"/>
    <s v="Paid Search"/>
    <s v="Basic"/>
    <n v="1"/>
    <n v="0"/>
    <n v="0"/>
    <n v="0"/>
    <n v="0"/>
    <n v="0"/>
    <n v="0"/>
    <m/>
    <n v="51.8"/>
  </r>
  <r>
    <x v="627"/>
    <d v="2025-04-10T00:00:00"/>
    <s v="Control"/>
    <s v="South"/>
    <s v="Mobile"/>
    <s v="Paid Search"/>
    <s v="Free"/>
    <n v="0"/>
    <n v="0"/>
    <n v="0"/>
    <n v="0"/>
    <n v="0"/>
    <n v="0"/>
    <n v="0"/>
    <m/>
    <n v="40.299999999999997"/>
  </r>
  <r>
    <x v="628"/>
    <d v="2025-02-19T00:00:00"/>
    <s v="Control"/>
    <s v="South"/>
    <s v="Mobile"/>
    <s v="Referral"/>
    <s v="Free"/>
    <n v="1"/>
    <n v="1"/>
    <n v="1"/>
    <n v="0"/>
    <n v="0"/>
    <n v="0"/>
    <n v="0"/>
    <m/>
    <n v="61.7"/>
  </r>
  <r>
    <x v="629"/>
    <d v="2025-03-22T00:00:00"/>
    <s v="Control"/>
    <s v="North"/>
    <s v="Mobile"/>
    <s v="Social"/>
    <s v="Free"/>
    <n v="0"/>
    <n v="0"/>
    <n v="0"/>
    <n v="0"/>
    <n v="0"/>
    <n v="0"/>
    <n v="0"/>
    <m/>
    <n v="45"/>
  </r>
  <r>
    <x v="630"/>
    <d v="2025-04-08T00:00:00"/>
    <s v="Control"/>
    <s v="East"/>
    <s v="Desktop"/>
    <s v="Organic"/>
    <s v="Premium"/>
    <n v="1"/>
    <n v="1"/>
    <n v="1"/>
    <n v="0"/>
    <n v="0"/>
    <n v="0"/>
    <n v="0"/>
    <m/>
    <n v="60"/>
  </r>
  <r>
    <x v="631"/>
    <d v="2025-03-16T00:00:00"/>
    <s v="Control"/>
    <s v="North"/>
    <s v="Mobile"/>
    <s v="Social"/>
    <s v="Free"/>
    <n v="1"/>
    <n v="0"/>
    <n v="0"/>
    <n v="0"/>
    <n v="0"/>
    <n v="0"/>
    <n v="0"/>
    <m/>
    <m/>
  </r>
  <r>
    <x v="632"/>
    <d v="2025-03-07T00:00:00"/>
    <s v="Control"/>
    <s v="East"/>
    <s v="Mobile"/>
    <s v="Paid Search"/>
    <s v="Free"/>
    <n v="1"/>
    <n v="0"/>
    <n v="0"/>
    <n v="0"/>
    <n v="0"/>
    <n v="0"/>
    <n v="0"/>
    <m/>
    <n v="55.5"/>
  </r>
  <r>
    <x v="633"/>
    <d v="2025-03-16T00:00:00"/>
    <s v="Control"/>
    <s v="South"/>
    <s v="Mobile"/>
    <s v="Referral"/>
    <s v="Basic"/>
    <n v="0"/>
    <n v="0"/>
    <n v="0"/>
    <n v="0"/>
    <n v="0"/>
    <n v="0"/>
    <n v="0"/>
    <m/>
    <n v="51.8"/>
  </r>
  <r>
    <x v="634"/>
    <d v="2025-05-26T00:00:00"/>
    <s v="Control"/>
    <s v="East"/>
    <s v="Mobile"/>
    <m/>
    <s v="Premium"/>
    <n v="1"/>
    <n v="0"/>
    <n v="0"/>
    <n v="0"/>
    <n v="0"/>
    <n v="3"/>
    <n v="0"/>
    <m/>
    <n v="56"/>
  </r>
  <r>
    <x v="635"/>
    <d v="2025-01-14T00:00:00"/>
    <s v="Control"/>
    <s v="West"/>
    <s v="Mobile"/>
    <s v="Organic"/>
    <s v="Free"/>
    <n v="0"/>
    <n v="0"/>
    <n v="0"/>
    <n v="0"/>
    <n v="0"/>
    <n v="0"/>
    <n v="0"/>
    <m/>
    <n v="52.5"/>
  </r>
  <r>
    <x v="636"/>
    <d v="2025-03-30T00:00:00"/>
    <s v="Control"/>
    <s v="West"/>
    <s v="Mobile"/>
    <s v="Paid Search"/>
    <s v="Premium"/>
    <n v="1"/>
    <n v="0"/>
    <n v="0"/>
    <n v="0"/>
    <n v="0"/>
    <n v="0"/>
    <n v="0"/>
    <m/>
    <n v="42.5"/>
  </r>
  <r>
    <x v="637"/>
    <d v="2025-05-12T00:00:00"/>
    <s v="Control"/>
    <s v="East"/>
    <s v="Desktop"/>
    <s v="Email"/>
    <s v="Free"/>
    <n v="1"/>
    <n v="1"/>
    <n v="1"/>
    <n v="0"/>
    <n v="0"/>
    <n v="0"/>
    <n v="0"/>
    <m/>
    <n v="65.3"/>
  </r>
  <r>
    <x v="638"/>
    <d v="2025-05-10T00:00:00"/>
    <s v="Control"/>
    <s v="West"/>
    <s v="Mobile"/>
    <s v="Paid Search"/>
    <s v="Free"/>
    <n v="0"/>
    <n v="0"/>
    <n v="0"/>
    <n v="0"/>
    <n v="0"/>
    <n v="0"/>
    <n v="0"/>
    <m/>
    <n v="37.6"/>
  </r>
  <r>
    <x v="639"/>
    <d v="2025-04-09T00:00:00"/>
    <s v="Control"/>
    <s v="East"/>
    <s v="Mobile"/>
    <s v="Social"/>
    <s v="Basic"/>
    <n v="0"/>
    <n v="0"/>
    <n v="0"/>
    <n v="0"/>
    <n v="0"/>
    <n v="0"/>
    <n v="0"/>
    <m/>
    <n v="57.8"/>
  </r>
  <r>
    <x v="640"/>
    <d v="2025-05-26T00:00:00"/>
    <s v="Control"/>
    <s v="North"/>
    <s v="Mobile"/>
    <s v="Social"/>
    <s v="Free"/>
    <n v="1"/>
    <n v="0"/>
    <n v="0"/>
    <n v="0"/>
    <n v="0"/>
    <n v="0"/>
    <n v="0"/>
    <m/>
    <n v="52.7"/>
  </r>
  <r>
    <x v="641"/>
    <d v="2025-02-12T00:00:00"/>
    <s v="Control"/>
    <s v="North"/>
    <s v="Mobile"/>
    <s v="Organic"/>
    <s v="Free"/>
    <n v="1"/>
    <n v="0"/>
    <n v="0"/>
    <n v="0"/>
    <n v="0"/>
    <n v="0"/>
    <n v="0"/>
    <m/>
    <n v="51.7"/>
  </r>
  <r>
    <x v="642"/>
    <d v="2025-04-01T00:00:00"/>
    <s v="Control"/>
    <s v="North"/>
    <s v="Desktop"/>
    <s v="Email"/>
    <s v="Basic"/>
    <n v="0"/>
    <n v="0"/>
    <n v="0"/>
    <n v="0"/>
    <n v="0"/>
    <n v="0"/>
    <n v="0"/>
    <m/>
    <n v="57"/>
  </r>
  <r>
    <x v="643"/>
    <d v="2025-01-18T00:00:00"/>
    <s v="Control"/>
    <s v="South"/>
    <s v="Desktop"/>
    <s v="Organic"/>
    <s v="Basic"/>
    <n v="0"/>
    <n v="0"/>
    <n v="0"/>
    <n v="0"/>
    <n v="0"/>
    <n v="0"/>
    <n v="0"/>
    <m/>
    <n v="39.5"/>
  </r>
  <r>
    <x v="644"/>
    <d v="2025-04-06T00:00:00"/>
    <s v="Control"/>
    <s v="East"/>
    <s v="Tablet"/>
    <s v="Organic"/>
    <s v="Free"/>
    <n v="1"/>
    <n v="0"/>
    <n v="0"/>
    <n v="0"/>
    <n v="0"/>
    <n v="0"/>
    <n v="0"/>
    <m/>
    <n v="76.5"/>
  </r>
  <r>
    <x v="645"/>
    <d v="2025-04-17T00:00:00"/>
    <s v="Control"/>
    <s v="East"/>
    <s v="Mobile"/>
    <s v="Organic"/>
    <s v="Free"/>
    <n v="1"/>
    <n v="0"/>
    <n v="0"/>
    <n v="0"/>
    <n v="0"/>
    <n v="0"/>
    <n v="0"/>
    <m/>
    <n v="32.4"/>
  </r>
  <r>
    <x v="646"/>
    <d v="2025-02-07T00:00:00"/>
    <s v="Control"/>
    <s v="North"/>
    <s v="Desktop"/>
    <s v="Paid Search"/>
    <s v="Free"/>
    <n v="0"/>
    <n v="0"/>
    <n v="0"/>
    <n v="0"/>
    <n v="0"/>
    <n v="0"/>
    <n v="0"/>
    <m/>
    <n v="58.6"/>
  </r>
  <r>
    <x v="647"/>
    <d v="2025-03-04T00:00:00"/>
    <s v="Control"/>
    <s v="East"/>
    <s v="Mobile"/>
    <s v="Organic"/>
    <s v="Basic"/>
    <n v="1"/>
    <n v="0"/>
    <n v="0"/>
    <n v="0"/>
    <n v="0"/>
    <n v="0"/>
    <n v="0"/>
    <m/>
    <n v="78.599999999999994"/>
  </r>
  <r>
    <x v="648"/>
    <d v="2025-02-17T00:00:00"/>
    <s v="Control"/>
    <s v="North"/>
    <s v="Desktop"/>
    <s v="Organic"/>
    <s v="Premium"/>
    <n v="0"/>
    <n v="0"/>
    <n v="0"/>
    <n v="0"/>
    <n v="0"/>
    <n v="0"/>
    <n v="0"/>
    <m/>
    <n v="54.5"/>
  </r>
  <r>
    <x v="649"/>
    <d v="2025-05-06T00:00:00"/>
    <s v="Control"/>
    <s v="South"/>
    <s v="Mobile"/>
    <s v="Referral"/>
    <s v="Free"/>
    <n v="1"/>
    <n v="0"/>
    <n v="0"/>
    <n v="0"/>
    <n v="0"/>
    <n v="0"/>
    <n v="0"/>
    <m/>
    <n v="57.6"/>
  </r>
  <r>
    <x v="650"/>
    <d v="2025-03-25T00:00:00"/>
    <s v="Control"/>
    <s v="South"/>
    <s v="Mobile"/>
    <s v="Referral"/>
    <s v="Premium"/>
    <n v="0"/>
    <n v="0"/>
    <n v="0"/>
    <n v="0"/>
    <n v="0"/>
    <n v="0"/>
    <n v="0"/>
    <m/>
    <n v="52.8"/>
  </r>
  <r>
    <x v="651"/>
    <d v="2025-03-04T00:00:00"/>
    <s v="Control"/>
    <s v="West"/>
    <s v="Mobile"/>
    <s v="Email"/>
    <s v="Premium"/>
    <n v="1"/>
    <n v="0"/>
    <n v="0"/>
    <n v="0"/>
    <n v="0"/>
    <n v="0"/>
    <n v="0"/>
    <m/>
    <n v="52.9"/>
  </r>
  <r>
    <x v="652"/>
    <d v="2025-05-09T00:00:00"/>
    <s v="Control"/>
    <s v="West"/>
    <s v="Mobile"/>
    <s v="Organic"/>
    <s v="Free"/>
    <n v="1"/>
    <n v="0"/>
    <n v="0"/>
    <n v="0"/>
    <n v="0"/>
    <n v="1"/>
    <n v="0"/>
    <m/>
    <n v="55.9"/>
  </r>
  <r>
    <x v="653"/>
    <d v="2025-05-17T00:00:00"/>
    <s v="Control"/>
    <s v="West"/>
    <s v="Mobile"/>
    <s v="Referral"/>
    <s v="Premium"/>
    <n v="1"/>
    <n v="0"/>
    <n v="0"/>
    <n v="0"/>
    <n v="0"/>
    <n v="0"/>
    <n v="0"/>
    <m/>
    <n v="74.2"/>
  </r>
  <r>
    <x v="654"/>
    <d v="2025-01-12T00:00:00"/>
    <s v="Control"/>
    <s v="West"/>
    <s v="Mobile"/>
    <s v="Organic"/>
    <s v="Free"/>
    <n v="0"/>
    <n v="0"/>
    <n v="0"/>
    <n v="0"/>
    <n v="0"/>
    <n v="0"/>
    <n v="0"/>
    <m/>
    <n v="46.3"/>
  </r>
  <r>
    <x v="655"/>
    <d v="2025-03-12T00:00:00"/>
    <s v="Control"/>
    <s v="West"/>
    <s v="Mobile"/>
    <s v="Organic"/>
    <s v="Premium"/>
    <n v="1"/>
    <n v="0"/>
    <n v="0"/>
    <n v="0"/>
    <n v="0"/>
    <n v="0"/>
    <n v="0"/>
    <m/>
    <n v="62"/>
  </r>
  <r>
    <x v="656"/>
    <d v="2025-04-02T00:00:00"/>
    <s v="Control"/>
    <s v="South"/>
    <s v="Mobile"/>
    <s v="Organic"/>
    <s v="Basic"/>
    <n v="0"/>
    <n v="0"/>
    <n v="0"/>
    <n v="0"/>
    <n v="0"/>
    <n v="0"/>
    <n v="0"/>
    <m/>
    <n v="55.6"/>
  </r>
  <r>
    <x v="657"/>
    <d v="2025-01-13T00:00:00"/>
    <s v="Control"/>
    <s v="South"/>
    <s v="Mobile"/>
    <s v="Organic"/>
    <s v="Basic"/>
    <n v="1"/>
    <n v="0"/>
    <n v="0"/>
    <n v="0"/>
    <n v="0"/>
    <n v="0"/>
    <n v="0"/>
    <m/>
    <n v="62.8"/>
  </r>
  <r>
    <x v="658"/>
    <d v="2025-03-07T00:00:00"/>
    <s v="Control"/>
    <s v="East"/>
    <s v="Mobile"/>
    <s v="Referral"/>
    <s v="Free"/>
    <n v="0"/>
    <n v="0"/>
    <n v="0"/>
    <n v="0"/>
    <n v="0"/>
    <n v="0"/>
    <n v="0"/>
    <m/>
    <n v="73.099999999999994"/>
  </r>
  <r>
    <x v="659"/>
    <d v="2025-04-20T00:00:00"/>
    <s v="Control"/>
    <s v="South"/>
    <s v="Desktop"/>
    <s v="Social"/>
    <s v="Free"/>
    <n v="1"/>
    <n v="1"/>
    <n v="1"/>
    <n v="1"/>
    <n v="347.52"/>
    <n v="0"/>
    <n v="0"/>
    <n v="2"/>
    <n v="57.2"/>
  </r>
  <r>
    <x v="660"/>
    <d v="2025-01-07T00:00:00"/>
    <s v="Control"/>
    <s v="South"/>
    <s v="Mobile"/>
    <s v="Paid Search"/>
    <s v="Free"/>
    <n v="1"/>
    <n v="0"/>
    <n v="0"/>
    <n v="0"/>
    <n v="0"/>
    <n v="0"/>
    <n v="0"/>
    <m/>
    <n v="67.900000000000006"/>
  </r>
  <r>
    <x v="661"/>
    <d v="2025-04-23T00:00:00"/>
    <s v="Control"/>
    <s v="South"/>
    <s v="Mobile"/>
    <s v="Referral"/>
    <s v="Free"/>
    <n v="0"/>
    <n v="0"/>
    <n v="0"/>
    <n v="0"/>
    <n v="0"/>
    <n v="0"/>
    <n v="0"/>
    <m/>
    <n v="50.1"/>
  </r>
  <r>
    <x v="662"/>
    <d v="2025-05-26T00:00:00"/>
    <s v="Control"/>
    <s v="North"/>
    <s v="Mobile"/>
    <s v="Paid Search"/>
    <s v="Basic"/>
    <n v="0"/>
    <n v="0"/>
    <n v="0"/>
    <n v="0"/>
    <n v="0"/>
    <n v="0"/>
    <n v="0"/>
    <m/>
    <n v="67.8"/>
  </r>
  <r>
    <x v="663"/>
    <d v="2025-03-17T00:00:00"/>
    <s v="Control"/>
    <s v="North"/>
    <s v="Desktop"/>
    <s v="Social"/>
    <s v="Basic"/>
    <n v="1"/>
    <n v="1"/>
    <n v="1"/>
    <n v="0"/>
    <n v="0"/>
    <n v="0"/>
    <n v="0"/>
    <m/>
    <n v="60.8"/>
  </r>
  <r>
    <x v="664"/>
    <d v="2025-05-17T00:00:00"/>
    <s v="Control"/>
    <s v="North"/>
    <s v="Desktop"/>
    <s v="Paid Search"/>
    <s v="Basic"/>
    <n v="1"/>
    <n v="0"/>
    <n v="0"/>
    <n v="0"/>
    <n v="0"/>
    <n v="3"/>
    <n v="0"/>
    <m/>
    <n v="33.700000000000003"/>
  </r>
  <r>
    <x v="665"/>
    <d v="2025-02-21T00:00:00"/>
    <s v="Control"/>
    <s v="North"/>
    <s v="Mobile"/>
    <s v="Paid Search"/>
    <s v="Basic"/>
    <n v="0"/>
    <n v="0"/>
    <n v="0"/>
    <n v="0"/>
    <n v="0"/>
    <n v="0"/>
    <n v="0"/>
    <m/>
    <n v="45.2"/>
  </r>
  <r>
    <x v="666"/>
    <d v="2025-02-25T00:00:00"/>
    <s v="Control"/>
    <s v="East"/>
    <s v="Desktop"/>
    <s v="Paid Search"/>
    <s v="Premium"/>
    <n v="0"/>
    <n v="0"/>
    <n v="0"/>
    <n v="0"/>
    <n v="0"/>
    <n v="0"/>
    <n v="0"/>
    <m/>
    <n v="48.2"/>
  </r>
  <r>
    <x v="667"/>
    <d v="2025-01-30T00:00:00"/>
    <s v="Control"/>
    <s v="South"/>
    <s v="Mobile"/>
    <s v="Social"/>
    <s v="Free"/>
    <n v="1"/>
    <n v="1"/>
    <n v="0"/>
    <n v="0"/>
    <n v="0"/>
    <n v="1"/>
    <n v="0"/>
    <m/>
    <n v="44.8"/>
  </r>
  <r>
    <x v="668"/>
    <d v="2025-02-17T00:00:00"/>
    <s v="Control"/>
    <s v="North"/>
    <s v="Tablet"/>
    <s v="Social"/>
    <s v="Basic"/>
    <n v="0"/>
    <n v="0"/>
    <n v="0"/>
    <n v="0"/>
    <n v="0"/>
    <n v="0"/>
    <n v="0"/>
    <m/>
    <n v="52.1"/>
  </r>
  <r>
    <x v="669"/>
    <d v="2025-05-17T00:00:00"/>
    <s v="Control"/>
    <s v="North"/>
    <s v="Desktop"/>
    <s v="Paid Search"/>
    <s v="Basic"/>
    <n v="1"/>
    <n v="0"/>
    <n v="0"/>
    <n v="0"/>
    <n v="0"/>
    <n v="0"/>
    <n v="0"/>
    <m/>
    <n v="30.7"/>
  </r>
  <r>
    <x v="670"/>
    <d v="2025-04-30T00:00:00"/>
    <s v="Control"/>
    <s v="East"/>
    <s v="Desktop"/>
    <s v="Paid Search"/>
    <s v="Free"/>
    <n v="1"/>
    <n v="0"/>
    <n v="0"/>
    <n v="0"/>
    <n v="0"/>
    <n v="0"/>
    <n v="0"/>
    <m/>
    <n v="58.4"/>
  </r>
  <r>
    <x v="671"/>
    <d v="2025-03-22T00:00:00"/>
    <s v="Control"/>
    <s v="West"/>
    <s v="Mobile"/>
    <s v="Referral"/>
    <s v="Free"/>
    <n v="1"/>
    <n v="1"/>
    <n v="0"/>
    <n v="0"/>
    <n v="0"/>
    <n v="0"/>
    <n v="0"/>
    <m/>
    <n v="52.6"/>
  </r>
  <r>
    <x v="672"/>
    <d v="2025-01-10T00:00:00"/>
    <s v="Control"/>
    <s v="West"/>
    <m/>
    <s v="Paid Search"/>
    <s v="Free"/>
    <n v="1"/>
    <n v="0"/>
    <n v="0"/>
    <n v="0"/>
    <n v="0"/>
    <n v="1"/>
    <n v="0"/>
    <m/>
    <n v="19.100000000000001"/>
  </r>
  <r>
    <x v="673"/>
    <d v="2025-03-21T00:00:00"/>
    <s v="Control"/>
    <s v="South"/>
    <m/>
    <s v="Paid Search"/>
    <s v="Free"/>
    <n v="1"/>
    <n v="0"/>
    <n v="0"/>
    <n v="0"/>
    <n v="0"/>
    <n v="0"/>
    <n v="0"/>
    <m/>
    <n v="36.799999999999997"/>
  </r>
  <r>
    <x v="674"/>
    <d v="2025-05-12T00:00:00"/>
    <s v="Control"/>
    <s v="North"/>
    <s v="Desktop"/>
    <s v="Paid Search"/>
    <s v="Basic"/>
    <n v="0"/>
    <n v="0"/>
    <n v="0"/>
    <n v="0"/>
    <n v="0"/>
    <n v="0"/>
    <n v="0"/>
    <m/>
    <n v="68.5"/>
  </r>
  <r>
    <x v="675"/>
    <d v="2025-05-24T00:00:00"/>
    <s v="Control"/>
    <s v="West"/>
    <s v="Mobile"/>
    <s v="Paid Search"/>
    <s v="Free"/>
    <n v="1"/>
    <n v="1"/>
    <n v="1"/>
    <n v="0"/>
    <n v="0"/>
    <n v="0"/>
    <n v="0"/>
    <m/>
    <n v="40.1"/>
  </r>
  <r>
    <x v="676"/>
    <d v="2025-05-03T00:00:00"/>
    <s v="Control"/>
    <s v="West"/>
    <s v="Tablet"/>
    <s v="Organic"/>
    <s v="Free"/>
    <n v="1"/>
    <n v="0"/>
    <n v="0"/>
    <n v="0"/>
    <n v="0"/>
    <n v="0"/>
    <n v="0"/>
    <m/>
    <n v="47.5"/>
  </r>
  <r>
    <x v="677"/>
    <d v="2025-01-14T00:00:00"/>
    <s v="Control"/>
    <s v="South"/>
    <s v="Mobile"/>
    <s v="Organic"/>
    <s v="Basic"/>
    <n v="1"/>
    <n v="0"/>
    <n v="0"/>
    <n v="0"/>
    <n v="0"/>
    <n v="0"/>
    <n v="0"/>
    <m/>
    <n v="77.099999999999994"/>
  </r>
  <r>
    <x v="678"/>
    <d v="2025-03-27T00:00:00"/>
    <s v="Control"/>
    <s v="West"/>
    <s v="Mobile"/>
    <s v="Social"/>
    <s v="Basic"/>
    <n v="1"/>
    <n v="0"/>
    <n v="0"/>
    <n v="0"/>
    <n v="0"/>
    <n v="0"/>
    <n v="0"/>
    <m/>
    <n v="75.900000000000006"/>
  </r>
  <r>
    <x v="679"/>
    <d v="2025-02-28T00:00:00"/>
    <s v="Control"/>
    <s v="North"/>
    <s v="Desktop"/>
    <s v="Referral"/>
    <s v="Premium"/>
    <n v="0"/>
    <n v="0"/>
    <n v="0"/>
    <n v="0"/>
    <n v="0"/>
    <n v="1"/>
    <n v="0"/>
    <m/>
    <n v="52"/>
  </r>
  <r>
    <x v="680"/>
    <d v="2025-05-12T00:00:00"/>
    <s v="Control"/>
    <s v="West"/>
    <s v="Desktop"/>
    <s v="Referral"/>
    <s v="Premium"/>
    <n v="1"/>
    <n v="1"/>
    <n v="1"/>
    <n v="0"/>
    <n v="0"/>
    <n v="0"/>
    <n v="0"/>
    <m/>
    <n v="64.900000000000006"/>
  </r>
  <r>
    <x v="681"/>
    <d v="2025-03-14T00:00:00"/>
    <s v="Control"/>
    <s v="North"/>
    <s v="Mobile"/>
    <s v="Organic"/>
    <s v="Free"/>
    <n v="1"/>
    <n v="0"/>
    <n v="0"/>
    <n v="0"/>
    <n v="0"/>
    <n v="0"/>
    <n v="0"/>
    <m/>
    <n v="48.2"/>
  </r>
  <r>
    <x v="682"/>
    <d v="2025-05-20T00:00:00"/>
    <s v="Control"/>
    <s v="East"/>
    <s v="Mobile"/>
    <s v="Organic"/>
    <s v="Basic"/>
    <n v="0"/>
    <n v="0"/>
    <n v="0"/>
    <n v="0"/>
    <n v="0"/>
    <n v="0"/>
    <n v="0"/>
    <m/>
    <n v="42.1"/>
  </r>
  <r>
    <x v="683"/>
    <d v="2025-02-24T00:00:00"/>
    <s v="Control"/>
    <s v="South"/>
    <s v="Desktop"/>
    <s v="Referral"/>
    <s v="Free"/>
    <n v="0"/>
    <n v="0"/>
    <n v="0"/>
    <n v="0"/>
    <n v="0"/>
    <n v="0"/>
    <n v="0"/>
    <m/>
    <n v="27.6"/>
  </r>
  <r>
    <x v="684"/>
    <d v="2025-02-13T00:00:00"/>
    <s v="Control"/>
    <s v="West"/>
    <s v="Mobile"/>
    <s v="Organic"/>
    <s v="Premium"/>
    <n v="1"/>
    <n v="0"/>
    <n v="0"/>
    <n v="0"/>
    <n v="0"/>
    <n v="1"/>
    <n v="0"/>
    <m/>
    <n v="68.5"/>
  </r>
  <r>
    <x v="685"/>
    <d v="2025-02-06T00:00:00"/>
    <s v="Control"/>
    <s v="South"/>
    <s v="Desktop"/>
    <s v="Organic"/>
    <s v="Free"/>
    <n v="1"/>
    <n v="1"/>
    <n v="1"/>
    <n v="0"/>
    <n v="0"/>
    <n v="0"/>
    <n v="0"/>
    <m/>
    <n v="59.2"/>
  </r>
  <r>
    <x v="686"/>
    <d v="2025-03-02T00:00:00"/>
    <s v="Control"/>
    <s v="North"/>
    <s v="Mobile"/>
    <s v="Social"/>
    <s v="Basic"/>
    <n v="1"/>
    <n v="0"/>
    <n v="0"/>
    <n v="0"/>
    <n v="0"/>
    <n v="0"/>
    <n v="0"/>
    <m/>
    <n v="63.3"/>
  </r>
  <r>
    <x v="687"/>
    <d v="2025-04-28T00:00:00"/>
    <s v="Control"/>
    <s v="East"/>
    <s v="Desktop"/>
    <s v="Paid Search"/>
    <s v="Free"/>
    <n v="0"/>
    <n v="0"/>
    <n v="0"/>
    <n v="0"/>
    <n v="0"/>
    <n v="0"/>
    <n v="0"/>
    <m/>
    <n v="55"/>
  </r>
  <r>
    <x v="688"/>
    <d v="2025-05-27T00:00:00"/>
    <s v="Control"/>
    <s v="North"/>
    <s v="Desktop"/>
    <m/>
    <s v="Premium"/>
    <n v="1"/>
    <n v="0"/>
    <n v="0"/>
    <n v="0"/>
    <n v="0"/>
    <n v="0"/>
    <n v="0"/>
    <m/>
    <n v="64.8"/>
  </r>
  <r>
    <x v="689"/>
    <d v="2025-04-07T00:00:00"/>
    <s v="Control"/>
    <s v="South"/>
    <s v="Desktop"/>
    <s v="Organic"/>
    <s v="Basic"/>
    <n v="0"/>
    <n v="0"/>
    <n v="0"/>
    <n v="0"/>
    <n v="0"/>
    <n v="2"/>
    <n v="0"/>
    <m/>
    <n v="41.8"/>
  </r>
  <r>
    <x v="690"/>
    <d v="2025-04-14T00:00:00"/>
    <s v="Treatment"/>
    <s v="East"/>
    <s v="Desktop"/>
    <s v="Social"/>
    <s v="Basic"/>
    <n v="1"/>
    <n v="0"/>
    <n v="0"/>
    <n v="0"/>
    <n v="0"/>
    <n v="0"/>
    <n v="0"/>
    <m/>
    <n v="73.2"/>
  </r>
  <r>
    <x v="691"/>
    <d v="2025-05-09T00:00:00"/>
    <s v="Treatment"/>
    <s v="East"/>
    <s v="Desktop"/>
    <s v="Organic"/>
    <s v="Basic"/>
    <n v="1"/>
    <n v="1"/>
    <n v="1"/>
    <n v="0"/>
    <n v="0"/>
    <n v="3"/>
    <n v="0"/>
    <m/>
    <n v="55.7"/>
  </r>
  <r>
    <x v="692"/>
    <d v="2025-03-21T00:00:00"/>
    <s v="Treatment"/>
    <s v="North"/>
    <s v="Mobile"/>
    <s v="Organic"/>
    <s v="Free"/>
    <n v="1"/>
    <n v="1"/>
    <n v="1"/>
    <n v="0"/>
    <n v="0"/>
    <n v="0"/>
    <n v="0"/>
    <m/>
    <n v="82.8"/>
  </r>
  <r>
    <x v="693"/>
    <d v="2025-03-27T00:00:00"/>
    <s v="Treatment"/>
    <s v="North"/>
    <s v="Desktop"/>
    <s v="Social"/>
    <s v="Free"/>
    <n v="1"/>
    <n v="0"/>
    <n v="0"/>
    <n v="0"/>
    <n v="0"/>
    <n v="0"/>
    <n v="0"/>
    <m/>
    <m/>
  </r>
  <r>
    <x v="694"/>
    <d v="2025-01-21T00:00:00"/>
    <s v="Treatment"/>
    <s v="South"/>
    <s v="Mobile"/>
    <s v="Paid Search"/>
    <s v="Free"/>
    <n v="0"/>
    <n v="0"/>
    <n v="0"/>
    <n v="0"/>
    <n v="0"/>
    <n v="0"/>
    <n v="0"/>
    <m/>
    <n v="34.4"/>
  </r>
  <r>
    <x v="695"/>
    <d v="2025-03-19T00:00:00"/>
    <s v="Treatment"/>
    <s v="East"/>
    <s v="Desktop"/>
    <s v="Email"/>
    <s v="Free"/>
    <n v="1"/>
    <n v="0"/>
    <n v="0"/>
    <n v="0"/>
    <n v="0"/>
    <n v="0"/>
    <n v="0"/>
    <m/>
    <n v="45.2"/>
  </r>
  <r>
    <x v="696"/>
    <d v="2025-05-27T00:00:00"/>
    <s v="Treatment"/>
    <s v="North"/>
    <s v="Mobile"/>
    <s v="Organic"/>
    <s v="Basic"/>
    <n v="1"/>
    <n v="0"/>
    <n v="0"/>
    <n v="0"/>
    <n v="0"/>
    <n v="0"/>
    <n v="0"/>
    <m/>
    <n v="71.599999999999994"/>
  </r>
  <r>
    <x v="697"/>
    <d v="2025-01-01T00:00:00"/>
    <s v="Treatment"/>
    <s v="North"/>
    <s v="Mobile"/>
    <s v="Social"/>
    <s v="Free"/>
    <n v="1"/>
    <n v="1"/>
    <n v="1"/>
    <n v="0"/>
    <n v="0"/>
    <n v="0"/>
    <n v="0"/>
    <m/>
    <n v="69.099999999999994"/>
  </r>
  <r>
    <x v="698"/>
    <d v="2025-03-29T00:00:00"/>
    <s v="Treatment"/>
    <s v="West"/>
    <s v="Desktop"/>
    <s v="Paid Search"/>
    <s v="Premium"/>
    <n v="1"/>
    <n v="0"/>
    <n v="0"/>
    <n v="0"/>
    <n v="0"/>
    <n v="1"/>
    <n v="0"/>
    <m/>
    <n v="37.700000000000003"/>
  </r>
  <r>
    <x v="699"/>
    <d v="2025-03-17T00:00:00"/>
    <s v="Treatment"/>
    <s v="West"/>
    <s v="Desktop"/>
    <s v="Organic"/>
    <s v="Basic"/>
    <n v="1"/>
    <n v="0"/>
    <n v="0"/>
    <n v="0"/>
    <n v="0"/>
    <n v="1"/>
    <n v="0"/>
    <m/>
    <n v="60.8"/>
  </r>
  <r>
    <x v="700"/>
    <d v="2025-05-05T00:00:00"/>
    <s v="Treatment"/>
    <s v="North"/>
    <s v="Mobile"/>
    <s v="Organic"/>
    <s v="Free"/>
    <n v="1"/>
    <n v="1"/>
    <n v="1"/>
    <n v="1"/>
    <n v="444.13"/>
    <n v="0"/>
    <n v="0"/>
    <n v="10"/>
    <n v="80.7"/>
  </r>
  <r>
    <x v="701"/>
    <d v="2025-05-04T00:00:00"/>
    <s v="Treatment"/>
    <s v="South"/>
    <s v="Mobile"/>
    <s v="Social"/>
    <s v="Free"/>
    <n v="1"/>
    <n v="0"/>
    <n v="0"/>
    <n v="0"/>
    <n v="0"/>
    <n v="0"/>
    <n v="0"/>
    <m/>
    <n v="69.2"/>
  </r>
  <r>
    <x v="702"/>
    <d v="2025-03-25T00:00:00"/>
    <s v="Treatment"/>
    <s v="North"/>
    <s v="Mobile"/>
    <s v="Social"/>
    <s v="Premium"/>
    <n v="0"/>
    <n v="0"/>
    <n v="0"/>
    <n v="0"/>
    <n v="0"/>
    <n v="3"/>
    <n v="0"/>
    <m/>
    <n v="55"/>
  </r>
  <r>
    <x v="703"/>
    <d v="2025-04-17T00:00:00"/>
    <s v="Treatment"/>
    <s v="West"/>
    <s v="Mobile"/>
    <s v="Email"/>
    <s v="Free"/>
    <n v="0"/>
    <n v="0"/>
    <n v="0"/>
    <n v="0"/>
    <n v="0"/>
    <n v="1"/>
    <n v="0"/>
    <m/>
    <n v="73.599999999999994"/>
  </r>
  <r>
    <x v="704"/>
    <d v="2025-05-23T00:00:00"/>
    <s v="Treatment"/>
    <s v="South"/>
    <s v="Mobile"/>
    <s v="Referral"/>
    <s v="Basic"/>
    <n v="1"/>
    <n v="1"/>
    <n v="1"/>
    <n v="0"/>
    <n v="0"/>
    <n v="1"/>
    <n v="0"/>
    <m/>
    <n v="47.3"/>
  </r>
  <r>
    <x v="705"/>
    <d v="2025-01-13T00:00:00"/>
    <s v="Treatment"/>
    <s v="North"/>
    <s v="Mobile"/>
    <s v="Organic"/>
    <s v="Basic"/>
    <n v="0"/>
    <n v="0"/>
    <n v="0"/>
    <n v="0"/>
    <n v="0"/>
    <n v="0"/>
    <n v="0"/>
    <m/>
    <n v="43.6"/>
  </r>
  <r>
    <x v="706"/>
    <d v="2025-01-29T00:00:00"/>
    <s v="Treatment"/>
    <s v="North"/>
    <s v="Desktop"/>
    <s v="Organic"/>
    <s v="Basic"/>
    <n v="1"/>
    <n v="0"/>
    <n v="0"/>
    <n v="0"/>
    <n v="0"/>
    <n v="0"/>
    <n v="0"/>
    <m/>
    <m/>
  </r>
  <r>
    <x v="707"/>
    <d v="2025-05-11T00:00:00"/>
    <s v="Treatment"/>
    <s v="South"/>
    <s v="Mobile"/>
    <s v="Email"/>
    <s v="Free"/>
    <n v="0"/>
    <n v="0"/>
    <n v="0"/>
    <n v="0"/>
    <n v="0"/>
    <n v="0"/>
    <n v="0"/>
    <m/>
    <n v="55.2"/>
  </r>
  <r>
    <x v="708"/>
    <d v="2025-04-22T00:00:00"/>
    <s v="Treatment"/>
    <s v="South"/>
    <s v="Mobile"/>
    <s v="Organic"/>
    <s v="Basic"/>
    <n v="1"/>
    <n v="0"/>
    <n v="0"/>
    <n v="0"/>
    <n v="0"/>
    <n v="0"/>
    <n v="0"/>
    <m/>
    <n v="49.4"/>
  </r>
  <r>
    <x v="709"/>
    <d v="2025-03-03T00:00:00"/>
    <s v="Treatment"/>
    <s v="South"/>
    <s v="Mobile"/>
    <s v="Social"/>
    <s v="Free"/>
    <n v="1"/>
    <n v="1"/>
    <n v="1"/>
    <n v="0"/>
    <n v="0"/>
    <n v="1"/>
    <n v="0"/>
    <m/>
    <n v="60.1"/>
  </r>
  <r>
    <x v="710"/>
    <d v="2025-03-18T00:00:00"/>
    <s v="Treatment"/>
    <s v="North"/>
    <s v="Mobile"/>
    <s v="Referral"/>
    <s v="Free"/>
    <n v="1"/>
    <n v="0"/>
    <n v="0"/>
    <n v="0"/>
    <n v="0"/>
    <n v="0"/>
    <n v="0"/>
    <m/>
    <n v="55.9"/>
  </r>
  <r>
    <x v="711"/>
    <d v="2025-04-05T00:00:00"/>
    <s v="Treatment"/>
    <s v="North"/>
    <s v="Mobile"/>
    <s v="Organic"/>
    <s v="Basic"/>
    <n v="1"/>
    <n v="0"/>
    <n v="0"/>
    <n v="0"/>
    <n v="0"/>
    <n v="0"/>
    <n v="0"/>
    <m/>
    <n v="51.5"/>
  </r>
  <r>
    <x v="712"/>
    <d v="2025-04-16T00:00:00"/>
    <s v="Treatment"/>
    <s v="East"/>
    <s v="Mobile"/>
    <s v="Organic"/>
    <s v="Free"/>
    <n v="1"/>
    <n v="1"/>
    <n v="1"/>
    <n v="1"/>
    <n v="516.66999999999996"/>
    <n v="0"/>
    <n v="0"/>
    <n v="11"/>
    <n v="57.9"/>
  </r>
  <r>
    <x v="713"/>
    <d v="2025-04-20T00:00:00"/>
    <s v="Treatment"/>
    <s v="South"/>
    <s v="Mobile"/>
    <s v="Referral"/>
    <s v="Free"/>
    <n v="1"/>
    <n v="1"/>
    <n v="1"/>
    <n v="1"/>
    <n v="277.18"/>
    <n v="2"/>
    <n v="0"/>
    <n v="8"/>
    <n v="59.2"/>
  </r>
  <r>
    <x v="714"/>
    <d v="2025-02-15T00:00:00"/>
    <s v="Treatment"/>
    <s v="South"/>
    <s v="Mobile"/>
    <s v="Organic"/>
    <s v="Free"/>
    <n v="0"/>
    <n v="0"/>
    <n v="0"/>
    <n v="0"/>
    <n v="0"/>
    <n v="0"/>
    <n v="0"/>
    <m/>
    <n v="64.2"/>
  </r>
  <r>
    <x v="715"/>
    <d v="2025-01-21T00:00:00"/>
    <s v="Treatment"/>
    <s v="South"/>
    <s v="Mobile"/>
    <s v="Organic"/>
    <s v="Free"/>
    <n v="1"/>
    <n v="0"/>
    <n v="0"/>
    <n v="0"/>
    <n v="0"/>
    <n v="0"/>
    <n v="0"/>
    <m/>
    <n v="68.8"/>
  </r>
  <r>
    <x v="716"/>
    <d v="2025-05-23T00:00:00"/>
    <s v="Treatment"/>
    <s v="North"/>
    <s v="Mobile"/>
    <s v="Paid Search"/>
    <s v="Premium"/>
    <n v="1"/>
    <n v="1"/>
    <n v="1"/>
    <n v="0"/>
    <n v="0"/>
    <n v="0"/>
    <n v="0"/>
    <m/>
    <n v="77.900000000000006"/>
  </r>
  <r>
    <x v="717"/>
    <d v="2025-01-22T00:00:00"/>
    <s v="Treatment"/>
    <s v="West"/>
    <s v="Mobile"/>
    <s v="Paid Search"/>
    <s v="Basic"/>
    <n v="0"/>
    <n v="0"/>
    <n v="0"/>
    <n v="0"/>
    <n v="0"/>
    <n v="0"/>
    <n v="0"/>
    <m/>
    <n v="92.1"/>
  </r>
  <r>
    <x v="718"/>
    <d v="2025-04-24T00:00:00"/>
    <s v="Treatment"/>
    <s v="West"/>
    <s v="Mobile"/>
    <s v="Paid Search"/>
    <s v="Premium"/>
    <n v="0"/>
    <n v="0"/>
    <n v="0"/>
    <n v="0"/>
    <n v="0"/>
    <n v="0"/>
    <n v="0"/>
    <m/>
    <n v="63.6"/>
  </r>
  <r>
    <x v="719"/>
    <d v="2025-01-17T00:00:00"/>
    <s v="Treatment"/>
    <s v="West"/>
    <s v="Desktop"/>
    <s v="Email"/>
    <s v="Free"/>
    <n v="0"/>
    <n v="0"/>
    <n v="0"/>
    <n v="0"/>
    <n v="0"/>
    <n v="2"/>
    <n v="0"/>
    <m/>
    <n v="61.6"/>
  </r>
  <r>
    <x v="720"/>
    <d v="2025-01-22T00:00:00"/>
    <s v="Treatment"/>
    <s v="East"/>
    <s v="Mobile"/>
    <s v="Referral"/>
    <s v="Basic"/>
    <n v="1"/>
    <n v="1"/>
    <n v="0"/>
    <n v="0"/>
    <n v="0"/>
    <n v="0"/>
    <n v="0"/>
    <m/>
    <n v="82.3"/>
  </r>
  <r>
    <x v="721"/>
    <d v="2025-05-04T00:00:00"/>
    <s v="Treatment"/>
    <s v="East"/>
    <s v="Desktop"/>
    <s v="Paid Search"/>
    <s v="Free"/>
    <n v="1"/>
    <n v="0"/>
    <n v="0"/>
    <n v="0"/>
    <n v="0"/>
    <n v="0"/>
    <n v="0"/>
    <m/>
    <n v="79.3"/>
  </r>
  <r>
    <x v="722"/>
    <d v="2025-03-13T00:00:00"/>
    <s v="Treatment"/>
    <s v="South"/>
    <s v="Mobile"/>
    <m/>
    <s v="Free"/>
    <n v="0"/>
    <n v="0"/>
    <n v="0"/>
    <n v="0"/>
    <n v="0"/>
    <n v="0"/>
    <n v="0"/>
    <m/>
    <n v="57.7"/>
  </r>
  <r>
    <x v="723"/>
    <d v="2025-01-02T00:00:00"/>
    <s v="Treatment"/>
    <s v="North"/>
    <s v="Mobile"/>
    <s v="Organic"/>
    <s v="Basic"/>
    <n v="1"/>
    <n v="0"/>
    <n v="0"/>
    <n v="0"/>
    <n v="0"/>
    <n v="0"/>
    <n v="0"/>
    <m/>
    <n v="63.1"/>
  </r>
  <r>
    <x v="724"/>
    <d v="2025-01-13T00:00:00"/>
    <s v="Treatment"/>
    <s v="East"/>
    <s v="Mobile"/>
    <s v="Paid Search"/>
    <s v="Basic"/>
    <n v="0"/>
    <n v="0"/>
    <n v="0"/>
    <n v="0"/>
    <n v="0"/>
    <n v="0"/>
    <n v="0"/>
    <m/>
    <n v="72.3"/>
  </r>
  <r>
    <x v="725"/>
    <d v="2025-02-09T00:00:00"/>
    <s v="Treatment"/>
    <s v="East"/>
    <s v="Mobile"/>
    <s v="Social"/>
    <s v="Free"/>
    <n v="1"/>
    <n v="1"/>
    <n v="1"/>
    <n v="0"/>
    <n v="0"/>
    <n v="0"/>
    <n v="0"/>
    <m/>
    <n v="78"/>
  </r>
  <r>
    <x v="726"/>
    <d v="2025-04-09T00:00:00"/>
    <s v="Treatment"/>
    <s v="East"/>
    <s v="Desktop"/>
    <s v="Social"/>
    <s v="Free"/>
    <n v="1"/>
    <n v="1"/>
    <n v="0"/>
    <n v="0"/>
    <n v="0"/>
    <n v="2"/>
    <n v="0"/>
    <m/>
    <n v="59.1"/>
  </r>
  <r>
    <x v="727"/>
    <d v="2025-01-02T00:00:00"/>
    <s v="Treatment"/>
    <s v="South"/>
    <s v="Mobile"/>
    <s v="Paid Search"/>
    <s v="Free"/>
    <n v="1"/>
    <n v="1"/>
    <n v="1"/>
    <n v="1"/>
    <n v="604.09"/>
    <n v="0"/>
    <n v="0"/>
    <n v="7"/>
    <n v="47.1"/>
  </r>
  <r>
    <x v="728"/>
    <d v="2025-02-04T00:00:00"/>
    <s v="Treatment"/>
    <s v="South"/>
    <s v="Mobile"/>
    <m/>
    <s v="Premium"/>
    <n v="1"/>
    <n v="0"/>
    <n v="0"/>
    <n v="0"/>
    <n v="0"/>
    <n v="0"/>
    <n v="0"/>
    <m/>
    <n v="64.900000000000006"/>
  </r>
  <r>
    <x v="729"/>
    <d v="2025-02-19T00:00:00"/>
    <s v="Treatment"/>
    <s v="South"/>
    <s v="Tablet"/>
    <s v="Paid Search"/>
    <s v="Free"/>
    <n v="0"/>
    <n v="0"/>
    <n v="0"/>
    <n v="0"/>
    <n v="0"/>
    <n v="0"/>
    <n v="0"/>
    <m/>
    <n v="67.3"/>
  </r>
  <r>
    <x v="730"/>
    <d v="2025-04-01T00:00:00"/>
    <s v="Treatment"/>
    <s v="East"/>
    <s v="Mobile"/>
    <s v="Paid Search"/>
    <s v="Basic"/>
    <n v="1"/>
    <n v="0"/>
    <n v="0"/>
    <n v="0"/>
    <n v="0"/>
    <n v="2"/>
    <n v="0"/>
    <m/>
    <n v="52.9"/>
  </r>
  <r>
    <x v="731"/>
    <d v="2025-01-29T00:00:00"/>
    <s v="Treatment"/>
    <s v="North"/>
    <s v="Mobile"/>
    <s v="Referral"/>
    <s v="Free"/>
    <n v="1"/>
    <n v="1"/>
    <n v="1"/>
    <n v="1"/>
    <n v="442.37"/>
    <n v="1"/>
    <n v="0"/>
    <n v="4"/>
    <n v="69.900000000000006"/>
  </r>
  <r>
    <x v="732"/>
    <d v="2025-05-18T00:00:00"/>
    <s v="Treatment"/>
    <s v="North"/>
    <s v="Mobile"/>
    <s v="Referral"/>
    <s v="Basic"/>
    <n v="1"/>
    <n v="1"/>
    <n v="1"/>
    <n v="0"/>
    <n v="0"/>
    <n v="0"/>
    <n v="0"/>
    <m/>
    <n v="78.900000000000006"/>
  </r>
  <r>
    <x v="733"/>
    <d v="2025-04-15T00:00:00"/>
    <s v="Treatment"/>
    <s v="East"/>
    <s v="Desktop"/>
    <s v="Social"/>
    <s v="Premium"/>
    <n v="1"/>
    <n v="1"/>
    <n v="0"/>
    <n v="0"/>
    <n v="0"/>
    <n v="0"/>
    <n v="0"/>
    <m/>
    <n v="83.3"/>
  </r>
  <r>
    <x v="734"/>
    <d v="2025-03-28T00:00:00"/>
    <s v="Treatment"/>
    <s v="East"/>
    <s v="Desktop"/>
    <s v="Email"/>
    <s v="Free"/>
    <n v="1"/>
    <n v="0"/>
    <n v="0"/>
    <n v="0"/>
    <n v="0"/>
    <n v="1"/>
    <n v="0"/>
    <m/>
    <n v="24.5"/>
  </r>
  <r>
    <x v="735"/>
    <d v="2025-04-01T00:00:00"/>
    <s v="Treatment"/>
    <s v="West"/>
    <s v="Mobile"/>
    <s v="Paid Search"/>
    <s v="Basic"/>
    <n v="1"/>
    <n v="1"/>
    <n v="0"/>
    <n v="0"/>
    <n v="0"/>
    <n v="1"/>
    <n v="0"/>
    <m/>
    <n v="56.9"/>
  </r>
  <r>
    <x v="736"/>
    <d v="2025-02-11T00:00:00"/>
    <s v="Treatment"/>
    <s v="West"/>
    <s v="Mobile"/>
    <s v="Social"/>
    <s v="Basic"/>
    <n v="1"/>
    <n v="0"/>
    <n v="0"/>
    <n v="0"/>
    <n v="0"/>
    <n v="0"/>
    <n v="0"/>
    <m/>
    <n v="69.900000000000006"/>
  </r>
  <r>
    <x v="737"/>
    <d v="2025-03-04T00:00:00"/>
    <s v="Treatment"/>
    <s v="South"/>
    <s v="Mobile"/>
    <s v="Organic"/>
    <s v="Free"/>
    <n v="1"/>
    <n v="1"/>
    <n v="1"/>
    <n v="0"/>
    <n v="0"/>
    <n v="0"/>
    <n v="0"/>
    <m/>
    <n v="81.5"/>
  </r>
  <r>
    <x v="738"/>
    <d v="2025-01-21T00:00:00"/>
    <s v="Treatment"/>
    <s v="North"/>
    <s v="Tablet"/>
    <s v="Social"/>
    <s v="Basic"/>
    <n v="0"/>
    <n v="0"/>
    <n v="0"/>
    <n v="0"/>
    <n v="0"/>
    <n v="2"/>
    <n v="0"/>
    <m/>
    <n v="37.9"/>
  </r>
  <r>
    <x v="739"/>
    <d v="2025-02-14T00:00:00"/>
    <s v="Treatment"/>
    <s v="North"/>
    <s v="Mobile"/>
    <s v="Referral"/>
    <s v="Free"/>
    <n v="0"/>
    <n v="0"/>
    <n v="0"/>
    <n v="0"/>
    <n v="0"/>
    <n v="1"/>
    <n v="0"/>
    <m/>
    <n v="61.7"/>
  </r>
  <r>
    <x v="740"/>
    <d v="2025-03-30T00:00:00"/>
    <s v="Treatment"/>
    <s v="North"/>
    <s v="Desktop"/>
    <m/>
    <s v="Premium"/>
    <n v="1"/>
    <n v="0"/>
    <n v="0"/>
    <n v="0"/>
    <n v="0"/>
    <n v="2"/>
    <n v="0"/>
    <m/>
    <n v="53.2"/>
  </r>
  <r>
    <x v="741"/>
    <d v="2025-01-08T00:00:00"/>
    <s v="Treatment"/>
    <s v="North"/>
    <s v="Mobile"/>
    <s v="Referral"/>
    <s v="Free"/>
    <n v="0"/>
    <n v="0"/>
    <n v="0"/>
    <n v="0"/>
    <n v="0"/>
    <n v="0"/>
    <n v="0"/>
    <m/>
    <n v="61.9"/>
  </r>
  <r>
    <x v="742"/>
    <d v="2025-02-07T00:00:00"/>
    <s v="Treatment"/>
    <s v="North"/>
    <s v="Mobile"/>
    <s v="Social"/>
    <s v="Free"/>
    <n v="1"/>
    <n v="1"/>
    <n v="1"/>
    <n v="0"/>
    <n v="0"/>
    <n v="0"/>
    <n v="0"/>
    <m/>
    <n v="68.900000000000006"/>
  </r>
  <r>
    <x v="743"/>
    <d v="2025-02-01T00:00:00"/>
    <s v="Treatment"/>
    <s v="North"/>
    <s v="Tablet"/>
    <s v="Paid Search"/>
    <s v="Basic"/>
    <n v="0"/>
    <n v="0"/>
    <n v="0"/>
    <n v="0"/>
    <n v="0"/>
    <n v="0"/>
    <n v="0"/>
    <m/>
    <n v="66.3"/>
  </r>
  <r>
    <x v="744"/>
    <d v="2025-01-04T00:00:00"/>
    <s v="Treatment"/>
    <s v="East"/>
    <s v="Mobile"/>
    <s v="Email"/>
    <s v="Free"/>
    <n v="1"/>
    <n v="1"/>
    <n v="1"/>
    <n v="0"/>
    <n v="0"/>
    <n v="0"/>
    <n v="0"/>
    <m/>
    <n v="54.6"/>
  </r>
  <r>
    <x v="745"/>
    <d v="2025-05-16T00:00:00"/>
    <s v="Treatment"/>
    <s v="South"/>
    <s v="Desktop"/>
    <s v="Referral"/>
    <s v="Free"/>
    <n v="0"/>
    <n v="0"/>
    <n v="0"/>
    <n v="0"/>
    <n v="0"/>
    <n v="0"/>
    <n v="0"/>
    <m/>
    <n v="53.8"/>
  </r>
  <r>
    <x v="746"/>
    <d v="2025-02-28T00:00:00"/>
    <s v="Treatment"/>
    <s v="West"/>
    <s v="Mobile"/>
    <s v="Referral"/>
    <s v="Free"/>
    <n v="1"/>
    <n v="0"/>
    <n v="0"/>
    <n v="0"/>
    <n v="0"/>
    <n v="0"/>
    <n v="0"/>
    <m/>
    <n v="59.5"/>
  </r>
  <r>
    <x v="747"/>
    <d v="2025-04-12T00:00:00"/>
    <s v="Treatment"/>
    <s v="North"/>
    <s v="Mobile"/>
    <s v="Referral"/>
    <s v="Free"/>
    <n v="1"/>
    <n v="0"/>
    <n v="0"/>
    <n v="0"/>
    <n v="0"/>
    <n v="0"/>
    <n v="0"/>
    <m/>
    <n v="52.6"/>
  </r>
  <r>
    <x v="748"/>
    <d v="2025-03-23T00:00:00"/>
    <s v="Treatment"/>
    <s v="South"/>
    <s v="Desktop"/>
    <s v="Organic"/>
    <s v="Free"/>
    <n v="0"/>
    <n v="0"/>
    <n v="0"/>
    <n v="0"/>
    <n v="0"/>
    <n v="0"/>
    <n v="0"/>
    <m/>
    <n v="49"/>
  </r>
  <r>
    <x v="749"/>
    <d v="2025-05-29T00:00:00"/>
    <s v="Treatment"/>
    <s v="North"/>
    <s v="Tablet"/>
    <s v="Organic"/>
    <s v="Free"/>
    <n v="1"/>
    <n v="0"/>
    <n v="0"/>
    <n v="0"/>
    <n v="0"/>
    <n v="0"/>
    <n v="0"/>
    <m/>
    <n v="59.3"/>
  </r>
  <r>
    <x v="750"/>
    <d v="2025-05-21T00:00:00"/>
    <s v="Treatment"/>
    <s v="South"/>
    <s v="Desktop"/>
    <s v="Organic"/>
    <s v="Basic"/>
    <n v="0"/>
    <n v="0"/>
    <n v="0"/>
    <n v="0"/>
    <n v="0"/>
    <n v="0"/>
    <n v="0"/>
    <m/>
    <n v="67.2"/>
  </r>
  <r>
    <x v="751"/>
    <d v="2025-01-05T00:00:00"/>
    <s v="Treatment"/>
    <s v="South"/>
    <s v="Mobile"/>
    <s v="Referral"/>
    <s v="Premium"/>
    <n v="0"/>
    <n v="0"/>
    <n v="0"/>
    <n v="0"/>
    <n v="0"/>
    <n v="0"/>
    <n v="0"/>
    <m/>
    <n v="73.5"/>
  </r>
  <r>
    <x v="752"/>
    <d v="2025-03-19T00:00:00"/>
    <s v="Treatment"/>
    <s v="East"/>
    <s v="Tablet"/>
    <s v="Organic"/>
    <s v="Free"/>
    <n v="1"/>
    <n v="0"/>
    <n v="0"/>
    <n v="0"/>
    <n v="0"/>
    <n v="0"/>
    <n v="0"/>
    <m/>
    <n v="61.2"/>
  </r>
  <r>
    <x v="753"/>
    <d v="2025-04-24T00:00:00"/>
    <s v="Treatment"/>
    <s v="East"/>
    <s v="Mobile"/>
    <s v="Organic"/>
    <s v="Free"/>
    <n v="1"/>
    <n v="0"/>
    <n v="0"/>
    <n v="0"/>
    <n v="0"/>
    <n v="1"/>
    <n v="0"/>
    <m/>
    <n v="56.4"/>
  </r>
  <r>
    <x v="754"/>
    <d v="2025-03-10T00:00:00"/>
    <s v="Treatment"/>
    <s v="North"/>
    <s v="Tablet"/>
    <s v="Organic"/>
    <s v="Free"/>
    <n v="0"/>
    <n v="0"/>
    <n v="0"/>
    <n v="0"/>
    <n v="0"/>
    <n v="3"/>
    <n v="0"/>
    <m/>
    <n v="72.599999999999994"/>
  </r>
  <r>
    <x v="755"/>
    <d v="2025-02-22T00:00:00"/>
    <s v="Treatment"/>
    <s v="South"/>
    <s v="Tablet"/>
    <s v="Referral"/>
    <s v="Basic"/>
    <n v="1"/>
    <n v="0"/>
    <n v="0"/>
    <n v="0"/>
    <n v="0"/>
    <n v="0"/>
    <n v="0"/>
    <m/>
    <n v="61.7"/>
  </r>
  <r>
    <x v="756"/>
    <d v="2025-05-17T00:00:00"/>
    <s v="Treatment"/>
    <s v="East"/>
    <s v="Mobile"/>
    <s v="Social"/>
    <s v="Free"/>
    <n v="0"/>
    <n v="0"/>
    <n v="0"/>
    <n v="0"/>
    <n v="0"/>
    <n v="1"/>
    <n v="0"/>
    <m/>
    <n v="66.900000000000006"/>
  </r>
  <r>
    <x v="757"/>
    <d v="2025-05-09T00:00:00"/>
    <s v="Treatment"/>
    <s v="East"/>
    <s v="Tablet"/>
    <s v="Referral"/>
    <s v="Premium"/>
    <n v="1"/>
    <n v="1"/>
    <n v="1"/>
    <n v="1"/>
    <n v="1506.24"/>
    <n v="1"/>
    <n v="0"/>
    <n v="7"/>
    <n v="64.900000000000006"/>
  </r>
  <r>
    <x v="758"/>
    <d v="2025-04-26T00:00:00"/>
    <s v="Treatment"/>
    <s v="East"/>
    <s v="Tablet"/>
    <s v="Organic"/>
    <s v="Premium"/>
    <n v="1"/>
    <n v="0"/>
    <n v="0"/>
    <n v="0"/>
    <n v="0"/>
    <n v="0"/>
    <n v="0"/>
    <m/>
    <n v="57.5"/>
  </r>
  <r>
    <x v="759"/>
    <d v="2025-03-15T00:00:00"/>
    <s v="Treatment"/>
    <s v="West"/>
    <s v="Desktop"/>
    <s v="Social"/>
    <s v="Free"/>
    <n v="1"/>
    <n v="1"/>
    <n v="1"/>
    <n v="0"/>
    <n v="0"/>
    <n v="0"/>
    <n v="0"/>
    <m/>
    <n v="76.3"/>
  </r>
  <r>
    <x v="760"/>
    <d v="2025-04-03T00:00:00"/>
    <s v="Treatment"/>
    <s v="North"/>
    <s v="Mobile"/>
    <s v="Paid Search"/>
    <s v="Free"/>
    <n v="0"/>
    <n v="0"/>
    <n v="0"/>
    <n v="0"/>
    <n v="0"/>
    <n v="0"/>
    <n v="0"/>
    <m/>
    <n v="47.5"/>
  </r>
  <r>
    <x v="761"/>
    <d v="2025-03-26T00:00:00"/>
    <s v="Treatment"/>
    <s v="South"/>
    <s v="Mobile"/>
    <s v="Paid Search"/>
    <s v="Free"/>
    <n v="0"/>
    <n v="0"/>
    <n v="0"/>
    <n v="0"/>
    <n v="0"/>
    <n v="0"/>
    <n v="0"/>
    <m/>
    <m/>
  </r>
  <r>
    <x v="762"/>
    <d v="2025-02-05T00:00:00"/>
    <s v="Treatment"/>
    <s v="West"/>
    <s v="Desktop"/>
    <s v="Organic"/>
    <s v="Basic"/>
    <n v="1"/>
    <n v="1"/>
    <n v="0"/>
    <n v="0"/>
    <n v="0"/>
    <n v="2"/>
    <n v="0"/>
    <m/>
    <n v="71.599999999999994"/>
  </r>
  <r>
    <x v="763"/>
    <d v="2025-05-08T00:00:00"/>
    <s v="Treatment"/>
    <s v="South"/>
    <s v="Mobile"/>
    <s v="Social"/>
    <s v="Basic"/>
    <n v="1"/>
    <n v="1"/>
    <n v="0"/>
    <n v="0"/>
    <n v="0"/>
    <n v="0"/>
    <n v="0"/>
    <m/>
    <n v="55.8"/>
  </r>
  <r>
    <x v="764"/>
    <d v="2025-03-25T00:00:00"/>
    <s v="Treatment"/>
    <s v="South"/>
    <s v="Desktop"/>
    <s v="Organic"/>
    <s v="Basic"/>
    <n v="0"/>
    <n v="0"/>
    <n v="0"/>
    <n v="0"/>
    <n v="0"/>
    <n v="1"/>
    <n v="0"/>
    <m/>
    <n v="60.1"/>
  </r>
  <r>
    <x v="765"/>
    <d v="2025-01-14T00:00:00"/>
    <s v="Treatment"/>
    <s v="West"/>
    <m/>
    <s v="Email"/>
    <s v="Basic"/>
    <n v="1"/>
    <n v="1"/>
    <n v="1"/>
    <n v="0"/>
    <n v="0"/>
    <n v="1"/>
    <n v="0"/>
    <m/>
    <n v="59.3"/>
  </r>
  <r>
    <x v="766"/>
    <d v="2025-03-26T00:00:00"/>
    <s v="Treatment"/>
    <s v="North"/>
    <s v="Mobile"/>
    <s v="Organic"/>
    <s v="Free"/>
    <n v="1"/>
    <n v="1"/>
    <n v="0"/>
    <n v="0"/>
    <n v="0"/>
    <n v="2"/>
    <n v="0"/>
    <m/>
    <n v="49.3"/>
  </r>
  <r>
    <x v="767"/>
    <d v="2025-01-16T00:00:00"/>
    <s v="Treatment"/>
    <s v="East"/>
    <s v="Mobile"/>
    <s v="Referral"/>
    <s v="Free"/>
    <n v="1"/>
    <n v="0"/>
    <n v="0"/>
    <n v="0"/>
    <n v="0"/>
    <n v="0"/>
    <n v="0"/>
    <m/>
    <n v="75"/>
  </r>
  <r>
    <x v="768"/>
    <d v="2025-01-04T00:00:00"/>
    <s v="Treatment"/>
    <s v="East"/>
    <s v="Mobile"/>
    <s v="Social"/>
    <s v="Free"/>
    <n v="1"/>
    <n v="0"/>
    <n v="0"/>
    <n v="0"/>
    <n v="0"/>
    <n v="0"/>
    <n v="0"/>
    <m/>
    <n v="70.2"/>
  </r>
  <r>
    <x v="769"/>
    <d v="2025-02-09T00:00:00"/>
    <s v="Treatment"/>
    <s v="South"/>
    <s v="Desktop"/>
    <s v="Organic"/>
    <s v="Premium"/>
    <n v="1"/>
    <n v="1"/>
    <n v="1"/>
    <n v="0"/>
    <n v="0"/>
    <n v="0"/>
    <n v="0"/>
    <m/>
    <n v="56.6"/>
  </r>
  <r>
    <x v="770"/>
    <d v="2025-03-05T00:00:00"/>
    <s v="Treatment"/>
    <s v="East"/>
    <s v="Desktop"/>
    <s v="Organic"/>
    <s v="Free"/>
    <n v="1"/>
    <n v="0"/>
    <n v="0"/>
    <n v="0"/>
    <n v="0"/>
    <n v="0"/>
    <n v="0"/>
    <m/>
    <n v="65.400000000000006"/>
  </r>
  <r>
    <x v="771"/>
    <d v="2025-03-10T00:00:00"/>
    <s v="Treatment"/>
    <s v="East"/>
    <s v="Mobile"/>
    <s v="Referral"/>
    <s v="Basic"/>
    <n v="1"/>
    <n v="0"/>
    <n v="0"/>
    <n v="0"/>
    <n v="0"/>
    <n v="0"/>
    <n v="0"/>
    <m/>
    <n v="47.6"/>
  </r>
  <r>
    <x v="772"/>
    <d v="2025-02-27T00:00:00"/>
    <s v="Treatment"/>
    <s v="East"/>
    <s v="Desktop"/>
    <s v="Paid Search"/>
    <s v="Free"/>
    <n v="1"/>
    <n v="0"/>
    <n v="0"/>
    <n v="0"/>
    <n v="0"/>
    <n v="0"/>
    <n v="0"/>
    <m/>
    <n v="56.7"/>
  </r>
  <r>
    <x v="773"/>
    <d v="2025-03-10T00:00:00"/>
    <s v="Treatment"/>
    <s v="North"/>
    <s v="Desktop"/>
    <s v="Referral"/>
    <s v="Basic"/>
    <n v="1"/>
    <n v="1"/>
    <n v="0"/>
    <n v="0"/>
    <n v="0"/>
    <n v="0"/>
    <n v="0"/>
    <m/>
    <n v="71.400000000000006"/>
  </r>
  <r>
    <x v="774"/>
    <d v="2025-04-23T00:00:00"/>
    <s v="Treatment"/>
    <s v="West"/>
    <s v="Mobile"/>
    <s v="Social"/>
    <s v="Free"/>
    <n v="0"/>
    <n v="0"/>
    <n v="0"/>
    <n v="0"/>
    <n v="0"/>
    <n v="2"/>
    <n v="0"/>
    <m/>
    <n v="60.5"/>
  </r>
  <r>
    <x v="775"/>
    <d v="2025-04-12T00:00:00"/>
    <s v="Treatment"/>
    <s v="North"/>
    <s v="Desktop"/>
    <s v="Paid Search"/>
    <s v="Free"/>
    <n v="1"/>
    <n v="0"/>
    <n v="0"/>
    <n v="0"/>
    <n v="0"/>
    <n v="0"/>
    <n v="0"/>
    <m/>
    <n v="46.7"/>
  </r>
  <r>
    <x v="776"/>
    <d v="2025-01-26T00:00:00"/>
    <s v="Treatment"/>
    <s v="East"/>
    <s v="Desktop"/>
    <s v="Referral"/>
    <s v="Free"/>
    <n v="0"/>
    <n v="0"/>
    <n v="0"/>
    <n v="0"/>
    <n v="0"/>
    <n v="0"/>
    <n v="0"/>
    <m/>
    <n v="61"/>
  </r>
  <r>
    <x v="777"/>
    <d v="2025-05-24T00:00:00"/>
    <s v="Treatment"/>
    <s v="West"/>
    <s v="Tablet"/>
    <s v="Paid Search"/>
    <s v="Free"/>
    <n v="0"/>
    <n v="0"/>
    <n v="0"/>
    <n v="0"/>
    <n v="0"/>
    <n v="0"/>
    <n v="0"/>
    <m/>
    <n v="60.9"/>
  </r>
  <r>
    <x v="778"/>
    <d v="2025-01-08T00:00:00"/>
    <s v="Treatment"/>
    <s v="South"/>
    <s v="Mobile"/>
    <s v="Organic"/>
    <s v="Free"/>
    <n v="1"/>
    <n v="0"/>
    <n v="0"/>
    <n v="0"/>
    <n v="0"/>
    <n v="0"/>
    <n v="0"/>
    <m/>
    <n v="67.099999999999994"/>
  </r>
  <r>
    <x v="779"/>
    <d v="2025-04-15T00:00:00"/>
    <s v="Treatment"/>
    <s v="North"/>
    <s v="Mobile"/>
    <s v="Referral"/>
    <s v="Free"/>
    <n v="1"/>
    <n v="1"/>
    <n v="0"/>
    <n v="0"/>
    <n v="0"/>
    <n v="0"/>
    <n v="0"/>
    <m/>
    <n v="59.6"/>
  </r>
  <r>
    <x v="780"/>
    <d v="2025-01-15T00:00:00"/>
    <s v="Treatment"/>
    <s v="South"/>
    <s v="Desktop"/>
    <s v="Paid Search"/>
    <s v="Free"/>
    <n v="1"/>
    <n v="0"/>
    <n v="0"/>
    <n v="0"/>
    <n v="0"/>
    <n v="0"/>
    <n v="0"/>
    <m/>
    <n v="83.8"/>
  </r>
  <r>
    <x v="781"/>
    <d v="2025-02-28T00:00:00"/>
    <s v="Treatment"/>
    <s v="North"/>
    <s v="Mobile"/>
    <s v="Organic"/>
    <s v="Basic"/>
    <n v="1"/>
    <n v="1"/>
    <n v="1"/>
    <n v="0"/>
    <n v="0"/>
    <n v="0"/>
    <n v="0"/>
    <m/>
    <n v="70.8"/>
  </r>
  <r>
    <x v="782"/>
    <d v="2025-01-01T00:00:00"/>
    <s v="Treatment"/>
    <s v="North"/>
    <s v="Tablet"/>
    <s v="Organic"/>
    <s v="Basic"/>
    <n v="0"/>
    <n v="0"/>
    <n v="0"/>
    <n v="0"/>
    <n v="0"/>
    <n v="0"/>
    <n v="0"/>
    <m/>
    <n v="65.900000000000006"/>
  </r>
  <r>
    <x v="783"/>
    <d v="2025-04-17T00:00:00"/>
    <s v="Treatment"/>
    <s v="West"/>
    <s v="Mobile"/>
    <s v="Referral"/>
    <s v="Free"/>
    <n v="1"/>
    <n v="0"/>
    <n v="0"/>
    <n v="0"/>
    <n v="0"/>
    <n v="0"/>
    <n v="0"/>
    <m/>
    <n v="58"/>
  </r>
  <r>
    <x v="784"/>
    <d v="2025-02-19T00:00:00"/>
    <s v="Treatment"/>
    <s v="North"/>
    <s v="Mobile"/>
    <s v="Email"/>
    <s v="Basic"/>
    <n v="1"/>
    <n v="1"/>
    <n v="0"/>
    <n v="0"/>
    <n v="0"/>
    <n v="0"/>
    <n v="0"/>
    <m/>
    <n v="80.3"/>
  </r>
  <r>
    <x v="785"/>
    <d v="2025-03-14T00:00:00"/>
    <s v="Treatment"/>
    <s v="North"/>
    <s v="Desktop"/>
    <s v="Organic"/>
    <s v="Free"/>
    <n v="1"/>
    <n v="0"/>
    <n v="0"/>
    <n v="0"/>
    <n v="0"/>
    <n v="0"/>
    <n v="0"/>
    <m/>
    <n v="55.7"/>
  </r>
  <r>
    <x v="786"/>
    <d v="2025-04-21T00:00:00"/>
    <s v="Treatment"/>
    <s v="North"/>
    <s v="Mobile"/>
    <s v="Organic"/>
    <s v="Free"/>
    <n v="1"/>
    <n v="1"/>
    <n v="0"/>
    <n v="0"/>
    <n v="0"/>
    <n v="0"/>
    <n v="0"/>
    <m/>
    <n v="84.9"/>
  </r>
  <r>
    <x v="787"/>
    <d v="2025-02-14T00:00:00"/>
    <s v="Treatment"/>
    <s v="North"/>
    <s v="Mobile"/>
    <s v="Organic"/>
    <s v="Free"/>
    <n v="1"/>
    <n v="0"/>
    <n v="0"/>
    <n v="0"/>
    <n v="0"/>
    <n v="0"/>
    <n v="0"/>
    <m/>
    <n v="63.3"/>
  </r>
  <r>
    <x v="788"/>
    <d v="2025-05-30T00:00:00"/>
    <s v="Treatment"/>
    <s v="West"/>
    <s v="Mobile"/>
    <s v="Organic"/>
    <s v="Free"/>
    <n v="0"/>
    <n v="0"/>
    <n v="0"/>
    <n v="0"/>
    <n v="0"/>
    <n v="0"/>
    <n v="0"/>
    <m/>
    <n v="53.1"/>
  </r>
  <r>
    <x v="789"/>
    <d v="2025-01-20T00:00:00"/>
    <s v="Treatment"/>
    <s v="West"/>
    <s v="Mobile"/>
    <s v="Organic"/>
    <s v="Free"/>
    <n v="0"/>
    <n v="0"/>
    <n v="0"/>
    <n v="0"/>
    <n v="0"/>
    <n v="0"/>
    <n v="0"/>
    <m/>
    <n v="66"/>
  </r>
  <r>
    <x v="790"/>
    <d v="2025-03-17T00:00:00"/>
    <s v="Treatment"/>
    <s v="West"/>
    <s v="Mobile"/>
    <s v="Social"/>
    <s v="Premium"/>
    <n v="0"/>
    <n v="0"/>
    <n v="0"/>
    <n v="0"/>
    <n v="0"/>
    <n v="0"/>
    <n v="0"/>
    <m/>
    <n v="54.7"/>
  </r>
  <r>
    <x v="791"/>
    <d v="2025-03-04T00:00:00"/>
    <s v="Treatment"/>
    <s v="West"/>
    <s v="Mobile"/>
    <s v="Social"/>
    <s v="Free"/>
    <n v="1"/>
    <n v="1"/>
    <n v="0"/>
    <n v="0"/>
    <n v="0"/>
    <n v="1"/>
    <n v="0"/>
    <m/>
    <n v="41.2"/>
  </r>
  <r>
    <x v="792"/>
    <d v="2025-02-22T00:00:00"/>
    <s v="Treatment"/>
    <s v="South"/>
    <s v="Mobile"/>
    <s v="Organic"/>
    <s v="Premium"/>
    <n v="0"/>
    <n v="0"/>
    <n v="0"/>
    <n v="0"/>
    <n v="0"/>
    <n v="0"/>
    <n v="0"/>
    <m/>
    <n v="66.7"/>
  </r>
  <r>
    <x v="793"/>
    <d v="2025-05-02T00:00:00"/>
    <s v="Treatment"/>
    <s v="North"/>
    <s v="Mobile"/>
    <s v="Paid Search"/>
    <s v="Premium"/>
    <n v="0"/>
    <n v="0"/>
    <n v="0"/>
    <n v="0"/>
    <n v="0"/>
    <n v="0"/>
    <n v="0"/>
    <m/>
    <n v="39.4"/>
  </r>
  <r>
    <x v="794"/>
    <d v="2025-03-13T00:00:00"/>
    <s v="Treatment"/>
    <s v="West"/>
    <s v="Desktop"/>
    <s v="Organic"/>
    <s v="Premium"/>
    <n v="0"/>
    <n v="0"/>
    <n v="0"/>
    <n v="0"/>
    <n v="0"/>
    <n v="3"/>
    <n v="0"/>
    <m/>
    <n v="67"/>
  </r>
  <r>
    <x v="795"/>
    <d v="2025-05-31T00:00:00"/>
    <s v="Treatment"/>
    <s v="South"/>
    <s v="Mobile"/>
    <s v="Organic"/>
    <s v="Basic"/>
    <n v="1"/>
    <n v="0"/>
    <n v="0"/>
    <n v="0"/>
    <n v="0"/>
    <n v="0"/>
    <n v="0"/>
    <m/>
    <n v="50.4"/>
  </r>
  <r>
    <x v="796"/>
    <d v="2025-03-07T00:00:00"/>
    <s v="Treatment"/>
    <s v="West"/>
    <s v="Desktop"/>
    <s v="Social"/>
    <s v="Free"/>
    <n v="1"/>
    <n v="0"/>
    <n v="0"/>
    <n v="0"/>
    <n v="0"/>
    <n v="0"/>
    <n v="0"/>
    <m/>
    <n v="53.8"/>
  </r>
  <r>
    <x v="797"/>
    <d v="2025-02-22T00:00:00"/>
    <s v="Treatment"/>
    <s v="West"/>
    <s v="Mobile"/>
    <s v="Paid Search"/>
    <s v="Basic"/>
    <n v="0"/>
    <n v="0"/>
    <n v="0"/>
    <n v="0"/>
    <n v="0"/>
    <n v="1"/>
    <n v="0"/>
    <m/>
    <n v="82.7"/>
  </r>
  <r>
    <x v="798"/>
    <d v="2025-01-05T00:00:00"/>
    <s v="Treatment"/>
    <s v="West"/>
    <s v="Desktop"/>
    <s v="Paid Search"/>
    <s v="Free"/>
    <n v="1"/>
    <n v="1"/>
    <n v="1"/>
    <n v="0"/>
    <n v="0"/>
    <n v="0"/>
    <n v="0"/>
    <m/>
    <n v="63.9"/>
  </r>
  <r>
    <x v="799"/>
    <d v="2025-01-21T00:00:00"/>
    <s v="Treatment"/>
    <s v="West"/>
    <s v="Mobile"/>
    <s v="Referral"/>
    <s v="Free"/>
    <n v="1"/>
    <n v="0"/>
    <n v="0"/>
    <n v="0"/>
    <n v="0"/>
    <n v="0"/>
    <n v="0"/>
    <m/>
    <n v="61.9"/>
  </r>
  <r>
    <x v="800"/>
    <d v="2025-01-25T00:00:00"/>
    <s v="Treatment"/>
    <s v="North"/>
    <s v="Desktop"/>
    <s v="Social"/>
    <s v="Free"/>
    <n v="1"/>
    <n v="1"/>
    <n v="1"/>
    <n v="0"/>
    <n v="0"/>
    <n v="0"/>
    <n v="0"/>
    <m/>
    <n v="75"/>
  </r>
  <r>
    <x v="801"/>
    <d v="2025-04-04T00:00:00"/>
    <s v="Treatment"/>
    <s v="West"/>
    <s v="Mobile"/>
    <s v="Paid Search"/>
    <s v="Basic"/>
    <n v="1"/>
    <n v="1"/>
    <n v="1"/>
    <n v="0"/>
    <n v="0"/>
    <n v="0"/>
    <n v="0"/>
    <m/>
    <n v="43"/>
  </r>
  <r>
    <x v="802"/>
    <d v="2025-03-25T00:00:00"/>
    <s v="Treatment"/>
    <s v="North"/>
    <s v="Desktop"/>
    <s v="Social"/>
    <s v="Premium"/>
    <n v="0"/>
    <n v="0"/>
    <n v="0"/>
    <n v="0"/>
    <n v="0"/>
    <n v="0"/>
    <n v="0"/>
    <m/>
    <n v="54.3"/>
  </r>
  <r>
    <x v="803"/>
    <d v="2025-03-19T00:00:00"/>
    <s v="Treatment"/>
    <s v="West"/>
    <s v="Mobile"/>
    <s v="Social"/>
    <s v="Free"/>
    <n v="0"/>
    <n v="0"/>
    <n v="0"/>
    <n v="0"/>
    <n v="0"/>
    <n v="2"/>
    <n v="0"/>
    <m/>
    <n v="44.3"/>
  </r>
  <r>
    <x v="804"/>
    <d v="2025-04-24T00:00:00"/>
    <s v="Treatment"/>
    <s v="West"/>
    <s v="Desktop"/>
    <s v="Organic"/>
    <s v="Free"/>
    <n v="1"/>
    <n v="1"/>
    <n v="1"/>
    <n v="1"/>
    <n v="402.88"/>
    <n v="0"/>
    <n v="0"/>
    <n v="12"/>
    <n v="76"/>
  </r>
  <r>
    <x v="805"/>
    <d v="2025-04-04T00:00:00"/>
    <s v="Treatment"/>
    <s v="South"/>
    <s v="Tablet"/>
    <s v="Organic"/>
    <s v="Free"/>
    <n v="1"/>
    <n v="0"/>
    <n v="0"/>
    <n v="0"/>
    <n v="0"/>
    <n v="2"/>
    <n v="0"/>
    <m/>
    <n v="65.3"/>
  </r>
  <r>
    <x v="806"/>
    <d v="2025-03-28T00:00:00"/>
    <s v="Treatment"/>
    <s v="South"/>
    <s v="Desktop"/>
    <s v="Paid Search"/>
    <s v="Premium"/>
    <n v="1"/>
    <n v="0"/>
    <n v="0"/>
    <n v="0"/>
    <n v="0"/>
    <n v="0"/>
    <n v="0"/>
    <m/>
    <n v="71.2"/>
  </r>
  <r>
    <x v="807"/>
    <d v="2025-05-15T00:00:00"/>
    <s v="Treatment"/>
    <s v="South"/>
    <s v="Tablet"/>
    <s v="Paid Search"/>
    <s v="Free"/>
    <n v="1"/>
    <n v="0"/>
    <n v="0"/>
    <n v="0"/>
    <n v="0"/>
    <n v="0"/>
    <n v="0"/>
    <m/>
    <n v="77.900000000000006"/>
  </r>
  <r>
    <x v="808"/>
    <d v="2025-03-13T00:00:00"/>
    <s v="Treatment"/>
    <s v="West"/>
    <s v="Mobile"/>
    <s v="Paid Search"/>
    <s v="Free"/>
    <n v="0"/>
    <n v="0"/>
    <n v="0"/>
    <n v="0"/>
    <n v="0"/>
    <n v="0"/>
    <n v="0"/>
    <m/>
    <n v="48.6"/>
  </r>
  <r>
    <x v="809"/>
    <d v="2025-03-26T00:00:00"/>
    <s v="Treatment"/>
    <s v="North"/>
    <s v="Mobile"/>
    <s v="Social"/>
    <s v="Premium"/>
    <n v="1"/>
    <n v="0"/>
    <n v="0"/>
    <n v="0"/>
    <n v="0"/>
    <n v="0"/>
    <n v="0"/>
    <m/>
    <n v="61.9"/>
  </r>
  <r>
    <x v="810"/>
    <d v="2025-01-09T00:00:00"/>
    <s v="Treatment"/>
    <s v="North"/>
    <s v="Mobile"/>
    <s v="Social"/>
    <s v="Basic"/>
    <n v="0"/>
    <n v="0"/>
    <n v="0"/>
    <n v="0"/>
    <n v="0"/>
    <n v="1"/>
    <n v="0"/>
    <m/>
    <n v="58.7"/>
  </r>
  <r>
    <x v="811"/>
    <d v="2025-05-06T00:00:00"/>
    <s v="Treatment"/>
    <s v="South"/>
    <s v="Desktop"/>
    <s v="Paid Search"/>
    <s v="Free"/>
    <n v="1"/>
    <n v="0"/>
    <n v="0"/>
    <n v="0"/>
    <n v="0"/>
    <n v="0"/>
    <n v="0"/>
    <m/>
    <n v="69.599999999999994"/>
  </r>
  <r>
    <x v="812"/>
    <d v="2025-02-17T00:00:00"/>
    <s v="Treatment"/>
    <s v="South"/>
    <s v="Mobile"/>
    <s v="Organic"/>
    <s v="Free"/>
    <n v="1"/>
    <n v="0"/>
    <n v="0"/>
    <n v="0"/>
    <n v="0"/>
    <n v="0"/>
    <n v="0"/>
    <m/>
    <n v="51.5"/>
  </r>
  <r>
    <x v="813"/>
    <d v="2025-04-05T00:00:00"/>
    <s v="Treatment"/>
    <s v="East"/>
    <s v="Mobile"/>
    <s v="Paid Search"/>
    <s v="Free"/>
    <n v="1"/>
    <n v="1"/>
    <n v="1"/>
    <n v="1"/>
    <n v="277.69"/>
    <n v="3"/>
    <n v="0"/>
    <n v="8"/>
    <n v="46"/>
  </r>
  <r>
    <x v="814"/>
    <d v="2025-04-13T00:00:00"/>
    <s v="Treatment"/>
    <s v="West"/>
    <s v="Tablet"/>
    <s v="Organic"/>
    <s v="Free"/>
    <n v="1"/>
    <n v="0"/>
    <n v="0"/>
    <n v="0"/>
    <n v="0"/>
    <n v="0"/>
    <n v="0"/>
    <m/>
    <n v="81.7"/>
  </r>
  <r>
    <x v="815"/>
    <d v="2025-05-20T00:00:00"/>
    <s v="Treatment"/>
    <s v="East"/>
    <s v="Desktop"/>
    <s v="Referral"/>
    <s v="Free"/>
    <n v="1"/>
    <n v="0"/>
    <n v="0"/>
    <n v="0"/>
    <n v="0"/>
    <n v="0"/>
    <n v="0"/>
    <m/>
    <n v="48.3"/>
  </r>
  <r>
    <x v="816"/>
    <d v="2025-03-31T00:00:00"/>
    <s v="Treatment"/>
    <s v="East"/>
    <s v="Mobile"/>
    <s v="Email"/>
    <s v="Free"/>
    <n v="1"/>
    <n v="1"/>
    <n v="0"/>
    <n v="0"/>
    <n v="0"/>
    <n v="0"/>
    <n v="0"/>
    <m/>
    <n v="85.6"/>
  </r>
  <r>
    <x v="817"/>
    <d v="2025-04-03T00:00:00"/>
    <s v="Treatment"/>
    <s v="West"/>
    <s v="Tablet"/>
    <s v="Paid Search"/>
    <s v="Basic"/>
    <n v="1"/>
    <n v="0"/>
    <n v="0"/>
    <n v="0"/>
    <n v="0"/>
    <n v="0"/>
    <n v="0"/>
    <m/>
    <n v="53.8"/>
  </r>
  <r>
    <x v="818"/>
    <d v="2025-02-04T00:00:00"/>
    <s v="Treatment"/>
    <s v="South"/>
    <s v="Mobile"/>
    <s v="Organic"/>
    <s v="Free"/>
    <n v="1"/>
    <n v="1"/>
    <n v="1"/>
    <n v="1"/>
    <n v="460.83"/>
    <n v="2"/>
    <n v="0"/>
    <n v="0"/>
    <n v="69.7"/>
  </r>
  <r>
    <x v="819"/>
    <d v="2025-05-19T00:00:00"/>
    <s v="Treatment"/>
    <s v="East"/>
    <s v="Mobile"/>
    <s v="Organic"/>
    <s v="Free"/>
    <n v="1"/>
    <n v="0"/>
    <n v="0"/>
    <n v="0"/>
    <n v="0"/>
    <n v="0"/>
    <n v="0"/>
    <m/>
    <n v="74.8"/>
  </r>
  <r>
    <x v="820"/>
    <d v="2025-03-08T00:00:00"/>
    <s v="Treatment"/>
    <s v="East"/>
    <s v="Desktop"/>
    <s v="Paid Search"/>
    <s v="Basic"/>
    <n v="0"/>
    <n v="0"/>
    <n v="0"/>
    <n v="0"/>
    <n v="0"/>
    <n v="0"/>
    <n v="0"/>
    <m/>
    <n v="87.9"/>
  </r>
  <r>
    <x v="821"/>
    <d v="2025-05-10T00:00:00"/>
    <s v="Treatment"/>
    <s v="North"/>
    <s v="Mobile"/>
    <s v="Social"/>
    <s v="Basic"/>
    <n v="1"/>
    <n v="0"/>
    <n v="0"/>
    <n v="0"/>
    <n v="0"/>
    <n v="1"/>
    <n v="0"/>
    <m/>
    <n v="49.1"/>
  </r>
  <r>
    <x v="822"/>
    <d v="2025-01-02T00:00:00"/>
    <s v="Treatment"/>
    <s v="East"/>
    <s v="Desktop"/>
    <s v="Social"/>
    <s v="Basic"/>
    <n v="1"/>
    <n v="0"/>
    <n v="0"/>
    <n v="0"/>
    <n v="0"/>
    <n v="2"/>
    <n v="0"/>
    <m/>
    <n v="73"/>
  </r>
  <r>
    <x v="823"/>
    <d v="2025-01-17T00:00:00"/>
    <s v="Treatment"/>
    <s v="West"/>
    <s v="Mobile"/>
    <s v="Organic"/>
    <s v="Basic"/>
    <n v="0"/>
    <n v="0"/>
    <n v="0"/>
    <n v="0"/>
    <n v="0"/>
    <n v="0"/>
    <n v="0"/>
    <m/>
    <n v="79.5"/>
  </r>
  <r>
    <x v="824"/>
    <d v="2025-05-21T00:00:00"/>
    <s v="Treatment"/>
    <s v="West"/>
    <s v="Mobile"/>
    <s v="Referral"/>
    <s v="Basic"/>
    <n v="1"/>
    <n v="1"/>
    <n v="1"/>
    <n v="1"/>
    <n v="782.23"/>
    <n v="1"/>
    <n v="0"/>
    <n v="6"/>
    <n v="93.2"/>
  </r>
  <r>
    <x v="825"/>
    <d v="2025-05-25T00:00:00"/>
    <s v="Treatment"/>
    <s v="East"/>
    <s v="Desktop"/>
    <s v="Referral"/>
    <s v="Free"/>
    <n v="1"/>
    <n v="0"/>
    <n v="0"/>
    <n v="0"/>
    <n v="0"/>
    <n v="3"/>
    <n v="0"/>
    <m/>
    <n v="77.5"/>
  </r>
  <r>
    <x v="826"/>
    <d v="2025-01-05T00:00:00"/>
    <s v="Treatment"/>
    <s v="West"/>
    <s v="Mobile"/>
    <s v="Email"/>
    <s v="Basic"/>
    <n v="1"/>
    <n v="0"/>
    <n v="0"/>
    <n v="0"/>
    <n v="0"/>
    <n v="0"/>
    <n v="0"/>
    <m/>
    <n v="61"/>
  </r>
  <r>
    <x v="827"/>
    <d v="2025-02-24T00:00:00"/>
    <s v="Treatment"/>
    <s v="South"/>
    <s v="Desktop"/>
    <s v="Organic"/>
    <s v="Free"/>
    <n v="1"/>
    <n v="1"/>
    <n v="0"/>
    <n v="0"/>
    <n v="0"/>
    <n v="0"/>
    <n v="0"/>
    <m/>
    <n v="64.900000000000006"/>
  </r>
  <r>
    <x v="828"/>
    <d v="2025-01-21T00:00:00"/>
    <s v="Treatment"/>
    <s v="East"/>
    <s v="Mobile"/>
    <s v="Paid Search"/>
    <s v="Basic"/>
    <n v="1"/>
    <n v="0"/>
    <n v="0"/>
    <n v="0"/>
    <n v="0"/>
    <n v="0"/>
    <n v="0"/>
    <m/>
    <n v="87.5"/>
  </r>
  <r>
    <x v="829"/>
    <d v="2025-04-24T00:00:00"/>
    <s v="Treatment"/>
    <s v="North"/>
    <s v="Mobile"/>
    <s v="Organic"/>
    <s v="Basic"/>
    <n v="1"/>
    <n v="1"/>
    <n v="1"/>
    <n v="1"/>
    <n v="1171.99"/>
    <n v="0"/>
    <n v="0"/>
    <n v="5"/>
    <n v="80.599999999999994"/>
  </r>
  <r>
    <x v="830"/>
    <d v="2025-01-07T00:00:00"/>
    <s v="Treatment"/>
    <s v="West"/>
    <s v="Desktop"/>
    <s v="Organic"/>
    <s v="Free"/>
    <n v="1"/>
    <n v="0"/>
    <n v="0"/>
    <n v="0"/>
    <n v="0"/>
    <n v="0"/>
    <n v="0"/>
    <m/>
    <n v="66.900000000000006"/>
  </r>
  <r>
    <x v="831"/>
    <d v="2025-05-31T00:00:00"/>
    <s v="Treatment"/>
    <s v="South"/>
    <s v="Tablet"/>
    <s v="Organic"/>
    <s v="Basic"/>
    <n v="1"/>
    <n v="1"/>
    <n v="1"/>
    <n v="0"/>
    <n v="0"/>
    <n v="0"/>
    <n v="0"/>
    <m/>
    <n v="58.8"/>
  </r>
  <r>
    <x v="832"/>
    <d v="2025-04-02T00:00:00"/>
    <s v="Treatment"/>
    <s v="North"/>
    <s v="Desktop"/>
    <s v="Organic"/>
    <s v="Basic"/>
    <n v="1"/>
    <n v="1"/>
    <n v="1"/>
    <n v="1"/>
    <n v="1010.4"/>
    <n v="0"/>
    <n v="0"/>
    <n v="4"/>
    <n v="42.9"/>
  </r>
  <r>
    <x v="833"/>
    <d v="2025-04-21T00:00:00"/>
    <s v="Treatment"/>
    <s v="East"/>
    <s v="Mobile"/>
    <s v="Organic"/>
    <s v="Free"/>
    <n v="1"/>
    <n v="1"/>
    <n v="1"/>
    <n v="0"/>
    <n v="0"/>
    <n v="1"/>
    <n v="0"/>
    <m/>
    <n v="60.2"/>
  </r>
  <r>
    <x v="834"/>
    <d v="2025-05-05T00:00:00"/>
    <s v="Treatment"/>
    <s v="East"/>
    <s v="Mobile"/>
    <s v="Paid Search"/>
    <s v="Basic"/>
    <n v="1"/>
    <n v="0"/>
    <n v="0"/>
    <n v="0"/>
    <n v="0"/>
    <n v="0"/>
    <n v="0"/>
    <m/>
    <n v="42.7"/>
  </r>
  <r>
    <x v="835"/>
    <d v="2025-01-06T00:00:00"/>
    <s v="Treatment"/>
    <s v="North"/>
    <s v="Desktop"/>
    <s v="Social"/>
    <s v="Free"/>
    <n v="1"/>
    <n v="1"/>
    <n v="1"/>
    <n v="1"/>
    <n v="431.27"/>
    <n v="0"/>
    <n v="0"/>
    <n v="7"/>
    <n v="60.8"/>
  </r>
  <r>
    <x v="836"/>
    <d v="2025-04-24T00:00:00"/>
    <s v="Treatment"/>
    <s v="South"/>
    <s v="Mobile"/>
    <s v="Referral"/>
    <s v="Free"/>
    <n v="1"/>
    <n v="1"/>
    <n v="1"/>
    <n v="1"/>
    <n v="428.8"/>
    <n v="0"/>
    <n v="0"/>
    <n v="9"/>
    <n v="79.3"/>
  </r>
  <r>
    <x v="837"/>
    <d v="2025-04-21T00:00:00"/>
    <s v="Treatment"/>
    <s v="South"/>
    <s v="Mobile"/>
    <s v="Organic"/>
    <s v="Basic"/>
    <n v="1"/>
    <n v="0"/>
    <n v="0"/>
    <n v="0"/>
    <n v="0"/>
    <n v="1"/>
    <n v="0"/>
    <m/>
    <n v="88.6"/>
  </r>
  <r>
    <x v="838"/>
    <d v="2025-02-09T00:00:00"/>
    <s v="Treatment"/>
    <s v="West"/>
    <s v="Mobile"/>
    <s v="Organic"/>
    <s v="Basic"/>
    <n v="1"/>
    <n v="1"/>
    <n v="1"/>
    <n v="0"/>
    <n v="0"/>
    <n v="0"/>
    <n v="0"/>
    <m/>
    <n v="63.1"/>
  </r>
  <r>
    <x v="839"/>
    <d v="2025-01-09T00:00:00"/>
    <s v="Treatment"/>
    <s v="East"/>
    <s v="Mobile"/>
    <s v="Organic"/>
    <s v="Premium"/>
    <n v="1"/>
    <n v="0"/>
    <n v="0"/>
    <n v="0"/>
    <n v="0"/>
    <n v="0"/>
    <n v="0"/>
    <m/>
    <n v="39.700000000000003"/>
  </r>
  <r>
    <x v="840"/>
    <d v="2025-02-16T00:00:00"/>
    <s v="Treatment"/>
    <s v="North"/>
    <s v="Mobile"/>
    <s v="Paid Search"/>
    <s v="Basic"/>
    <n v="0"/>
    <n v="0"/>
    <n v="0"/>
    <n v="0"/>
    <n v="0"/>
    <n v="0"/>
    <n v="0"/>
    <m/>
    <n v="67.2"/>
  </r>
  <r>
    <x v="841"/>
    <d v="2025-02-21T00:00:00"/>
    <s v="Treatment"/>
    <s v="South"/>
    <s v="Mobile"/>
    <s v="Organic"/>
    <s v="Free"/>
    <n v="1"/>
    <n v="1"/>
    <n v="1"/>
    <n v="0"/>
    <n v="0"/>
    <n v="0"/>
    <n v="0"/>
    <m/>
    <n v="62.3"/>
  </r>
  <r>
    <x v="842"/>
    <d v="2025-02-08T00:00:00"/>
    <s v="Treatment"/>
    <s v="South"/>
    <s v="Mobile"/>
    <s v="Organic"/>
    <s v="Premium"/>
    <n v="1"/>
    <n v="0"/>
    <n v="0"/>
    <n v="0"/>
    <n v="0"/>
    <n v="0"/>
    <n v="0"/>
    <m/>
    <m/>
  </r>
  <r>
    <x v="843"/>
    <d v="2025-01-22T00:00:00"/>
    <s v="Treatment"/>
    <s v="South"/>
    <s v="Mobile"/>
    <s v="Paid Search"/>
    <s v="Premium"/>
    <n v="0"/>
    <n v="0"/>
    <n v="0"/>
    <n v="0"/>
    <n v="0"/>
    <n v="0"/>
    <n v="0"/>
    <m/>
    <n v="60.7"/>
  </r>
  <r>
    <x v="844"/>
    <d v="2025-04-01T00:00:00"/>
    <s v="Treatment"/>
    <s v="West"/>
    <s v="Mobile"/>
    <s v="Organic"/>
    <s v="Basic"/>
    <n v="1"/>
    <n v="0"/>
    <n v="0"/>
    <n v="0"/>
    <n v="0"/>
    <n v="0"/>
    <n v="0"/>
    <m/>
    <n v="61.5"/>
  </r>
  <r>
    <x v="845"/>
    <d v="2025-01-21T00:00:00"/>
    <s v="Treatment"/>
    <s v="North"/>
    <s v="Mobile"/>
    <s v="Paid Search"/>
    <s v="Basic"/>
    <n v="1"/>
    <n v="0"/>
    <n v="0"/>
    <n v="0"/>
    <n v="0"/>
    <n v="0"/>
    <n v="0"/>
    <m/>
    <n v="75"/>
  </r>
  <r>
    <x v="846"/>
    <d v="2025-01-02T00:00:00"/>
    <s v="Treatment"/>
    <s v="East"/>
    <s v="Desktop"/>
    <s v="Organic"/>
    <s v="Free"/>
    <n v="1"/>
    <n v="1"/>
    <n v="0"/>
    <n v="0"/>
    <n v="0"/>
    <n v="0"/>
    <n v="0"/>
    <m/>
    <n v="51.9"/>
  </r>
  <r>
    <x v="847"/>
    <d v="2025-05-12T00:00:00"/>
    <s v="Treatment"/>
    <s v="South"/>
    <s v="Desktop"/>
    <s v="Paid Search"/>
    <s v="Free"/>
    <n v="0"/>
    <n v="0"/>
    <n v="0"/>
    <n v="0"/>
    <n v="0"/>
    <n v="0"/>
    <n v="0"/>
    <m/>
    <n v="34.5"/>
  </r>
  <r>
    <x v="848"/>
    <d v="2025-03-05T00:00:00"/>
    <s v="Treatment"/>
    <s v="South"/>
    <s v="Mobile"/>
    <s v="Social"/>
    <s v="Basic"/>
    <n v="0"/>
    <n v="0"/>
    <n v="0"/>
    <n v="0"/>
    <n v="0"/>
    <n v="0"/>
    <n v="0"/>
    <m/>
    <n v="54.5"/>
  </r>
  <r>
    <x v="849"/>
    <d v="2025-01-24T00:00:00"/>
    <s v="Treatment"/>
    <s v="East"/>
    <s v="Mobile"/>
    <s v="Organic"/>
    <s v="Free"/>
    <n v="0"/>
    <n v="0"/>
    <n v="0"/>
    <n v="0"/>
    <n v="0"/>
    <n v="0"/>
    <n v="0"/>
    <m/>
    <n v="46"/>
  </r>
  <r>
    <x v="850"/>
    <d v="2025-01-31T00:00:00"/>
    <s v="Treatment"/>
    <s v="East"/>
    <s v="Desktop"/>
    <s v="Email"/>
    <s v="Free"/>
    <n v="1"/>
    <n v="1"/>
    <n v="1"/>
    <n v="0"/>
    <n v="0"/>
    <n v="0"/>
    <n v="0"/>
    <m/>
    <n v="88.4"/>
  </r>
  <r>
    <x v="851"/>
    <d v="2025-01-24T00:00:00"/>
    <s v="Treatment"/>
    <s v="North"/>
    <s v="Tablet"/>
    <s v="Organic"/>
    <s v="Basic"/>
    <n v="1"/>
    <n v="0"/>
    <n v="0"/>
    <n v="0"/>
    <n v="0"/>
    <n v="0"/>
    <n v="0"/>
    <m/>
    <n v="69.5"/>
  </r>
  <r>
    <x v="852"/>
    <d v="2025-02-14T00:00:00"/>
    <s v="Treatment"/>
    <s v="North"/>
    <s v="Desktop"/>
    <s v="Referral"/>
    <s v="Basic"/>
    <n v="1"/>
    <n v="1"/>
    <n v="1"/>
    <n v="0"/>
    <n v="0"/>
    <n v="0"/>
    <n v="0"/>
    <m/>
    <n v="74.2"/>
  </r>
  <r>
    <x v="853"/>
    <d v="2025-05-27T00:00:00"/>
    <s v="Treatment"/>
    <s v="North"/>
    <s v="Mobile"/>
    <s v="Organic"/>
    <s v="Free"/>
    <n v="1"/>
    <n v="1"/>
    <n v="1"/>
    <n v="0"/>
    <n v="0"/>
    <n v="0"/>
    <n v="0"/>
    <m/>
    <n v="72.099999999999994"/>
  </r>
  <r>
    <x v="854"/>
    <d v="2025-02-28T00:00:00"/>
    <s v="Treatment"/>
    <s v="North"/>
    <s v="Mobile"/>
    <s v="Paid Search"/>
    <s v="Free"/>
    <n v="1"/>
    <n v="1"/>
    <n v="1"/>
    <n v="1"/>
    <n v="398.33"/>
    <n v="0"/>
    <n v="0"/>
    <n v="5"/>
    <n v="85.1"/>
  </r>
  <r>
    <x v="855"/>
    <d v="2025-05-27T00:00:00"/>
    <s v="Treatment"/>
    <s v="North"/>
    <s v="Mobile"/>
    <s v="Organic"/>
    <s v="Basic"/>
    <n v="1"/>
    <n v="1"/>
    <n v="1"/>
    <n v="0"/>
    <n v="0"/>
    <n v="0"/>
    <n v="0"/>
    <m/>
    <n v="49.5"/>
  </r>
  <r>
    <x v="856"/>
    <d v="2025-05-17T00:00:00"/>
    <s v="Treatment"/>
    <s v="South"/>
    <s v="Mobile"/>
    <s v="Paid Search"/>
    <s v="Premium"/>
    <n v="0"/>
    <n v="0"/>
    <n v="0"/>
    <n v="0"/>
    <n v="0"/>
    <n v="1"/>
    <n v="0"/>
    <m/>
    <n v="79"/>
  </r>
  <r>
    <x v="857"/>
    <d v="2025-01-10T00:00:00"/>
    <s v="Treatment"/>
    <s v="West"/>
    <s v="Desktop"/>
    <s v="Social"/>
    <s v="Free"/>
    <n v="0"/>
    <n v="0"/>
    <n v="0"/>
    <n v="0"/>
    <n v="0"/>
    <n v="0"/>
    <n v="0"/>
    <m/>
    <n v="71.8"/>
  </r>
  <r>
    <x v="858"/>
    <d v="2025-04-22T00:00:00"/>
    <s v="Treatment"/>
    <s v="North"/>
    <s v="Mobile"/>
    <s v="Email"/>
    <s v="Basic"/>
    <n v="1"/>
    <n v="1"/>
    <n v="1"/>
    <n v="1"/>
    <n v="1117.54"/>
    <n v="0"/>
    <n v="0"/>
    <n v="6"/>
    <n v="60.4"/>
  </r>
  <r>
    <x v="859"/>
    <d v="2025-03-02T00:00:00"/>
    <s v="Treatment"/>
    <s v="South"/>
    <s v="Desktop"/>
    <s v="Organic"/>
    <s v="Basic"/>
    <n v="1"/>
    <n v="0"/>
    <n v="0"/>
    <n v="0"/>
    <n v="0"/>
    <n v="2"/>
    <n v="0"/>
    <m/>
    <n v="38.299999999999997"/>
  </r>
  <r>
    <x v="860"/>
    <d v="2025-03-23T00:00:00"/>
    <s v="Treatment"/>
    <s v="East"/>
    <s v="Mobile"/>
    <s v="Paid Search"/>
    <s v="Free"/>
    <n v="1"/>
    <n v="1"/>
    <n v="1"/>
    <n v="0"/>
    <n v="0"/>
    <n v="0"/>
    <n v="0"/>
    <m/>
    <n v="79.599999999999994"/>
  </r>
  <r>
    <x v="861"/>
    <d v="2025-02-12T00:00:00"/>
    <s v="Treatment"/>
    <s v="East"/>
    <s v="Mobile"/>
    <s v="Email"/>
    <s v="Free"/>
    <n v="1"/>
    <n v="1"/>
    <n v="1"/>
    <n v="0"/>
    <n v="0"/>
    <n v="0"/>
    <n v="0"/>
    <m/>
    <n v="71.900000000000006"/>
  </r>
  <r>
    <x v="862"/>
    <d v="2025-05-03T00:00:00"/>
    <s v="Treatment"/>
    <s v="South"/>
    <s v="Mobile"/>
    <s v="Referral"/>
    <s v="Basic"/>
    <n v="1"/>
    <n v="0"/>
    <n v="0"/>
    <n v="0"/>
    <n v="0"/>
    <n v="0"/>
    <n v="0"/>
    <m/>
    <n v="54.6"/>
  </r>
  <r>
    <x v="863"/>
    <d v="2025-03-28T00:00:00"/>
    <s v="Treatment"/>
    <s v="North"/>
    <s v="Desktop"/>
    <s v="Social"/>
    <s v="Free"/>
    <n v="1"/>
    <n v="0"/>
    <n v="0"/>
    <n v="0"/>
    <n v="0"/>
    <n v="3"/>
    <n v="0"/>
    <m/>
    <n v="49.3"/>
  </r>
  <r>
    <x v="864"/>
    <d v="2025-03-12T00:00:00"/>
    <s v="Treatment"/>
    <s v="North"/>
    <s v="Mobile"/>
    <s v="Social"/>
    <s v="Basic"/>
    <n v="0"/>
    <n v="0"/>
    <n v="0"/>
    <n v="0"/>
    <n v="0"/>
    <n v="1"/>
    <n v="0"/>
    <m/>
    <n v="66.900000000000006"/>
  </r>
  <r>
    <x v="865"/>
    <d v="2025-04-27T00:00:00"/>
    <s v="Treatment"/>
    <s v="East"/>
    <s v="Mobile"/>
    <s v="Paid Search"/>
    <s v="Free"/>
    <n v="1"/>
    <n v="0"/>
    <n v="0"/>
    <n v="0"/>
    <n v="0"/>
    <n v="1"/>
    <n v="0"/>
    <m/>
    <n v="77.8"/>
  </r>
  <r>
    <x v="866"/>
    <d v="2025-04-02T00:00:00"/>
    <s v="Treatment"/>
    <s v="South"/>
    <s v="Mobile"/>
    <s v="Referral"/>
    <s v="Basic"/>
    <n v="1"/>
    <n v="0"/>
    <n v="0"/>
    <n v="0"/>
    <n v="0"/>
    <n v="0"/>
    <n v="0"/>
    <m/>
    <n v="63"/>
  </r>
  <r>
    <x v="867"/>
    <d v="2025-04-21T00:00:00"/>
    <s v="Treatment"/>
    <s v="North"/>
    <s v="Mobile"/>
    <s v="Social"/>
    <s v="Free"/>
    <n v="0"/>
    <n v="0"/>
    <n v="0"/>
    <n v="0"/>
    <n v="0"/>
    <n v="0"/>
    <n v="0"/>
    <m/>
    <n v="79.8"/>
  </r>
  <r>
    <x v="868"/>
    <d v="2025-01-26T00:00:00"/>
    <s v="Treatment"/>
    <s v="West"/>
    <s v="Desktop"/>
    <s v="Organic"/>
    <s v="Basic"/>
    <n v="0"/>
    <n v="0"/>
    <n v="0"/>
    <n v="0"/>
    <n v="0"/>
    <n v="0"/>
    <n v="0"/>
    <m/>
    <n v="69.900000000000006"/>
  </r>
  <r>
    <x v="869"/>
    <d v="2025-01-06T00:00:00"/>
    <s v="Treatment"/>
    <s v="West"/>
    <s v="Mobile"/>
    <s v="Organic"/>
    <s v="Free"/>
    <n v="0"/>
    <n v="0"/>
    <n v="0"/>
    <n v="0"/>
    <n v="0"/>
    <n v="1"/>
    <n v="0"/>
    <m/>
    <n v="66.400000000000006"/>
  </r>
  <r>
    <x v="870"/>
    <d v="2025-02-07T00:00:00"/>
    <s v="Treatment"/>
    <s v="East"/>
    <s v="Mobile"/>
    <s v="Organic"/>
    <s v="Free"/>
    <n v="1"/>
    <n v="0"/>
    <n v="0"/>
    <n v="0"/>
    <n v="0"/>
    <n v="0"/>
    <n v="0"/>
    <m/>
    <n v="27.6"/>
  </r>
  <r>
    <x v="871"/>
    <d v="2025-05-07T00:00:00"/>
    <s v="Treatment"/>
    <s v="West"/>
    <s v="Mobile"/>
    <s v="Organic"/>
    <s v="Premium"/>
    <n v="1"/>
    <n v="0"/>
    <n v="0"/>
    <n v="0"/>
    <n v="0"/>
    <n v="1"/>
    <n v="0"/>
    <m/>
    <n v="56.5"/>
  </r>
  <r>
    <x v="872"/>
    <d v="2025-04-22T00:00:00"/>
    <s v="Treatment"/>
    <s v="West"/>
    <m/>
    <s v="Social"/>
    <s v="Free"/>
    <n v="1"/>
    <n v="0"/>
    <n v="0"/>
    <n v="0"/>
    <n v="0"/>
    <n v="0"/>
    <n v="0"/>
    <m/>
    <n v="67.8"/>
  </r>
  <r>
    <x v="873"/>
    <d v="2025-05-04T00:00:00"/>
    <s v="Treatment"/>
    <s v="West"/>
    <s v="Desktop"/>
    <s v="Social"/>
    <s v="Free"/>
    <n v="1"/>
    <n v="0"/>
    <n v="0"/>
    <n v="0"/>
    <n v="0"/>
    <n v="0"/>
    <n v="0"/>
    <m/>
    <n v="80"/>
  </r>
  <r>
    <x v="874"/>
    <d v="2025-05-16T00:00:00"/>
    <s v="Treatment"/>
    <s v="South"/>
    <s v="Mobile"/>
    <s v="Social"/>
    <s v="Basic"/>
    <n v="1"/>
    <n v="1"/>
    <n v="1"/>
    <n v="0"/>
    <n v="0"/>
    <n v="1"/>
    <n v="0"/>
    <m/>
    <n v="80.900000000000006"/>
  </r>
  <r>
    <x v="875"/>
    <d v="2025-02-11T00:00:00"/>
    <s v="Treatment"/>
    <s v="West"/>
    <s v="Mobile"/>
    <s v="Paid Search"/>
    <s v="Free"/>
    <n v="0"/>
    <n v="0"/>
    <n v="0"/>
    <n v="0"/>
    <n v="0"/>
    <n v="0"/>
    <n v="0"/>
    <m/>
    <n v="34.5"/>
  </r>
  <r>
    <x v="876"/>
    <d v="2025-05-09T00:00:00"/>
    <s v="Treatment"/>
    <s v="East"/>
    <s v="Desktop"/>
    <s v="Organic"/>
    <s v="Premium"/>
    <n v="1"/>
    <n v="0"/>
    <n v="0"/>
    <n v="0"/>
    <n v="0"/>
    <n v="0"/>
    <n v="0"/>
    <m/>
    <n v="73.5"/>
  </r>
  <r>
    <x v="877"/>
    <d v="2025-02-09T00:00:00"/>
    <s v="Treatment"/>
    <s v="South"/>
    <s v="Desktop"/>
    <s v="Paid Search"/>
    <s v="Free"/>
    <n v="1"/>
    <n v="1"/>
    <n v="0"/>
    <n v="0"/>
    <n v="0"/>
    <n v="0"/>
    <n v="0"/>
    <m/>
    <n v="70"/>
  </r>
  <r>
    <x v="878"/>
    <d v="2025-05-22T00:00:00"/>
    <s v="Treatment"/>
    <s v="West"/>
    <s v="Mobile"/>
    <s v="Social"/>
    <s v="Basic"/>
    <n v="0"/>
    <n v="0"/>
    <n v="0"/>
    <n v="0"/>
    <n v="0"/>
    <n v="0"/>
    <n v="0"/>
    <m/>
    <n v="86.9"/>
  </r>
  <r>
    <x v="879"/>
    <d v="2025-05-24T00:00:00"/>
    <s v="Treatment"/>
    <s v="East"/>
    <s v="Mobile"/>
    <s v="Social"/>
    <s v="Basic"/>
    <n v="0"/>
    <n v="0"/>
    <n v="0"/>
    <n v="0"/>
    <n v="0"/>
    <n v="0"/>
    <n v="0"/>
    <m/>
    <n v="66.900000000000006"/>
  </r>
  <r>
    <x v="880"/>
    <d v="2025-04-27T00:00:00"/>
    <s v="Treatment"/>
    <s v="South"/>
    <s v="Desktop"/>
    <s v="Social"/>
    <s v="Basic"/>
    <n v="1"/>
    <n v="1"/>
    <n v="1"/>
    <n v="0"/>
    <n v="0"/>
    <n v="0"/>
    <n v="0"/>
    <m/>
    <n v="58.3"/>
  </r>
  <r>
    <x v="881"/>
    <d v="2025-03-19T00:00:00"/>
    <s v="Treatment"/>
    <s v="East"/>
    <s v="Mobile"/>
    <s v="Paid Search"/>
    <s v="Free"/>
    <n v="1"/>
    <n v="0"/>
    <n v="0"/>
    <n v="0"/>
    <n v="0"/>
    <n v="0"/>
    <n v="0"/>
    <m/>
    <n v="45"/>
  </r>
  <r>
    <x v="882"/>
    <d v="2025-05-20T00:00:00"/>
    <s v="Treatment"/>
    <s v="South"/>
    <s v="Mobile"/>
    <s v="Organic"/>
    <s v="Premium"/>
    <n v="0"/>
    <n v="0"/>
    <n v="0"/>
    <n v="0"/>
    <n v="0"/>
    <n v="0"/>
    <n v="0"/>
    <m/>
    <n v="60.8"/>
  </r>
  <r>
    <x v="883"/>
    <d v="2025-05-10T00:00:00"/>
    <s v="Treatment"/>
    <s v="North"/>
    <s v="Mobile"/>
    <s v="Email"/>
    <s v="Premium"/>
    <n v="1"/>
    <n v="0"/>
    <n v="0"/>
    <n v="0"/>
    <n v="0"/>
    <n v="4"/>
    <n v="0"/>
    <m/>
    <n v="53.7"/>
  </r>
  <r>
    <x v="884"/>
    <d v="2025-03-29T00:00:00"/>
    <s v="Treatment"/>
    <s v="East"/>
    <s v="Mobile"/>
    <s v="Social"/>
    <s v="Free"/>
    <n v="1"/>
    <n v="1"/>
    <n v="1"/>
    <n v="0"/>
    <n v="0"/>
    <n v="0"/>
    <n v="0"/>
    <m/>
    <n v="48.8"/>
  </r>
  <r>
    <x v="885"/>
    <d v="2025-04-03T00:00:00"/>
    <s v="Treatment"/>
    <s v="West"/>
    <s v="Desktop"/>
    <s v="Referral"/>
    <s v="Basic"/>
    <n v="0"/>
    <n v="0"/>
    <n v="0"/>
    <n v="0"/>
    <n v="0"/>
    <n v="0"/>
    <n v="0"/>
    <m/>
    <n v="52.9"/>
  </r>
  <r>
    <x v="886"/>
    <d v="2025-05-30T00:00:00"/>
    <s v="Treatment"/>
    <s v="South"/>
    <s v="Mobile"/>
    <s v="Email"/>
    <s v="Free"/>
    <n v="1"/>
    <n v="0"/>
    <n v="0"/>
    <n v="0"/>
    <n v="0"/>
    <n v="0"/>
    <n v="0"/>
    <m/>
    <n v="42.4"/>
  </r>
  <r>
    <x v="887"/>
    <d v="2025-04-06T00:00:00"/>
    <s v="Treatment"/>
    <s v="East"/>
    <s v="Desktop"/>
    <s v="Email"/>
    <s v="Free"/>
    <n v="1"/>
    <n v="0"/>
    <n v="0"/>
    <n v="0"/>
    <n v="0"/>
    <n v="0"/>
    <n v="0"/>
    <m/>
    <n v="58.7"/>
  </r>
  <r>
    <x v="888"/>
    <d v="2025-03-14T00:00:00"/>
    <s v="Treatment"/>
    <s v="North"/>
    <s v="Mobile"/>
    <s v="Referral"/>
    <s v="Free"/>
    <n v="1"/>
    <n v="1"/>
    <n v="1"/>
    <n v="1"/>
    <n v="2064.5500000000002"/>
    <n v="0"/>
    <n v="0"/>
    <n v="1"/>
    <n v="67.8"/>
  </r>
  <r>
    <x v="889"/>
    <d v="2025-02-24T00:00:00"/>
    <s v="Treatment"/>
    <s v="South"/>
    <s v="Desktop"/>
    <s v="Paid Search"/>
    <s v="Basic"/>
    <n v="1"/>
    <n v="0"/>
    <n v="0"/>
    <n v="0"/>
    <n v="0"/>
    <n v="0"/>
    <n v="0"/>
    <m/>
    <n v="62.6"/>
  </r>
  <r>
    <x v="890"/>
    <d v="2025-03-04T00:00:00"/>
    <s v="Treatment"/>
    <s v="West"/>
    <s v="Mobile"/>
    <s v="Email"/>
    <s v="Basic"/>
    <n v="1"/>
    <n v="0"/>
    <n v="0"/>
    <n v="0"/>
    <n v="0"/>
    <n v="0"/>
    <n v="0"/>
    <m/>
    <n v="82.4"/>
  </r>
  <r>
    <x v="891"/>
    <d v="2025-04-02T00:00:00"/>
    <s v="Treatment"/>
    <s v="North"/>
    <s v="Mobile"/>
    <s v="Organic"/>
    <s v="Free"/>
    <n v="1"/>
    <n v="1"/>
    <n v="1"/>
    <n v="0"/>
    <n v="0"/>
    <n v="0"/>
    <n v="0"/>
    <m/>
    <n v="50.4"/>
  </r>
  <r>
    <x v="892"/>
    <d v="2025-05-11T00:00:00"/>
    <s v="Treatment"/>
    <s v="North"/>
    <s v="Mobile"/>
    <s v="Email"/>
    <s v="Premium"/>
    <n v="0"/>
    <n v="0"/>
    <n v="0"/>
    <n v="0"/>
    <n v="0"/>
    <n v="0"/>
    <n v="0"/>
    <m/>
    <n v="68.400000000000006"/>
  </r>
  <r>
    <x v="893"/>
    <d v="2025-05-10T00:00:00"/>
    <s v="Treatment"/>
    <s v="West"/>
    <s v="Tablet"/>
    <s v="Paid Search"/>
    <s v="Basic"/>
    <n v="1"/>
    <n v="1"/>
    <n v="1"/>
    <n v="0"/>
    <n v="0"/>
    <n v="0"/>
    <n v="0"/>
    <m/>
    <n v="58.8"/>
  </r>
  <r>
    <x v="894"/>
    <d v="2025-05-06T00:00:00"/>
    <s v="Treatment"/>
    <s v="West"/>
    <s v="Mobile"/>
    <s v="Referral"/>
    <s v="Free"/>
    <n v="1"/>
    <n v="1"/>
    <n v="0"/>
    <n v="0"/>
    <n v="0"/>
    <n v="2"/>
    <n v="0"/>
    <m/>
    <n v="28.3"/>
  </r>
  <r>
    <x v="895"/>
    <d v="2025-02-11T00:00:00"/>
    <s v="Treatment"/>
    <s v="West"/>
    <s v="Desktop"/>
    <s v="Paid Search"/>
    <s v="Free"/>
    <n v="1"/>
    <n v="1"/>
    <n v="0"/>
    <n v="0"/>
    <n v="0"/>
    <n v="0"/>
    <n v="0"/>
    <m/>
    <n v="44.1"/>
  </r>
  <r>
    <x v="896"/>
    <d v="2025-05-09T00:00:00"/>
    <s v="Treatment"/>
    <s v="South"/>
    <s v="Mobile"/>
    <s v="Paid Search"/>
    <s v="Premium"/>
    <n v="1"/>
    <n v="1"/>
    <n v="0"/>
    <n v="0"/>
    <n v="0"/>
    <n v="0"/>
    <n v="0"/>
    <m/>
    <n v="66.7"/>
  </r>
  <r>
    <x v="897"/>
    <d v="2025-02-02T00:00:00"/>
    <s v="Treatment"/>
    <s v="South"/>
    <s v="Mobile"/>
    <m/>
    <s v="Free"/>
    <n v="1"/>
    <n v="0"/>
    <n v="0"/>
    <n v="0"/>
    <n v="0"/>
    <n v="0"/>
    <n v="0"/>
    <m/>
    <n v="100"/>
  </r>
  <r>
    <x v="898"/>
    <d v="2025-04-03T00:00:00"/>
    <s v="Treatment"/>
    <s v="South"/>
    <s v="Mobile"/>
    <s v="Social"/>
    <s v="Free"/>
    <n v="1"/>
    <n v="1"/>
    <n v="0"/>
    <n v="0"/>
    <n v="0"/>
    <n v="0"/>
    <n v="0"/>
    <m/>
    <n v="87.5"/>
  </r>
  <r>
    <x v="899"/>
    <d v="2025-02-15T00:00:00"/>
    <s v="Treatment"/>
    <s v="North"/>
    <s v="Desktop"/>
    <s v="Organic"/>
    <s v="Basic"/>
    <n v="1"/>
    <n v="0"/>
    <n v="0"/>
    <n v="0"/>
    <n v="0"/>
    <n v="2"/>
    <n v="0"/>
    <m/>
    <n v="65.400000000000006"/>
  </r>
  <r>
    <x v="900"/>
    <d v="2025-04-18T00:00:00"/>
    <s v="Treatment"/>
    <s v="South"/>
    <s v="Desktop"/>
    <s v="Organic"/>
    <s v="Free"/>
    <n v="1"/>
    <n v="0"/>
    <n v="0"/>
    <n v="0"/>
    <n v="0"/>
    <n v="0"/>
    <n v="0"/>
    <m/>
    <n v="22.9"/>
  </r>
  <r>
    <x v="901"/>
    <d v="2025-03-14T00:00:00"/>
    <s v="Treatment"/>
    <s v="West"/>
    <s v="Desktop"/>
    <s v="Organic"/>
    <s v="Premium"/>
    <n v="0"/>
    <n v="0"/>
    <n v="0"/>
    <n v="0"/>
    <n v="0"/>
    <n v="0"/>
    <n v="0"/>
    <m/>
    <n v="64.599999999999994"/>
  </r>
  <r>
    <x v="902"/>
    <d v="2025-03-29T00:00:00"/>
    <s v="Treatment"/>
    <s v="South"/>
    <s v="Mobile"/>
    <s v="Referral"/>
    <s v="Free"/>
    <n v="1"/>
    <n v="0"/>
    <n v="0"/>
    <n v="0"/>
    <n v="0"/>
    <n v="2"/>
    <n v="0"/>
    <m/>
    <n v="54.4"/>
  </r>
  <r>
    <x v="903"/>
    <d v="2025-02-13T00:00:00"/>
    <s v="Treatment"/>
    <s v="North"/>
    <s v="Desktop"/>
    <s v="Organic"/>
    <s v="Free"/>
    <n v="1"/>
    <n v="1"/>
    <n v="1"/>
    <n v="0"/>
    <n v="0"/>
    <n v="0"/>
    <n v="0"/>
    <m/>
    <n v="56.8"/>
  </r>
  <r>
    <x v="904"/>
    <d v="2025-01-23T00:00:00"/>
    <s v="Treatment"/>
    <s v="South"/>
    <s v="Mobile"/>
    <s v="Paid Search"/>
    <s v="Free"/>
    <n v="1"/>
    <n v="1"/>
    <n v="1"/>
    <n v="1"/>
    <n v="341.38"/>
    <n v="0"/>
    <n v="0"/>
    <n v="2"/>
    <n v="63.6"/>
  </r>
  <r>
    <x v="905"/>
    <d v="2025-02-24T00:00:00"/>
    <s v="Treatment"/>
    <s v="East"/>
    <s v="Mobile"/>
    <s v="Social"/>
    <s v="Free"/>
    <n v="1"/>
    <n v="0"/>
    <n v="0"/>
    <n v="0"/>
    <n v="0"/>
    <n v="0"/>
    <n v="0"/>
    <m/>
    <n v="58.2"/>
  </r>
  <r>
    <x v="906"/>
    <d v="2025-02-28T00:00:00"/>
    <s v="Treatment"/>
    <s v="West"/>
    <s v="Mobile"/>
    <s v="Paid Search"/>
    <s v="Free"/>
    <n v="1"/>
    <n v="1"/>
    <n v="0"/>
    <n v="0"/>
    <n v="0"/>
    <n v="0"/>
    <n v="0"/>
    <m/>
    <n v="54.6"/>
  </r>
  <r>
    <x v="907"/>
    <d v="2025-01-07T00:00:00"/>
    <s v="Treatment"/>
    <s v="West"/>
    <s v="Tablet"/>
    <s v="Organic"/>
    <s v="Basic"/>
    <n v="1"/>
    <n v="0"/>
    <n v="0"/>
    <n v="0"/>
    <n v="0"/>
    <n v="0"/>
    <n v="0"/>
    <m/>
    <n v="81.900000000000006"/>
  </r>
  <r>
    <x v="908"/>
    <d v="2025-03-21T00:00:00"/>
    <s v="Treatment"/>
    <s v="West"/>
    <s v="Desktop"/>
    <s v="Email"/>
    <s v="Free"/>
    <n v="1"/>
    <n v="0"/>
    <n v="0"/>
    <n v="0"/>
    <n v="0"/>
    <n v="3"/>
    <n v="0"/>
    <m/>
    <n v="53.3"/>
  </r>
  <r>
    <x v="909"/>
    <d v="2025-02-18T00:00:00"/>
    <s v="Treatment"/>
    <s v="North"/>
    <s v="Desktop"/>
    <s v="Organic"/>
    <s v="Basic"/>
    <n v="0"/>
    <n v="0"/>
    <n v="0"/>
    <n v="0"/>
    <n v="0"/>
    <n v="0"/>
    <n v="0"/>
    <m/>
    <n v="54.2"/>
  </r>
  <r>
    <x v="910"/>
    <d v="2025-01-05T00:00:00"/>
    <s v="Treatment"/>
    <s v="North"/>
    <s v="Mobile"/>
    <s v="Paid Search"/>
    <s v="Free"/>
    <n v="1"/>
    <n v="1"/>
    <n v="0"/>
    <n v="0"/>
    <n v="0"/>
    <n v="0"/>
    <n v="0"/>
    <m/>
    <n v="65.599999999999994"/>
  </r>
  <r>
    <x v="911"/>
    <d v="2025-03-11T00:00:00"/>
    <s v="Treatment"/>
    <s v="East"/>
    <s v="Desktop"/>
    <s v="Organic"/>
    <s v="Basic"/>
    <n v="1"/>
    <n v="0"/>
    <n v="0"/>
    <n v="0"/>
    <n v="0"/>
    <n v="1"/>
    <n v="0"/>
    <m/>
    <n v="56.5"/>
  </r>
  <r>
    <x v="912"/>
    <d v="2025-01-09T00:00:00"/>
    <s v="Treatment"/>
    <s v="North"/>
    <s v="Desktop"/>
    <s v="Organic"/>
    <s v="Basic"/>
    <n v="1"/>
    <n v="0"/>
    <n v="0"/>
    <n v="0"/>
    <n v="0"/>
    <n v="0"/>
    <n v="0"/>
    <m/>
    <n v="59.7"/>
  </r>
  <r>
    <x v="913"/>
    <d v="2025-01-08T00:00:00"/>
    <s v="Treatment"/>
    <s v="South"/>
    <s v="Mobile"/>
    <s v="Organic"/>
    <s v="Free"/>
    <n v="1"/>
    <n v="1"/>
    <n v="1"/>
    <n v="0"/>
    <n v="0"/>
    <n v="0"/>
    <n v="0"/>
    <m/>
    <n v="72.5"/>
  </r>
  <r>
    <x v="914"/>
    <d v="2025-05-01T00:00:00"/>
    <s v="Treatment"/>
    <s v="East"/>
    <s v="Desktop"/>
    <s v="Paid Search"/>
    <s v="Free"/>
    <n v="1"/>
    <n v="0"/>
    <n v="0"/>
    <n v="0"/>
    <n v="0"/>
    <n v="0"/>
    <n v="0"/>
    <m/>
    <n v="64.3"/>
  </r>
  <r>
    <x v="915"/>
    <d v="2025-03-03T00:00:00"/>
    <s v="Treatment"/>
    <s v="South"/>
    <s v="Mobile"/>
    <s v="Social"/>
    <s v="Free"/>
    <n v="1"/>
    <n v="0"/>
    <n v="0"/>
    <n v="0"/>
    <n v="0"/>
    <n v="0"/>
    <n v="0"/>
    <m/>
    <n v="64.5"/>
  </r>
  <r>
    <x v="916"/>
    <d v="2025-02-23T00:00:00"/>
    <s v="Treatment"/>
    <s v="West"/>
    <s v="Desktop"/>
    <s v="Social"/>
    <s v="Basic"/>
    <n v="1"/>
    <n v="1"/>
    <n v="1"/>
    <n v="0"/>
    <n v="0"/>
    <n v="0"/>
    <n v="0"/>
    <m/>
    <n v="70.599999999999994"/>
  </r>
  <r>
    <x v="917"/>
    <d v="2025-02-17T00:00:00"/>
    <s v="Treatment"/>
    <s v="South"/>
    <s v="Desktop"/>
    <s v="Organic"/>
    <s v="Basic"/>
    <n v="0"/>
    <n v="0"/>
    <n v="0"/>
    <n v="0"/>
    <n v="0"/>
    <n v="0"/>
    <n v="0"/>
    <m/>
    <n v="58.4"/>
  </r>
  <r>
    <x v="918"/>
    <d v="2025-05-21T00:00:00"/>
    <s v="Treatment"/>
    <s v="East"/>
    <s v="Mobile"/>
    <s v="Organic"/>
    <s v="Basic"/>
    <n v="1"/>
    <n v="0"/>
    <n v="0"/>
    <n v="0"/>
    <n v="0"/>
    <n v="0"/>
    <n v="0"/>
    <m/>
    <n v="56.6"/>
  </r>
  <r>
    <x v="919"/>
    <d v="2025-01-30T00:00:00"/>
    <s v="Treatment"/>
    <s v="South"/>
    <s v="Mobile"/>
    <s v="Organic"/>
    <s v="Free"/>
    <n v="1"/>
    <n v="0"/>
    <n v="0"/>
    <n v="0"/>
    <n v="0"/>
    <n v="0"/>
    <n v="0"/>
    <m/>
    <n v="61.8"/>
  </r>
  <r>
    <x v="920"/>
    <d v="2025-03-20T00:00:00"/>
    <s v="Treatment"/>
    <s v="West"/>
    <s v="Mobile"/>
    <s v="Email"/>
    <s v="Free"/>
    <n v="1"/>
    <n v="1"/>
    <n v="1"/>
    <n v="1"/>
    <n v="513.52"/>
    <n v="0"/>
    <n v="0"/>
    <n v="8"/>
    <n v="43.4"/>
  </r>
  <r>
    <x v="921"/>
    <d v="2025-04-10T00:00:00"/>
    <s v="Treatment"/>
    <s v="West"/>
    <s v="Tablet"/>
    <s v="Paid Search"/>
    <s v="Free"/>
    <n v="0"/>
    <n v="0"/>
    <n v="0"/>
    <n v="0"/>
    <n v="0"/>
    <n v="0"/>
    <n v="0"/>
    <m/>
    <n v="43"/>
  </r>
  <r>
    <x v="922"/>
    <d v="2025-03-07T00:00:00"/>
    <s v="Treatment"/>
    <s v="North"/>
    <s v="Desktop"/>
    <s v="Organic"/>
    <s v="Free"/>
    <n v="1"/>
    <n v="1"/>
    <n v="1"/>
    <n v="0"/>
    <n v="0"/>
    <n v="0"/>
    <n v="0"/>
    <m/>
    <n v="51.1"/>
  </r>
  <r>
    <x v="923"/>
    <d v="2025-03-12T00:00:00"/>
    <s v="Treatment"/>
    <s v="West"/>
    <s v="Mobile"/>
    <s v="Email"/>
    <s v="Basic"/>
    <n v="1"/>
    <n v="0"/>
    <n v="0"/>
    <n v="0"/>
    <n v="0"/>
    <n v="0"/>
    <n v="0"/>
    <m/>
    <n v="48.8"/>
  </r>
  <r>
    <x v="924"/>
    <d v="2025-02-24T00:00:00"/>
    <s v="Treatment"/>
    <s v="East"/>
    <s v="Mobile"/>
    <s v="Referral"/>
    <s v="Free"/>
    <n v="0"/>
    <n v="0"/>
    <n v="0"/>
    <n v="0"/>
    <n v="0"/>
    <n v="0"/>
    <n v="0"/>
    <m/>
    <n v="73.2"/>
  </r>
  <r>
    <x v="925"/>
    <d v="2025-01-15T00:00:00"/>
    <s v="Treatment"/>
    <s v="East"/>
    <s v="Mobile"/>
    <s v="Referral"/>
    <s v="Free"/>
    <n v="1"/>
    <n v="1"/>
    <n v="1"/>
    <n v="0"/>
    <n v="0"/>
    <n v="0"/>
    <n v="0"/>
    <m/>
    <n v="80"/>
  </r>
  <r>
    <x v="926"/>
    <d v="2025-01-07T00:00:00"/>
    <s v="Treatment"/>
    <s v="North"/>
    <s v="Desktop"/>
    <s v="Paid Search"/>
    <s v="Free"/>
    <n v="1"/>
    <n v="0"/>
    <n v="0"/>
    <n v="0"/>
    <n v="0"/>
    <n v="0"/>
    <n v="0"/>
    <m/>
    <n v="52.3"/>
  </r>
  <r>
    <x v="927"/>
    <d v="2025-03-02T00:00:00"/>
    <s v="Treatment"/>
    <s v="North"/>
    <s v="Desktop"/>
    <s v="Organic"/>
    <s v="Free"/>
    <n v="0"/>
    <n v="0"/>
    <n v="0"/>
    <n v="0"/>
    <n v="0"/>
    <n v="0"/>
    <n v="0"/>
    <m/>
    <n v="49.1"/>
  </r>
  <r>
    <x v="928"/>
    <d v="2025-01-05T00:00:00"/>
    <s v="Treatment"/>
    <s v="South"/>
    <s v="Desktop"/>
    <s v="Referral"/>
    <s v="Basic"/>
    <n v="0"/>
    <n v="0"/>
    <n v="0"/>
    <n v="0"/>
    <n v="0"/>
    <n v="0"/>
    <n v="0"/>
    <m/>
    <n v="45.3"/>
  </r>
  <r>
    <x v="929"/>
    <d v="2025-03-03T00:00:00"/>
    <s v="Treatment"/>
    <s v="South"/>
    <s v="Mobile"/>
    <s v="Organic"/>
    <s v="Free"/>
    <n v="1"/>
    <n v="1"/>
    <n v="0"/>
    <n v="0"/>
    <n v="0"/>
    <n v="0"/>
    <n v="0"/>
    <m/>
    <n v="49.1"/>
  </r>
  <r>
    <x v="930"/>
    <d v="2025-03-31T00:00:00"/>
    <s v="Treatment"/>
    <s v="East"/>
    <s v="Desktop"/>
    <s v="Referral"/>
    <s v="Free"/>
    <n v="1"/>
    <n v="1"/>
    <n v="1"/>
    <n v="1"/>
    <n v="476.44"/>
    <n v="0"/>
    <n v="0"/>
    <n v="3"/>
    <n v="88.6"/>
  </r>
  <r>
    <x v="931"/>
    <d v="2025-01-14T00:00:00"/>
    <s v="Treatment"/>
    <s v="East"/>
    <s v="Desktop"/>
    <s v="Paid Search"/>
    <s v="Premium"/>
    <n v="0"/>
    <n v="0"/>
    <n v="0"/>
    <n v="0"/>
    <n v="0"/>
    <n v="1"/>
    <n v="0"/>
    <m/>
    <n v="54.4"/>
  </r>
  <r>
    <x v="932"/>
    <d v="2025-01-15T00:00:00"/>
    <s v="Treatment"/>
    <s v="West"/>
    <s v="Desktop"/>
    <s v="Paid Search"/>
    <s v="Premium"/>
    <n v="1"/>
    <n v="0"/>
    <n v="0"/>
    <n v="0"/>
    <n v="0"/>
    <n v="0"/>
    <n v="0"/>
    <m/>
    <n v="72.900000000000006"/>
  </r>
  <r>
    <x v="933"/>
    <d v="2025-04-25T00:00:00"/>
    <s v="Treatment"/>
    <s v="West"/>
    <s v="Desktop"/>
    <s v="Organic"/>
    <s v="Free"/>
    <n v="1"/>
    <n v="0"/>
    <n v="0"/>
    <n v="0"/>
    <n v="0"/>
    <n v="0"/>
    <n v="0"/>
    <m/>
    <n v="53.2"/>
  </r>
  <r>
    <x v="934"/>
    <d v="2025-03-21T00:00:00"/>
    <s v="Treatment"/>
    <s v="East"/>
    <s v="Mobile"/>
    <s v="Organic"/>
    <s v="Basic"/>
    <n v="1"/>
    <n v="1"/>
    <n v="0"/>
    <n v="0"/>
    <n v="0"/>
    <n v="0"/>
    <n v="0"/>
    <m/>
    <n v="48.7"/>
  </r>
  <r>
    <x v="935"/>
    <d v="2025-04-26T00:00:00"/>
    <s v="Treatment"/>
    <s v="South"/>
    <s v="Mobile"/>
    <s v="Paid Search"/>
    <s v="Basic"/>
    <n v="1"/>
    <n v="1"/>
    <n v="1"/>
    <n v="0"/>
    <n v="0"/>
    <n v="0"/>
    <n v="0"/>
    <m/>
    <n v="59.9"/>
  </r>
  <r>
    <x v="936"/>
    <d v="2025-05-21T00:00:00"/>
    <s v="Treatment"/>
    <s v="South"/>
    <s v="Desktop"/>
    <m/>
    <s v="Basic"/>
    <n v="0"/>
    <n v="0"/>
    <n v="0"/>
    <n v="0"/>
    <n v="0"/>
    <n v="0"/>
    <n v="0"/>
    <m/>
    <n v="82"/>
  </r>
  <r>
    <x v="937"/>
    <d v="2025-04-18T00:00:00"/>
    <s v="Treatment"/>
    <s v="East"/>
    <s v="Mobile"/>
    <s v="Paid Search"/>
    <s v="Free"/>
    <n v="0"/>
    <n v="0"/>
    <n v="0"/>
    <n v="0"/>
    <n v="0"/>
    <n v="0"/>
    <n v="0"/>
    <m/>
    <n v="72.099999999999994"/>
  </r>
  <r>
    <x v="938"/>
    <d v="2025-01-29T00:00:00"/>
    <s v="Treatment"/>
    <s v="North"/>
    <s v="Desktop"/>
    <s v="Email"/>
    <s v="Premium"/>
    <n v="1"/>
    <n v="1"/>
    <n v="0"/>
    <n v="0"/>
    <n v="0"/>
    <n v="0"/>
    <n v="0"/>
    <m/>
    <n v="68.3"/>
  </r>
  <r>
    <x v="939"/>
    <d v="2025-05-28T00:00:00"/>
    <s v="Treatment"/>
    <s v="West"/>
    <s v="Mobile"/>
    <s v="Organic"/>
    <s v="Premium"/>
    <n v="0"/>
    <n v="0"/>
    <n v="0"/>
    <n v="0"/>
    <n v="0"/>
    <n v="0"/>
    <n v="0"/>
    <m/>
    <n v="100"/>
  </r>
  <r>
    <x v="940"/>
    <d v="2025-01-15T00:00:00"/>
    <s v="Treatment"/>
    <s v="East"/>
    <s v="Mobile"/>
    <s v="Email"/>
    <s v="Free"/>
    <n v="1"/>
    <n v="1"/>
    <n v="1"/>
    <n v="0"/>
    <n v="0"/>
    <n v="2"/>
    <n v="0"/>
    <m/>
    <n v="76.5"/>
  </r>
  <r>
    <x v="941"/>
    <d v="2025-01-03T00:00:00"/>
    <s v="Treatment"/>
    <s v="South"/>
    <s v="Mobile"/>
    <s v="Organic"/>
    <s v="Basic"/>
    <n v="1"/>
    <n v="1"/>
    <n v="0"/>
    <n v="0"/>
    <n v="0"/>
    <n v="0"/>
    <n v="0"/>
    <m/>
    <n v="62"/>
  </r>
  <r>
    <x v="942"/>
    <d v="2025-02-04T00:00:00"/>
    <s v="Treatment"/>
    <s v="South"/>
    <s v="Mobile"/>
    <s v="Paid Search"/>
    <s v="Free"/>
    <n v="1"/>
    <n v="1"/>
    <n v="1"/>
    <n v="1"/>
    <n v="324.68"/>
    <n v="1"/>
    <n v="0"/>
    <n v="7"/>
    <n v="50.1"/>
  </r>
  <r>
    <x v="943"/>
    <d v="2025-02-22T00:00:00"/>
    <s v="Treatment"/>
    <s v="South"/>
    <s v="Mobile"/>
    <s v="Referral"/>
    <s v="Premium"/>
    <n v="1"/>
    <n v="0"/>
    <n v="0"/>
    <n v="0"/>
    <n v="0"/>
    <n v="0"/>
    <n v="0"/>
    <m/>
    <n v="62.1"/>
  </r>
  <r>
    <x v="944"/>
    <d v="2025-05-06T00:00:00"/>
    <s v="Treatment"/>
    <s v="West"/>
    <s v="Mobile"/>
    <s v="Organic"/>
    <s v="Basic"/>
    <n v="1"/>
    <n v="0"/>
    <n v="0"/>
    <n v="0"/>
    <n v="0"/>
    <n v="0"/>
    <n v="0"/>
    <m/>
    <n v="49.7"/>
  </r>
  <r>
    <x v="945"/>
    <d v="2025-01-31T00:00:00"/>
    <s v="Treatment"/>
    <s v="South"/>
    <s v="Mobile"/>
    <s v="Organic"/>
    <s v="Free"/>
    <n v="1"/>
    <n v="0"/>
    <n v="0"/>
    <n v="0"/>
    <n v="0"/>
    <n v="3"/>
    <n v="0"/>
    <m/>
    <n v="71.099999999999994"/>
  </r>
  <r>
    <x v="946"/>
    <d v="2025-02-18T00:00:00"/>
    <s v="Treatment"/>
    <s v="North"/>
    <s v="Mobile"/>
    <s v="Social"/>
    <s v="Basic"/>
    <n v="0"/>
    <n v="0"/>
    <n v="0"/>
    <n v="0"/>
    <n v="0"/>
    <n v="0"/>
    <n v="0"/>
    <m/>
    <n v="70.8"/>
  </r>
  <r>
    <x v="947"/>
    <d v="2025-04-23T00:00:00"/>
    <s v="Treatment"/>
    <s v="East"/>
    <s v="Mobile"/>
    <s v="Paid Search"/>
    <s v="Free"/>
    <n v="1"/>
    <n v="1"/>
    <n v="1"/>
    <n v="1"/>
    <n v="301.98"/>
    <n v="0"/>
    <n v="0"/>
    <n v="10"/>
    <n v="52.2"/>
  </r>
  <r>
    <x v="948"/>
    <d v="2025-02-06T00:00:00"/>
    <s v="Treatment"/>
    <s v="North"/>
    <s v="Mobile"/>
    <s v="Organic"/>
    <s v="Free"/>
    <n v="1"/>
    <n v="1"/>
    <n v="1"/>
    <n v="0"/>
    <n v="0"/>
    <n v="0"/>
    <n v="0"/>
    <m/>
    <n v="73"/>
  </r>
  <r>
    <x v="949"/>
    <d v="2025-04-26T00:00:00"/>
    <s v="Treatment"/>
    <s v="South"/>
    <s v="Desktop"/>
    <s v="Paid Search"/>
    <s v="Free"/>
    <n v="0"/>
    <n v="0"/>
    <n v="0"/>
    <n v="0"/>
    <n v="0"/>
    <n v="0"/>
    <n v="0"/>
    <m/>
    <n v="78.2"/>
  </r>
  <r>
    <x v="950"/>
    <d v="2025-03-30T00:00:00"/>
    <s v="Treatment"/>
    <s v="West"/>
    <s v="Desktop"/>
    <s v="Paid Search"/>
    <s v="Basic"/>
    <n v="1"/>
    <n v="0"/>
    <n v="0"/>
    <n v="0"/>
    <n v="0"/>
    <n v="0"/>
    <n v="0"/>
    <m/>
    <n v="68.8"/>
  </r>
  <r>
    <x v="951"/>
    <d v="2025-04-13T00:00:00"/>
    <s v="Treatment"/>
    <s v="West"/>
    <s v="Mobile"/>
    <m/>
    <s v="Premium"/>
    <n v="1"/>
    <n v="0"/>
    <n v="0"/>
    <n v="0"/>
    <n v="0"/>
    <n v="0"/>
    <n v="0"/>
    <m/>
    <n v="57.1"/>
  </r>
  <r>
    <x v="952"/>
    <d v="2025-04-04T00:00:00"/>
    <s v="Treatment"/>
    <s v="East"/>
    <s v="Desktop"/>
    <s v="Organic"/>
    <s v="Premium"/>
    <n v="0"/>
    <n v="0"/>
    <n v="0"/>
    <n v="0"/>
    <n v="0"/>
    <n v="1"/>
    <n v="0"/>
    <m/>
    <n v="74.599999999999994"/>
  </r>
  <r>
    <x v="953"/>
    <d v="2025-04-03T00:00:00"/>
    <s v="Treatment"/>
    <s v="North"/>
    <s v="Desktop"/>
    <s v="Referral"/>
    <s v="Free"/>
    <n v="1"/>
    <n v="0"/>
    <n v="0"/>
    <n v="0"/>
    <n v="0"/>
    <n v="1"/>
    <n v="0"/>
    <m/>
    <n v="64.099999999999994"/>
  </r>
  <r>
    <x v="954"/>
    <d v="2025-03-14T00:00:00"/>
    <s v="Treatment"/>
    <s v="West"/>
    <s v="Mobile"/>
    <s v="Paid Search"/>
    <s v="Premium"/>
    <n v="1"/>
    <n v="0"/>
    <n v="0"/>
    <n v="0"/>
    <n v="0"/>
    <n v="0"/>
    <n v="0"/>
    <m/>
    <n v="67.3"/>
  </r>
  <r>
    <x v="955"/>
    <d v="2025-01-14T00:00:00"/>
    <s v="Treatment"/>
    <s v="West"/>
    <s v="Mobile"/>
    <s v="Referral"/>
    <s v="Free"/>
    <n v="0"/>
    <n v="0"/>
    <n v="0"/>
    <n v="0"/>
    <n v="0"/>
    <n v="2"/>
    <n v="0"/>
    <m/>
    <n v="41"/>
  </r>
  <r>
    <x v="956"/>
    <d v="2025-05-05T00:00:00"/>
    <s v="Treatment"/>
    <s v="West"/>
    <s v="Mobile"/>
    <s v="Paid Search"/>
    <s v="Free"/>
    <n v="0"/>
    <n v="0"/>
    <n v="0"/>
    <n v="0"/>
    <n v="0"/>
    <n v="0"/>
    <n v="0"/>
    <m/>
    <n v="48.1"/>
  </r>
  <r>
    <x v="957"/>
    <d v="2025-05-02T00:00:00"/>
    <s v="Treatment"/>
    <s v="West"/>
    <s v="Desktop"/>
    <s v="Social"/>
    <s v="Free"/>
    <n v="0"/>
    <n v="0"/>
    <n v="0"/>
    <n v="0"/>
    <n v="0"/>
    <n v="1"/>
    <n v="0"/>
    <m/>
    <n v="60.8"/>
  </r>
  <r>
    <x v="958"/>
    <d v="2025-05-21T00:00:00"/>
    <s v="Treatment"/>
    <s v="East"/>
    <s v="Mobile"/>
    <s v="Organic"/>
    <s v="Free"/>
    <n v="1"/>
    <n v="0"/>
    <n v="0"/>
    <n v="0"/>
    <n v="0"/>
    <n v="0"/>
    <n v="0"/>
    <m/>
    <n v="63.1"/>
  </r>
  <r>
    <x v="959"/>
    <d v="2025-05-16T00:00:00"/>
    <s v="Treatment"/>
    <s v="North"/>
    <s v="Mobile"/>
    <s v="Referral"/>
    <s v="Premium"/>
    <n v="1"/>
    <n v="0"/>
    <n v="0"/>
    <n v="0"/>
    <n v="0"/>
    <n v="2"/>
    <n v="0"/>
    <m/>
    <n v="49.7"/>
  </r>
  <r>
    <x v="960"/>
    <d v="2025-05-24T00:00:00"/>
    <s v="Treatment"/>
    <s v="East"/>
    <s v="Desktop"/>
    <s v="Organic"/>
    <s v="Premium"/>
    <n v="1"/>
    <n v="1"/>
    <n v="1"/>
    <n v="0"/>
    <n v="0"/>
    <n v="1"/>
    <n v="0"/>
    <m/>
    <n v="83.4"/>
  </r>
  <r>
    <x v="961"/>
    <d v="2025-03-18T00:00:00"/>
    <s v="Treatment"/>
    <s v="East"/>
    <s v="Mobile"/>
    <s v="Organic"/>
    <s v="Basic"/>
    <n v="1"/>
    <n v="0"/>
    <n v="0"/>
    <n v="0"/>
    <n v="0"/>
    <n v="0"/>
    <n v="0"/>
    <m/>
    <n v="75.900000000000006"/>
  </r>
  <r>
    <x v="962"/>
    <d v="2025-01-11T00:00:00"/>
    <s v="Treatment"/>
    <s v="East"/>
    <s v="Desktop"/>
    <s v="Paid Search"/>
    <s v="Free"/>
    <n v="0"/>
    <n v="0"/>
    <n v="0"/>
    <n v="0"/>
    <n v="0"/>
    <n v="1"/>
    <n v="0"/>
    <m/>
    <n v="71.8"/>
  </r>
  <r>
    <x v="963"/>
    <d v="2025-02-09T00:00:00"/>
    <s v="Treatment"/>
    <s v="South"/>
    <s v="Mobile"/>
    <s v="Organic"/>
    <s v="Basic"/>
    <n v="0"/>
    <n v="0"/>
    <n v="0"/>
    <n v="0"/>
    <n v="0"/>
    <n v="0"/>
    <n v="0"/>
    <m/>
    <n v="37.9"/>
  </r>
  <r>
    <x v="964"/>
    <d v="2025-03-01T00:00:00"/>
    <s v="Treatment"/>
    <s v="North"/>
    <s v="Desktop"/>
    <s v="Social"/>
    <s v="Free"/>
    <n v="1"/>
    <n v="0"/>
    <n v="0"/>
    <n v="0"/>
    <n v="0"/>
    <n v="0"/>
    <n v="0"/>
    <m/>
    <n v="59.8"/>
  </r>
  <r>
    <x v="965"/>
    <d v="2025-05-07T00:00:00"/>
    <s v="Treatment"/>
    <s v="North"/>
    <s v="Mobile"/>
    <s v="Organic"/>
    <s v="Basic"/>
    <n v="0"/>
    <n v="0"/>
    <n v="0"/>
    <n v="0"/>
    <n v="0"/>
    <n v="0"/>
    <n v="0"/>
    <m/>
    <n v="66.900000000000006"/>
  </r>
  <r>
    <x v="966"/>
    <d v="2025-02-19T00:00:00"/>
    <s v="Treatment"/>
    <s v="South"/>
    <s v="Desktop"/>
    <m/>
    <s v="Free"/>
    <n v="1"/>
    <n v="0"/>
    <n v="0"/>
    <n v="0"/>
    <n v="0"/>
    <n v="0"/>
    <n v="0"/>
    <m/>
    <n v="59"/>
  </r>
  <r>
    <x v="967"/>
    <d v="2025-02-26T00:00:00"/>
    <s v="Treatment"/>
    <s v="West"/>
    <s v="Mobile"/>
    <s v="Organic"/>
    <s v="Premium"/>
    <n v="1"/>
    <n v="0"/>
    <n v="0"/>
    <n v="0"/>
    <n v="0"/>
    <n v="0"/>
    <n v="0"/>
    <m/>
    <n v="80.099999999999994"/>
  </r>
  <r>
    <x v="968"/>
    <d v="2025-03-23T00:00:00"/>
    <s v="Treatment"/>
    <s v="South"/>
    <s v="Mobile"/>
    <s v="Social"/>
    <s v="Free"/>
    <n v="0"/>
    <n v="0"/>
    <n v="0"/>
    <n v="0"/>
    <n v="0"/>
    <n v="0"/>
    <n v="0"/>
    <m/>
    <n v="64.3"/>
  </r>
  <r>
    <x v="969"/>
    <d v="2025-04-25T00:00:00"/>
    <s v="Treatment"/>
    <s v="South"/>
    <s v="Desktop"/>
    <s v="Social"/>
    <s v="Free"/>
    <n v="0"/>
    <n v="0"/>
    <n v="0"/>
    <n v="0"/>
    <n v="0"/>
    <n v="1"/>
    <n v="0"/>
    <m/>
    <n v="57.4"/>
  </r>
  <r>
    <x v="970"/>
    <d v="2025-05-10T00:00:00"/>
    <s v="Treatment"/>
    <s v="North"/>
    <s v="Desktop"/>
    <s v="Social"/>
    <s v="Free"/>
    <n v="1"/>
    <n v="1"/>
    <n v="1"/>
    <n v="0"/>
    <n v="0"/>
    <n v="0"/>
    <n v="0"/>
    <m/>
    <n v="83.6"/>
  </r>
  <r>
    <x v="971"/>
    <d v="2025-04-22T00:00:00"/>
    <s v="Treatment"/>
    <s v="East"/>
    <s v="Mobile"/>
    <s v="Paid Search"/>
    <s v="Premium"/>
    <n v="0"/>
    <n v="0"/>
    <n v="0"/>
    <n v="0"/>
    <n v="0"/>
    <n v="0"/>
    <n v="0"/>
    <m/>
    <n v="45.8"/>
  </r>
  <r>
    <x v="972"/>
    <d v="2025-02-18T00:00:00"/>
    <s v="Treatment"/>
    <s v="West"/>
    <s v="Mobile"/>
    <s v="Referral"/>
    <s v="Basic"/>
    <n v="1"/>
    <n v="1"/>
    <n v="1"/>
    <n v="0"/>
    <n v="0"/>
    <n v="0"/>
    <n v="0"/>
    <m/>
    <n v="64.3"/>
  </r>
  <r>
    <x v="973"/>
    <d v="2025-01-26T00:00:00"/>
    <s v="Treatment"/>
    <s v="South"/>
    <s v="Mobile"/>
    <s v="Paid Search"/>
    <s v="Premium"/>
    <n v="1"/>
    <n v="1"/>
    <n v="1"/>
    <n v="0"/>
    <n v="0"/>
    <n v="0"/>
    <n v="0"/>
    <m/>
    <n v="80.5"/>
  </r>
  <r>
    <x v="974"/>
    <d v="2025-04-28T00:00:00"/>
    <s v="Treatment"/>
    <s v="North"/>
    <s v="Mobile"/>
    <s v="Organic"/>
    <s v="Free"/>
    <n v="1"/>
    <n v="0"/>
    <n v="0"/>
    <n v="0"/>
    <n v="0"/>
    <n v="0"/>
    <n v="0"/>
    <m/>
    <n v="46.3"/>
  </r>
  <r>
    <x v="975"/>
    <d v="2025-04-02T00:00:00"/>
    <s v="Treatment"/>
    <s v="South"/>
    <s v="Desktop"/>
    <s v="Email"/>
    <s v="Basic"/>
    <n v="1"/>
    <n v="0"/>
    <n v="0"/>
    <n v="0"/>
    <n v="0"/>
    <n v="0"/>
    <n v="0"/>
    <m/>
    <n v="71.599999999999994"/>
  </r>
  <r>
    <x v="976"/>
    <d v="2025-04-12T00:00:00"/>
    <s v="Treatment"/>
    <s v="South"/>
    <s v="Desktop"/>
    <s v="Email"/>
    <s v="Premium"/>
    <n v="1"/>
    <n v="1"/>
    <n v="0"/>
    <n v="0"/>
    <n v="0"/>
    <n v="0"/>
    <n v="0"/>
    <m/>
    <n v="57.8"/>
  </r>
  <r>
    <x v="977"/>
    <d v="2025-01-03T00:00:00"/>
    <s v="Treatment"/>
    <s v="West"/>
    <s v="Desktop"/>
    <s v="Email"/>
    <s v="Basic"/>
    <n v="1"/>
    <n v="1"/>
    <n v="1"/>
    <n v="0"/>
    <n v="0"/>
    <n v="1"/>
    <n v="0"/>
    <m/>
    <n v="57.8"/>
  </r>
  <r>
    <x v="978"/>
    <d v="2025-05-08T00:00:00"/>
    <s v="Treatment"/>
    <s v="North"/>
    <s v="Mobile"/>
    <s v="Paid Search"/>
    <s v="Free"/>
    <n v="1"/>
    <n v="0"/>
    <n v="0"/>
    <n v="0"/>
    <n v="0"/>
    <n v="0"/>
    <n v="0"/>
    <m/>
    <n v="38.299999999999997"/>
  </r>
  <r>
    <x v="979"/>
    <d v="2025-02-20T00:00:00"/>
    <s v="Treatment"/>
    <s v="North"/>
    <s v="Mobile"/>
    <s v="Referral"/>
    <s v="Premium"/>
    <n v="1"/>
    <n v="0"/>
    <n v="0"/>
    <n v="0"/>
    <n v="0"/>
    <n v="1"/>
    <n v="0"/>
    <m/>
    <n v="66.099999999999994"/>
  </r>
  <r>
    <x v="980"/>
    <d v="2025-03-17T00:00:00"/>
    <s v="Treatment"/>
    <s v="North"/>
    <s v="Desktop"/>
    <s v="Paid Search"/>
    <s v="Premium"/>
    <n v="1"/>
    <n v="0"/>
    <n v="0"/>
    <n v="0"/>
    <n v="0"/>
    <n v="0"/>
    <n v="0"/>
    <m/>
    <n v="66.5"/>
  </r>
  <r>
    <x v="981"/>
    <d v="2025-04-10T00:00:00"/>
    <s v="Treatment"/>
    <s v="South"/>
    <s v="Desktop"/>
    <s v="Email"/>
    <s v="Free"/>
    <n v="1"/>
    <n v="0"/>
    <n v="0"/>
    <n v="0"/>
    <n v="0"/>
    <n v="3"/>
    <n v="0"/>
    <m/>
    <n v="51.5"/>
  </r>
  <r>
    <x v="982"/>
    <d v="2025-05-08T00:00:00"/>
    <s v="Treatment"/>
    <s v="North"/>
    <s v="Desktop"/>
    <s v="Referral"/>
    <s v="Free"/>
    <n v="1"/>
    <n v="0"/>
    <n v="0"/>
    <n v="0"/>
    <n v="0"/>
    <n v="0"/>
    <n v="0"/>
    <m/>
    <n v="59.9"/>
  </r>
  <r>
    <x v="983"/>
    <d v="2025-04-19T00:00:00"/>
    <s v="Treatment"/>
    <s v="West"/>
    <s v="Mobile"/>
    <s v="Paid Search"/>
    <s v="Basic"/>
    <n v="1"/>
    <n v="0"/>
    <n v="0"/>
    <n v="0"/>
    <n v="0"/>
    <n v="0"/>
    <n v="0"/>
    <m/>
    <n v="58.8"/>
  </r>
  <r>
    <x v="984"/>
    <d v="2025-01-01T00:00:00"/>
    <s v="Treatment"/>
    <s v="South"/>
    <s v="Tablet"/>
    <s v="Paid Search"/>
    <s v="Basic"/>
    <n v="1"/>
    <n v="0"/>
    <n v="0"/>
    <n v="0"/>
    <n v="0"/>
    <n v="0"/>
    <n v="0"/>
    <m/>
    <n v="69.599999999999994"/>
  </r>
  <r>
    <x v="985"/>
    <d v="2025-03-10T00:00:00"/>
    <s v="Treatment"/>
    <s v="East"/>
    <s v="Mobile"/>
    <s v="Paid Search"/>
    <s v="Free"/>
    <n v="1"/>
    <n v="0"/>
    <n v="0"/>
    <n v="0"/>
    <n v="0"/>
    <n v="0"/>
    <n v="0"/>
    <m/>
    <n v="77.5"/>
  </r>
  <r>
    <x v="986"/>
    <d v="2025-03-10T00:00:00"/>
    <s v="Treatment"/>
    <s v="East"/>
    <s v="Tablet"/>
    <s v="Social"/>
    <s v="Premium"/>
    <n v="0"/>
    <n v="0"/>
    <n v="0"/>
    <n v="0"/>
    <n v="0"/>
    <n v="2"/>
    <n v="0"/>
    <m/>
    <n v="57.5"/>
  </r>
  <r>
    <x v="987"/>
    <d v="2025-04-19T00:00:00"/>
    <s v="Treatment"/>
    <s v="West"/>
    <s v="Tablet"/>
    <s v="Email"/>
    <s v="Basic"/>
    <n v="1"/>
    <n v="0"/>
    <n v="0"/>
    <n v="0"/>
    <n v="0"/>
    <n v="0"/>
    <n v="0"/>
    <m/>
    <n v="64.2"/>
  </r>
  <r>
    <x v="988"/>
    <d v="2025-04-11T00:00:00"/>
    <s v="Treatment"/>
    <s v="West"/>
    <s v="Desktop"/>
    <s v="Organic"/>
    <s v="Free"/>
    <n v="0"/>
    <n v="0"/>
    <n v="0"/>
    <n v="0"/>
    <n v="0"/>
    <n v="0"/>
    <n v="0"/>
    <m/>
    <n v="60"/>
  </r>
  <r>
    <x v="989"/>
    <d v="2025-04-10T00:00:00"/>
    <s v="Treatment"/>
    <s v="East"/>
    <s v="Mobile"/>
    <s v="Organic"/>
    <s v="Basic"/>
    <n v="1"/>
    <n v="0"/>
    <n v="0"/>
    <n v="0"/>
    <n v="0"/>
    <n v="1"/>
    <n v="0"/>
    <m/>
    <n v="43.7"/>
  </r>
  <r>
    <x v="990"/>
    <d v="2025-01-13T00:00:00"/>
    <s v="Treatment"/>
    <s v="West"/>
    <s v="Desktop"/>
    <s v="Social"/>
    <s v="Free"/>
    <n v="1"/>
    <n v="0"/>
    <n v="0"/>
    <n v="0"/>
    <n v="0"/>
    <n v="0"/>
    <n v="0"/>
    <m/>
    <n v="64.900000000000006"/>
  </r>
  <r>
    <x v="991"/>
    <d v="2025-03-28T00:00:00"/>
    <s v="Treatment"/>
    <s v="South"/>
    <s v="Desktop"/>
    <s v="Organic"/>
    <s v="Free"/>
    <n v="1"/>
    <n v="1"/>
    <n v="0"/>
    <n v="0"/>
    <n v="0"/>
    <n v="0"/>
    <n v="0"/>
    <m/>
    <n v="45.5"/>
  </r>
  <r>
    <x v="992"/>
    <d v="2025-01-29T00:00:00"/>
    <s v="Treatment"/>
    <s v="East"/>
    <s v="Mobile"/>
    <s v="Paid Search"/>
    <s v="Free"/>
    <n v="1"/>
    <n v="1"/>
    <n v="1"/>
    <n v="1"/>
    <n v="1772.97"/>
    <n v="0"/>
    <n v="0"/>
    <n v="8"/>
    <n v="61.2"/>
  </r>
  <r>
    <x v="993"/>
    <d v="2025-03-27T00:00:00"/>
    <s v="Treatment"/>
    <s v="South"/>
    <s v="Mobile"/>
    <s v="Referral"/>
    <s v="Free"/>
    <n v="0"/>
    <n v="0"/>
    <n v="0"/>
    <n v="0"/>
    <n v="0"/>
    <n v="0"/>
    <n v="0"/>
    <m/>
    <n v="87.8"/>
  </r>
  <r>
    <x v="994"/>
    <d v="2025-03-20T00:00:00"/>
    <s v="Treatment"/>
    <s v="East"/>
    <s v="Tablet"/>
    <s v="Social"/>
    <s v="Free"/>
    <n v="0"/>
    <n v="0"/>
    <n v="0"/>
    <n v="0"/>
    <n v="0"/>
    <n v="0"/>
    <n v="0"/>
    <m/>
    <n v="86.4"/>
  </r>
  <r>
    <x v="995"/>
    <d v="2025-01-09T00:00:00"/>
    <s v="Treatment"/>
    <s v="North"/>
    <s v="Mobile"/>
    <s v="Paid Search"/>
    <s v="Basic"/>
    <n v="0"/>
    <n v="0"/>
    <n v="0"/>
    <n v="0"/>
    <n v="0"/>
    <n v="1"/>
    <n v="0"/>
    <m/>
    <n v="71.400000000000006"/>
  </r>
  <r>
    <x v="996"/>
    <d v="2025-04-25T00:00:00"/>
    <s v="Treatment"/>
    <s v="West"/>
    <s v="Mobile"/>
    <s v="Social"/>
    <s v="Free"/>
    <n v="1"/>
    <n v="1"/>
    <n v="1"/>
    <n v="1"/>
    <n v="218.66"/>
    <n v="0"/>
    <n v="1"/>
    <n v="8"/>
    <n v="72.2"/>
  </r>
  <r>
    <x v="997"/>
    <d v="2025-04-11T00:00:00"/>
    <s v="Treatment"/>
    <s v="South"/>
    <s v="Desktop"/>
    <s v="Social"/>
    <s v="Free"/>
    <n v="1"/>
    <n v="0"/>
    <n v="0"/>
    <n v="0"/>
    <n v="0"/>
    <n v="0"/>
    <n v="0"/>
    <m/>
    <n v="51.9"/>
  </r>
  <r>
    <x v="998"/>
    <d v="2025-02-05T00:00:00"/>
    <s v="Treatment"/>
    <s v="East"/>
    <s v="Mobile"/>
    <s v="Social"/>
    <s v="Basic"/>
    <n v="1"/>
    <n v="1"/>
    <n v="1"/>
    <n v="0"/>
    <n v="0"/>
    <n v="0"/>
    <n v="0"/>
    <m/>
    <n v="70.3"/>
  </r>
  <r>
    <x v="999"/>
    <d v="2025-03-28T00:00:00"/>
    <s v="Treatment"/>
    <s v="South"/>
    <s v="Mobile"/>
    <s v="Social"/>
    <s v="Premium"/>
    <n v="1"/>
    <n v="0"/>
    <n v="0"/>
    <n v="0"/>
    <n v="0"/>
    <n v="1"/>
    <n v="0"/>
    <m/>
    <n v="49.2"/>
  </r>
  <r>
    <x v="1000"/>
    <d v="2025-05-14T00:00:00"/>
    <s v="Treatment"/>
    <s v="South"/>
    <s v="Mobile"/>
    <s v="Referral"/>
    <s v="Free"/>
    <n v="0"/>
    <n v="0"/>
    <n v="0"/>
    <n v="0"/>
    <n v="0"/>
    <n v="0"/>
    <n v="0"/>
    <m/>
    <n v="52.2"/>
  </r>
  <r>
    <x v="1001"/>
    <d v="2025-03-10T00:00:00"/>
    <s v="Treatment"/>
    <s v="East"/>
    <s v="Mobile"/>
    <s v="Paid Search"/>
    <s v="Basic"/>
    <n v="0"/>
    <n v="0"/>
    <n v="0"/>
    <n v="0"/>
    <n v="0"/>
    <n v="1"/>
    <n v="0"/>
    <m/>
    <n v="62.6"/>
  </r>
  <r>
    <x v="1002"/>
    <d v="2025-04-09T00:00:00"/>
    <s v="Treatment"/>
    <s v="East"/>
    <s v="Desktop"/>
    <s v="Paid Search"/>
    <s v="Free"/>
    <n v="1"/>
    <n v="1"/>
    <n v="0"/>
    <n v="0"/>
    <n v="0"/>
    <n v="0"/>
    <n v="0"/>
    <m/>
    <n v="100"/>
  </r>
  <r>
    <x v="1003"/>
    <d v="2025-02-13T00:00:00"/>
    <s v="Treatment"/>
    <s v="North"/>
    <s v="Mobile"/>
    <s v="Referral"/>
    <s v="Basic"/>
    <n v="1"/>
    <n v="1"/>
    <n v="1"/>
    <n v="0"/>
    <n v="0"/>
    <n v="2"/>
    <n v="0"/>
    <m/>
    <n v="45.9"/>
  </r>
  <r>
    <x v="1004"/>
    <d v="2025-05-03T00:00:00"/>
    <s v="Treatment"/>
    <s v="East"/>
    <s v="Mobile"/>
    <s v="Email"/>
    <s v="Free"/>
    <n v="1"/>
    <n v="1"/>
    <n v="1"/>
    <n v="0"/>
    <n v="0"/>
    <n v="0"/>
    <n v="0"/>
    <m/>
    <n v="80.7"/>
  </r>
  <r>
    <x v="1005"/>
    <d v="2025-04-16T00:00:00"/>
    <s v="Treatment"/>
    <s v="South"/>
    <s v="Desktop"/>
    <s v="Referral"/>
    <s v="Premium"/>
    <n v="1"/>
    <n v="0"/>
    <n v="0"/>
    <n v="0"/>
    <n v="0"/>
    <n v="0"/>
    <n v="0"/>
    <m/>
    <n v="51.9"/>
  </r>
  <r>
    <x v="1006"/>
    <d v="2025-04-30T00:00:00"/>
    <s v="Treatment"/>
    <s v="North"/>
    <s v="Mobile"/>
    <s v="Paid Search"/>
    <s v="Premium"/>
    <n v="1"/>
    <n v="0"/>
    <n v="0"/>
    <n v="0"/>
    <n v="0"/>
    <n v="0"/>
    <n v="0"/>
    <m/>
    <n v="68.900000000000006"/>
  </r>
  <r>
    <x v="1007"/>
    <d v="2025-02-18T00:00:00"/>
    <s v="Treatment"/>
    <s v="West"/>
    <s v="Desktop"/>
    <s v="Organic"/>
    <s v="Free"/>
    <n v="1"/>
    <n v="0"/>
    <n v="0"/>
    <n v="0"/>
    <n v="0"/>
    <n v="0"/>
    <n v="0"/>
    <m/>
    <n v="66"/>
  </r>
  <r>
    <x v="1008"/>
    <d v="2025-05-22T00:00:00"/>
    <s v="Treatment"/>
    <s v="West"/>
    <s v="Desktop"/>
    <s v="Referral"/>
    <s v="Basic"/>
    <n v="0"/>
    <n v="0"/>
    <n v="0"/>
    <n v="0"/>
    <n v="0"/>
    <n v="0"/>
    <n v="0"/>
    <m/>
    <n v="63.1"/>
  </r>
  <r>
    <x v="1009"/>
    <d v="2025-05-21T00:00:00"/>
    <s v="Treatment"/>
    <s v="South"/>
    <s v="Desktop"/>
    <s v="Organic"/>
    <s v="Free"/>
    <n v="0"/>
    <n v="0"/>
    <n v="0"/>
    <n v="0"/>
    <n v="0"/>
    <n v="0"/>
    <n v="0"/>
    <m/>
    <n v="56"/>
  </r>
  <r>
    <x v="1010"/>
    <d v="2025-04-10T00:00:00"/>
    <s v="Treatment"/>
    <s v="East"/>
    <s v="Desktop"/>
    <s v="Organic"/>
    <s v="Free"/>
    <n v="1"/>
    <n v="0"/>
    <n v="0"/>
    <n v="0"/>
    <n v="0"/>
    <n v="1"/>
    <n v="0"/>
    <m/>
    <n v="65.7"/>
  </r>
  <r>
    <x v="1011"/>
    <d v="2025-01-07T00:00:00"/>
    <s v="Treatment"/>
    <s v="North"/>
    <s v="Desktop"/>
    <s v="Organic"/>
    <s v="Premium"/>
    <n v="1"/>
    <n v="1"/>
    <n v="1"/>
    <n v="1"/>
    <n v="1938.31"/>
    <n v="1"/>
    <n v="0"/>
    <n v="9"/>
    <n v="60.9"/>
  </r>
  <r>
    <x v="1012"/>
    <d v="2025-02-03T00:00:00"/>
    <s v="Treatment"/>
    <s v="South"/>
    <s v="Desktop"/>
    <s v="Social"/>
    <s v="Free"/>
    <n v="0"/>
    <n v="0"/>
    <n v="0"/>
    <n v="0"/>
    <n v="0"/>
    <n v="0"/>
    <n v="0"/>
    <m/>
    <n v="45.5"/>
  </r>
  <r>
    <x v="1013"/>
    <d v="2025-05-18T00:00:00"/>
    <s v="Treatment"/>
    <s v="North"/>
    <s v="Mobile"/>
    <s v="Paid Search"/>
    <s v="Free"/>
    <n v="1"/>
    <n v="0"/>
    <n v="0"/>
    <n v="0"/>
    <n v="0"/>
    <n v="0"/>
    <n v="0"/>
    <m/>
    <n v="50"/>
  </r>
  <r>
    <x v="1014"/>
    <d v="2025-01-31T00:00:00"/>
    <s v="Treatment"/>
    <s v="North"/>
    <s v="Mobile"/>
    <s v="Referral"/>
    <s v="Free"/>
    <n v="1"/>
    <n v="0"/>
    <n v="0"/>
    <n v="0"/>
    <n v="0"/>
    <n v="0"/>
    <n v="0"/>
    <m/>
    <n v="72.099999999999994"/>
  </r>
  <r>
    <x v="1015"/>
    <d v="2025-01-16T00:00:00"/>
    <s v="Treatment"/>
    <s v="South"/>
    <s v="Desktop"/>
    <s v="Organic"/>
    <s v="Basic"/>
    <n v="1"/>
    <n v="0"/>
    <n v="0"/>
    <n v="0"/>
    <n v="0"/>
    <n v="0"/>
    <n v="0"/>
    <m/>
    <n v="76.3"/>
  </r>
  <r>
    <x v="1016"/>
    <d v="2025-05-14T00:00:00"/>
    <s v="Treatment"/>
    <s v="East"/>
    <s v="Mobile"/>
    <s v="Paid Search"/>
    <s v="Basic"/>
    <n v="1"/>
    <n v="1"/>
    <n v="0"/>
    <n v="0"/>
    <n v="0"/>
    <n v="1"/>
    <n v="0"/>
    <m/>
    <n v="54.8"/>
  </r>
  <r>
    <x v="1017"/>
    <d v="2025-04-01T00:00:00"/>
    <s v="Treatment"/>
    <s v="South"/>
    <s v="Mobile"/>
    <m/>
    <s v="Basic"/>
    <n v="1"/>
    <n v="0"/>
    <n v="0"/>
    <n v="0"/>
    <n v="0"/>
    <n v="0"/>
    <n v="0"/>
    <m/>
    <n v="63.6"/>
  </r>
  <r>
    <x v="1018"/>
    <d v="2025-04-23T00:00:00"/>
    <s v="Treatment"/>
    <s v="South"/>
    <s v="Mobile"/>
    <s v="Organic"/>
    <s v="Free"/>
    <n v="1"/>
    <n v="0"/>
    <n v="0"/>
    <n v="0"/>
    <n v="0"/>
    <n v="0"/>
    <n v="0"/>
    <m/>
    <n v="68.8"/>
  </r>
  <r>
    <x v="1019"/>
    <d v="2025-03-02T00:00:00"/>
    <s v="Treatment"/>
    <s v="South"/>
    <s v="Desktop"/>
    <s v="Paid Search"/>
    <s v="Basic"/>
    <n v="1"/>
    <n v="0"/>
    <n v="0"/>
    <n v="0"/>
    <n v="0"/>
    <n v="0"/>
    <n v="0"/>
    <m/>
    <n v="63.2"/>
  </r>
  <r>
    <x v="1020"/>
    <d v="2025-01-02T00:00:00"/>
    <s v="Treatment"/>
    <s v="East"/>
    <s v="Mobile"/>
    <s v="Paid Search"/>
    <s v="Basic"/>
    <n v="0"/>
    <n v="0"/>
    <n v="0"/>
    <n v="0"/>
    <n v="0"/>
    <n v="0"/>
    <n v="0"/>
    <m/>
    <n v="45"/>
  </r>
  <r>
    <x v="1021"/>
    <d v="2025-05-04T00:00:00"/>
    <s v="Treatment"/>
    <s v="South"/>
    <s v="Mobile"/>
    <s v="Organic"/>
    <s v="Free"/>
    <n v="1"/>
    <n v="0"/>
    <n v="0"/>
    <n v="0"/>
    <n v="0"/>
    <n v="0"/>
    <n v="0"/>
    <m/>
    <n v="77.400000000000006"/>
  </r>
  <r>
    <x v="1022"/>
    <d v="2025-01-16T00:00:00"/>
    <s v="Treatment"/>
    <s v="East"/>
    <s v="Desktop"/>
    <s v="Paid Search"/>
    <s v="Basic"/>
    <n v="0"/>
    <n v="0"/>
    <n v="0"/>
    <n v="0"/>
    <n v="0"/>
    <n v="0"/>
    <n v="0"/>
    <m/>
    <n v="53.1"/>
  </r>
  <r>
    <x v="1023"/>
    <d v="2025-02-11T00:00:00"/>
    <s v="Treatment"/>
    <s v="West"/>
    <s v="Tablet"/>
    <s v="Paid Search"/>
    <s v="Premium"/>
    <n v="0"/>
    <n v="0"/>
    <n v="0"/>
    <n v="0"/>
    <n v="0"/>
    <n v="0"/>
    <n v="0"/>
    <m/>
    <n v="74"/>
  </r>
  <r>
    <x v="1024"/>
    <d v="2025-04-03T00:00:00"/>
    <s v="Treatment"/>
    <s v="North"/>
    <s v="Mobile"/>
    <s v="Social"/>
    <s v="Premium"/>
    <n v="1"/>
    <n v="1"/>
    <n v="1"/>
    <n v="1"/>
    <n v="1906.23"/>
    <n v="0"/>
    <n v="0"/>
    <n v="4"/>
    <n v="84.6"/>
  </r>
  <r>
    <x v="1025"/>
    <d v="2025-03-26T00:00:00"/>
    <s v="Treatment"/>
    <s v="East"/>
    <s v="Mobile"/>
    <s v="Referral"/>
    <s v="Free"/>
    <n v="1"/>
    <n v="0"/>
    <n v="0"/>
    <n v="0"/>
    <n v="0"/>
    <n v="0"/>
    <n v="0"/>
    <m/>
    <n v="57"/>
  </r>
  <r>
    <x v="1026"/>
    <d v="2025-05-16T00:00:00"/>
    <s v="Treatment"/>
    <s v="South"/>
    <s v="Mobile"/>
    <s v="Email"/>
    <s v="Premium"/>
    <n v="0"/>
    <n v="0"/>
    <n v="0"/>
    <n v="0"/>
    <n v="0"/>
    <n v="0"/>
    <n v="0"/>
    <m/>
    <n v="46.3"/>
  </r>
  <r>
    <x v="1027"/>
    <d v="2025-04-20T00:00:00"/>
    <s v="Treatment"/>
    <s v="West"/>
    <s v="Mobile"/>
    <s v="Social"/>
    <s v="Free"/>
    <n v="0"/>
    <n v="0"/>
    <n v="0"/>
    <n v="0"/>
    <n v="0"/>
    <n v="1"/>
    <n v="0"/>
    <m/>
    <n v="64.400000000000006"/>
  </r>
  <r>
    <x v="1028"/>
    <d v="2025-04-15T00:00:00"/>
    <s v="Treatment"/>
    <s v="West"/>
    <s v="Mobile"/>
    <s v="Paid Search"/>
    <s v="Free"/>
    <n v="1"/>
    <n v="0"/>
    <n v="0"/>
    <n v="0"/>
    <n v="0"/>
    <n v="2"/>
    <n v="0"/>
    <m/>
    <n v="61.9"/>
  </r>
  <r>
    <x v="1029"/>
    <d v="2025-01-24T00:00:00"/>
    <s v="Treatment"/>
    <s v="North"/>
    <s v="Mobile"/>
    <s v="Organic"/>
    <s v="Premium"/>
    <n v="1"/>
    <n v="1"/>
    <n v="1"/>
    <n v="0"/>
    <n v="0"/>
    <n v="0"/>
    <n v="0"/>
    <m/>
    <n v="93.7"/>
  </r>
  <r>
    <x v="1030"/>
    <d v="2025-04-11T00:00:00"/>
    <s v="Treatment"/>
    <s v="South"/>
    <s v="Mobile"/>
    <s v="Referral"/>
    <s v="Basic"/>
    <n v="0"/>
    <n v="0"/>
    <n v="0"/>
    <n v="0"/>
    <n v="0"/>
    <n v="0"/>
    <n v="0"/>
    <m/>
    <n v="61.6"/>
  </r>
  <r>
    <x v="1031"/>
    <d v="2025-05-19T00:00:00"/>
    <s v="Treatment"/>
    <s v="North"/>
    <s v="Mobile"/>
    <s v="Paid Search"/>
    <s v="Free"/>
    <n v="1"/>
    <n v="0"/>
    <n v="0"/>
    <n v="0"/>
    <n v="0"/>
    <n v="0"/>
    <n v="0"/>
    <m/>
    <n v="72.2"/>
  </r>
  <r>
    <x v="1032"/>
    <d v="2025-01-14T00:00:00"/>
    <s v="Treatment"/>
    <s v="North"/>
    <s v="Mobile"/>
    <s v="Organic"/>
    <s v="Basic"/>
    <n v="0"/>
    <n v="0"/>
    <n v="0"/>
    <n v="0"/>
    <n v="0"/>
    <n v="0"/>
    <n v="0"/>
    <m/>
    <n v="69.5"/>
  </r>
  <r>
    <x v="1033"/>
    <d v="2025-02-28T00:00:00"/>
    <s v="Treatment"/>
    <s v="East"/>
    <s v="Desktop"/>
    <s v="Organic"/>
    <s v="Basic"/>
    <n v="0"/>
    <n v="0"/>
    <n v="0"/>
    <n v="0"/>
    <n v="0"/>
    <n v="0"/>
    <n v="0"/>
    <m/>
    <n v="59.7"/>
  </r>
  <r>
    <x v="1034"/>
    <d v="2025-05-18T00:00:00"/>
    <s v="Treatment"/>
    <s v="East"/>
    <s v="Tablet"/>
    <s v="Paid Search"/>
    <s v="Basic"/>
    <n v="1"/>
    <n v="0"/>
    <n v="0"/>
    <n v="0"/>
    <n v="0"/>
    <n v="0"/>
    <n v="0"/>
    <m/>
    <n v="73.900000000000006"/>
  </r>
  <r>
    <x v="1035"/>
    <d v="2025-01-04T00:00:00"/>
    <s v="Treatment"/>
    <s v="North"/>
    <s v="Mobile"/>
    <s v="Social"/>
    <s v="Free"/>
    <n v="0"/>
    <n v="0"/>
    <n v="0"/>
    <n v="0"/>
    <n v="0"/>
    <n v="0"/>
    <n v="0"/>
    <m/>
    <n v="41.5"/>
  </r>
  <r>
    <x v="1036"/>
    <d v="2025-01-16T00:00:00"/>
    <s v="Treatment"/>
    <s v="West"/>
    <s v="Mobile"/>
    <s v="Social"/>
    <s v="Premium"/>
    <n v="1"/>
    <n v="0"/>
    <n v="0"/>
    <n v="0"/>
    <n v="0"/>
    <n v="0"/>
    <n v="0"/>
    <m/>
    <n v="82.8"/>
  </r>
  <r>
    <x v="1037"/>
    <d v="2025-03-14T00:00:00"/>
    <s v="Treatment"/>
    <s v="West"/>
    <s v="Mobile"/>
    <s v="Social"/>
    <s v="Premium"/>
    <n v="1"/>
    <n v="0"/>
    <n v="0"/>
    <n v="0"/>
    <n v="0"/>
    <n v="3"/>
    <n v="0"/>
    <m/>
    <n v="70.2"/>
  </r>
  <r>
    <x v="1038"/>
    <d v="2025-01-23T00:00:00"/>
    <s v="Treatment"/>
    <s v="East"/>
    <s v="Mobile"/>
    <s v="Paid Search"/>
    <s v="Basic"/>
    <n v="1"/>
    <n v="0"/>
    <n v="0"/>
    <n v="0"/>
    <n v="0"/>
    <n v="1"/>
    <n v="0"/>
    <m/>
    <n v="69.400000000000006"/>
  </r>
  <r>
    <x v="1039"/>
    <d v="2025-02-03T00:00:00"/>
    <s v="Treatment"/>
    <s v="North"/>
    <s v="Desktop"/>
    <s v="Organic"/>
    <s v="Basic"/>
    <n v="1"/>
    <n v="0"/>
    <n v="0"/>
    <n v="0"/>
    <n v="0"/>
    <n v="0"/>
    <n v="0"/>
    <m/>
    <n v="60.4"/>
  </r>
  <r>
    <x v="1040"/>
    <d v="2025-05-16T00:00:00"/>
    <s v="Treatment"/>
    <s v="East"/>
    <s v="Mobile"/>
    <s v="Referral"/>
    <s v="Free"/>
    <n v="1"/>
    <n v="0"/>
    <n v="0"/>
    <n v="0"/>
    <n v="0"/>
    <n v="0"/>
    <n v="0"/>
    <m/>
    <n v="45.7"/>
  </r>
  <r>
    <x v="1041"/>
    <d v="2025-01-11T00:00:00"/>
    <s v="Treatment"/>
    <s v="West"/>
    <s v="Mobile"/>
    <s v="Organic"/>
    <s v="Basic"/>
    <n v="0"/>
    <n v="0"/>
    <n v="0"/>
    <n v="0"/>
    <n v="0"/>
    <n v="1"/>
    <n v="0"/>
    <m/>
    <n v="42.2"/>
  </r>
  <r>
    <x v="1042"/>
    <d v="2025-05-25T00:00:00"/>
    <s v="Treatment"/>
    <s v="North"/>
    <s v="Desktop"/>
    <s v="Organic"/>
    <s v="Free"/>
    <n v="0"/>
    <n v="0"/>
    <n v="0"/>
    <n v="0"/>
    <n v="0"/>
    <n v="2"/>
    <n v="0"/>
    <m/>
    <n v="61.9"/>
  </r>
  <r>
    <x v="1043"/>
    <d v="2025-05-08T00:00:00"/>
    <s v="Treatment"/>
    <s v="East"/>
    <s v="Mobile"/>
    <s v="Paid Search"/>
    <s v="Premium"/>
    <n v="0"/>
    <n v="0"/>
    <n v="0"/>
    <n v="0"/>
    <n v="0"/>
    <n v="0"/>
    <n v="0"/>
    <m/>
    <n v="44.9"/>
  </r>
  <r>
    <x v="1044"/>
    <d v="2025-02-26T00:00:00"/>
    <s v="Treatment"/>
    <s v="East"/>
    <s v="Desktop"/>
    <m/>
    <s v="Basic"/>
    <n v="1"/>
    <n v="0"/>
    <n v="0"/>
    <n v="0"/>
    <n v="0"/>
    <n v="0"/>
    <n v="0"/>
    <m/>
    <n v="68"/>
  </r>
  <r>
    <x v="1045"/>
    <d v="2025-03-30T00:00:00"/>
    <s v="Treatment"/>
    <s v="North"/>
    <s v="Mobile"/>
    <s v="Paid Search"/>
    <s v="Free"/>
    <n v="1"/>
    <n v="0"/>
    <n v="0"/>
    <n v="0"/>
    <n v="0"/>
    <n v="0"/>
    <n v="0"/>
    <m/>
    <n v="61"/>
  </r>
  <r>
    <x v="1046"/>
    <d v="2025-04-13T00:00:00"/>
    <s v="Treatment"/>
    <s v="West"/>
    <s v="Mobile"/>
    <s v="Organic"/>
    <s v="Basic"/>
    <n v="1"/>
    <n v="0"/>
    <n v="0"/>
    <n v="0"/>
    <n v="0"/>
    <n v="0"/>
    <n v="0"/>
    <m/>
    <n v="55"/>
  </r>
  <r>
    <x v="1047"/>
    <d v="2025-02-20T00:00:00"/>
    <s v="Treatment"/>
    <s v="East"/>
    <m/>
    <s v="Paid Search"/>
    <s v="Basic"/>
    <n v="1"/>
    <n v="0"/>
    <n v="0"/>
    <n v="0"/>
    <n v="0"/>
    <n v="0"/>
    <n v="0"/>
    <m/>
    <n v="63.1"/>
  </r>
  <r>
    <x v="1048"/>
    <d v="2025-04-19T00:00:00"/>
    <s v="Treatment"/>
    <s v="West"/>
    <s v="Desktop"/>
    <s v="Social"/>
    <s v="Free"/>
    <n v="1"/>
    <n v="0"/>
    <n v="0"/>
    <n v="0"/>
    <n v="0"/>
    <n v="0"/>
    <n v="0"/>
    <m/>
    <n v="75.8"/>
  </r>
  <r>
    <x v="1049"/>
    <d v="2025-03-22T00:00:00"/>
    <s v="Treatment"/>
    <s v="South"/>
    <s v="Mobile"/>
    <s v="Paid Search"/>
    <s v="Free"/>
    <n v="1"/>
    <n v="1"/>
    <n v="0"/>
    <n v="0"/>
    <n v="0"/>
    <n v="1"/>
    <n v="0"/>
    <m/>
    <n v="43.8"/>
  </r>
  <r>
    <x v="1050"/>
    <d v="2025-02-28T00:00:00"/>
    <s v="Treatment"/>
    <s v="North"/>
    <s v="Mobile"/>
    <s v="Email"/>
    <s v="Basic"/>
    <n v="1"/>
    <n v="1"/>
    <n v="0"/>
    <n v="0"/>
    <n v="0"/>
    <n v="0"/>
    <n v="0"/>
    <m/>
    <n v="46.8"/>
  </r>
  <r>
    <x v="1051"/>
    <d v="2025-05-24T00:00:00"/>
    <s v="Treatment"/>
    <s v="East"/>
    <s v="Mobile"/>
    <s v="Social"/>
    <s v="Free"/>
    <n v="1"/>
    <n v="1"/>
    <n v="1"/>
    <n v="0"/>
    <n v="0"/>
    <n v="0"/>
    <n v="0"/>
    <m/>
    <n v="97.4"/>
  </r>
  <r>
    <x v="1052"/>
    <d v="2025-02-03T00:00:00"/>
    <s v="Treatment"/>
    <s v="North"/>
    <s v="Desktop"/>
    <s v="Email"/>
    <s v="Free"/>
    <n v="1"/>
    <n v="1"/>
    <n v="1"/>
    <n v="1"/>
    <n v="268.95999999999998"/>
    <n v="0"/>
    <n v="0"/>
    <n v="14"/>
    <n v="81"/>
  </r>
  <r>
    <x v="1053"/>
    <d v="2025-01-27T00:00:00"/>
    <s v="Treatment"/>
    <s v="South"/>
    <s v="Mobile"/>
    <s v="Organic"/>
    <s v="Free"/>
    <n v="1"/>
    <n v="0"/>
    <n v="0"/>
    <n v="0"/>
    <n v="0"/>
    <n v="1"/>
    <n v="0"/>
    <m/>
    <n v="58.9"/>
  </r>
  <r>
    <x v="1054"/>
    <d v="2025-04-17T00:00:00"/>
    <s v="Treatment"/>
    <s v="East"/>
    <s v="Mobile"/>
    <s v="Organic"/>
    <s v="Free"/>
    <n v="1"/>
    <n v="0"/>
    <n v="0"/>
    <n v="0"/>
    <n v="0"/>
    <n v="0"/>
    <n v="0"/>
    <m/>
    <n v="51.9"/>
  </r>
  <r>
    <x v="1055"/>
    <d v="2025-02-06T00:00:00"/>
    <s v="Treatment"/>
    <s v="West"/>
    <s v="Mobile"/>
    <s v="Social"/>
    <s v="Free"/>
    <n v="1"/>
    <n v="1"/>
    <n v="0"/>
    <n v="0"/>
    <n v="0"/>
    <n v="0"/>
    <n v="0"/>
    <m/>
    <n v="61.7"/>
  </r>
  <r>
    <x v="1056"/>
    <d v="2025-04-20T00:00:00"/>
    <s v="Treatment"/>
    <s v="South"/>
    <s v="Mobile"/>
    <s v="Paid Search"/>
    <s v="Free"/>
    <n v="1"/>
    <n v="0"/>
    <n v="0"/>
    <n v="0"/>
    <n v="0"/>
    <n v="0"/>
    <n v="0"/>
    <m/>
    <n v="44.7"/>
  </r>
  <r>
    <x v="1057"/>
    <d v="2025-05-06T00:00:00"/>
    <s v="Treatment"/>
    <s v="North"/>
    <s v="Mobile"/>
    <s v="Paid Search"/>
    <s v="Basic"/>
    <n v="0"/>
    <n v="0"/>
    <n v="0"/>
    <n v="0"/>
    <n v="0"/>
    <n v="0"/>
    <n v="0"/>
    <m/>
    <n v="63.2"/>
  </r>
  <r>
    <x v="1058"/>
    <d v="2025-05-16T00:00:00"/>
    <s v="Treatment"/>
    <s v="South"/>
    <s v="Mobile"/>
    <s v="Organic"/>
    <s v="Free"/>
    <n v="1"/>
    <n v="0"/>
    <n v="0"/>
    <n v="0"/>
    <n v="0"/>
    <n v="0"/>
    <n v="0"/>
    <m/>
    <n v="70.3"/>
  </r>
  <r>
    <x v="1059"/>
    <d v="2025-03-02T00:00:00"/>
    <s v="Treatment"/>
    <s v="South"/>
    <s v="Mobile"/>
    <s v="Paid Search"/>
    <s v="Premium"/>
    <n v="1"/>
    <n v="1"/>
    <n v="0"/>
    <n v="0"/>
    <n v="0"/>
    <n v="1"/>
    <n v="0"/>
    <m/>
    <n v="83.1"/>
  </r>
  <r>
    <x v="1060"/>
    <d v="2025-04-09T00:00:00"/>
    <s v="Treatment"/>
    <s v="West"/>
    <s v="Mobile"/>
    <s v="Social"/>
    <s v="Free"/>
    <n v="0"/>
    <n v="0"/>
    <n v="0"/>
    <n v="0"/>
    <n v="0"/>
    <n v="0"/>
    <n v="0"/>
    <m/>
    <n v="50.3"/>
  </r>
  <r>
    <x v="1061"/>
    <d v="2025-01-26T00:00:00"/>
    <s v="Treatment"/>
    <s v="East"/>
    <s v="Mobile"/>
    <s v="Paid Search"/>
    <s v="Free"/>
    <n v="1"/>
    <n v="1"/>
    <n v="1"/>
    <n v="1"/>
    <n v="437.09"/>
    <n v="2"/>
    <n v="1"/>
    <n v="1"/>
    <n v="58.2"/>
  </r>
  <r>
    <x v="1062"/>
    <d v="2025-02-25T00:00:00"/>
    <s v="Treatment"/>
    <s v="South"/>
    <s v="Mobile"/>
    <s v="Paid Search"/>
    <s v="Basic"/>
    <n v="1"/>
    <n v="1"/>
    <n v="1"/>
    <n v="0"/>
    <n v="0"/>
    <n v="0"/>
    <n v="0"/>
    <m/>
    <n v="53.2"/>
  </r>
  <r>
    <x v="1063"/>
    <d v="2025-01-07T00:00:00"/>
    <s v="Treatment"/>
    <s v="East"/>
    <s v="Mobile"/>
    <s v="Organic"/>
    <s v="Premium"/>
    <n v="0"/>
    <n v="0"/>
    <n v="0"/>
    <n v="0"/>
    <n v="0"/>
    <n v="0"/>
    <n v="0"/>
    <m/>
    <n v="36.4"/>
  </r>
  <r>
    <x v="1064"/>
    <d v="2025-03-08T00:00:00"/>
    <s v="Treatment"/>
    <s v="South"/>
    <s v="Mobile"/>
    <s v="Social"/>
    <s v="Basic"/>
    <n v="1"/>
    <n v="1"/>
    <n v="1"/>
    <n v="0"/>
    <n v="0"/>
    <n v="0"/>
    <n v="0"/>
    <m/>
    <n v="72.7"/>
  </r>
  <r>
    <x v="1065"/>
    <d v="2025-05-22T00:00:00"/>
    <s v="Treatment"/>
    <s v="East"/>
    <s v="Mobile"/>
    <s v="Referral"/>
    <s v="Free"/>
    <n v="1"/>
    <n v="0"/>
    <n v="0"/>
    <n v="0"/>
    <n v="0"/>
    <n v="1"/>
    <n v="0"/>
    <m/>
    <n v="86.7"/>
  </r>
  <r>
    <x v="1066"/>
    <d v="2025-04-18T00:00:00"/>
    <s v="Treatment"/>
    <s v="East"/>
    <s v="Mobile"/>
    <s v="Paid Search"/>
    <s v="Premium"/>
    <n v="1"/>
    <n v="0"/>
    <n v="0"/>
    <n v="0"/>
    <n v="0"/>
    <n v="0"/>
    <n v="0"/>
    <m/>
    <n v="48.2"/>
  </r>
  <r>
    <x v="1067"/>
    <d v="2025-02-24T00:00:00"/>
    <s v="Treatment"/>
    <s v="West"/>
    <s v="Mobile"/>
    <s v="Referral"/>
    <s v="Basic"/>
    <n v="0"/>
    <n v="0"/>
    <n v="0"/>
    <n v="0"/>
    <n v="0"/>
    <n v="1"/>
    <n v="0"/>
    <m/>
    <n v="57.6"/>
  </r>
  <r>
    <x v="1068"/>
    <d v="2025-02-11T00:00:00"/>
    <s v="Treatment"/>
    <s v="North"/>
    <s v="Mobile"/>
    <s v="Organic"/>
    <s v="Free"/>
    <n v="1"/>
    <n v="1"/>
    <n v="1"/>
    <n v="0"/>
    <n v="0"/>
    <n v="0"/>
    <n v="0"/>
    <m/>
    <n v="75.7"/>
  </r>
  <r>
    <x v="1069"/>
    <d v="2025-03-11T00:00:00"/>
    <s v="Treatment"/>
    <s v="West"/>
    <s v="Desktop"/>
    <s v="Paid Search"/>
    <s v="Free"/>
    <n v="1"/>
    <n v="0"/>
    <n v="0"/>
    <n v="0"/>
    <n v="0"/>
    <n v="2"/>
    <n v="0"/>
    <m/>
    <n v="48.6"/>
  </r>
  <r>
    <x v="1070"/>
    <d v="2025-04-11T00:00:00"/>
    <s v="Treatment"/>
    <s v="East"/>
    <s v="Tablet"/>
    <s v="Referral"/>
    <s v="Free"/>
    <n v="1"/>
    <n v="1"/>
    <n v="1"/>
    <n v="0"/>
    <n v="0"/>
    <n v="0"/>
    <n v="0"/>
    <m/>
    <n v="72"/>
  </r>
  <r>
    <x v="1071"/>
    <d v="2025-03-11T00:00:00"/>
    <s v="Treatment"/>
    <s v="North"/>
    <s v="Mobile"/>
    <s v="Organic"/>
    <s v="Free"/>
    <n v="0"/>
    <n v="0"/>
    <n v="0"/>
    <n v="0"/>
    <n v="0"/>
    <n v="0"/>
    <n v="0"/>
    <m/>
    <n v="72.2"/>
  </r>
  <r>
    <x v="1072"/>
    <d v="2025-05-22T00:00:00"/>
    <s v="Treatment"/>
    <s v="East"/>
    <s v="Mobile"/>
    <s v="Referral"/>
    <s v="Free"/>
    <n v="1"/>
    <n v="0"/>
    <n v="0"/>
    <n v="0"/>
    <n v="0"/>
    <n v="1"/>
    <n v="0"/>
    <m/>
    <m/>
  </r>
  <r>
    <x v="1073"/>
    <d v="2025-02-22T00:00:00"/>
    <s v="Treatment"/>
    <s v="South"/>
    <s v="Desktop"/>
    <s v="Organic"/>
    <s v="Free"/>
    <n v="1"/>
    <n v="1"/>
    <n v="1"/>
    <n v="1"/>
    <n v="331.53"/>
    <n v="2"/>
    <n v="0"/>
    <n v="4"/>
    <n v="56.8"/>
  </r>
  <r>
    <x v="1074"/>
    <d v="2025-01-13T00:00:00"/>
    <s v="Treatment"/>
    <s v="East"/>
    <s v="Mobile"/>
    <s v="Paid Search"/>
    <s v="Basic"/>
    <n v="1"/>
    <n v="0"/>
    <n v="0"/>
    <n v="0"/>
    <n v="0"/>
    <n v="0"/>
    <n v="0"/>
    <m/>
    <n v="62.5"/>
  </r>
  <r>
    <x v="1075"/>
    <d v="2025-05-19T00:00:00"/>
    <s v="Treatment"/>
    <s v="South"/>
    <s v="Mobile"/>
    <s v="Organic"/>
    <s v="Free"/>
    <n v="1"/>
    <n v="0"/>
    <n v="0"/>
    <n v="0"/>
    <n v="0"/>
    <n v="0"/>
    <n v="0"/>
    <m/>
    <n v="63.4"/>
  </r>
  <r>
    <x v="1076"/>
    <d v="2025-03-08T00:00:00"/>
    <s v="Treatment"/>
    <s v="North"/>
    <s v="Tablet"/>
    <s v="Organic"/>
    <s v="Basic"/>
    <n v="1"/>
    <n v="1"/>
    <n v="1"/>
    <n v="1"/>
    <n v="774.78"/>
    <n v="0"/>
    <n v="0"/>
    <n v="3"/>
    <n v="46.8"/>
  </r>
  <r>
    <x v="1077"/>
    <d v="2025-04-20T00:00:00"/>
    <s v="Treatment"/>
    <s v="South"/>
    <s v="Mobile"/>
    <s v="Organic"/>
    <s v="Free"/>
    <n v="1"/>
    <n v="1"/>
    <n v="1"/>
    <n v="1"/>
    <n v="422.02"/>
    <n v="0"/>
    <n v="0"/>
    <n v="8"/>
    <n v="86.5"/>
  </r>
  <r>
    <x v="1078"/>
    <d v="2025-05-08T00:00:00"/>
    <s v="Treatment"/>
    <s v="West"/>
    <s v="Mobile"/>
    <s v="Email"/>
    <s v="Basic"/>
    <n v="0"/>
    <n v="0"/>
    <n v="0"/>
    <n v="0"/>
    <n v="0"/>
    <n v="1"/>
    <n v="0"/>
    <m/>
    <n v="75.099999999999994"/>
  </r>
  <r>
    <x v="1079"/>
    <d v="2025-05-10T00:00:00"/>
    <s v="Treatment"/>
    <s v="South"/>
    <s v="Mobile"/>
    <s v="Organic"/>
    <s v="Basic"/>
    <n v="1"/>
    <n v="0"/>
    <n v="0"/>
    <n v="0"/>
    <n v="0"/>
    <n v="0"/>
    <n v="0"/>
    <m/>
    <n v="64.5"/>
  </r>
  <r>
    <x v="1080"/>
    <d v="2025-03-28T00:00:00"/>
    <s v="Treatment"/>
    <s v="East"/>
    <s v="Mobile"/>
    <s v="Organic"/>
    <s v="Free"/>
    <n v="1"/>
    <n v="0"/>
    <n v="0"/>
    <n v="0"/>
    <n v="0"/>
    <n v="0"/>
    <n v="0"/>
    <m/>
    <n v="54.2"/>
  </r>
  <r>
    <x v="1081"/>
    <d v="2025-04-30T00:00:00"/>
    <s v="Treatment"/>
    <s v="East"/>
    <s v="Mobile"/>
    <s v="Paid Search"/>
    <s v="Premium"/>
    <n v="1"/>
    <n v="1"/>
    <n v="1"/>
    <n v="0"/>
    <n v="0"/>
    <n v="0"/>
    <n v="0"/>
    <m/>
    <n v="84.1"/>
  </r>
  <r>
    <x v="1082"/>
    <d v="2025-02-08T00:00:00"/>
    <s v="Treatment"/>
    <s v="North"/>
    <s v="Mobile"/>
    <s v="Organic"/>
    <s v="Basic"/>
    <n v="0"/>
    <n v="0"/>
    <n v="0"/>
    <n v="0"/>
    <n v="0"/>
    <n v="1"/>
    <n v="0"/>
    <m/>
    <n v="49.1"/>
  </r>
  <r>
    <x v="1083"/>
    <d v="2025-03-07T00:00:00"/>
    <s v="Treatment"/>
    <s v="South"/>
    <s v="Mobile"/>
    <s v="Referral"/>
    <s v="Premium"/>
    <n v="0"/>
    <n v="0"/>
    <n v="0"/>
    <n v="0"/>
    <n v="0"/>
    <n v="0"/>
    <n v="0"/>
    <m/>
    <n v="92.7"/>
  </r>
  <r>
    <x v="1084"/>
    <d v="2025-05-21T00:00:00"/>
    <s v="Treatment"/>
    <s v="South"/>
    <s v="Mobile"/>
    <s v="Social"/>
    <s v="Basic"/>
    <n v="1"/>
    <n v="1"/>
    <n v="1"/>
    <n v="0"/>
    <n v="0"/>
    <n v="1"/>
    <n v="0"/>
    <m/>
    <n v="58.7"/>
  </r>
  <r>
    <x v="1085"/>
    <d v="2025-04-12T00:00:00"/>
    <s v="Treatment"/>
    <s v="South"/>
    <s v="Mobile"/>
    <s v="Social"/>
    <s v="Free"/>
    <n v="1"/>
    <n v="1"/>
    <n v="1"/>
    <n v="0"/>
    <n v="0"/>
    <n v="0"/>
    <n v="0"/>
    <m/>
    <n v="59.3"/>
  </r>
  <r>
    <x v="1086"/>
    <d v="2025-02-02T00:00:00"/>
    <s v="Treatment"/>
    <s v="South"/>
    <s v="Mobile"/>
    <s v="Paid Search"/>
    <s v="Free"/>
    <n v="1"/>
    <n v="0"/>
    <n v="0"/>
    <n v="0"/>
    <n v="0"/>
    <n v="0"/>
    <n v="0"/>
    <m/>
    <n v="62"/>
  </r>
  <r>
    <x v="1087"/>
    <d v="2025-04-22T00:00:00"/>
    <s v="Treatment"/>
    <s v="North"/>
    <s v="Tablet"/>
    <s v="Referral"/>
    <s v="Free"/>
    <n v="1"/>
    <n v="1"/>
    <n v="1"/>
    <n v="0"/>
    <n v="0"/>
    <n v="1"/>
    <n v="0"/>
    <m/>
    <n v="60.3"/>
  </r>
  <r>
    <x v="1088"/>
    <d v="2025-02-08T00:00:00"/>
    <s v="Treatment"/>
    <s v="North"/>
    <s v="Mobile"/>
    <s v="Social"/>
    <s v="Basic"/>
    <n v="1"/>
    <n v="0"/>
    <n v="0"/>
    <n v="0"/>
    <n v="0"/>
    <n v="0"/>
    <n v="0"/>
    <m/>
    <n v="70.5"/>
  </r>
  <r>
    <x v="1089"/>
    <d v="2025-01-24T00:00:00"/>
    <s v="Treatment"/>
    <s v="South"/>
    <s v="Desktop"/>
    <s v="Email"/>
    <s v="Free"/>
    <n v="1"/>
    <n v="0"/>
    <n v="0"/>
    <n v="0"/>
    <n v="0"/>
    <n v="0"/>
    <n v="0"/>
    <m/>
    <n v="36.799999999999997"/>
  </r>
  <r>
    <x v="1090"/>
    <d v="2025-05-12T00:00:00"/>
    <s v="Treatment"/>
    <s v="South"/>
    <s v="Mobile"/>
    <s v="Paid Search"/>
    <s v="Basic"/>
    <n v="0"/>
    <n v="0"/>
    <n v="0"/>
    <n v="0"/>
    <n v="0"/>
    <n v="1"/>
    <n v="0"/>
    <m/>
    <n v="73.2"/>
  </r>
  <r>
    <x v="1091"/>
    <d v="2025-03-30T00:00:00"/>
    <s v="Treatment"/>
    <s v="North"/>
    <s v="Mobile"/>
    <s v="Organic"/>
    <s v="Basic"/>
    <n v="0"/>
    <n v="0"/>
    <n v="0"/>
    <n v="0"/>
    <n v="0"/>
    <n v="0"/>
    <n v="0"/>
    <m/>
    <n v="70.099999999999994"/>
  </r>
  <r>
    <x v="1092"/>
    <d v="2025-01-02T00:00:00"/>
    <s v="Treatment"/>
    <s v="South"/>
    <s v="Desktop"/>
    <s v="Paid Search"/>
    <s v="Basic"/>
    <n v="1"/>
    <n v="0"/>
    <n v="0"/>
    <n v="0"/>
    <n v="0"/>
    <n v="0"/>
    <n v="0"/>
    <m/>
    <n v="76.400000000000006"/>
  </r>
  <r>
    <x v="1093"/>
    <d v="2025-03-21T00:00:00"/>
    <s v="Treatment"/>
    <s v="South"/>
    <s v="Tablet"/>
    <s v="Email"/>
    <s v="Basic"/>
    <n v="0"/>
    <n v="0"/>
    <n v="0"/>
    <n v="0"/>
    <n v="0"/>
    <n v="0"/>
    <n v="0"/>
    <m/>
    <n v="46.4"/>
  </r>
  <r>
    <x v="1094"/>
    <d v="2025-01-25T00:00:00"/>
    <s v="Treatment"/>
    <s v="West"/>
    <s v="Mobile"/>
    <s v="Organic"/>
    <s v="Free"/>
    <n v="1"/>
    <n v="1"/>
    <n v="1"/>
    <n v="0"/>
    <n v="0"/>
    <n v="1"/>
    <n v="0"/>
    <m/>
    <n v="81.3"/>
  </r>
  <r>
    <x v="1095"/>
    <d v="2025-01-12T00:00:00"/>
    <s v="Treatment"/>
    <s v="South"/>
    <s v="Tablet"/>
    <s v="Social"/>
    <s v="Free"/>
    <n v="1"/>
    <n v="1"/>
    <n v="1"/>
    <n v="0"/>
    <n v="0"/>
    <n v="0"/>
    <n v="0"/>
    <m/>
    <n v="55.3"/>
  </r>
  <r>
    <x v="1096"/>
    <d v="2025-03-18T00:00:00"/>
    <s v="Treatment"/>
    <s v="East"/>
    <s v="Desktop"/>
    <s v="Referral"/>
    <s v="Free"/>
    <n v="1"/>
    <n v="0"/>
    <n v="0"/>
    <n v="0"/>
    <n v="0"/>
    <n v="0"/>
    <n v="0"/>
    <m/>
    <n v="44.7"/>
  </r>
  <r>
    <x v="1097"/>
    <d v="2025-03-26T00:00:00"/>
    <s v="Treatment"/>
    <s v="East"/>
    <s v="Mobile"/>
    <s v="Paid Search"/>
    <s v="Basic"/>
    <n v="1"/>
    <n v="0"/>
    <n v="0"/>
    <n v="0"/>
    <n v="0"/>
    <n v="0"/>
    <n v="0"/>
    <m/>
    <n v="67.2"/>
  </r>
  <r>
    <x v="1098"/>
    <d v="2025-04-19T00:00:00"/>
    <s v="Treatment"/>
    <s v="North"/>
    <s v="Mobile"/>
    <s v="Paid Search"/>
    <s v="Basic"/>
    <n v="1"/>
    <n v="0"/>
    <n v="0"/>
    <n v="0"/>
    <n v="0"/>
    <n v="0"/>
    <n v="0"/>
    <m/>
    <m/>
  </r>
  <r>
    <x v="1099"/>
    <d v="2025-04-17T00:00:00"/>
    <s v="Treatment"/>
    <s v="East"/>
    <s v="Mobile"/>
    <s v="Organic"/>
    <s v="Premium"/>
    <n v="1"/>
    <n v="1"/>
    <n v="1"/>
    <n v="0"/>
    <n v="0"/>
    <n v="1"/>
    <n v="0"/>
    <m/>
    <n v="70.8"/>
  </r>
  <r>
    <x v="1100"/>
    <d v="2025-05-26T00:00:00"/>
    <s v="Treatment"/>
    <s v="South"/>
    <s v="Mobile"/>
    <s v="Paid Search"/>
    <s v="Free"/>
    <n v="1"/>
    <n v="0"/>
    <n v="0"/>
    <n v="0"/>
    <n v="0"/>
    <n v="0"/>
    <n v="0"/>
    <m/>
    <n v="71.3"/>
  </r>
  <r>
    <x v="1101"/>
    <d v="2025-04-14T00:00:00"/>
    <s v="Treatment"/>
    <s v="North"/>
    <s v="Mobile"/>
    <s v="Social"/>
    <s v="Premium"/>
    <n v="1"/>
    <n v="1"/>
    <n v="1"/>
    <n v="0"/>
    <n v="0"/>
    <n v="0"/>
    <n v="0"/>
    <m/>
    <n v="69.400000000000006"/>
  </r>
  <r>
    <x v="1102"/>
    <d v="2025-01-23T00:00:00"/>
    <s v="Treatment"/>
    <s v="South"/>
    <s v="Mobile"/>
    <s v="Organic"/>
    <s v="Basic"/>
    <n v="1"/>
    <n v="1"/>
    <n v="0"/>
    <n v="0"/>
    <n v="0"/>
    <n v="0"/>
    <n v="0"/>
    <m/>
    <n v="58.9"/>
  </r>
  <r>
    <x v="1103"/>
    <d v="2025-01-06T00:00:00"/>
    <s v="Treatment"/>
    <s v="East"/>
    <s v="Mobile"/>
    <s v="Referral"/>
    <s v="Free"/>
    <n v="0"/>
    <n v="0"/>
    <n v="0"/>
    <n v="0"/>
    <n v="0"/>
    <n v="0"/>
    <n v="0"/>
    <m/>
    <n v="70.7"/>
  </r>
  <r>
    <x v="1104"/>
    <d v="2025-05-31T00:00:00"/>
    <s v="Treatment"/>
    <s v="West"/>
    <s v="Mobile"/>
    <s v="Email"/>
    <s v="Basic"/>
    <n v="1"/>
    <n v="0"/>
    <n v="0"/>
    <n v="0"/>
    <n v="0"/>
    <n v="0"/>
    <n v="0"/>
    <m/>
    <n v="60.5"/>
  </r>
  <r>
    <x v="1105"/>
    <d v="2025-05-19T00:00:00"/>
    <s v="Treatment"/>
    <s v="North"/>
    <s v="Mobile"/>
    <s v="Organic"/>
    <s v="Basic"/>
    <n v="1"/>
    <n v="1"/>
    <n v="1"/>
    <n v="0"/>
    <n v="0"/>
    <n v="0"/>
    <n v="0"/>
    <m/>
    <n v="77.3"/>
  </r>
  <r>
    <x v="1106"/>
    <d v="2025-02-25T00:00:00"/>
    <s v="Treatment"/>
    <s v="North"/>
    <s v="Mobile"/>
    <s v="Organic"/>
    <s v="Free"/>
    <n v="0"/>
    <n v="0"/>
    <n v="0"/>
    <n v="0"/>
    <n v="0"/>
    <n v="1"/>
    <n v="0"/>
    <m/>
    <n v="39.5"/>
  </r>
  <r>
    <x v="1107"/>
    <d v="2025-01-10T00:00:00"/>
    <s v="Treatment"/>
    <s v="South"/>
    <s v="Tablet"/>
    <s v="Organic"/>
    <s v="Basic"/>
    <n v="1"/>
    <n v="0"/>
    <n v="0"/>
    <n v="0"/>
    <n v="0"/>
    <n v="0"/>
    <n v="0"/>
    <m/>
    <n v="68.099999999999994"/>
  </r>
  <r>
    <x v="1108"/>
    <d v="2025-05-13T00:00:00"/>
    <s v="Treatment"/>
    <s v="North"/>
    <s v="Tablet"/>
    <s v="Paid Search"/>
    <s v="Free"/>
    <n v="0"/>
    <n v="0"/>
    <n v="0"/>
    <n v="0"/>
    <n v="0"/>
    <n v="0"/>
    <n v="0"/>
    <m/>
    <n v="80.3"/>
  </r>
  <r>
    <x v="1109"/>
    <d v="2025-04-27T00:00:00"/>
    <s v="Treatment"/>
    <s v="West"/>
    <s v="Desktop"/>
    <s v="Organic"/>
    <s v="Premium"/>
    <n v="1"/>
    <n v="0"/>
    <n v="0"/>
    <n v="0"/>
    <n v="0"/>
    <n v="0"/>
    <n v="0"/>
    <m/>
    <n v="77.7"/>
  </r>
  <r>
    <x v="1110"/>
    <d v="2025-04-03T00:00:00"/>
    <s v="Treatment"/>
    <s v="South"/>
    <s v="Mobile"/>
    <s v="Organic"/>
    <s v="Free"/>
    <n v="1"/>
    <n v="0"/>
    <n v="0"/>
    <n v="0"/>
    <n v="0"/>
    <n v="1"/>
    <n v="0"/>
    <m/>
    <n v="66.2"/>
  </r>
  <r>
    <x v="1111"/>
    <d v="2025-03-26T00:00:00"/>
    <s v="Treatment"/>
    <s v="South"/>
    <s v="Mobile"/>
    <s v="Organic"/>
    <s v="Free"/>
    <n v="1"/>
    <n v="1"/>
    <n v="1"/>
    <n v="0"/>
    <n v="0"/>
    <n v="1"/>
    <n v="0"/>
    <m/>
    <n v="43.9"/>
  </r>
  <r>
    <x v="1112"/>
    <d v="2025-01-31T00:00:00"/>
    <s v="Treatment"/>
    <s v="South"/>
    <s v="Mobile"/>
    <s v="Organic"/>
    <s v="Basic"/>
    <n v="1"/>
    <n v="1"/>
    <n v="1"/>
    <n v="0"/>
    <n v="0"/>
    <n v="2"/>
    <n v="0"/>
    <m/>
    <n v="59.1"/>
  </r>
  <r>
    <x v="1113"/>
    <d v="2025-01-25T00:00:00"/>
    <s v="Treatment"/>
    <s v="South"/>
    <s v="Mobile"/>
    <s v="Social"/>
    <s v="Free"/>
    <n v="1"/>
    <n v="1"/>
    <n v="1"/>
    <n v="1"/>
    <n v="416.94"/>
    <n v="1"/>
    <n v="0"/>
    <n v="11"/>
    <n v="67"/>
  </r>
  <r>
    <x v="1114"/>
    <d v="2025-02-06T00:00:00"/>
    <s v="Treatment"/>
    <s v="West"/>
    <s v="Mobile"/>
    <s v="Referral"/>
    <s v="Basic"/>
    <n v="1"/>
    <n v="0"/>
    <n v="0"/>
    <n v="0"/>
    <n v="0"/>
    <n v="0"/>
    <n v="0"/>
    <m/>
    <n v="47.9"/>
  </r>
  <r>
    <x v="1115"/>
    <d v="2025-03-10T00:00:00"/>
    <s v="Treatment"/>
    <s v="East"/>
    <s v="Mobile"/>
    <s v="Paid Search"/>
    <s v="Free"/>
    <n v="1"/>
    <n v="1"/>
    <n v="0"/>
    <n v="0"/>
    <n v="0"/>
    <n v="0"/>
    <n v="0"/>
    <m/>
    <n v="41.5"/>
  </r>
  <r>
    <x v="1116"/>
    <d v="2025-01-26T00:00:00"/>
    <s v="Treatment"/>
    <s v="West"/>
    <s v="Mobile"/>
    <s v="Organic"/>
    <s v="Basic"/>
    <n v="1"/>
    <n v="1"/>
    <n v="1"/>
    <n v="0"/>
    <n v="0"/>
    <n v="3"/>
    <n v="0"/>
    <m/>
    <n v="30.6"/>
  </r>
  <r>
    <x v="1117"/>
    <d v="2025-01-01T00:00:00"/>
    <s v="Treatment"/>
    <s v="East"/>
    <s v="Mobile"/>
    <s v="Paid Search"/>
    <s v="Free"/>
    <n v="1"/>
    <n v="1"/>
    <n v="0"/>
    <n v="0"/>
    <n v="0"/>
    <n v="0"/>
    <n v="0"/>
    <m/>
    <n v="91.5"/>
  </r>
  <r>
    <x v="1118"/>
    <d v="2025-04-28T00:00:00"/>
    <s v="Treatment"/>
    <s v="North"/>
    <s v="Desktop"/>
    <s v="Social"/>
    <s v="Basic"/>
    <n v="1"/>
    <n v="0"/>
    <n v="0"/>
    <n v="0"/>
    <n v="0"/>
    <n v="0"/>
    <n v="0"/>
    <m/>
    <n v="80.8"/>
  </r>
  <r>
    <x v="1119"/>
    <d v="2025-04-04T00:00:00"/>
    <s v="Treatment"/>
    <s v="North"/>
    <s v="Mobile"/>
    <s v="Organic"/>
    <s v="Premium"/>
    <n v="1"/>
    <n v="0"/>
    <n v="0"/>
    <n v="0"/>
    <n v="0"/>
    <n v="0"/>
    <n v="0"/>
    <m/>
    <n v="68.099999999999994"/>
  </r>
  <r>
    <x v="1120"/>
    <d v="2025-03-02T00:00:00"/>
    <s v="Treatment"/>
    <s v="East"/>
    <s v="Mobile"/>
    <s v="Paid Search"/>
    <s v="Free"/>
    <n v="1"/>
    <n v="0"/>
    <n v="0"/>
    <n v="0"/>
    <n v="0"/>
    <n v="0"/>
    <n v="0"/>
    <m/>
    <n v="80.3"/>
  </r>
  <r>
    <x v="1121"/>
    <d v="2025-03-19T00:00:00"/>
    <s v="Treatment"/>
    <s v="South"/>
    <s v="Tablet"/>
    <s v="Organic"/>
    <s v="Basic"/>
    <n v="1"/>
    <n v="0"/>
    <n v="0"/>
    <n v="0"/>
    <n v="0"/>
    <n v="0"/>
    <n v="0"/>
    <m/>
    <n v="44.4"/>
  </r>
  <r>
    <x v="1122"/>
    <d v="2025-01-20T00:00:00"/>
    <s v="Treatment"/>
    <s v="South"/>
    <s v="Desktop"/>
    <s v="Organic"/>
    <s v="Basic"/>
    <n v="0"/>
    <n v="0"/>
    <n v="0"/>
    <n v="0"/>
    <n v="0"/>
    <n v="0"/>
    <n v="0"/>
    <m/>
    <n v="51.9"/>
  </r>
  <r>
    <x v="1123"/>
    <d v="2025-04-03T00:00:00"/>
    <s v="Treatment"/>
    <s v="East"/>
    <s v="Mobile"/>
    <s v="Paid Search"/>
    <s v="Free"/>
    <n v="1"/>
    <n v="1"/>
    <n v="0"/>
    <n v="0"/>
    <n v="0"/>
    <n v="0"/>
    <n v="0"/>
    <m/>
    <n v="49.8"/>
  </r>
  <r>
    <x v="1124"/>
    <d v="2025-01-11T00:00:00"/>
    <s v="Treatment"/>
    <s v="East"/>
    <s v="Desktop"/>
    <s v="Social"/>
    <s v="Free"/>
    <n v="1"/>
    <n v="1"/>
    <n v="1"/>
    <n v="0"/>
    <n v="0"/>
    <n v="3"/>
    <n v="0"/>
    <m/>
    <n v="62.1"/>
  </r>
  <r>
    <x v="1125"/>
    <d v="2025-02-02T00:00:00"/>
    <s v="Treatment"/>
    <s v="West"/>
    <s v="Desktop"/>
    <s v="Social"/>
    <s v="Basic"/>
    <n v="1"/>
    <n v="0"/>
    <n v="0"/>
    <n v="0"/>
    <n v="0"/>
    <n v="0"/>
    <n v="0"/>
    <m/>
    <n v="91.3"/>
  </r>
  <r>
    <x v="1126"/>
    <d v="2025-04-01T00:00:00"/>
    <s v="Treatment"/>
    <s v="South"/>
    <s v="Mobile"/>
    <s v="Organic"/>
    <s v="Basic"/>
    <n v="1"/>
    <n v="0"/>
    <n v="0"/>
    <n v="0"/>
    <n v="0"/>
    <n v="0"/>
    <n v="0"/>
    <m/>
    <n v="66.400000000000006"/>
  </r>
  <r>
    <x v="1127"/>
    <d v="2025-05-22T00:00:00"/>
    <s v="Treatment"/>
    <s v="East"/>
    <s v="Mobile"/>
    <s v="Organic"/>
    <s v="Basic"/>
    <n v="1"/>
    <n v="0"/>
    <n v="0"/>
    <n v="0"/>
    <n v="0"/>
    <n v="0"/>
    <n v="0"/>
    <m/>
    <n v="41.5"/>
  </r>
  <r>
    <x v="1128"/>
    <d v="2025-02-20T00:00:00"/>
    <s v="Treatment"/>
    <s v="West"/>
    <s v="Mobile"/>
    <s v="Organic"/>
    <s v="Basic"/>
    <n v="0"/>
    <n v="0"/>
    <n v="0"/>
    <n v="0"/>
    <n v="0"/>
    <n v="0"/>
    <n v="0"/>
    <m/>
    <n v="77.099999999999994"/>
  </r>
  <r>
    <x v="1129"/>
    <d v="2025-03-21T00:00:00"/>
    <s v="Treatment"/>
    <s v="West"/>
    <s v="Mobile"/>
    <s v="Organic"/>
    <s v="Free"/>
    <n v="1"/>
    <n v="0"/>
    <n v="0"/>
    <n v="0"/>
    <n v="0"/>
    <n v="0"/>
    <n v="0"/>
    <m/>
    <n v="63.2"/>
  </r>
  <r>
    <x v="1130"/>
    <d v="2025-05-01T00:00:00"/>
    <s v="Treatment"/>
    <s v="West"/>
    <s v="Desktop"/>
    <s v="Referral"/>
    <s v="Free"/>
    <n v="1"/>
    <n v="1"/>
    <n v="1"/>
    <n v="0"/>
    <n v="0"/>
    <n v="3"/>
    <n v="0"/>
    <m/>
    <n v="75.7"/>
  </r>
  <r>
    <x v="1131"/>
    <d v="2025-01-06T00:00:00"/>
    <s v="Treatment"/>
    <s v="West"/>
    <s v="Mobile"/>
    <s v="Paid Search"/>
    <s v="Basic"/>
    <n v="0"/>
    <n v="0"/>
    <n v="0"/>
    <n v="0"/>
    <n v="0"/>
    <n v="0"/>
    <n v="0"/>
    <m/>
    <n v="62.9"/>
  </r>
  <r>
    <x v="1132"/>
    <d v="2025-04-12T00:00:00"/>
    <s v="Treatment"/>
    <s v="North"/>
    <s v="Desktop"/>
    <s v="Paid Search"/>
    <s v="Premium"/>
    <n v="1"/>
    <n v="0"/>
    <n v="0"/>
    <n v="0"/>
    <n v="0"/>
    <n v="3"/>
    <n v="0"/>
    <m/>
    <n v="64.599999999999994"/>
  </r>
  <r>
    <x v="1133"/>
    <d v="2025-04-18T00:00:00"/>
    <s v="Treatment"/>
    <s v="North"/>
    <s v="Mobile"/>
    <m/>
    <s v="Basic"/>
    <n v="1"/>
    <n v="0"/>
    <n v="0"/>
    <n v="0"/>
    <n v="0"/>
    <n v="0"/>
    <n v="0"/>
    <m/>
    <n v="76.599999999999994"/>
  </r>
  <r>
    <x v="1134"/>
    <d v="2025-03-24T00:00:00"/>
    <s v="Treatment"/>
    <s v="East"/>
    <s v="Mobile"/>
    <s v="Social"/>
    <s v="Basic"/>
    <n v="1"/>
    <n v="0"/>
    <n v="0"/>
    <n v="0"/>
    <n v="0"/>
    <n v="0"/>
    <n v="0"/>
    <m/>
    <n v="74.8"/>
  </r>
  <r>
    <x v="1135"/>
    <d v="2025-03-18T00:00:00"/>
    <s v="Treatment"/>
    <s v="East"/>
    <s v="Desktop"/>
    <s v="Email"/>
    <s v="Premium"/>
    <n v="1"/>
    <n v="0"/>
    <n v="0"/>
    <n v="0"/>
    <n v="0"/>
    <n v="2"/>
    <n v="0"/>
    <m/>
    <n v="38.1"/>
  </r>
  <r>
    <x v="1136"/>
    <d v="2025-04-30T00:00:00"/>
    <s v="Treatment"/>
    <s v="South"/>
    <s v="Tablet"/>
    <s v="Paid Search"/>
    <s v="Basic"/>
    <n v="1"/>
    <n v="1"/>
    <n v="0"/>
    <n v="0"/>
    <n v="0"/>
    <n v="0"/>
    <n v="0"/>
    <m/>
    <n v="60.2"/>
  </r>
  <r>
    <x v="1137"/>
    <d v="2025-01-25T00:00:00"/>
    <s v="Treatment"/>
    <s v="West"/>
    <s v="Mobile"/>
    <s v="Email"/>
    <s v="Free"/>
    <n v="1"/>
    <n v="1"/>
    <n v="0"/>
    <n v="0"/>
    <n v="0"/>
    <n v="0"/>
    <n v="0"/>
    <m/>
    <n v="73.5"/>
  </r>
  <r>
    <x v="1138"/>
    <d v="2025-04-10T00:00:00"/>
    <s v="Treatment"/>
    <s v="South"/>
    <s v="Mobile"/>
    <s v="Organic"/>
    <s v="Free"/>
    <n v="1"/>
    <n v="0"/>
    <n v="0"/>
    <n v="0"/>
    <n v="0"/>
    <n v="0"/>
    <n v="0"/>
    <m/>
    <n v="70.900000000000006"/>
  </r>
  <r>
    <x v="1139"/>
    <d v="2025-01-10T00:00:00"/>
    <s v="Treatment"/>
    <s v="West"/>
    <s v="Mobile"/>
    <s v="Social"/>
    <s v="Free"/>
    <n v="1"/>
    <n v="0"/>
    <n v="0"/>
    <n v="0"/>
    <n v="0"/>
    <n v="0"/>
    <n v="0"/>
    <m/>
    <n v="63.7"/>
  </r>
  <r>
    <x v="1140"/>
    <d v="2025-02-11T00:00:00"/>
    <s v="Treatment"/>
    <s v="South"/>
    <s v="Mobile"/>
    <s v="Paid Search"/>
    <s v="Free"/>
    <n v="1"/>
    <n v="0"/>
    <n v="0"/>
    <n v="0"/>
    <n v="0"/>
    <n v="0"/>
    <n v="0"/>
    <m/>
    <n v="86.5"/>
  </r>
  <r>
    <x v="1141"/>
    <d v="2025-05-01T00:00:00"/>
    <s v="Treatment"/>
    <s v="East"/>
    <s v="Mobile"/>
    <s v="Social"/>
    <s v="Basic"/>
    <n v="1"/>
    <n v="1"/>
    <n v="1"/>
    <n v="1"/>
    <n v="921.72"/>
    <n v="3"/>
    <n v="0"/>
    <n v="7"/>
    <n v="74.599999999999994"/>
  </r>
  <r>
    <x v="1142"/>
    <d v="2025-01-18T00:00:00"/>
    <s v="Treatment"/>
    <s v="East"/>
    <s v="Mobile"/>
    <s v="Organic"/>
    <s v="Free"/>
    <n v="1"/>
    <n v="0"/>
    <n v="0"/>
    <n v="0"/>
    <n v="0"/>
    <n v="0"/>
    <n v="0"/>
    <m/>
    <n v="46.6"/>
  </r>
  <r>
    <x v="1143"/>
    <d v="2025-01-02T00:00:00"/>
    <s v="Treatment"/>
    <s v="North"/>
    <s v="Mobile"/>
    <s v="Paid Search"/>
    <s v="Free"/>
    <n v="0"/>
    <n v="0"/>
    <n v="0"/>
    <n v="0"/>
    <n v="0"/>
    <n v="0"/>
    <n v="0"/>
    <m/>
    <n v="61.2"/>
  </r>
  <r>
    <x v="1144"/>
    <d v="2025-05-11T00:00:00"/>
    <s v="Treatment"/>
    <s v="West"/>
    <s v="Mobile"/>
    <s v="Organic"/>
    <s v="Free"/>
    <n v="1"/>
    <n v="1"/>
    <n v="1"/>
    <n v="1"/>
    <n v="290.39"/>
    <n v="0"/>
    <n v="0"/>
    <n v="4"/>
    <n v="54.4"/>
  </r>
  <r>
    <x v="1145"/>
    <d v="2025-03-22T00:00:00"/>
    <s v="Treatment"/>
    <s v="North"/>
    <s v="Mobile"/>
    <s v="Referral"/>
    <s v="Free"/>
    <n v="1"/>
    <n v="1"/>
    <n v="1"/>
    <n v="0"/>
    <n v="0"/>
    <n v="0"/>
    <n v="0"/>
    <m/>
    <n v="72"/>
  </r>
  <r>
    <x v="1146"/>
    <d v="2025-05-02T00:00:00"/>
    <s v="Treatment"/>
    <s v="South"/>
    <s v="Mobile"/>
    <s v="Social"/>
    <s v="Premium"/>
    <n v="1"/>
    <n v="1"/>
    <n v="1"/>
    <n v="1"/>
    <n v="1858.85"/>
    <n v="0"/>
    <n v="0"/>
    <n v="8"/>
    <n v="88.6"/>
  </r>
  <r>
    <x v="1147"/>
    <d v="2025-05-26T00:00:00"/>
    <s v="Treatment"/>
    <s v="East"/>
    <s v="Desktop"/>
    <m/>
    <s v="Basic"/>
    <n v="1"/>
    <n v="0"/>
    <n v="0"/>
    <n v="0"/>
    <n v="0"/>
    <n v="0"/>
    <n v="0"/>
    <m/>
    <n v="77.599999999999994"/>
  </r>
  <r>
    <x v="1148"/>
    <d v="2025-03-13T00:00:00"/>
    <s v="Treatment"/>
    <s v="South"/>
    <s v="Mobile"/>
    <s v="Organic"/>
    <s v="Basic"/>
    <n v="1"/>
    <n v="0"/>
    <n v="0"/>
    <n v="0"/>
    <n v="0"/>
    <n v="1"/>
    <n v="0"/>
    <m/>
    <n v="44.3"/>
  </r>
  <r>
    <x v="1149"/>
    <d v="2025-05-17T00:00:00"/>
    <s v="Treatment"/>
    <s v="South"/>
    <s v="Desktop"/>
    <s v="Paid Search"/>
    <s v="Free"/>
    <n v="1"/>
    <n v="1"/>
    <n v="0"/>
    <n v="0"/>
    <n v="0"/>
    <n v="0"/>
    <n v="0"/>
    <m/>
    <n v="49"/>
  </r>
  <r>
    <x v="1150"/>
    <d v="2025-03-13T00:00:00"/>
    <s v="Treatment"/>
    <s v="North"/>
    <s v="Desktop"/>
    <s v="Referral"/>
    <s v="Premium"/>
    <n v="1"/>
    <n v="0"/>
    <n v="0"/>
    <n v="0"/>
    <n v="0"/>
    <n v="0"/>
    <n v="0"/>
    <m/>
    <n v="53.9"/>
  </r>
  <r>
    <x v="1151"/>
    <d v="2025-02-11T00:00:00"/>
    <s v="Treatment"/>
    <s v="East"/>
    <s v="Desktop"/>
    <s v="Organic"/>
    <s v="Basic"/>
    <n v="1"/>
    <n v="0"/>
    <n v="0"/>
    <n v="0"/>
    <n v="0"/>
    <n v="1"/>
    <n v="0"/>
    <m/>
    <n v="69"/>
  </r>
  <r>
    <x v="1152"/>
    <d v="2025-03-01T00:00:00"/>
    <s v="Treatment"/>
    <s v="West"/>
    <s v="Mobile"/>
    <s v="Social"/>
    <s v="Free"/>
    <n v="0"/>
    <n v="0"/>
    <n v="0"/>
    <n v="0"/>
    <n v="0"/>
    <n v="0"/>
    <n v="0"/>
    <m/>
    <n v="37.4"/>
  </r>
  <r>
    <x v="1153"/>
    <d v="2025-04-15T00:00:00"/>
    <s v="Treatment"/>
    <s v="West"/>
    <s v="Mobile"/>
    <s v="Organic"/>
    <s v="Basic"/>
    <n v="0"/>
    <n v="0"/>
    <n v="0"/>
    <n v="0"/>
    <n v="0"/>
    <n v="0"/>
    <n v="0"/>
    <m/>
    <n v="59"/>
  </r>
  <r>
    <x v="1154"/>
    <d v="2025-02-02T00:00:00"/>
    <s v="Treatment"/>
    <s v="East"/>
    <s v="Mobile"/>
    <s v="Organic"/>
    <s v="Premium"/>
    <n v="1"/>
    <n v="0"/>
    <n v="0"/>
    <n v="0"/>
    <n v="0"/>
    <n v="0"/>
    <n v="0"/>
    <m/>
    <n v="60.8"/>
  </r>
  <r>
    <x v="1155"/>
    <d v="2025-05-19T00:00:00"/>
    <s v="Treatment"/>
    <s v="South"/>
    <s v="Mobile"/>
    <s v="Email"/>
    <s v="Free"/>
    <n v="1"/>
    <n v="0"/>
    <n v="0"/>
    <n v="0"/>
    <n v="0"/>
    <n v="0"/>
    <n v="0"/>
    <m/>
    <n v="57.5"/>
  </r>
  <r>
    <x v="1156"/>
    <d v="2025-01-05T00:00:00"/>
    <s v="Treatment"/>
    <s v="West"/>
    <s v="Mobile"/>
    <s v="Referral"/>
    <s v="Free"/>
    <n v="0"/>
    <n v="0"/>
    <n v="0"/>
    <n v="0"/>
    <n v="0"/>
    <n v="0"/>
    <n v="0"/>
    <m/>
    <n v="84.2"/>
  </r>
  <r>
    <x v="1157"/>
    <d v="2025-03-08T00:00:00"/>
    <s v="Treatment"/>
    <s v="South"/>
    <s v="Mobile"/>
    <s v="Paid Search"/>
    <s v="Free"/>
    <n v="1"/>
    <n v="1"/>
    <n v="0"/>
    <n v="0"/>
    <n v="0"/>
    <n v="0"/>
    <n v="0"/>
    <m/>
    <n v="27.4"/>
  </r>
  <r>
    <x v="1158"/>
    <d v="2025-03-12T00:00:00"/>
    <s v="Treatment"/>
    <s v="West"/>
    <s v="Mobile"/>
    <s v="Email"/>
    <s v="Basic"/>
    <n v="1"/>
    <n v="0"/>
    <n v="0"/>
    <n v="0"/>
    <n v="0"/>
    <n v="1"/>
    <n v="0"/>
    <m/>
    <n v="67.599999999999994"/>
  </r>
  <r>
    <x v="1159"/>
    <d v="2025-01-24T00:00:00"/>
    <s v="Treatment"/>
    <s v="West"/>
    <s v="Mobile"/>
    <s v="Organic"/>
    <s v="Free"/>
    <n v="0"/>
    <n v="0"/>
    <n v="0"/>
    <n v="0"/>
    <n v="0"/>
    <n v="0"/>
    <n v="0"/>
    <m/>
    <n v="68.400000000000006"/>
  </r>
  <r>
    <x v="1160"/>
    <d v="2025-05-22T00:00:00"/>
    <s v="Treatment"/>
    <s v="South"/>
    <s v="Mobile"/>
    <s v="Paid Search"/>
    <s v="Basic"/>
    <n v="1"/>
    <n v="1"/>
    <n v="1"/>
    <n v="0"/>
    <n v="0"/>
    <n v="0"/>
    <n v="0"/>
    <m/>
    <n v="66.5"/>
  </r>
  <r>
    <x v="1161"/>
    <d v="2025-03-27T00:00:00"/>
    <s v="Treatment"/>
    <s v="South"/>
    <s v="Mobile"/>
    <s v="Paid Search"/>
    <s v="Free"/>
    <n v="1"/>
    <n v="0"/>
    <n v="0"/>
    <n v="0"/>
    <n v="0"/>
    <n v="0"/>
    <n v="0"/>
    <m/>
    <n v="38.200000000000003"/>
  </r>
  <r>
    <x v="1162"/>
    <d v="2025-01-02T00:00:00"/>
    <s v="Treatment"/>
    <s v="West"/>
    <s v="Mobile"/>
    <s v="Social"/>
    <s v="Free"/>
    <n v="0"/>
    <n v="0"/>
    <n v="0"/>
    <n v="0"/>
    <n v="0"/>
    <n v="1"/>
    <n v="0"/>
    <m/>
    <n v="66.7"/>
  </r>
  <r>
    <x v="1163"/>
    <d v="2025-02-24T00:00:00"/>
    <s v="Treatment"/>
    <s v="North"/>
    <s v="Mobile"/>
    <s v="Paid Search"/>
    <s v="Free"/>
    <n v="0"/>
    <n v="0"/>
    <n v="0"/>
    <n v="0"/>
    <n v="0"/>
    <n v="1"/>
    <n v="0"/>
    <m/>
    <n v="73.7"/>
  </r>
  <r>
    <x v="1164"/>
    <d v="2025-03-01T00:00:00"/>
    <s v="Treatment"/>
    <s v="West"/>
    <s v="Desktop"/>
    <s v="Organic"/>
    <s v="Basic"/>
    <n v="1"/>
    <n v="1"/>
    <n v="1"/>
    <n v="0"/>
    <n v="0"/>
    <n v="0"/>
    <n v="0"/>
    <m/>
    <n v="63.9"/>
  </r>
  <r>
    <x v="1165"/>
    <d v="2025-03-26T00:00:00"/>
    <s v="Treatment"/>
    <s v="South"/>
    <s v="Tablet"/>
    <s v="Organic"/>
    <s v="Basic"/>
    <n v="1"/>
    <n v="0"/>
    <n v="0"/>
    <n v="0"/>
    <n v="0"/>
    <n v="1"/>
    <n v="0"/>
    <m/>
    <n v="82.6"/>
  </r>
  <r>
    <x v="1166"/>
    <d v="2025-05-25T00:00:00"/>
    <s v="Treatment"/>
    <s v="East"/>
    <s v="Mobile"/>
    <s v="Paid Search"/>
    <s v="Free"/>
    <n v="0"/>
    <n v="0"/>
    <n v="0"/>
    <n v="0"/>
    <n v="0"/>
    <n v="1"/>
    <n v="0"/>
    <m/>
    <n v="58.3"/>
  </r>
  <r>
    <x v="1167"/>
    <d v="2025-02-25T00:00:00"/>
    <s v="Treatment"/>
    <s v="West"/>
    <s v="Mobile"/>
    <s v="Referral"/>
    <s v="Premium"/>
    <n v="1"/>
    <n v="1"/>
    <n v="1"/>
    <n v="1"/>
    <n v="1547.06"/>
    <n v="0"/>
    <n v="1"/>
    <n v="2"/>
    <n v="72.900000000000006"/>
  </r>
  <r>
    <x v="1168"/>
    <d v="2025-03-23T00:00:00"/>
    <s v="Treatment"/>
    <s v="South"/>
    <s v="Mobile"/>
    <s v="Social"/>
    <s v="Free"/>
    <n v="1"/>
    <n v="1"/>
    <n v="1"/>
    <n v="0"/>
    <n v="0"/>
    <n v="2"/>
    <n v="0"/>
    <m/>
    <n v="53.5"/>
  </r>
  <r>
    <x v="1169"/>
    <d v="2025-04-21T00:00:00"/>
    <s v="Treatment"/>
    <s v="West"/>
    <s v="Mobile"/>
    <s v="Referral"/>
    <s v="Free"/>
    <n v="1"/>
    <n v="0"/>
    <n v="0"/>
    <n v="0"/>
    <n v="0"/>
    <n v="0"/>
    <n v="0"/>
    <m/>
    <n v="54.8"/>
  </r>
  <r>
    <x v="1170"/>
    <d v="2025-05-21T00:00:00"/>
    <s v="Treatment"/>
    <s v="North"/>
    <s v="Mobile"/>
    <s v="Organic"/>
    <s v="Premium"/>
    <n v="1"/>
    <n v="0"/>
    <n v="0"/>
    <n v="0"/>
    <n v="0"/>
    <n v="0"/>
    <n v="0"/>
    <m/>
    <n v="69.5"/>
  </r>
  <r>
    <x v="1171"/>
    <d v="2025-04-25T00:00:00"/>
    <s v="Treatment"/>
    <s v="North"/>
    <s v="Desktop"/>
    <s v="Social"/>
    <s v="Free"/>
    <n v="1"/>
    <n v="0"/>
    <n v="0"/>
    <n v="0"/>
    <n v="0"/>
    <n v="1"/>
    <n v="0"/>
    <m/>
    <n v="71.3"/>
  </r>
  <r>
    <x v="1172"/>
    <d v="2025-05-23T00:00:00"/>
    <s v="Treatment"/>
    <s v="West"/>
    <s v="Mobile"/>
    <s v="Referral"/>
    <s v="Basic"/>
    <n v="1"/>
    <n v="0"/>
    <n v="0"/>
    <n v="0"/>
    <n v="0"/>
    <n v="1"/>
    <n v="0"/>
    <m/>
    <n v="57.5"/>
  </r>
  <r>
    <x v="1173"/>
    <d v="2025-03-18T00:00:00"/>
    <s v="Treatment"/>
    <s v="South"/>
    <s v="Mobile"/>
    <s v="Email"/>
    <s v="Free"/>
    <n v="1"/>
    <n v="0"/>
    <n v="0"/>
    <n v="0"/>
    <n v="0"/>
    <n v="4"/>
    <n v="0"/>
    <m/>
    <n v="50.9"/>
  </r>
  <r>
    <x v="1174"/>
    <d v="2025-01-03T00:00:00"/>
    <s v="Treatment"/>
    <s v="South"/>
    <s v="Tablet"/>
    <s v="Organic"/>
    <s v="Free"/>
    <n v="1"/>
    <n v="1"/>
    <n v="1"/>
    <n v="0"/>
    <n v="0"/>
    <n v="0"/>
    <n v="0"/>
    <m/>
    <n v="69.3"/>
  </r>
  <r>
    <x v="1175"/>
    <d v="2025-02-08T00:00:00"/>
    <s v="Treatment"/>
    <s v="West"/>
    <s v="Desktop"/>
    <s v="Organic"/>
    <s v="Free"/>
    <n v="1"/>
    <n v="0"/>
    <n v="0"/>
    <n v="0"/>
    <n v="0"/>
    <n v="0"/>
    <n v="0"/>
    <m/>
    <n v="50.1"/>
  </r>
  <r>
    <x v="1176"/>
    <d v="2025-02-04T00:00:00"/>
    <s v="Treatment"/>
    <s v="East"/>
    <m/>
    <s v="Paid Search"/>
    <s v="Basic"/>
    <n v="0"/>
    <n v="0"/>
    <n v="0"/>
    <n v="0"/>
    <n v="0"/>
    <n v="0"/>
    <n v="0"/>
    <m/>
    <n v="69.7"/>
  </r>
  <r>
    <x v="1177"/>
    <d v="2025-01-16T00:00:00"/>
    <s v="Treatment"/>
    <s v="North"/>
    <s v="Mobile"/>
    <s v="Paid Search"/>
    <s v="Free"/>
    <n v="0"/>
    <n v="0"/>
    <n v="0"/>
    <n v="0"/>
    <n v="0"/>
    <n v="0"/>
    <n v="0"/>
    <m/>
    <n v="63.5"/>
  </r>
  <r>
    <x v="1178"/>
    <d v="2025-04-04T00:00:00"/>
    <s v="Treatment"/>
    <s v="West"/>
    <s v="Desktop"/>
    <s v="Paid Search"/>
    <s v="Free"/>
    <n v="1"/>
    <n v="1"/>
    <n v="1"/>
    <n v="1"/>
    <n v="265.58999999999997"/>
    <n v="1"/>
    <n v="0"/>
    <n v="8"/>
    <n v="80.400000000000006"/>
  </r>
  <r>
    <x v="1179"/>
    <d v="2025-01-23T00:00:00"/>
    <s v="Treatment"/>
    <s v="North"/>
    <s v="Desktop"/>
    <s v="Paid Search"/>
    <s v="Free"/>
    <n v="0"/>
    <n v="0"/>
    <n v="0"/>
    <n v="0"/>
    <n v="0"/>
    <n v="0"/>
    <n v="0"/>
    <m/>
    <n v="58.9"/>
  </r>
  <r>
    <x v="1180"/>
    <d v="2025-03-22T00:00:00"/>
    <s v="Treatment"/>
    <s v="South"/>
    <s v="Desktop"/>
    <s v="Paid Search"/>
    <s v="Free"/>
    <n v="1"/>
    <n v="0"/>
    <n v="0"/>
    <n v="0"/>
    <n v="0"/>
    <n v="0"/>
    <n v="0"/>
    <m/>
    <n v="56.8"/>
  </r>
  <r>
    <x v="1181"/>
    <d v="2025-02-02T00:00:00"/>
    <s v="Treatment"/>
    <s v="East"/>
    <s v="Tablet"/>
    <s v="Social"/>
    <s v="Premium"/>
    <n v="0"/>
    <n v="0"/>
    <n v="0"/>
    <n v="0"/>
    <n v="0"/>
    <n v="0"/>
    <n v="0"/>
    <m/>
    <n v="73.900000000000006"/>
  </r>
  <r>
    <x v="1182"/>
    <d v="2025-01-31T00:00:00"/>
    <s v="Treatment"/>
    <s v="North"/>
    <s v="Desktop"/>
    <s v="Paid Search"/>
    <s v="Free"/>
    <n v="0"/>
    <n v="0"/>
    <n v="0"/>
    <n v="0"/>
    <n v="0"/>
    <n v="0"/>
    <n v="0"/>
    <m/>
    <n v="76.3"/>
  </r>
  <r>
    <x v="1183"/>
    <d v="2025-05-27T00:00:00"/>
    <s v="Treatment"/>
    <s v="West"/>
    <s v="Mobile"/>
    <s v="Organic"/>
    <s v="Basic"/>
    <n v="1"/>
    <n v="0"/>
    <n v="0"/>
    <n v="0"/>
    <n v="0"/>
    <n v="0"/>
    <n v="0"/>
    <m/>
    <n v="56.9"/>
  </r>
  <r>
    <x v="1184"/>
    <d v="2025-05-07T00:00:00"/>
    <s v="Treatment"/>
    <s v="North"/>
    <s v="Mobile"/>
    <s v="Organic"/>
    <s v="Premium"/>
    <n v="1"/>
    <n v="0"/>
    <n v="0"/>
    <n v="0"/>
    <n v="0"/>
    <n v="2"/>
    <n v="0"/>
    <m/>
    <n v="49.4"/>
  </r>
  <r>
    <x v="1185"/>
    <d v="2025-05-08T00:00:00"/>
    <s v="Treatment"/>
    <s v="North"/>
    <s v="Desktop"/>
    <s v="Paid Search"/>
    <s v="Basic"/>
    <n v="1"/>
    <n v="0"/>
    <n v="0"/>
    <n v="0"/>
    <n v="0"/>
    <n v="0"/>
    <n v="0"/>
    <m/>
    <n v="86.7"/>
  </r>
  <r>
    <x v="1186"/>
    <d v="2025-01-15T00:00:00"/>
    <s v="Treatment"/>
    <s v="West"/>
    <s v="Desktop"/>
    <s v="Email"/>
    <s v="Free"/>
    <n v="1"/>
    <n v="0"/>
    <n v="0"/>
    <n v="0"/>
    <n v="0"/>
    <n v="3"/>
    <n v="0"/>
    <m/>
    <n v="69"/>
  </r>
  <r>
    <x v="1187"/>
    <d v="2025-01-18T00:00:00"/>
    <s v="Treatment"/>
    <s v="North"/>
    <s v="Mobile"/>
    <s v="Paid Search"/>
    <s v="Free"/>
    <n v="0"/>
    <n v="0"/>
    <n v="0"/>
    <n v="0"/>
    <n v="0"/>
    <n v="0"/>
    <n v="0"/>
    <m/>
    <n v="84.5"/>
  </r>
  <r>
    <x v="1188"/>
    <d v="2025-04-16T00:00:00"/>
    <s v="Treatment"/>
    <s v="East"/>
    <m/>
    <s v="Referral"/>
    <s v="Free"/>
    <n v="1"/>
    <n v="0"/>
    <n v="0"/>
    <n v="0"/>
    <n v="0"/>
    <n v="0"/>
    <n v="0"/>
    <m/>
    <n v="66.3"/>
  </r>
  <r>
    <x v="1189"/>
    <d v="2025-02-16T00:00:00"/>
    <s v="Treatment"/>
    <s v="East"/>
    <s v="Desktop"/>
    <s v="Paid Search"/>
    <s v="Free"/>
    <n v="0"/>
    <n v="0"/>
    <n v="0"/>
    <n v="0"/>
    <n v="0"/>
    <n v="0"/>
    <n v="0"/>
    <m/>
    <n v="52.2"/>
  </r>
  <r>
    <x v="1190"/>
    <d v="2025-04-17T00:00:00"/>
    <s v="Treatment"/>
    <s v="South"/>
    <s v="Desktop"/>
    <s v="Referral"/>
    <s v="Premium"/>
    <n v="1"/>
    <n v="1"/>
    <n v="1"/>
    <n v="0"/>
    <n v="0"/>
    <n v="0"/>
    <n v="0"/>
    <m/>
    <n v="81.2"/>
  </r>
  <r>
    <x v="1191"/>
    <d v="2025-04-30T00:00:00"/>
    <s v="Treatment"/>
    <s v="South"/>
    <s v="Mobile"/>
    <s v="Organic"/>
    <s v="Basic"/>
    <n v="0"/>
    <n v="0"/>
    <n v="0"/>
    <n v="0"/>
    <n v="0"/>
    <n v="0"/>
    <n v="0"/>
    <m/>
    <n v="53.9"/>
  </r>
  <r>
    <x v="1192"/>
    <d v="2025-01-29T00:00:00"/>
    <s v="Treatment"/>
    <s v="West"/>
    <s v="Mobile"/>
    <s v="Social"/>
    <s v="Premium"/>
    <n v="0"/>
    <n v="0"/>
    <n v="0"/>
    <n v="0"/>
    <n v="0"/>
    <n v="0"/>
    <n v="0"/>
    <m/>
    <n v="39.1"/>
  </r>
  <r>
    <x v="1193"/>
    <d v="2025-01-11T00:00:00"/>
    <s v="Treatment"/>
    <s v="North"/>
    <s v="Mobile"/>
    <s v="Social"/>
    <s v="Basic"/>
    <n v="0"/>
    <n v="0"/>
    <n v="0"/>
    <n v="0"/>
    <n v="0"/>
    <n v="0"/>
    <n v="0"/>
    <m/>
    <n v="57.3"/>
  </r>
  <r>
    <x v="1194"/>
    <d v="2025-04-08T00:00:00"/>
    <s v="Treatment"/>
    <s v="East"/>
    <s v="Desktop"/>
    <s v="Paid Search"/>
    <s v="Premium"/>
    <n v="1"/>
    <n v="0"/>
    <n v="0"/>
    <n v="0"/>
    <n v="0"/>
    <n v="1"/>
    <n v="0"/>
    <m/>
    <n v="65.900000000000006"/>
  </r>
  <r>
    <x v="1195"/>
    <d v="2025-02-22T00:00:00"/>
    <s v="Treatment"/>
    <s v="North"/>
    <m/>
    <s v="Social"/>
    <s v="Free"/>
    <n v="1"/>
    <n v="0"/>
    <n v="0"/>
    <n v="0"/>
    <n v="0"/>
    <n v="1"/>
    <n v="0"/>
    <m/>
    <n v="34.200000000000003"/>
  </r>
  <r>
    <x v="1196"/>
    <d v="2025-03-23T00:00:00"/>
    <s v="Treatment"/>
    <s v="South"/>
    <s v="Mobile"/>
    <s v="Organic"/>
    <s v="Free"/>
    <n v="0"/>
    <n v="0"/>
    <n v="0"/>
    <n v="0"/>
    <n v="0"/>
    <n v="0"/>
    <n v="0"/>
    <m/>
    <n v="47.2"/>
  </r>
  <r>
    <x v="1197"/>
    <d v="2025-05-23T00:00:00"/>
    <s v="Treatment"/>
    <s v="South"/>
    <s v="Tablet"/>
    <s v="Paid Search"/>
    <s v="Free"/>
    <n v="1"/>
    <n v="0"/>
    <n v="0"/>
    <n v="0"/>
    <n v="0"/>
    <n v="1"/>
    <n v="0"/>
    <m/>
    <n v="55"/>
  </r>
  <r>
    <x v="1198"/>
    <d v="2025-04-27T00:00:00"/>
    <s v="Treatment"/>
    <s v="West"/>
    <s v="Mobile"/>
    <s v="Referral"/>
    <s v="Basic"/>
    <n v="1"/>
    <n v="1"/>
    <n v="1"/>
    <n v="0"/>
    <n v="0"/>
    <n v="0"/>
    <n v="0"/>
    <m/>
    <n v="76.400000000000006"/>
  </r>
  <r>
    <x v="1199"/>
    <d v="2025-05-26T00:00:00"/>
    <s v="Treatment"/>
    <s v="North"/>
    <s v="Mobile"/>
    <s v="Referral"/>
    <s v="Free"/>
    <n v="1"/>
    <n v="0"/>
    <n v="0"/>
    <n v="0"/>
    <n v="0"/>
    <n v="0"/>
    <n v="0"/>
    <m/>
    <n v="70.8"/>
  </r>
  <r>
    <x v="1200"/>
    <d v="2025-03-06T00:00:00"/>
    <s v="Treatment"/>
    <s v="East"/>
    <s v="Mobile"/>
    <s v="Paid Search"/>
    <s v="Basic"/>
    <n v="1"/>
    <n v="1"/>
    <n v="0"/>
    <n v="0"/>
    <n v="0"/>
    <n v="1"/>
    <n v="0"/>
    <m/>
    <n v="58"/>
  </r>
  <r>
    <x v="1201"/>
    <d v="2025-04-03T00:00:00"/>
    <s v="Treatment"/>
    <s v="West"/>
    <s v="Mobile"/>
    <s v="Organic"/>
    <s v="Basic"/>
    <n v="1"/>
    <n v="1"/>
    <n v="1"/>
    <n v="0"/>
    <n v="0"/>
    <n v="1"/>
    <n v="0"/>
    <m/>
    <n v="70.8"/>
  </r>
  <r>
    <x v="1202"/>
    <d v="2025-02-01T00:00:00"/>
    <s v="Treatment"/>
    <s v="East"/>
    <s v="Desktop"/>
    <s v="Paid Search"/>
    <s v="Free"/>
    <n v="1"/>
    <n v="0"/>
    <n v="0"/>
    <n v="0"/>
    <n v="0"/>
    <n v="3"/>
    <n v="0"/>
    <m/>
    <n v="60"/>
  </r>
  <r>
    <x v="1203"/>
    <d v="2025-05-01T00:00:00"/>
    <s v="Treatment"/>
    <s v="West"/>
    <s v="Mobile"/>
    <s v="Referral"/>
    <s v="Premium"/>
    <n v="1"/>
    <n v="1"/>
    <n v="1"/>
    <n v="0"/>
    <n v="0"/>
    <n v="3"/>
    <n v="0"/>
    <m/>
    <n v="58.1"/>
  </r>
  <r>
    <x v="1204"/>
    <d v="2025-04-13T00:00:00"/>
    <s v="Treatment"/>
    <s v="North"/>
    <s v="Mobile"/>
    <s v="Social"/>
    <s v="Premium"/>
    <n v="0"/>
    <n v="0"/>
    <n v="0"/>
    <n v="0"/>
    <n v="0"/>
    <n v="0"/>
    <n v="0"/>
    <m/>
    <n v="59.7"/>
  </r>
  <r>
    <x v="1205"/>
    <d v="2025-01-25T00:00:00"/>
    <s v="Treatment"/>
    <s v="East"/>
    <s v="Mobile"/>
    <s v="Social"/>
    <s v="Free"/>
    <n v="0"/>
    <n v="0"/>
    <n v="0"/>
    <n v="0"/>
    <n v="0"/>
    <n v="0"/>
    <n v="0"/>
    <m/>
    <n v="47.7"/>
  </r>
  <r>
    <x v="1206"/>
    <d v="2025-03-17T00:00:00"/>
    <s v="Treatment"/>
    <s v="North"/>
    <s v="Mobile"/>
    <s v="Organic"/>
    <s v="Free"/>
    <n v="0"/>
    <n v="0"/>
    <n v="0"/>
    <n v="0"/>
    <n v="0"/>
    <n v="0"/>
    <n v="0"/>
    <m/>
    <n v="59.1"/>
  </r>
  <r>
    <x v="1207"/>
    <d v="2025-02-21T00:00:00"/>
    <s v="Treatment"/>
    <s v="West"/>
    <s v="Desktop"/>
    <s v="Social"/>
    <s v="Basic"/>
    <n v="1"/>
    <n v="0"/>
    <n v="0"/>
    <n v="0"/>
    <n v="0"/>
    <n v="1"/>
    <n v="0"/>
    <m/>
    <n v="68.7"/>
  </r>
  <r>
    <x v="1208"/>
    <d v="2025-04-08T00:00:00"/>
    <s v="Treatment"/>
    <s v="East"/>
    <s v="Tablet"/>
    <s v="Organic"/>
    <s v="Basic"/>
    <n v="0"/>
    <n v="0"/>
    <n v="0"/>
    <n v="0"/>
    <n v="0"/>
    <n v="0"/>
    <n v="0"/>
    <m/>
    <n v="34.700000000000003"/>
  </r>
  <r>
    <x v="1209"/>
    <d v="2025-02-24T00:00:00"/>
    <s v="Treatment"/>
    <s v="West"/>
    <s v="Mobile"/>
    <s v="Organic"/>
    <s v="Basic"/>
    <n v="1"/>
    <n v="0"/>
    <n v="0"/>
    <n v="0"/>
    <n v="0"/>
    <n v="0"/>
    <n v="0"/>
    <m/>
    <n v="62"/>
  </r>
  <r>
    <x v="1210"/>
    <d v="2025-05-29T00:00:00"/>
    <s v="Treatment"/>
    <s v="South"/>
    <s v="Mobile"/>
    <s v="Organic"/>
    <s v="Free"/>
    <n v="1"/>
    <n v="1"/>
    <n v="0"/>
    <n v="0"/>
    <n v="0"/>
    <n v="0"/>
    <n v="0"/>
    <m/>
    <n v="56"/>
  </r>
  <r>
    <x v="1211"/>
    <d v="2025-05-30T00:00:00"/>
    <s v="Treatment"/>
    <s v="North"/>
    <s v="Mobile"/>
    <s v="Email"/>
    <s v="Basic"/>
    <n v="1"/>
    <n v="0"/>
    <n v="0"/>
    <n v="0"/>
    <n v="0"/>
    <n v="1"/>
    <n v="0"/>
    <m/>
    <n v="65.8"/>
  </r>
  <r>
    <x v="1212"/>
    <d v="2025-01-24T00:00:00"/>
    <s v="Treatment"/>
    <s v="North"/>
    <s v="Desktop"/>
    <s v="Organic"/>
    <s v="Premium"/>
    <n v="0"/>
    <n v="0"/>
    <n v="0"/>
    <n v="0"/>
    <n v="0"/>
    <n v="0"/>
    <n v="0"/>
    <m/>
    <n v="54.7"/>
  </r>
  <r>
    <x v="1213"/>
    <d v="2025-05-12T00:00:00"/>
    <s v="Treatment"/>
    <s v="South"/>
    <s v="Mobile"/>
    <s v="Organic"/>
    <s v="Basic"/>
    <n v="1"/>
    <n v="1"/>
    <n v="0"/>
    <n v="0"/>
    <n v="0"/>
    <n v="0"/>
    <n v="0"/>
    <m/>
    <n v="64.099999999999994"/>
  </r>
  <r>
    <x v="1214"/>
    <d v="2025-03-28T00:00:00"/>
    <s v="Treatment"/>
    <s v="South"/>
    <s v="Mobile"/>
    <s v="Organic"/>
    <s v="Basic"/>
    <n v="1"/>
    <n v="1"/>
    <n v="1"/>
    <n v="0"/>
    <n v="0"/>
    <n v="0"/>
    <n v="0"/>
    <m/>
    <n v="71.599999999999994"/>
  </r>
  <r>
    <x v="1215"/>
    <d v="2025-04-14T00:00:00"/>
    <s v="Treatment"/>
    <s v="North"/>
    <s v="Mobile"/>
    <s v="Referral"/>
    <s v="Basic"/>
    <n v="1"/>
    <n v="0"/>
    <n v="0"/>
    <n v="0"/>
    <n v="0"/>
    <n v="0"/>
    <n v="0"/>
    <m/>
    <n v="78.400000000000006"/>
  </r>
  <r>
    <x v="1216"/>
    <d v="2025-01-28T00:00:00"/>
    <s v="Treatment"/>
    <s v="East"/>
    <s v="Tablet"/>
    <s v="Referral"/>
    <s v="Basic"/>
    <n v="0"/>
    <n v="0"/>
    <n v="0"/>
    <n v="0"/>
    <n v="0"/>
    <n v="0"/>
    <n v="0"/>
    <m/>
    <n v="49.3"/>
  </r>
  <r>
    <x v="1217"/>
    <d v="2025-05-21T00:00:00"/>
    <s v="Treatment"/>
    <s v="North"/>
    <s v="Mobile"/>
    <s v="Organic"/>
    <s v="Basic"/>
    <n v="0"/>
    <n v="0"/>
    <n v="0"/>
    <n v="0"/>
    <n v="0"/>
    <n v="0"/>
    <n v="0"/>
    <m/>
    <n v="52.8"/>
  </r>
  <r>
    <x v="1218"/>
    <d v="2025-05-11T00:00:00"/>
    <s v="Treatment"/>
    <s v="West"/>
    <s v="Desktop"/>
    <s v="Organic"/>
    <s v="Free"/>
    <n v="0"/>
    <n v="0"/>
    <n v="0"/>
    <n v="0"/>
    <n v="0"/>
    <n v="0"/>
    <n v="0"/>
    <m/>
    <n v="58.5"/>
  </r>
  <r>
    <x v="1219"/>
    <d v="2025-02-02T00:00:00"/>
    <s v="Treatment"/>
    <s v="South"/>
    <s v="Mobile"/>
    <s v="Paid Search"/>
    <s v="Free"/>
    <n v="1"/>
    <n v="0"/>
    <n v="0"/>
    <n v="0"/>
    <n v="0"/>
    <n v="0"/>
    <n v="0"/>
    <m/>
    <n v="55.9"/>
  </r>
  <r>
    <x v="1220"/>
    <d v="2025-02-26T00:00:00"/>
    <s v="Treatment"/>
    <s v="North"/>
    <s v="Mobile"/>
    <s v="Social"/>
    <s v="Free"/>
    <n v="1"/>
    <n v="1"/>
    <n v="1"/>
    <n v="1"/>
    <n v="351.43"/>
    <n v="1"/>
    <n v="0"/>
    <n v="6"/>
    <n v="74.900000000000006"/>
  </r>
  <r>
    <x v="1221"/>
    <d v="2025-02-27T00:00:00"/>
    <s v="Treatment"/>
    <s v="South"/>
    <s v="Desktop"/>
    <s v="Referral"/>
    <s v="Free"/>
    <n v="1"/>
    <n v="1"/>
    <n v="1"/>
    <n v="1"/>
    <n v="352.42"/>
    <n v="0"/>
    <n v="0"/>
    <n v="4"/>
    <n v="58.5"/>
  </r>
  <r>
    <x v="1222"/>
    <d v="2025-03-09T00:00:00"/>
    <s v="Treatment"/>
    <s v="West"/>
    <s v="Mobile"/>
    <s v="Organic"/>
    <s v="Free"/>
    <n v="0"/>
    <n v="0"/>
    <n v="0"/>
    <n v="0"/>
    <n v="0"/>
    <n v="0"/>
    <n v="0"/>
    <m/>
    <n v="63.5"/>
  </r>
  <r>
    <x v="1223"/>
    <d v="2025-02-07T00:00:00"/>
    <s v="Treatment"/>
    <s v="North"/>
    <s v="Mobile"/>
    <s v="Paid Search"/>
    <s v="Basic"/>
    <n v="1"/>
    <n v="0"/>
    <n v="0"/>
    <n v="0"/>
    <n v="0"/>
    <n v="1"/>
    <n v="0"/>
    <m/>
    <n v="64.8"/>
  </r>
  <r>
    <x v="1224"/>
    <d v="2025-01-31T00:00:00"/>
    <s v="Treatment"/>
    <s v="West"/>
    <s v="Mobile"/>
    <s v="Social"/>
    <s v="Free"/>
    <n v="0"/>
    <n v="0"/>
    <n v="0"/>
    <n v="0"/>
    <n v="0"/>
    <n v="0"/>
    <n v="0"/>
    <m/>
    <n v="63.3"/>
  </r>
  <r>
    <x v="1225"/>
    <d v="2025-02-14T00:00:00"/>
    <s v="Treatment"/>
    <s v="North"/>
    <s v="Tablet"/>
    <s v="Paid Search"/>
    <s v="Basic"/>
    <n v="1"/>
    <n v="1"/>
    <n v="1"/>
    <n v="1"/>
    <n v="1074.1600000000001"/>
    <n v="0"/>
    <n v="0"/>
    <n v="8"/>
    <n v="83.7"/>
  </r>
  <r>
    <x v="1226"/>
    <d v="2025-02-12T00:00:00"/>
    <s v="Treatment"/>
    <s v="South"/>
    <s v="Desktop"/>
    <s v="Social"/>
    <s v="Basic"/>
    <n v="0"/>
    <n v="0"/>
    <n v="0"/>
    <n v="0"/>
    <n v="0"/>
    <n v="0"/>
    <n v="0"/>
    <m/>
    <n v="88.7"/>
  </r>
  <r>
    <x v="1227"/>
    <d v="2025-03-23T00:00:00"/>
    <s v="Treatment"/>
    <s v="East"/>
    <m/>
    <s v="Paid Search"/>
    <s v="Free"/>
    <n v="1"/>
    <n v="0"/>
    <n v="0"/>
    <n v="0"/>
    <n v="0"/>
    <n v="1"/>
    <n v="0"/>
    <m/>
    <n v="61.5"/>
  </r>
  <r>
    <x v="1228"/>
    <d v="2025-03-18T00:00:00"/>
    <s v="Treatment"/>
    <s v="West"/>
    <s v="Mobile"/>
    <s v="Paid Search"/>
    <s v="Free"/>
    <n v="0"/>
    <n v="0"/>
    <n v="0"/>
    <n v="0"/>
    <n v="0"/>
    <n v="0"/>
    <n v="0"/>
    <m/>
    <n v="45.3"/>
  </r>
  <r>
    <x v="1229"/>
    <d v="2025-05-17T00:00:00"/>
    <s v="Treatment"/>
    <s v="North"/>
    <s v="Mobile"/>
    <s v="Social"/>
    <s v="Free"/>
    <n v="1"/>
    <n v="0"/>
    <n v="0"/>
    <n v="0"/>
    <n v="0"/>
    <n v="0"/>
    <n v="0"/>
    <m/>
    <n v="37.299999999999997"/>
  </r>
  <r>
    <x v="1230"/>
    <d v="2025-03-26T00:00:00"/>
    <s v="Treatment"/>
    <s v="West"/>
    <s v="Desktop"/>
    <s v="Social"/>
    <s v="Premium"/>
    <n v="1"/>
    <n v="0"/>
    <n v="0"/>
    <n v="0"/>
    <n v="0"/>
    <n v="1"/>
    <n v="0"/>
    <m/>
    <n v="76.099999999999994"/>
  </r>
  <r>
    <x v="1231"/>
    <d v="2025-03-30T00:00:00"/>
    <s v="Treatment"/>
    <s v="East"/>
    <s v="Mobile"/>
    <s v="Organic"/>
    <s v="Free"/>
    <n v="1"/>
    <n v="1"/>
    <n v="1"/>
    <n v="0"/>
    <n v="0"/>
    <n v="1"/>
    <n v="0"/>
    <m/>
    <n v="72.5"/>
  </r>
  <r>
    <x v="1232"/>
    <d v="2025-02-25T00:00:00"/>
    <s v="Treatment"/>
    <s v="East"/>
    <s v="Desktop"/>
    <s v="Organic"/>
    <s v="Free"/>
    <n v="1"/>
    <n v="0"/>
    <n v="0"/>
    <n v="0"/>
    <n v="0"/>
    <n v="0"/>
    <n v="0"/>
    <m/>
    <n v="62.3"/>
  </r>
  <r>
    <x v="1233"/>
    <d v="2025-03-01T00:00:00"/>
    <s v="Treatment"/>
    <s v="East"/>
    <s v="Desktop"/>
    <s v="Social"/>
    <s v="Free"/>
    <n v="0"/>
    <n v="0"/>
    <n v="0"/>
    <n v="0"/>
    <n v="0"/>
    <n v="0"/>
    <n v="0"/>
    <m/>
    <n v="62.7"/>
  </r>
  <r>
    <x v="1234"/>
    <d v="2025-05-27T00:00:00"/>
    <s v="Treatment"/>
    <s v="North"/>
    <s v="Mobile"/>
    <s v="Paid Search"/>
    <s v="Basic"/>
    <n v="0"/>
    <n v="0"/>
    <n v="0"/>
    <n v="0"/>
    <n v="0"/>
    <n v="0"/>
    <n v="0"/>
    <m/>
    <n v="82.4"/>
  </r>
  <r>
    <x v="1235"/>
    <d v="2025-02-05T00:00:00"/>
    <s v="Treatment"/>
    <s v="West"/>
    <s v="Mobile"/>
    <m/>
    <s v="Premium"/>
    <n v="1"/>
    <n v="0"/>
    <n v="0"/>
    <n v="0"/>
    <n v="0"/>
    <n v="0"/>
    <n v="0"/>
    <m/>
    <n v="78.900000000000006"/>
  </r>
  <r>
    <x v="1236"/>
    <d v="2025-01-25T00:00:00"/>
    <s v="Treatment"/>
    <s v="West"/>
    <s v="Desktop"/>
    <s v="Email"/>
    <s v="Free"/>
    <n v="1"/>
    <n v="1"/>
    <n v="1"/>
    <n v="1"/>
    <n v="618.91"/>
    <n v="0"/>
    <n v="0"/>
    <n v="4"/>
    <n v="67.8"/>
  </r>
  <r>
    <x v="1237"/>
    <d v="2025-04-10T00:00:00"/>
    <s v="Treatment"/>
    <s v="East"/>
    <s v="Mobile"/>
    <s v="Organic"/>
    <s v="Premium"/>
    <n v="1"/>
    <n v="0"/>
    <n v="0"/>
    <n v="0"/>
    <n v="0"/>
    <n v="0"/>
    <n v="0"/>
    <m/>
    <n v="68.8"/>
  </r>
  <r>
    <x v="1238"/>
    <d v="2025-01-10T00:00:00"/>
    <s v="Treatment"/>
    <s v="East"/>
    <s v="Mobile"/>
    <s v="Organic"/>
    <s v="Premium"/>
    <n v="1"/>
    <n v="0"/>
    <n v="0"/>
    <n v="0"/>
    <n v="0"/>
    <n v="0"/>
    <n v="0"/>
    <m/>
    <n v="67.7"/>
  </r>
  <r>
    <x v="1239"/>
    <d v="2025-02-23T00:00:00"/>
    <s v="Treatment"/>
    <s v="East"/>
    <s v="Mobile"/>
    <m/>
    <s v="Free"/>
    <n v="0"/>
    <n v="0"/>
    <n v="0"/>
    <n v="0"/>
    <n v="0"/>
    <n v="0"/>
    <n v="0"/>
    <m/>
    <n v="88"/>
  </r>
  <r>
    <x v="1240"/>
    <d v="2025-05-23T00:00:00"/>
    <s v="Treatment"/>
    <s v="West"/>
    <s v="Desktop"/>
    <s v="Organic"/>
    <s v="Basic"/>
    <n v="1"/>
    <n v="1"/>
    <n v="0"/>
    <n v="0"/>
    <n v="0"/>
    <n v="0"/>
    <n v="0"/>
    <m/>
    <n v="80.099999999999994"/>
  </r>
  <r>
    <x v="1241"/>
    <d v="2025-03-08T00:00:00"/>
    <s v="Treatment"/>
    <s v="North"/>
    <s v="Tablet"/>
    <s v="Email"/>
    <s v="Basic"/>
    <n v="0"/>
    <n v="0"/>
    <n v="0"/>
    <n v="0"/>
    <n v="0"/>
    <n v="1"/>
    <n v="0"/>
    <m/>
    <n v="48.2"/>
  </r>
  <r>
    <x v="1242"/>
    <d v="2025-05-21T00:00:00"/>
    <s v="Treatment"/>
    <s v="East"/>
    <s v="Mobile"/>
    <s v="Organic"/>
    <s v="Basic"/>
    <n v="1"/>
    <n v="0"/>
    <n v="0"/>
    <n v="0"/>
    <n v="0"/>
    <n v="0"/>
    <n v="0"/>
    <m/>
    <n v="52.7"/>
  </r>
  <r>
    <x v="1243"/>
    <d v="2025-04-22T00:00:00"/>
    <s v="Treatment"/>
    <s v="North"/>
    <s v="Mobile"/>
    <s v="Email"/>
    <s v="Basic"/>
    <n v="1"/>
    <n v="1"/>
    <n v="0"/>
    <n v="0"/>
    <n v="0"/>
    <n v="0"/>
    <n v="0"/>
    <m/>
    <n v="59.9"/>
  </r>
  <r>
    <x v="1244"/>
    <d v="2025-04-16T00:00:00"/>
    <s v="Treatment"/>
    <s v="North"/>
    <s v="Mobile"/>
    <s v="Email"/>
    <s v="Premium"/>
    <n v="1"/>
    <n v="0"/>
    <n v="0"/>
    <n v="0"/>
    <n v="0"/>
    <n v="0"/>
    <n v="0"/>
    <m/>
    <n v="49.5"/>
  </r>
  <r>
    <x v="1245"/>
    <d v="2025-05-08T00:00:00"/>
    <s v="Treatment"/>
    <s v="North"/>
    <s v="Tablet"/>
    <s v="Organic"/>
    <s v="Free"/>
    <n v="1"/>
    <n v="0"/>
    <n v="0"/>
    <n v="0"/>
    <n v="0"/>
    <n v="0"/>
    <n v="0"/>
    <m/>
    <n v="41.5"/>
  </r>
  <r>
    <x v="1246"/>
    <d v="2025-05-22T00:00:00"/>
    <s v="Treatment"/>
    <s v="North"/>
    <s v="Mobile"/>
    <s v="Paid Search"/>
    <s v="Basic"/>
    <n v="1"/>
    <n v="0"/>
    <n v="0"/>
    <n v="0"/>
    <n v="0"/>
    <n v="0"/>
    <n v="0"/>
    <m/>
    <n v="71.2"/>
  </r>
  <r>
    <x v="1247"/>
    <d v="2025-03-21T00:00:00"/>
    <s v="Treatment"/>
    <s v="North"/>
    <s v="Mobile"/>
    <s v="Referral"/>
    <s v="Basic"/>
    <n v="1"/>
    <n v="1"/>
    <n v="1"/>
    <n v="0"/>
    <n v="0"/>
    <n v="0"/>
    <n v="0"/>
    <m/>
    <n v="65.8"/>
  </r>
  <r>
    <x v="1248"/>
    <d v="2025-03-22T00:00:00"/>
    <s v="Treatment"/>
    <s v="East"/>
    <s v="Mobile"/>
    <s v="Organic"/>
    <s v="Basic"/>
    <n v="1"/>
    <n v="0"/>
    <n v="0"/>
    <n v="0"/>
    <n v="0"/>
    <n v="1"/>
    <n v="0"/>
    <m/>
    <n v="55.1"/>
  </r>
  <r>
    <x v="1249"/>
    <d v="2025-01-10T00:00:00"/>
    <s v="Treatment"/>
    <s v="West"/>
    <s v="Desktop"/>
    <s v="Social"/>
    <s v="Free"/>
    <n v="1"/>
    <n v="0"/>
    <n v="0"/>
    <n v="0"/>
    <n v="0"/>
    <n v="0"/>
    <n v="0"/>
    <m/>
    <n v="54.6"/>
  </r>
  <r>
    <x v="1250"/>
    <d v="2025-02-01T00:00:00"/>
    <s v="Treatment"/>
    <s v="East"/>
    <s v="Mobile"/>
    <s v="Organic"/>
    <s v="Basic"/>
    <n v="1"/>
    <n v="1"/>
    <n v="1"/>
    <n v="1"/>
    <n v="923.67"/>
    <n v="0"/>
    <n v="0"/>
    <n v="4"/>
    <n v="81.900000000000006"/>
  </r>
  <r>
    <x v="1251"/>
    <d v="2025-03-31T00:00:00"/>
    <s v="Treatment"/>
    <s v="South"/>
    <s v="Mobile"/>
    <s v="Paid Search"/>
    <s v="Basic"/>
    <n v="1"/>
    <n v="1"/>
    <n v="0"/>
    <n v="0"/>
    <n v="0"/>
    <n v="3"/>
    <n v="0"/>
    <m/>
    <n v="63.2"/>
  </r>
  <r>
    <x v="1252"/>
    <d v="2025-04-25T00:00:00"/>
    <s v="Treatment"/>
    <s v="North"/>
    <s v="Mobile"/>
    <s v="Paid Search"/>
    <s v="Free"/>
    <n v="1"/>
    <n v="0"/>
    <n v="0"/>
    <n v="0"/>
    <n v="0"/>
    <n v="0"/>
    <n v="0"/>
    <m/>
    <n v="55.4"/>
  </r>
  <r>
    <x v="1253"/>
    <d v="2025-05-02T00:00:00"/>
    <s v="Treatment"/>
    <s v="West"/>
    <s v="Mobile"/>
    <s v="Social"/>
    <s v="Basic"/>
    <n v="0"/>
    <n v="0"/>
    <n v="0"/>
    <n v="0"/>
    <n v="0"/>
    <n v="0"/>
    <n v="0"/>
    <m/>
    <n v="87.5"/>
  </r>
  <r>
    <x v="1254"/>
    <d v="2025-03-08T00:00:00"/>
    <s v="Treatment"/>
    <s v="South"/>
    <s v="Desktop"/>
    <s v="Social"/>
    <s v="Basic"/>
    <n v="1"/>
    <n v="0"/>
    <n v="0"/>
    <n v="0"/>
    <n v="0"/>
    <n v="0"/>
    <n v="0"/>
    <m/>
    <n v="48.5"/>
  </r>
  <r>
    <x v="1255"/>
    <d v="2025-01-27T00:00:00"/>
    <s v="Treatment"/>
    <s v="East"/>
    <s v="Desktop"/>
    <m/>
    <s v="Free"/>
    <n v="1"/>
    <n v="1"/>
    <n v="1"/>
    <n v="1"/>
    <n v="420.27"/>
    <n v="0"/>
    <n v="0"/>
    <n v="6"/>
    <n v="58.4"/>
  </r>
  <r>
    <x v="1256"/>
    <d v="2025-04-27T00:00:00"/>
    <s v="Treatment"/>
    <s v="West"/>
    <s v="Mobile"/>
    <s v="Paid Search"/>
    <s v="Free"/>
    <n v="0"/>
    <n v="0"/>
    <n v="0"/>
    <n v="0"/>
    <n v="0"/>
    <n v="0"/>
    <n v="0"/>
    <m/>
    <n v="59.5"/>
  </r>
  <r>
    <x v="1257"/>
    <d v="2025-01-16T00:00:00"/>
    <s v="Treatment"/>
    <s v="West"/>
    <s v="Desktop"/>
    <s v="Paid Search"/>
    <s v="Basic"/>
    <n v="1"/>
    <n v="0"/>
    <n v="0"/>
    <n v="0"/>
    <n v="0"/>
    <n v="0"/>
    <n v="0"/>
    <m/>
    <n v="93.2"/>
  </r>
  <r>
    <x v="1258"/>
    <d v="2025-01-18T00:00:00"/>
    <s v="Treatment"/>
    <s v="West"/>
    <s v="Desktop"/>
    <s v="Paid Search"/>
    <s v="Basic"/>
    <n v="1"/>
    <n v="0"/>
    <n v="0"/>
    <n v="0"/>
    <n v="0"/>
    <n v="0"/>
    <n v="0"/>
    <m/>
    <n v="59"/>
  </r>
  <r>
    <x v="1259"/>
    <d v="2025-03-21T00:00:00"/>
    <s v="Treatment"/>
    <s v="North"/>
    <s v="Mobile"/>
    <s v="Organic"/>
    <s v="Free"/>
    <n v="1"/>
    <n v="0"/>
    <n v="0"/>
    <n v="0"/>
    <n v="0"/>
    <n v="0"/>
    <n v="0"/>
    <m/>
    <n v="37"/>
  </r>
  <r>
    <x v="1260"/>
    <d v="2025-04-02T00:00:00"/>
    <s v="Treatment"/>
    <s v="North"/>
    <s v="Desktop"/>
    <s v="Paid Search"/>
    <s v="Free"/>
    <n v="1"/>
    <n v="0"/>
    <n v="0"/>
    <n v="0"/>
    <n v="0"/>
    <n v="0"/>
    <n v="0"/>
    <m/>
    <n v="47.5"/>
  </r>
  <r>
    <x v="1261"/>
    <d v="2025-02-16T00:00:00"/>
    <s v="Treatment"/>
    <s v="West"/>
    <s v="Desktop"/>
    <s v="Organic"/>
    <s v="Free"/>
    <n v="1"/>
    <n v="1"/>
    <n v="1"/>
    <n v="0"/>
    <n v="0"/>
    <n v="0"/>
    <n v="0"/>
    <m/>
    <n v="78.7"/>
  </r>
  <r>
    <x v="1262"/>
    <d v="2025-02-18T00:00:00"/>
    <s v="Treatment"/>
    <s v="North"/>
    <s v="Mobile"/>
    <s v="Social"/>
    <s v="Free"/>
    <n v="1"/>
    <n v="0"/>
    <n v="0"/>
    <n v="0"/>
    <n v="0"/>
    <n v="0"/>
    <n v="0"/>
    <m/>
    <n v="49.6"/>
  </r>
  <r>
    <x v="1263"/>
    <d v="2025-01-09T00:00:00"/>
    <s v="Treatment"/>
    <s v="East"/>
    <s v="Mobile"/>
    <s v="Organic"/>
    <s v="Free"/>
    <n v="1"/>
    <n v="0"/>
    <n v="0"/>
    <n v="0"/>
    <n v="0"/>
    <n v="0"/>
    <n v="0"/>
    <m/>
    <n v="58"/>
  </r>
  <r>
    <x v="1264"/>
    <d v="2025-02-18T00:00:00"/>
    <s v="Treatment"/>
    <s v="North"/>
    <s v="Desktop"/>
    <s v="Paid Search"/>
    <s v="Free"/>
    <n v="1"/>
    <n v="0"/>
    <n v="0"/>
    <n v="0"/>
    <n v="0"/>
    <n v="1"/>
    <n v="0"/>
    <m/>
    <n v="54.4"/>
  </r>
  <r>
    <x v="1265"/>
    <d v="2025-01-10T00:00:00"/>
    <s v="Treatment"/>
    <s v="East"/>
    <s v="Mobile"/>
    <s v="Referral"/>
    <s v="Free"/>
    <n v="0"/>
    <n v="0"/>
    <n v="0"/>
    <n v="0"/>
    <n v="0"/>
    <n v="0"/>
    <n v="0"/>
    <m/>
    <n v="33.700000000000003"/>
  </r>
  <r>
    <x v="1266"/>
    <d v="2025-03-08T00:00:00"/>
    <s v="Treatment"/>
    <s v="West"/>
    <s v="Mobile"/>
    <s v="Email"/>
    <s v="Free"/>
    <n v="1"/>
    <n v="0"/>
    <n v="0"/>
    <n v="0"/>
    <n v="0"/>
    <n v="0"/>
    <n v="0"/>
    <m/>
    <n v="72.7"/>
  </r>
  <r>
    <x v="1267"/>
    <d v="2025-04-16T00:00:00"/>
    <s v="Treatment"/>
    <s v="East"/>
    <s v="Desktop"/>
    <s v="Paid Search"/>
    <s v="Basic"/>
    <n v="0"/>
    <n v="0"/>
    <n v="0"/>
    <n v="0"/>
    <n v="0"/>
    <n v="0"/>
    <n v="0"/>
    <m/>
    <n v="64.7"/>
  </r>
  <r>
    <x v="1268"/>
    <d v="2025-02-19T00:00:00"/>
    <s v="Treatment"/>
    <s v="West"/>
    <s v="Desktop"/>
    <s v="Paid Search"/>
    <s v="Premium"/>
    <n v="0"/>
    <n v="0"/>
    <n v="0"/>
    <n v="0"/>
    <n v="0"/>
    <n v="1"/>
    <n v="0"/>
    <m/>
    <n v="48.6"/>
  </r>
  <r>
    <x v="1269"/>
    <d v="2025-03-16T00:00:00"/>
    <s v="Treatment"/>
    <s v="East"/>
    <s v="Desktop"/>
    <s v="Social"/>
    <s v="Free"/>
    <n v="1"/>
    <n v="1"/>
    <n v="0"/>
    <n v="0"/>
    <n v="0"/>
    <n v="0"/>
    <n v="0"/>
    <m/>
    <n v="66.2"/>
  </r>
  <r>
    <x v="1270"/>
    <d v="2025-02-03T00:00:00"/>
    <s v="Treatment"/>
    <s v="West"/>
    <m/>
    <s v="Referral"/>
    <s v="Basic"/>
    <n v="1"/>
    <n v="0"/>
    <n v="0"/>
    <n v="0"/>
    <n v="0"/>
    <n v="1"/>
    <n v="0"/>
    <m/>
    <n v="60.7"/>
  </r>
  <r>
    <x v="1271"/>
    <d v="2025-03-12T00:00:00"/>
    <s v="Treatment"/>
    <s v="West"/>
    <s v="Mobile"/>
    <s v="Paid Search"/>
    <s v="Basic"/>
    <n v="1"/>
    <n v="0"/>
    <n v="0"/>
    <n v="0"/>
    <n v="0"/>
    <n v="0"/>
    <n v="0"/>
    <m/>
    <n v="36.5"/>
  </r>
  <r>
    <x v="1272"/>
    <d v="2025-05-09T00:00:00"/>
    <s v="Treatment"/>
    <s v="West"/>
    <s v="Mobile"/>
    <s v="Social"/>
    <s v="Free"/>
    <n v="1"/>
    <n v="1"/>
    <n v="1"/>
    <n v="0"/>
    <n v="0"/>
    <n v="3"/>
    <n v="0"/>
    <m/>
    <n v="69.7"/>
  </r>
  <r>
    <x v="1273"/>
    <d v="2025-01-19T00:00:00"/>
    <s v="Treatment"/>
    <s v="South"/>
    <s v="Desktop"/>
    <s v="Social"/>
    <s v="Premium"/>
    <n v="1"/>
    <n v="0"/>
    <n v="0"/>
    <n v="0"/>
    <n v="0"/>
    <n v="0"/>
    <n v="0"/>
    <m/>
    <n v="81.8"/>
  </r>
  <r>
    <x v="1274"/>
    <d v="2025-01-24T00:00:00"/>
    <s v="Treatment"/>
    <s v="West"/>
    <s v="Mobile"/>
    <s v="Referral"/>
    <s v="Free"/>
    <n v="1"/>
    <n v="1"/>
    <n v="1"/>
    <n v="0"/>
    <n v="0"/>
    <n v="1"/>
    <n v="0"/>
    <m/>
    <n v="78.3"/>
  </r>
  <r>
    <x v="1275"/>
    <d v="2025-03-03T00:00:00"/>
    <s v="Treatment"/>
    <s v="East"/>
    <s v="Mobile"/>
    <s v="Referral"/>
    <s v="Free"/>
    <n v="1"/>
    <n v="1"/>
    <n v="0"/>
    <n v="0"/>
    <n v="0"/>
    <n v="0"/>
    <n v="0"/>
    <m/>
    <n v="79.400000000000006"/>
  </r>
  <r>
    <x v="1276"/>
    <d v="2025-05-27T00:00:00"/>
    <s v="Treatment"/>
    <s v="North"/>
    <s v="Desktop"/>
    <s v="Referral"/>
    <s v="Free"/>
    <n v="1"/>
    <n v="1"/>
    <n v="1"/>
    <n v="0"/>
    <n v="0"/>
    <n v="0"/>
    <n v="0"/>
    <m/>
    <n v="54.9"/>
  </r>
  <r>
    <x v="1277"/>
    <d v="2025-04-23T00:00:00"/>
    <s v="Treatment"/>
    <s v="West"/>
    <s v="Desktop"/>
    <s v="Organic"/>
    <s v="Basic"/>
    <n v="1"/>
    <n v="0"/>
    <n v="0"/>
    <n v="0"/>
    <n v="0"/>
    <n v="0"/>
    <n v="0"/>
    <m/>
    <n v="54.9"/>
  </r>
  <r>
    <x v="1278"/>
    <d v="2025-02-10T00:00:00"/>
    <s v="Treatment"/>
    <s v="East"/>
    <s v="Desktop"/>
    <s v="Social"/>
    <s v="Free"/>
    <n v="0"/>
    <n v="0"/>
    <n v="0"/>
    <n v="0"/>
    <n v="0"/>
    <n v="0"/>
    <n v="0"/>
    <m/>
    <n v="28.7"/>
  </r>
  <r>
    <x v="1279"/>
    <d v="2025-02-11T00:00:00"/>
    <s v="Treatment"/>
    <s v="North"/>
    <s v="Mobile"/>
    <s v="Organic"/>
    <s v="Free"/>
    <n v="0"/>
    <n v="0"/>
    <n v="0"/>
    <n v="0"/>
    <n v="0"/>
    <n v="0"/>
    <n v="0"/>
    <m/>
    <n v="68.8"/>
  </r>
  <r>
    <x v="1280"/>
    <d v="2025-01-21T00:00:00"/>
    <s v="Treatment"/>
    <s v="East"/>
    <s v="Desktop"/>
    <s v="Paid Search"/>
    <s v="Free"/>
    <n v="1"/>
    <n v="1"/>
    <n v="1"/>
    <n v="0"/>
    <n v="0"/>
    <n v="0"/>
    <n v="0"/>
    <m/>
    <n v="43.5"/>
  </r>
  <r>
    <x v="1281"/>
    <d v="2025-02-02T00:00:00"/>
    <s v="Treatment"/>
    <s v="West"/>
    <s v="Desktop"/>
    <s v="Social"/>
    <s v="Free"/>
    <n v="1"/>
    <n v="1"/>
    <n v="0"/>
    <n v="0"/>
    <n v="0"/>
    <n v="0"/>
    <n v="0"/>
    <m/>
    <n v="62.6"/>
  </r>
  <r>
    <x v="1282"/>
    <d v="2025-02-02T00:00:00"/>
    <s v="Treatment"/>
    <s v="West"/>
    <s v="Mobile"/>
    <s v="Organic"/>
    <s v="Free"/>
    <n v="0"/>
    <n v="0"/>
    <n v="0"/>
    <n v="0"/>
    <n v="0"/>
    <n v="1"/>
    <n v="0"/>
    <m/>
    <n v="54.1"/>
  </r>
  <r>
    <x v="1283"/>
    <d v="2025-02-26T00:00:00"/>
    <s v="Treatment"/>
    <s v="West"/>
    <s v="Tablet"/>
    <s v="Social"/>
    <s v="Free"/>
    <n v="1"/>
    <n v="1"/>
    <n v="1"/>
    <n v="0"/>
    <n v="0"/>
    <n v="0"/>
    <n v="0"/>
    <m/>
    <n v="80.099999999999994"/>
  </r>
  <r>
    <x v="1284"/>
    <d v="2025-04-22T00:00:00"/>
    <s v="Treatment"/>
    <s v="North"/>
    <s v="Mobile"/>
    <s v="Social"/>
    <s v="Premium"/>
    <n v="1"/>
    <n v="0"/>
    <n v="0"/>
    <n v="0"/>
    <n v="0"/>
    <n v="0"/>
    <n v="0"/>
    <m/>
    <n v="69.5"/>
  </r>
  <r>
    <x v="1285"/>
    <d v="2025-03-11T00:00:00"/>
    <s v="Treatment"/>
    <s v="North"/>
    <s v="Desktop"/>
    <s v="Organic"/>
    <s v="Basic"/>
    <n v="0"/>
    <n v="0"/>
    <n v="0"/>
    <n v="0"/>
    <n v="0"/>
    <n v="2"/>
    <n v="0"/>
    <m/>
    <n v="46.6"/>
  </r>
  <r>
    <x v="1286"/>
    <d v="2025-05-08T00:00:00"/>
    <s v="Treatment"/>
    <s v="South"/>
    <s v="Mobile"/>
    <s v="Organic"/>
    <s v="Premium"/>
    <n v="1"/>
    <n v="0"/>
    <n v="0"/>
    <n v="0"/>
    <n v="0"/>
    <n v="1"/>
    <n v="0"/>
    <m/>
    <n v="54.9"/>
  </r>
  <r>
    <x v="1287"/>
    <d v="2025-03-10T00:00:00"/>
    <s v="Treatment"/>
    <s v="East"/>
    <s v="Desktop"/>
    <s v="Organic"/>
    <s v="Free"/>
    <n v="0"/>
    <n v="0"/>
    <n v="0"/>
    <n v="0"/>
    <n v="0"/>
    <n v="0"/>
    <n v="0"/>
    <m/>
    <n v="100"/>
  </r>
  <r>
    <x v="1288"/>
    <d v="2025-04-16T00:00:00"/>
    <s v="Treatment"/>
    <s v="East"/>
    <s v="Desktop"/>
    <s v="Paid Search"/>
    <s v="Free"/>
    <n v="1"/>
    <n v="1"/>
    <n v="1"/>
    <n v="0"/>
    <n v="0"/>
    <n v="1"/>
    <n v="0"/>
    <m/>
    <n v="80.5"/>
  </r>
  <r>
    <x v="1289"/>
    <d v="2025-03-01T00:00:00"/>
    <s v="Treatment"/>
    <s v="West"/>
    <s v="Tablet"/>
    <s v="Organic"/>
    <s v="Basic"/>
    <n v="1"/>
    <n v="0"/>
    <n v="0"/>
    <n v="0"/>
    <n v="0"/>
    <n v="0"/>
    <n v="0"/>
    <m/>
    <n v="51.2"/>
  </r>
  <r>
    <x v="1290"/>
    <d v="2025-01-18T00:00:00"/>
    <s v="Treatment"/>
    <s v="South"/>
    <s v="Desktop"/>
    <s v="Organic"/>
    <s v="Premium"/>
    <n v="1"/>
    <n v="0"/>
    <n v="0"/>
    <n v="0"/>
    <n v="0"/>
    <n v="0"/>
    <n v="0"/>
    <m/>
    <n v="42.5"/>
  </r>
  <r>
    <x v="1291"/>
    <d v="2025-03-30T00:00:00"/>
    <s v="Treatment"/>
    <s v="North"/>
    <s v="Mobile"/>
    <s v="Paid Search"/>
    <s v="Free"/>
    <n v="0"/>
    <n v="0"/>
    <n v="0"/>
    <n v="0"/>
    <n v="0"/>
    <n v="0"/>
    <n v="0"/>
    <m/>
    <n v="72.5"/>
  </r>
  <r>
    <x v="1292"/>
    <d v="2025-05-26T00:00:00"/>
    <s v="Treatment"/>
    <s v="West"/>
    <s v="Mobile"/>
    <s v="Social"/>
    <s v="Premium"/>
    <n v="0"/>
    <n v="0"/>
    <n v="0"/>
    <n v="0"/>
    <n v="0"/>
    <n v="0"/>
    <n v="0"/>
    <m/>
    <n v="74.400000000000006"/>
  </r>
  <r>
    <x v="1293"/>
    <d v="2025-03-19T00:00:00"/>
    <s v="Treatment"/>
    <s v="East"/>
    <s v="Desktop"/>
    <s v="Social"/>
    <s v="Free"/>
    <n v="0"/>
    <n v="0"/>
    <n v="0"/>
    <n v="0"/>
    <n v="0"/>
    <n v="0"/>
    <n v="0"/>
    <m/>
    <n v="78.400000000000006"/>
  </r>
  <r>
    <x v="1294"/>
    <d v="2025-03-28T00:00:00"/>
    <s v="Treatment"/>
    <s v="North"/>
    <s v="Desktop"/>
    <s v="Referral"/>
    <s v="Free"/>
    <n v="1"/>
    <n v="0"/>
    <n v="0"/>
    <n v="0"/>
    <n v="0"/>
    <n v="0"/>
    <n v="0"/>
    <m/>
    <n v="71.5"/>
  </r>
  <r>
    <x v="1295"/>
    <d v="2025-05-28T00:00:00"/>
    <s v="Treatment"/>
    <s v="South"/>
    <s v="Desktop"/>
    <s v="Social"/>
    <s v="Free"/>
    <n v="1"/>
    <n v="0"/>
    <n v="0"/>
    <n v="0"/>
    <n v="0"/>
    <n v="0"/>
    <n v="0"/>
    <m/>
    <n v="66.7"/>
  </r>
  <r>
    <x v="1296"/>
    <d v="2025-05-31T00:00:00"/>
    <s v="Treatment"/>
    <s v="South"/>
    <s v="Desktop"/>
    <s v="Referral"/>
    <s v="Premium"/>
    <n v="1"/>
    <n v="1"/>
    <n v="1"/>
    <n v="1"/>
    <n v="1496.09"/>
    <n v="0"/>
    <n v="0"/>
    <n v="7"/>
    <n v="60.4"/>
  </r>
  <r>
    <x v="1297"/>
    <d v="2025-05-10T00:00:00"/>
    <s v="Treatment"/>
    <s v="North"/>
    <s v="Mobile"/>
    <s v="Referral"/>
    <s v="Free"/>
    <n v="0"/>
    <n v="0"/>
    <n v="0"/>
    <n v="0"/>
    <n v="0"/>
    <n v="1"/>
    <n v="0"/>
    <m/>
    <n v="72.900000000000006"/>
  </r>
  <r>
    <x v="1298"/>
    <d v="2025-05-17T00:00:00"/>
    <s v="Treatment"/>
    <s v="West"/>
    <s v="Mobile"/>
    <s v="Organic"/>
    <s v="Free"/>
    <n v="0"/>
    <n v="0"/>
    <n v="0"/>
    <n v="0"/>
    <n v="0"/>
    <n v="3"/>
    <n v="0"/>
    <m/>
    <m/>
  </r>
  <r>
    <x v="1299"/>
    <d v="2025-01-18T00:00:00"/>
    <s v="Treatment"/>
    <s v="South"/>
    <s v="Mobile"/>
    <s v="Organic"/>
    <s v="Premium"/>
    <n v="1"/>
    <n v="0"/>
    <n v="0"/>
    <n v="0"/>
    <n v="0"/>
    <n v="0"/>
    <n v="0"/>
    <m/>
    <n v="55.2"/>
  </r>
  <r>
    <x v="1300"/>
    <d v="2025-05-04T00:00:00"/>
    <s v="Treatment"/>
    <s v="West"/>
    <s v="Mobile"/>
    <s v="Social"/>
    <s v="Free"/>
    <n v="1"/>
    <n v="0"/>
    <n v="0"/>
    <n v="0"/>
    <n v="0"/>
    <n v="0"/>
    <n v="0"/>
    <m/>
    <n v="67.8"/>
  </r>
  <r>
    <x v="1301"/>
    <d v="2025-03-25T00:00:00"/>
    <s v="Treatment"/>
    <s v="North"/>
    <s v="Mobile"/>
    <s v="Organic"/>
    <s v="Free"/>
    <n v="1"/>
    <n v="0"/>
    <n v="0"/>
    <n v="0"/>
    <n v="0"/>
    <n v="2"/>
    <n v="0"/>
    <m/>
    <n v="70"/>
  </r>
  <r>
    <x v="1302"/>
    <d v="2025-02-27T00:00:00"/>
    <s v="Treatment"/>
    <s v="North"/>
    <s v="Mobile"/>
    <s v="Social"/>
    <s v="Basic"/>
    <n v="1"/>
    <n v="1"/>
    <n v="1"/>
    <n v="0"/>
    <n v="0"/>
    <n v="0"/>
    <n v="0"/>
    <m/>
    <n v="51.1"/>
  </r>
  <r>
    <x v="1303"/>
    <d v="2025-01-14T00:00:00"/>
    <s v="Treatment"/>
    <s v="West"/>
    <s v="Mobile"/>
    <s v="Paid Search"/>
    <s v="Basic"/>
    <n v="1"/>
    <n v="1"/>
    <n v="1"/>
    <n v="0"/>
    <n v="0"/>
    <n v="0"/>
    <n v="0"/>
    <m/>
    <n v="57"/>
  </r>
  <r>
    <x v="1304"/>
    <d v="2025-04-11T00:00:00"/>
    <s v="Treatment"/>
    <s v="East"/>
    <s v="Mobile"/>
    <s v="Social"/>
    <s v="Free"/>
    <n v="0"/>
    <n v="0"/>
    <n v="0"/>
    <n v="0"/>
    <n v="0"/>
    <n v="1"/>
    <n v="0"/>
    <m/>
    <n v="47.1"/>
  </r>
  <r>
    <x v="1305"/>
    <d v="2025-03-26T00:00:00"/>
    <s v="Treatment"/>
    <s v="East"/>
    <s v="Desktop"/>
    <s v="Social"/>
    <s v="Basic"/>
    <n v="0"/>
    <n v="0"/>
    <n v="0"/>
    <n v="0"/>
    <n v="0"/>
    <n v="0"/>
    <n v="0"/>
    <m/>
    <n v="30.7"/>
  </r>
  <r>
    <x v="1306"/>
    <d v="2025-02-12T00:00:00"/>
    <s v="Treatment"/>
    <s v="West"/>
    <s v="Desktop"/>
    <s v="Social"/>
    <s v="Free"/>
    <n v="1"/>
    <n v="0"/>
    <n v="0"/>
    <n v="0"/>
    <n v="0"/>
    <n v="0"/>
    <n v="0"/>
    <m/>
    <n v="57.3"/>
  </r>
  <r>
    <x v="1307"/>
    <d v="2025-02-18T00:00:00"/>
    <s v="Treatment"/>
    <s v="West"/>
    <s v="Tablet"/>
    <s v="Paid Search"/>
    <s v="Basic"/>
    <n v="1"/>
    <n v="0"/>
    <n v="0"/>
    <n v="0"/>
    <n v="0"/>
    <n v="0"/>
    <n v="0"/>
    <m/>
    <n v="70"/>
  </r>
  <r>
    <x v="1308"/>
    <d v="2025-05-25T00:00:00"/>
    <s v="Treatment"/>
    <s v="East"/>
    <s v="Desktop"/>
    <s v="Social"/>
    <s v="Free"/>
    <n v="1"/>
    <n v="1"/>
    <n v="1"/>
    <n v="0"/>
    <n v="0"/>
    <n v="0"/>
    <n v="0"/>
    <m/>
    <n v="59.7"/>
  </r>
  <r>
    <x v="1309"/>
    <d v="2025-05-23T00:00:00"/>
    <s v="Treatment"/>
    <s v="East"/>
    <s v="Desktop"/>
    <s v="Paid Search"/>
    <s v="Basic"/>
    <n v="1"/>
    <n v="0"/>
    <n v="0"/>
    <n v="0"/>
    <n v="0"/>
    <n v="0"/>
    <n v="0"/>
    <m/>
    <n v="68.8"/>
  </r>
  <r>
    <x v="1310"/>
    <d v="2025-01-16T00:00:00"/>
    <s v="Treatment"/>
    <s v="North"/>
    <s v="Desktop"/>
    <s v="Organic"/>
    <s v="Free"/>
    <n v="1"/>
    <n v="1"/>
    <n v="1"/>
    <n v="1"/>
    <n v="428.37"/>
    <n v="0"/>
    <n v="0"/>
    <n v="9"/>
    <n v="88.3"/>
  </r>
  <r>
    <x v="1311"/>
    <d v="2025-01-19T00:00:00"/>
    <s v="Treatment"/>
    <s v="West"/>
    <s v="Desktop"/>
    <s v="Email"/>
    <s v="Basic"/>
    <n v="0"/>
    <n v="0"/>
    <n v="0"/>
    <n v="0"/>
    <n v="0"/>
    <n v="0"/>
    <n v="0"/>
    <m/>
    <n v="83.4"/>
  </r>
  <r>
    <x v="1312"/>
    <d v="2025-05-18T00:00:00"/>
    <s v="Treatment"/>
    <s v="South"/>
    <s v="Mobile"/>
    <s v="Referral"/>
    <s v="Free"/>
    <n v="0"/>
    <n v="0"/>
    <n v="0"/>
    <n v="0"/>
    <n v="0"/>
    <n v="1"/>
    <n v="0"/>
    <m/>
    <n v="81.599999999999994"/>
  </r>
  <r>
    <x v="1313"/>
    <d v="2025-01-23T00:00:00"/>
    <s v="Treatment"/>
    <s v="East"/>
    <s v="Tablet"/>
    <s v="Social"/>
    <s v="Premium"/>
    <n v="1"/>
    <n v="0"/>
    <n v="0"/>
    <n v="0"/>
    <n v="0"/>
    <n v="0"/>
    <n v="0"/>
    <m/>
    <n v="91.6"/>
  </r>
  <r>
    <x v="1314"/>
    <d v="2025-01-08T00:00:00"/>
    <s v="Treatment"/>
    <s v="East"/>
    <s v="Tablet"/>
    <m/>
    <s v="Premium"/>
    <n v="1"/>
    <n v="1"/>
    <n v="1"/>
    <n v="0"/>
    <n v="0"/>
    <n v="1"/>
    <n v="0"/>
    <m/>
    <n v="61.5"/>
  </r>
  <r>
    <x v="1315"/>
    <d v="2025-02-19T00:00:00"/>
    <s v="Treatment"/>
    <s v="North"/>
    <s v="Mobile"/>
    <s v="Organic"/>
    <s v="Premium"/>
    <n v="0"/>
    <n v="0"/>
    <n v="0"/>
    <n v="0"/>
    <n v="0"/>
    <n v="0"/>
    <n v="0"/>
    <m/>
    <m/>
  </r>
  <r>
    <x v="1316"/>
    <d v="2025-02-10T00:00:00"/>
    <s v="Treatment"/>
    <s v="South"/>
    <s v="Mobile"/>
    <s v="Organic"/>
    <s v="Free"/>
    <n v="1"/>
    <n v="0"/>
    <n v="0"/>
    <n v="0"/>
    <n v="0"/>
    <n v="0"/>
    <n v="0"/>
    <m/>
    <n v="32.6"/>
  </r>
  <r>
    <x v="1317"/>
    <d v="2025-04-13T00:00:00"/>
    <s v="Treatment"/>
    <s v="South"/>
    <s v="Mobile"/>
    <s v="Paid Search"/>
    <s v="Free"/>
    <n v="1"/>
    <n v="0"/>
    <n v="0"/>
    <n v="0"/>
    <n v="0"/>
    <n v="0"/>
    <n v="0"/>
    <m/>
    <n v="73.900000000000006"/>
  </r>
  <r>
    <x v="1318"/>
    <d v="2025-05-20T00:00:00"/>
    <s v="Treatment"/>
    <s v="East"/>
    <s v="Mobile"/>
    <s v="Organic"/>
    <s v="Free"/>
    <n v="1"/>
    <n v="1"/>
    <n v="1"/>
    <n v="1"/>
    <n v="444.06"/>
    <n v="0"/>
    <n v="0"/>
    <n v="9"/>
    <n v="99.9"/>
  </r>
  <r>
    <x v="1319"/>
    <d v="2025-05-13T00:00:00"/>
    <s v="Treatment"/>
    <s v="South"/>
    <s v="Mobile"/>
    <s v="Paid Search"/>
    <s v="Basic"/>
    <n v="1"/>
    <n v="1"/>
    <n v="0"/>
    <n v="0"/>
    <n v="0"/>
    <n v="1"/>
    <n v="0"/>
    <m/>
    <n v="62.4"/>
  </r>
  <r>
    <x v="1320"/>
    <d v="2025-05-28T00:00:00"/>
    <s v="Treatment"/>
    <s v="South"/>
    <s v="Desktop"/>
    <s v="Paid Search"/>
    <s v="Basic"/>
    <n v="1"/>
    <n v="0"/>
    <n v="0"/>
    <n v="0"/>
    <n v="0"/>
    <n v="0"/>
    <n v="0"/>
    <m/>
    <n v="46.1"/>
  </r>
  <r>
    <x v="1321"/>
    <d v="2025-03-19T00:00:00"/>
    <s v="Treatment"/>
    <s v="West"/>
    <s v="Mobile"/>
    <s v="Organic"/>
    <s v="Free"/>
    <n v="1"/>
    <n v="1"/>
    <n v="1"/>
    <n v="1"/>
    <n v="2660.21"/>
    <n v="0"/>
    <n v="0"/>
    <n v="3"/>
    <n v="73.900000000000006"/>
  </r>
  <r>
    <x v="1322"/>
    <d v="2025-02-03T00:00:00"/>
    <s v="Treatment"/>
    <s v="North"/>
    <s v="Mobile"/>
    <s v="Email"/>
    <s v="Premium"/>
    <n v="0"/>
    <n v="0"/>
    <n v="0"/>
    <n v="0"/>
    <n v="0"/>
    <n v="0"/>
    <n v="0"/>
    <m/>
    <n v="90"/>
  </r>
  <r>
    <x v="1323"/>
    <d v="2025-02-26T00:00:00"/>
    <s v="Treatment"/>
    <s v="South"/>
    <s v="Mobile"/>
    <s v="Email"/>
    <s v="Basic"/>
    <n v="1"/>
    <n v="0"/>
    <n v="0"/>
    <n v="0"/>
    <n v="0"/>
    <n v="1"/>
    <n v="0"/>
    <m/>
    <n v="68.8"/>
  </r>
  <r>
    <x v="1324"/>
    <d v="2025-01-26T00:00:00"/>
    <s v="Treatment"/>
    <s v="West"/>
    <s v="Mobile"/>
    <s v="Paid Search"/>
    <s v="Free"/>
    <n v="1"/>
    <n v="0"/>
    <n v="0"/>
    <n v="0"/>
    <n v="0"/>
    <n v="0"/>
    <n v="0"/>
    <m/>
    <n v="66.599999999999994"/>
  </r>
  <r>
    <x v="1325"/>
    <d v="2025-05-13T00:00:00"/>
    <s v="Treatment"/>
    <s v="North"/>
    <s v="Mobile"/>
    <s v="Organic"/>
    <s v="Premium"/>
    <n v="1"/>
    <n v="0"/>
    <n v="0"/>
    <n v="0"/>
    <n v="0"/>
    <n v="0"/>
    <n v="0"/>
    <m/>
    <n v="49.7"/>
  </r>
  <r>
    <x v="1326"/>
    <d v="2025-02-02T00:00:00"/>
    <s v="Treatment"/>
    <s v="South"/>
    <s v="Mobile"/>
    <s v="Paid Search"/>
    <s v="Basic"/>
    <n v="0"/>
    <n v="0"/>
    <n v="0"/>
    <n v="0"/>
    <n v="0"/>
    <n v="0"/>
    <n v="0"/>
    <m/>
    <n v="67.900000000000006"/>
  </r>
  <r>
    <x v="1327"/>
    <d v="2025-04-30T00:00:00"/>
    <s v="Treatment"/>
    <s v="West"/>
    <s v="Mobile"/>
    <m/>
    <s v="Basic"/>
    <n v="0"/>
    <n v="0"/>
    <n v="0"/>
    <n v="0"/>
    <n v="0"/>
    <n v="0"/>
    <n v="0"/>
    <m/>
    <n v="66.900000000000006"/>
  </r>
  <r>
    <x v="1328"/>
    <d v="2025-03-29T00:00:00"/>
    <s v="Treatment"/>
    <s v="East"/>
    <s v="Mobile"/>
    <s v="Organic"/>
    <s v="Free"/>
    <n v="0"/>
    <n v="0"/>
    <n v="0"/>
    <n v="0"/>
    <n v="0"/>
    <n v="0"/>
    <n v="0"/>
    <m/>
    <n v="46.1"/>
  </r>
  <r>
    <x v="1329"/>
    <d v="2025-04-09T00:00:00"/>
    <s v="Treatment"/>
    <s v="West"/>
    <s v="Desktop"/>
    <s v="Referral"/>
    <s v="Premium"/>
    <n v="1"/>
    <n v="0"/>
    <n v="0"/>
    <n v="0"/>
    <n v="0"/>
    <n v="0"/>
    <n v="0"/>
    <m/>
    <n v="85.6"/>
  </r>
  <r>
    <x v="1330"/>
    <d v="2025-01-22T00:00:00"/>
    <s v="Treatment"/>
    <s v="South"/>
    <s v="Tablet"/>
    <s v="Organic"/>
    <s v="Free"/>
    <n v="0"/>
    <n v="0"/>
    <n v="0"/>
    <n v="0"/>
    <n v="0"/>
    <n v="0"/>
    <n v="0"/>
    <m/>
    <n v="39.6"/>
  </r>
  <r>
    <x v="1331"/>
    <d v="2025-01-27T00:00:00"/>
    <s v="Treatment"/>
    <s v="South"/>
    <s v="Mobile"/>
    <s v="Organic"/>
    <s v="Basic"/>
    <n v="1"/>
    <n v="0"/>
    <n v="0"/>
    <n v="0"/>
    <n v="0"/>
    <n v="0"/>
    <n v="0"/>
    <m/>
    <n v="52.5"/>
  </r>
  <r>
    <x v="1332"/>
    <d v="2025-01-22T00:00:00"/>
    <s v="Treatment"/>
    <s v="East"/>
    <s v="Mobile"/>
    <s v="Social"/>
    <s v="Premium"/>
    <n v="1"/>
    <n v="0"/>
    <n v="0"/>
    <n v="0"/>
    <n v="0"/>
    <n v="0"/>
    <n v="0"/>
    <m/>
    <n v="73.5"/>
  </r>
  <r>
    <x v="1333"/>
    <d v="2025-01-06T00:00:00"/>
    <s v="Treatment"/>
    <s v="West"/>
    <s v="Desktop"/>
    <s v="Paid Search"/>
    <s v="Free"/>
    <n v="0"/>
    <n v="0"/>
    <n v="0"/>
    <n v="0"/>
    <n v="0"/>
    <n v="0"/>
    <n v="0"/>
    <m/>
    <n v="62.5"/>
  </r>
  <r>
    <x v="1334"/>
    <d v="2025-04-16T00:00:00"/>
    <s v="Treatment"/>
    <s v="South"/>
    <m/>
    <s v="Organic"/>
    <s v="Free"/>
    <n v="1"/>
    <n v="0"/>
    <n v="0"/>
    <n v="0"/>
    <n v="0"/>
    <n v="0"/>
    <n v="0"/>
    <m/>
    <n v="76.900000000000006"/>
  </r>
  <r>
    <x v="1335"/>
    <d v="2025-04-14T00:00:00"/>
    <s v="Treatment"/>
    <s v="South"/>
    <s v="Mobile"/>
    <s v="Organic"/>
    <s v="Free"/>
    <n v="1"/>
    <n v="0"/>
    <n v="0"/>
    <n v="0"/>
    <n v="0"/>
    <n v="0"/>
    <n v="0"/>
    <m/>
    <n v="51.4"/>
  </r>
  <r>
    <x v="1336"/>
    <d v="2025-02-22T00:00:00"/>
    <s v="Treatment"/>
    <s v="West"/>
    <s v="Mobile"/>
    <s v="Paid Search"/>
    <s v="Basic"/>
    <n v="1"/>
    <n v="0"/>
    <n v="0"/>
    <n v="0"/>
    <n v="0"/>
    <n v="0"/>
    <n v="0"/>
    <m/>
    <n v="59.3"/>
  </r>
  <r>
    <x v="1337"/>
    <d v="2025-03-09T00:00:00"/>
    <s v="Treatment"/>
    <s v="North"/>
    <s v="Mobile"/>
    <s v="Organic"/>
    <s v="Basic"/>
    <n v="0"/>
    <n v="0"/>
    <n v="0"/>
    <n v="0"/>
    <n v="0"/>
    <n v="0"/>
    <n v="0"/>
    <m/>
    <n v="74.900000000000006"/>
  </r>
  <r>
    <x v="1338"/>
    <d v="2025-04-20T00:00:00"/>
    <s v="Treatment"/>
    <s v="West"/>
    <s v="Desktop"/>
    <s v="Organic"/>
    <s v="Free"/>
    <n v="1"/>
    <n v="0"/>
    <n v="0"/>
    <n v="0"/>
    <n v="0"/>
    <n v="0"/>
    <n v="0"/>
    <m/>
    <n v="67"/>
  </r>
  <r>
    <x v="1339"/>
    <d v="2025-03-10T00:00:00"/>
    <s v="Treatment"/>
    <s v="South"/>
    <s v="Mobile"/>
    <s v="Email"/>
    <s v="Free"/>
    <n v="0"/>
    <n v="0"/>
    <n v="0"/>
    <n v="0"/>
    <n v="0"/>
    <n v="0"/>
    <n v="0"/>
    <m/>
    <n v="63.6"/>
  </r>
  <r>
    <x v="1340"/>
    <d v="2025-02-21T00:00:00"/>
    <s v="Treatment"/>
    <s v="South"/>
    <s v="Mobile"/>
    <s v="Email"/>
    <s v="Free"/>
    <n v="1"/>
    <n v="1"/>
    <n v="0"/>
    <n v="0"/>
    <n v="0"/>
    <n v="1"/>
    <n v="0"/>
    <m/>
    <n v="58.4"/>
  </r>
  <r>
    <x v="1341"/>
    <d v="2025-01-06T00:00:00"/>
    <s v="Treatment"/>
    <s v="North"/>
    <s v="Desktop"/>
    <s v="Social"/>
    <s v="Free"/>
    <n v="1"/>
    <n v="0"/>
    <n v="0"/>
    <n v="0"/>
    <n v="0"/>
    <n v="0"/>
    <n v="0"/>
    <m/>
    <n v="36.799999999999997"/>
  </r>
  <r>
    <x v="1342"/>
    <d v="2025-04-17T00:00:00"/>
    <s v="Treatment"/>
    <s v="South"/>
    <s v="Mobile"/>
    <s v="Organic"/>
    <s v="Premium"/>
    <n v="1"/>
    <n v="0"/>
    <n v="0"/>
    <n v="0"/>
    <n v="0"/>
    <n v="0"/>
    <n v="0"/>
    <m/>
    <n v="71.599999999999994"/>
  </r>
  <r>
    <x v="1343"/>
    <d v="2025-05-23T00:00:00"/>
    <s v="Treatment"/>
    <s v="South"/>
    <s v="Mobile"/>
    <s v="Email"/>
    <s v="Basic"/>
    <n v="1"/>
    <n v="1"/>
    <n v="0"/>
    <n v="0"/>
    <n v="0"/>
    <n v="1"/>
    <n v="0"/>
    <m/>
    <n v="79.7"/>
  </r>
  <r>
    <x v="1344"/>
    <d v="2025-03-14T00:00:00"/>
    <s v="Treatment"/>
    <s v="West"/>
    <s v="Desktop"/>
    <s v="Organic"/>
    <s v="Basic"/>
    <n v="1"/>
    <n v="0"/>
    <n v="0"/>
    <n v="0"/>
    <n v="0"/>
    <n v="1"/>
    <n v="0"/>
    <m/>
    <n v="56.5"/>
  </r>
  <r>
    <x v="1345"/>
    <d v="2025-04-21T00:00:00"/>
    <s v="Treatment"/>
    <s v="North"/>
    <s v="Mobile"/>
    <s v="Social"/>
    <s v="Premium"/>
    <n v="1"/>
    <n v="0"/>
    <n v="0"/>
    <n v="0"/>
    <n v="0"/>
    <n v="0"/>
    <n v="0"/>
    <m/>
    <n v="44.7"/>
  </r>
  <r>
    <x v="1346"/>
    <d v="2025-01-03T00:00:00"/>
    <s v="Treatment"/>
    <s v="South"/>
    <s v="Mobile"/>
    <s v="Social"/>
    <s v="Free"/>
    <n v="1"/>
    <n v="1"/>
    <n v="1"/>
    <n v="0"/>
    <n v="0"/>
    <n v="1"/>
    <n v="0"/>
    <m/>
    <n v="66"/>
  </r>
  <r>
    <x v="1347"/>
    <d v="2025-05-09T00:00:00"/>
    <s v="Treatment"/>
    <s v="North"/>
    <s v="Desktop"/>
    <s v="Organic"/>
    <s v="Basic"/>
    <n v="1"/>
    <n v="0"/>
    <n v="0"/>
    <n v="0"/>
    <n v="0"/>
    <n v="0"/>
    <n v="0"/>
    <m/>
    <n v="73"/>
  </r>
  <r>
    <x v="1348"/>
    <d v="2025-05-22T00:00:00"/>
    <s v="Treatment"/>
    <s v="South"/>
    <s v="Mobile"/>
    <s v="Organic"/>
    <s v="Basic"/>
    <n v="1"/>
    <n v="1"/>
    <n v="1"/>
    <n v="0"/>
    <n v="0"/>
    <n v="1"/>
    <n v="0"/>
    <m/>
    <n v="72.5"/>
  </r>
  <r>
    <x v="1349"/>
    <d v="2025-05-07T00:00:00"/>
    <s v="Treatment"/>
    <s v="South"/>
    <s v="Desktop"/>
    <s v="Paid Search"/>
    <s v="Free"/>
    <n v="1"/>
    <n v="1"/>
    <n v="1"/>
    <n v="1"/>
    <n v="323.60000000000002"/>
    <n v="0"/>
    <n v="0"/>
    <n v="6"/>
    <n v="100"/>
  </r>
  <r>
    <x v="1350"/>
    <d v="2025-02-08T00:00:00"/>
    <s v="Treatment"/>
    <s v="East"/>
    <s v="Mobile"/>
    <s v="Social"/>
    <s v="Free"/>
    <n v="0"/>
    <n v="0"/>
    <n v="0"/>
    <n v="0"/>
    <n v="0"/>
    <n v="1"/>
    <n v="0"/>
    <m/>
    <n v="90.5"/>
  </r>
  <r>
    <x v="1351"/>
    <d v="2025-04-03T00:00:00"/>
    <s v="Treatment"/>
    <s v="North"/>
    <s v="Tablet"/>
    <s v="Social"/>
    <s v="Basic"/>
    <n v="1"/>
    <n v="0"/>
    <n v="0"/>
    <n v="0"/>
    <n v="0"/>
    <n v="0"/>
    <n v="0"/>
    <m/>
    <n v="70.2"/>
  </r>
  <r>
    <x v="1352"/>
    <d v="2025-04-17T00:00:00"/>
    <s v="Treatment"/>
    <s v="East"/>
    <s v="Desktop"/>
    <s v="Paid Search"/>
    <s v="Free"/>
    <n v="1"/>
    <n v="0"/>
    <n v="0"/>
    <n v="0"/>
    <n v="0"/>
    <n v="1"/>
    <n v="0"/>
    <m/>
    <n v="67.099999999999994"/>
  </r>
  <r>
    <x v="1353"/>
    <d v="2025-05-04T00:00:00"/>
    <s v="Treatment"/>
    <s v="East"/>
    <s v="Mobile"/>
    <s v="Organic"/>
    <s v="Free"/>
    <n v="0"/>
    <n v="0"/>
    <n v="0"/>
    <n v="0"/>
    <n v="0"/>
    <n v="0"/>
    <n v="0"/>
    <m/>
    <n v="54.5"/>
  </r>
  <r>
    <x v="1354"/>
    <d v="2025-05-11T00:00:00"/>
    <s v="Treatment"/>
    <s v="West"/>
    <s v="Desktop"/>
    <s v="Organic"/>
    <s v="Free"/>
    <n v="1"/>
    <n v="0"/>
    <n v="0"/>
    <n v="0"/>
    <n v="0"/>
    <n v="0"/>
    <n v="0"/>
    <m/>
    <n v="63.4"/>
  </r>
  <r>
    <x v="1355"/>
    <d v="2025-03-01T00:00:00"/>
    <s v="Treatment"/>
    <s v="North"/>
    <s v="Desktop"/>
    <m/>
    <s v="Free"/>
    <n v="1"/>
    <n v="1"/>
    <n v="1"/>
    <n v="0"/>
    <n v="0"/>
    <n v="0"/>
    <n v="0"/>
    <m/>
    <n v="84.3"/>
  </r>
  <r>
    <x v="1356"/>
    <d v="2025-02-20T00:00:00"/>
    <s v="Treatment"/>
    <s v="West"/>
    <s v="Desktop"/>
    <s v="Organic"/>
    <s v="Free"/>
    <n v="1"/>
    <n v="0"/>
    <n v="0"/>
    <n v="0"/>
    <n v="0"/>
    <n v="1"/>
    <n v="0"/>
    <m/>
    <n v="55"/>
  </r>
  <r>
    <x v="1357"/>
    <d v="2025-05-09T00:00:00"/>
    <s v="Treatment"/>
    <s v="West"/>
    <s v="Mobile"/>
    <s v="Social"/>
    <s v="Free"/>
    <n v="1"/>
    <n v="0"/>
    <n v="0"/>
    <n v="0"/>
    <n v="0"/>
    <n v="0"/>
    <n v="0"/>
    <m/>
    <n v="63.6"/>
  </r>
  <r>
    <x v="1358"/>
    <d v="2025-04-30T00:00:00"/>
    <s v="Treatment"/>
    <s v="West"/>
    <s v="Mobile"/>
    <s v="Organic"/>
    <s v="Free"/>
    <n v="1"/>
    <n v="0"/>
    <n v="0"/>
    <n v="0"/>
    <n v="0"/>
    <n v="0"/>
    <n v="0"/>
    <m/>
    <n v="55.5"/>
  </r>
  <r>
    <x v="1359"/>
    <d v="2025-01-07T00:00:00"/>
    <s v="Treatment"/>
    <s v="South"/>
    <s v="Mobile"/>
    <s v="Social"/>
    <s v="Basic"/>
    <n v="0"/>
    <n v="0"/>
    <n v="0"/>
    <n v="0"/>
    <n v="0"/>
    <n v="0"/>
    <n v="0"/>
    <m/>
    <n v="50.5"/>
  </r>
  <r>
    <x v="1360"/>
    <d v="2025-04-30T00:00:00"/>
    <s v="Treatment"/>
    <s v="North"/>
    <s v="Mobile"/>
    <s v="Social"/>
    <s v="Basic"/>
    <n v="1"/>
    <n v="0"/>
    <n v="0"/>
    <n v="0"/>
    <n v="0"/>
    <n v="0"/>
    <n v="0"/>
    <m/>
    <n v="45.3"/>
  </r>
  <r>
    <x v="1361"/>
    <d v="2025-05-23T00:00:00"/>
    <s v="Treatment"/>
    <s v="East"/>
    <s v="Mobile"/>
    <s v="Organic"/>
    <s v="Basic"/>
    <n v="1"/>
    <n v="0"/>
    <n v="0"/>
    <n v="0"/>
    <n v="0"/>
    <n v="0"/>
    <n v="0"/>
    <m/>
    <n v="33.6"/>
  </r>
  <r>
    <x v="1362"/>
    <d v="2025-03-12T00:00:00"/>
    <s v="Treatment"/>
    <s v="South"/>
    <s v="Mobile"/>
    <s v="Paid Search"/>
    <s v="Premium"/>
    <n v="1"/>
    <n v="1"/>
    <n v="1"/>
    <n v="0"/>
    <n v="0"/>
    <n v="0"/>
    <n v="0"/>
    <m/>
    <n v="88.2"/>
  </r>
  <r>
    <x v="1363"/>
    <d v="2025-02-17T00:00:00"/>
    <s v="Treatment"/>
    <s v="North"/>
    <s v="Mobile"/>
    <s v="Organic"/>
    <s v="Premium"/>
    <n v="1"/>
    <n v="0"/>
    <n v="0"/>
    <n v="0"/>
    <n v="0"/>
    <n v="0"/>
    <n v="0"/>
    <m/>
    <n v="51.8"/>
  </r>
  <r>
    <x v="1364"/>
    <d v="2025-05-27T00:00:00"/>
    <s v="Treatment"/>
    <s v="North"/>
    <s v="Desktop"/>
    <s v="Organic"/>
    <s v="Basic"/>
    <n v="0"/>
    <n v="0"/>
    <n v="0"/>
    <n v="0"/>
    <n v="0"/>
    <n v="0"/>
    <n v="0"/>
    <m/>
    <n v="87.9"/>
  </r>
  <r>
    <x v="1365"/>
    <d v="2025-05-10T00:00:00"/>
    <s v="Treatment"/>
    <s v="South"/>
    <s v="Mobile"/>
    <s v="Social"/>
    <s v="Premium"/>
    <n v="1"/>
    <n v="0"/>
    <n v="0"/>
    <n v="0"/>
    <n v="0"/>
    <n v="2"/>
    <n v="0"/>
    <m/>
    <n v="70.5"/>
  </r>
  <r>
    <x v="1366"/>
    <d v="2025-01-20T00:00:00"/>
    <s v="Treatment"/>
    <s v="North"/>
    <s v="Mobile"/>
    <s v="Organic"/>
    <s v="Basic"/>
    <n v="1"/>
    <n v="1"/>
    <n v="0"/>
    <n v="0"/>
    <n v="0"/>
    <n v="2"/>
    <n v="0"/>
    <m/>
    <n v="58.5"/>
  </r>
  <r>
    <x v="1367"/>
    <d v="2025-01-19T00:00:00"/>
    <s v="Treatment"/>
    <s v="East"/>
    <s v="Mobile"/>
    <s v="Referral"/>
    <s v="Free"/>
    <n v="1"/>
    <n v="0"/>
    <n v="0"/>
    <n v="0"/>
    <n v="0"/>
    <n v="0"/>
    <n v="0"/>
    <m/>
    <n v="65.599999999999994"/>
  </r>
  <r>
    <x v="1368"/>
    <d v="2025-03-07T00:00:00"/>
    <s v="Treatment"/>
    <s v="West"/>
    <s v="Desktop"/>
    <s v="Paid Search"/>
    <s v="Basic"/>
    <n v="1"/>
    <n v="1"/>
    <n v="0"/>
    <n v="0"/>
    <n v="0"/>
    <n v="0"/>
    <n v="0"/>
    <m/>
    <n v="62.7"/>
  </r>
  <r>
    <x v="1369"/>
    <d v="2025-02-02T00:00:00"/>
    <s v="Treatment"/>
    <s v="East"/>
    <s v="Mobile"/>
    <s v="Organic"/>
    <s v="Free"/>
    <n v="0"/>
    <n v="0"/>
    <n v="0"/>
    <n v="0"/>
    <n v="0"/>
    <n v="1"/>
    <n v="0"/>
    <m/>
    <n v="50.9"/>
  </r>
  <r>
    <x v="1370"/>
    <d v="2025-03-07T00:00:00"/>
    <s v="Treatment"/>
    <s v="North"/>
    <s v="Mobile"/>
    <s v="Organic"/>
    <s v="Free"/>
    <n v="0"/>
    <n v="0"/>
    <n v="0"/>
    <n v="0"/>
    <n v="0"/>
    <n v="1"/>
    <n v="0"/>
    <m/>
    <n v="60.6"/>
  </r>
  <r>
    <x v="1371"/>
    <d v="2025-03-30T00:00:00"/>
    <s v="Treatment"/>
    <s v="East"/>
    <s v="Desktop"/>
    <s v="Organic"/>
    <s v="Free"/>
    <n v="1"/>
    <n v="1"/>
    <n v="1"/>
    <n v="0"/>
    <n v="0"/>
    <n v="0"/>
    <n v="0"/>
    <m/>
    <n v="76.599999999999994"/>
  </r>
  <r>
    <x v="1372"/>
    <d v="2025-05-05T00:00:00"/>
    <s v="Treatment"/>
    <s v="East"/>
    <s v="Desktop"/>
    <s v="Paid Search"/>
    <s v="Free"/>
    <n v="1"/>
    <n v="1"/>
    <n v="1"/>
    <n v="0"/>
    <n v="0"/>
    <n v="0"/>
    <n v="0"/>
    <m/>
    <n v="54.4"/>
  </r>
  <r>
    <x v="1373"/>
    <d v="2025-04-11T00:00:00"/>
    <s v="Treatment"/>
    <s v="South"/>
    <s v="Mobile"/>
    <s v="Social"/>
    <s v="Free"/>
    <n v="1"/>
    <n v="0"/>
    <n v="0"/>
    <n v="0"/>
    <n v="0"/>
    <n v="0"/>
    <n v="0"/>
    <m/>
    <n v="31.2"/>
  </r>
  <r>
    <x v="1374"/>
    <d v="2025-03-25T00:00:00"/>
    <s v="Treatment"/>
    <s v="West"/>
    <s v="Desktop"/>
    <s v="Email"/>
    <s v="Premium"/>
    <n v="1"/>
    <n v="0"/>
    <n v="0"/>
    <n v="0"/>
    <n v="0"/>
    <n v="0"/>
    <n v="0"/>
    <m/>
    <n v="72.400000000000006"/>
  </r>
  <r>
    <x v="1375"/>
    <d v="2025-03-24T00:00:00"/>
    <s v="Treatment"/>
    <s v="North"/>
    <s v="Mobile"/>
    <s v="Organic"/>
    <s v="Premium"/>
    <n v="1"/>
    <n v="0"/>
    <n v="0"/>
    <n v="0"/>
    <n v="0"/>
    <n v="0"/>
    <n v="0"/>
    <m/>
    <n v="74.5"/>
  </r>
  <r>
    <x v="1376"/>
    <d v="2025-04-27T00:00:00"/>
    <s v="Treatment"/>
    <s v="East"/>
    <s v="Mobile"/>
    <s v="Organic"/>
    <s v="Basic"/>
    <n v="0"/>
    <n v="0"/>
    <n v="0"/>
    <n v="0"/>
    <n v="0"/>
    <n v="0"/>
    <n v="0"/>
    <m/>
    <n v="52.6"/>
  </r>
  <r>
    <x v="1377"/>
    <d v="2025-01-25T00:00:00"/>
    <s v="Treatment"/>
    <s v="North"/>
    <s v="Desktop"/>
    <s v="Paid Search"/>
    <s v="Free"/>
    <n v="1"/>
    <n v="0"/>
    <n v="0"/>
    <n v="0"/>
    <n v="0"/>
    <n v="0"/>
    <n v="0"/>
    <m/>
    <n v="75.400000000000006"/>
  </r>
  <r>
    <x v="1378"/>
    <d v="2025-02-17T00:00:00"/>
    <s v="Treatment"/>
    <s v="North"/>
    <s v="Tablet"/>
    <s v="Social"/>
    <s v="Basic"/>
    <n v="1"/>
    <n v="1"/>
    <n v="1"/>
    <n v="1"/>
    <n v="751.33"/>
    <n v="0"/>
    <n v="0"/>
    <n v="9"/>
    <n v="34"/>
  </r>
  <r>
    <x v="1379"/>
    <d v="2025-04-13T00:00:00"/>
    <s v="Treatment"/>
    <s v="South"/>
    <s v="Desktop"/>
    <s v="Organic"/>
    <s v="Free"/>
    <n v="1"/>
    <n v="0"/>
    <n v="0"/>
    <n v="0"/>
    <n v="0"/>
    <n v="0"/>
    <n v="0"/>
    <m/>
    <n v="67.099999999999994"/>
  </r>
  <r>
    <x v="1380"/>
    <d v="2025-05-03T00:00:00"/>
    <s v="Treatment"/>
    <s v="West"/>
    <s v="Desktop"/>
    <s v="Paid Search"/>
    <s v="Premium"/>
    <n v="1"/>
    <n v="0"/>
    <n v="0"/>
    <n v="0"/>
    <n v="0"/>
    <n v="0"/>
    <n v="0"/>
    <m/>
    <n v="37.299999999999997"/>
  </r>
  <r>
    <x v="1381"/>
    <d v="2025-04-29T00:00:00"/>
    <s v="Treatment"/>
    <s v="West"/>
    <s v="Mobile"/>
    <s v="Email"/>
    <s v="Free"/>
    <n v="1"/>
    <n v="0"/>
    <n v="0"/>
    <n v="0"/>
    <n v="0"/>
    <n v="0"/>
    <n v="0"/>
    <m/>
    <n v="54.7"/>
  </r>
  <r>
    <x v="1382"/>
    <d v="2025-05-03T00:00:00"/>
    <s v="Treatment"/>
    <s v="East"/>
    <s v="Desktop"/>
    <s v="Paid Search"/>
    <s v="Free"/>
    <n v="1"/>
    <n v="0"/>
    <n v="0"/>
    <n v="0"/>
    <n v="0"/>
    <n v="0"/>
    <n v="0"/>
    <m/>
    <n v="51.8"/>
  </r>
  <r>
    <x v="1383"/>
    <d v="2025-04-28T00:00:00"/>
    <s v="Treatment"/>
    <s v="West"/>
    <s v="Mobile"/>
    <s v="Paid Search"/>
    <s v="Free"/>
    <n v="0"/>
    <n v="0"/>
    <n v="0"/>
    <n v="0"/>
    <n v="0"/>
    <n v="0"/>
    <n v="0"/>
    <m/>
    <n v="49.2"/>
  </r>
  <r>
    <x v="1384"/>
    <d v="2025-01-21T00:00:00"/>
    <s v="Treatment"/>
    <s v="West"/>
    <s v="Mobile"/>
    <s v="Organic"/>
    <s v="Free"/>
    <n v="1"/>
    <n v="0"/>
    <n v="0"/>
    <n v="0"/>
    <n v="0"/>
    <n v="2"/>
    <n v="0"/>
    <m/>
    <n v="58.8"/>
  </r>
  <r>
    <x v="1385"/>
    <d v="2025-01-21T00:00:00"/>
    <s v="Treatment"/>
    <s v="North"/>
    <s v="Tablet"/>
    <s v="Paid Search"/>
    <s v="Basic"/>
    <n v="0"/>
    <n v="0"/>
    <n v="0"/>
    <n v="0"/>
    <n v="0"/>
    <n v="1"/>
    <n v="0"/>
    <m/>
    <n v="59.1"/>
  </r>
  <r>
    <x v="1386"/>
    <d v="2025-05-21T00:00:00"/>
    <s v="Treatment"/>
    <s v="West"/>
    <s v="Desktop"/>
    <s v="Paid Search"/>
    <s v="Free"/>
    <n v="1"/>
    <n v="0"/>
    <n v="0"/>
    <n v="0"/>
    <n v="0"/>
    <n v="2"/>
    <n v="0"/>
    <m/>
    <n v="49.6"/>
  </r>
  <r>
    <x v="1387"/>
    <d v="2025-01-05T00:00:00"/>
    <s v="Treatment"/>
    <s v="North"/>
    <s v="Mobile"/>
    <s v="Referral"/>
    <s v="Free"/>
    <n v="0"/>
    <n v="0"/>
    <n v="0"/>
    <n v="0"/>
    <n v="0"/>
    <n v="0"/>
    <n v="0"/>
    <m/>
    <n v="58.2"/>
  </r>
  <r>
    <x v="1388"/>
    <d v="2025-03-06T00:00:00"/>
    <s v="Treatment"/>
    <s v="South"/>
    <s v="Desktop"/>
    <s v="Organic"/>
    <s v="Free"/>
    <n v="1"/>
    <n v="0"/>
    <n v="0"/>
    <n v="0"/>
    <n v="0"/>
    <n v="0"/>
    <n v="0"/>
    <m/>
    <n v="66.8"/>
  </r>
  <r>
    <x v="1389"/>
    <d v="2025-04-18T00:00:00"/>
    <s v="Treatment"/>
    <s v="North"/>
    <s v="Mobile"/>
    <s v="Paid Search"/>
    <s v="Free"/>
    <n v="1"/>
    <n v="0"/>
    <n v="0"/>
    <n v="0"/>
    <n v="0"/>
    <n v="3"/>
    <n v="0"/>
    <m/>
    <n v="58.3"/>
  </r>
  <r>
    <x v="1390"/>
    <d v="2025-04-15T00:00:00"/>
    <s v="Treatment"/>
    <s v="West"/>
    <s v="Mobile"/>
    <s v="Organic"/>
    <s v="Basic"/>
    <n v="1"/>
    <n v="1"/>
    <n v="1"/>
    <n v="0"/>
    <n v="0"/>
    <n v="0"/>
    <n v="0"/>
    <m/>
    <n v="38.5"/>
  </r>
  <r>
    <x v="1391"/>
    <d v="2025-02-10T00:00:00"/>
    <s v="Treatment"/>
    <s v="East"/>
    <s v="Mobile"/>
    <s v="Paid Search"/>
    <s v="Free"/>
    <n v="1"/>
    <n v="0"/>
    <n v="0"/>
    <n v="0"/>
    <n v="0"/>
    <n v="0"/>
    <n v="0"/>
    <m/>
    <n v="76.900000000000006"/>
  </r>
  <r>
    <x v="1392"/>
    <d v="2025-05-08T00:00:00"/>
    <s v="Treatment"/>
    <s v="East"/>
    <s v="Mobile"/>
    <s v="Organic"/>
    <s v="Free"/>
    <n v="1"/>
    <n v="0"/>
    <n v="0"/>
    <n v="0"/>
    <n v="0"/>
    <n v="0"/>
    <n v="0"/>
    <m/>
    <n v="54"/>
  </r>
  <r>
    <x v="1393"/>
    <d v="2025-05-28T00:00:00"/>
    <s v="Treatment"/>
    <s v="East"/>
    <s v="Tablet"/>
    <s v="Organic"/>
    <s v="Free"/>
    <n v="1"/>
    <n v="0"/>
    <n v="0"/>
    <n v="0"/>
    <n v="0"/>
    <n v="0"/>
    <n v="0"/>
    <m/>
    <n v="70.599999999999994"/>
  </r>
  <r>
    <x v="1394"/>
    <d v="2025-04-25T00:00:00"/>
    <s v="Treatment"/>
    <s v="North"/>
    <s v="Tablet"/>
    <s v="Referral"/>
    <s v="Premium"/>
    <n v="1"/>
    <n v="1"/>
    <n v="1"/>
    <n v="0"/>
    <n v="0"/>
    <n v="1"/>
    <n v="0"/>
    <m/>
    <n v="69.400000000000006"/>
  </r>
  <r>
    <x v="1395"/>
    <d v="2025-02-11T00:00:00"/>
    <s v="Treatment"/>
    <s v="South"/>
    <s v="Mobile"/>
    <m/>
    <s v="Premium"/>
    <n v="1"/>
    <n v="1"/>
    <n v="1"/>
    <n v="1"/>
    <n v="1009.9"/>
    <n v="0"/>
    <n v="0"/>
    <n v="6"/>
    <n v="89.7"/>
  </r>
  <r>
    <x v="1396"/>
    <d v="2025-04-14T00:00:00"/>
    <s v="Treatment"/>
    <s v="West"/>
    <s v="Mobile"/>
    <s v="Organic"/>
    <s v="Free"/>
    <n v="1"/>
    <n v="0"/>
    <n v="0"/>
    <n v="0"/>
    <n v="0"/>
    <n v="0"/>
    <n v="0"/>
    <m/>
    <n v="62.4"/>
  </r>
  <r>
    <x v="1397"/>
    <d v="2025-02-04T00:00:00"/>
    <s v="Treatment"/>
    <s v="West"/>
    <s v="Tablet"/>
    <s v="Organic"/>
    <s v="Premium"/>
    <n v="0"/>
    <n v="0"/>
    <n v="0"/>
    <n v="0"/>
    <n v="0"/>
    <n v="0"/>
    <n v="0"/>
    <m/>
    <n v="67.3"/>
  </r>
  <r>
    <x v="1398"/>
    <d v="2025-03-22T00:00:00"/>
    <s v="Treatment"/>
    <s v="East"/>
    <s v="Mobile"/>
    <s v="Referral"/>
    <s v="Free"/>
    <n v="1"/>
    <n v="0"/>
    <n v="0"/>
    <n v="0"/>
    <n v="0"/>
    <n v="0"/>
    <n v="0"/>
    <m/>
    <n v="54.9"/>
  </r>
  <r>
    <x v="1399"/>
    <d v="2025-04-18T00:00:00"/>
    <s v="Treatment"/>
    <s v="East"/>
    <s v="Desktop"/>
    <s v="Social"/>
    <s v="Free"/>
    <n v="0"/>
    <n v="0"/>
    <n v="0"/>
    <n v="0"/>
    <n v="0"/>
    <n v="0"/>
    <n v="0"/>
    <m/>
    <n v="55.7"/>
  </r>
  <r>
    <x v="916"/>
    <d v="2025-02-23T00:00:00"/>
    <s v="Treatment"/>
    <s v="West"/>
    <s v="Desktop"/>
    <s v="Social"/>
    <s v="Basic"/>
    <n v="1"/>
    <n v="1"/>
    <n v="1"/>
    <n v="0"/>
    <n v="0"/>
    <n v="0"/>
    <n v="0"/>
    <m/>
    <n v="70.599999999999994"/>
  </r>
  <r>
    <x v="432"/>
    <d v="2025-02-03T00:00:00"/>
    <s v="Control"/>
    <s v="North"/>
    <s v="Tablet"/>
    <s v="Email"/>
    <s v="Basic"/>
    <n v="1"/>
    <n v="0"/>
    <n v="0"/>
    <n v="0"/>
    <n v="0"/>
    <n v="0"/>
    <n v="0"/>
    <m/>
    <n v="60.9"/>
  </r>
  <r>
    <x v="1361"/>
    <d v="2025-05-23T00:00:00"/>
    <s v="Treatment"/>
    <s v="East"/>
    <s v="Mobile"/>
    <s v="Organic"/>
    <s v="Basic"/>
    <n v="1"/>
    <n v="0"/>
    <n v="0"/>
    <n v="0"/>
    <n v="0"/>
    <n v="0"/>
    <n v="0"/>
    <m/>
    <n v="33.6"/>
  </r>
  <r>
    <x v="95"/>
    <d v="2025-02-05T00:00:00"/>
    <s v="Control"/>
    <s v="East"/>
    <s v="Mobile"/>
    <s v="Social"/>
    <s v="Free"/>
    <n v="0"/>
    <n v="0"/>
    <n v="0"/>
    <n v="0"/>
    <n v="0"/>
    <n v="0"/>
    <n v="0"/>
    <m/>
    <n v="68"/>
  </r>
  <r>
    <x v="1209"/>
    <d v="2025-02-24T00:00:00"/>
    <s v="Treatment"/>
    <s v="West"/>
    <s v="Mobile"/>
    <s v="Organic"/>
    <s v="Basic"/>
    <n v="1"/>
    <n v="0"/>
    <n v="0"/>
    <n v="0"/>
    <n v="0"/>
    <n v="0"/>
    <n v="0"/>
    <m/>
    <n v="62"/>
  </r>
  <r>
    <x v="1231"/>
    <d v="2025-03-30T00:00:00"/>
    <s v="Treatment"/>
    <s v="East"/>
    <s v="Mobile"/>
    <s v="Organic"/>
    <s v="Free"/>
    <n v="1"/>
    <n v="1"/>
    <n v="1"/>
    <n v="0"/>
    <n v="0"/>
    <n v="1"/>
    <n v="0"/>
    <m/>
    <n v="72.5"/>
  </r>
  <r>
    <x v="1058"/>
    <d v="2025-05-16T00:00:00"/>
    <s v="Treatment"/>
    <s v="South"/>
    <s v="Mobile"/>
    <s v="Organic"/>
    <s v="Free"/>
    <n v="1"/>
    <n v="0"/>
    <n v="0"/>
    <n v="0"/>
    <n v="0"/>
    <n v="0"/>
    <n v="0"/>
    <m/>
    <n v="70.3"/>
  </r>
  <r>
    <x v="540"/>
    <d v="2025-05-22T00:00:00"/>
    <s v="Control"/>
    <s v="North"/>
    <s v="Mobile"/>
    <s v="Paid Search"/>
    <s v="Basic"/>
    <n v="1"/>
    <n v="1"/>
    <n v="0"/>
    <n v="0"/>
    <n v="0"/>
    <n v="0"/>
    <n v="0"/>
    <m/>
    <n v="39.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00">
  <r>
    <s v="USR-100001"/>
    <d v="2025-03-16T00:00:00"/>
    <x v="0"/>
    <x v="0"/>
    <x v="0"/>
    <x v="0"/>
    <x v="0"/>
    <x v="0"/>
    <x v="0"/>
    <x v="0"/>
    <x v="0"/>
    <x v="0"/>
    <x v="0"/>
    <x v="0"/>
    <m/>
    <x v="0"/>
  </r>
  <r>
    <s v="USR-100002"/>
    <d v="2025-03-08T00:00:00"/>
    <x v="0"/>
    <x v="1"/>
    <x v="1"/>
    <x v="1"/>
    <x v="1"/>
    <x v="1"/>
    <x v="0"/>
    <x v="0"/>
    <x v="0"/>
    <x v="0"/>
    <x v="0"/>
    <x v="0"/>
    <m/>
    <x v="1"/>
  </r>
  <r>
    <s v="USR-100003"/>
    <d v="2025-04-24T00:00:00"/>
    <x v="0"/>
    <x v="2"/>
    <x v="1"/>
    <x v="2"/>
    <x v="2"/>
    <x v="1"/>
    <x v="0"/>
    <x v="0"/>
    <x v="0"/>
    <x v="0"/>
    <x v="1"/>
    <x v="0"/>
    <m/>
    <x v="2"/>
  </r>
  <r>
    <s v="USR-100004"/>
    <d v="2025-05-04T00:00:00"/>
    <x v="0"/>
    <x v="3"/>
    <x v="1"/>
    <x v="0"/>
    <x v="0"/>
    <x v="1"/>
    <x v="0"/>
    <x v="0"/>
    <x v="0"/>
    <x v="0"/>
    <x v="0"/>
    <x v="0"/>
    <m/>
    <x v="3"/>
  </r>
  <r>
    <s v="USR-100005"/>
    <d v="2025-02-12T00:00:00"/>
    <x v="0"/>
    <x v="0"/>
    <x v="2"/>
    <x v="1"/>
    <x v="1"/>
    <x v="0"/>
    <x v="0"/>
    <x v="0"/>
    <x v="0"/>
    <x v="0"/>
    <x v="0"/>
    <x v="0"/>
    <m/>
    <x v="4"/>
  </r>
  <r>
    <s v="USR-100006"/>
    <d v="2025-01-28T00:00:00"/>
    <x v="0"/>
    <x v="2"/>
    <x v="1"/>
    <x v="1"/>
    <x v="2"/>
    <x v="1"/>
    <x v="0"/>
    <x v="0"/>
    <x v="0"/>
    <x v="0"/>
    <x v="0"/>
    <x v="0"/>
    <m/>
    <x v="5"/>
  </r>
  <r>
    <s v="USR-100007"/>
    <d v="2025-04-08T00:00:00"/>
    <x v="0"/>
    <x v="2"/>
    <x v="1"/>
    <x v="2"/>
    <x v="0"/>
    <x v="1"/>
    <x v="1"/>
    <x v="0"/>
    <x v="0"/>
    <x v="0"/>
    <x v="0"/>
    <x v="0"/>
    <m/>
    <x v="6"/>
  </r>
  <r>
    <s v="USR-100008"/>
    <d v="2025-05-17T00:00:00"/>
    <x v="0"/>
    <x v="3"/>
    <x v="1"/>
    <x v="2"/>
    <x v="1"/>
    <x v="0"/>
    <x v="0"/>
    <x v="0"/>
    <x v="0"/>
    <x v="0"/>
    <x v="0"/>
    <x v="0"/>
    <m/>
    <x v="7"/>
  </r>
  <r>
    <s v="USR-100009"/>
    <d v="2025-02-23T00:00:00"/>
    <x v="0"/>
    <x v="3"/>
    <x v="2"/>
    <x v="3"/>
    <x v="0"/>
    <x v="0"/>
    <x v="0"/>
    <x v="0"/>
    <x v="0"/>
    <x v="0"/>
    <x v="0"/>
    <x v="0"/>
    <m/>
    <x v="8"/>
  </r>
  <r>
    <s v="USR-100010"/>
    <d v="2025-05-29T00:00:00"/>
    <x v="0"/>
    <x v="1"/>
    <x v="0"/>
    <x v="4"/>
    <x v="1"/>
    <x v="1"/>
    <x v="0"/>
    <x v="0"/>
    <x v="0"/>
    <x v="0"/>
    <x v="0"/>
    <x v="0"/>
    <m/>
    <x v="9"/>
  </r>
  <r>
    <s v="USR-100011"/>
    <d v="2025-04-30T00:00:00"/>
    <x v="0"/>
    <x v="2"/>
    <x v="1"/>
    <x v="2"/>
    <x v="0"/>
    <x v="1"/>
    <x v="1"/>
    <x v="1"/>
    <x v="0"/>
    <x v="0"/>
    <x v="0"/>
    <x v="0"/>
    <m/>
    <x v="10"/>
  </r>
  <r>
    <s v="USR-100012"/>
    <d v="2025-03-16T00:00:00"/>
    <x v="0"/>
    <x v="2"/>
    <x v="1"/>
    <x v="4"/>
    <x v="2"/>
    <x v="1"/>
    <x v="1"/>
    <x v="1"/>
    <x v="0"/>
    <x v="0"/>
    <x v="1"/>
    <x v="0"/>
    <m/>
    <x v="11"/>
  </r>
  <r>
    <s v="USR-100013"/>
    <d v="2025-02-07T00:00:00"/>
    <x v="0"/>
    <x v="3"/>
    <x v="0"/>
    <x v="0"/>
    <x v="0"/>
    <x v="1"/>
    <x v="0"/>
    <x v="0"/>
    <x v="0"/>
    <x v="0"/>
    <x v="0"/>
    <x v="0"/>
    <m/>
    <x v="12"/>
  </r>
  <r>
    <s v="USR-100014"/>
    <d v="2025-03-02T00:00:00"/>
    <x v="0"/>
    <x v="1"/>
    <x v="1"/>
    <x v="4"/>
    <x v="0"/>
    <x v="1"/>
    <x v="0"/>
    <x v="0"/>
    <x v="0"/>
    <x v="0"/>
    <x v="0"/>
    <x v="0"/>
    <m/>
    <x v="13"/>
  </r>
  <r>
    <s v="USR-100015"/>
    <d v="2025-05-30T00:00:00"/>
    <x v="0"/>
    <x v="3"/>
    <x v="1"/>
    <x v="1"/>
    <x v="0"/>
    <x v="0"/>
    <x v="0"/>
    <x v="0"/>
    <x v="0"/>
    <x v="0"/>
    <x v="0"/>
    <x v="0"/>
    <m/>
    <x v="14"/>
  </r>
  <r>
    <s v="USR-100016"/>
    <d v="2025-03-25T00:00:00"/>
    <x v="0"/>
    <x v="3"/>
    <x v="1"/>
    <x v="4"/>
    <x v="0"/>
    <x v="1"/>
    <x v="0"/>
    <x v="0"/>
    <x v="0"/>
    <x v="0"/>
    <x v="0"/>
    <x v="0"/>
    <m/>
    <x v="15"/>
  </r>
  <r>
    <s v="USR-100017"/>
    <d v="2025-03-27T00:00:00"/>
    <x v="0"/>
    <x v="2"/>
    <x v="0"/>
    <x v="2"/>
    <x v="1"/>
    <x v="1"/>
    <x v="1"/>
    <x v="1"/>
    <x v="0"/>
    <x v="0"/>
    <x v="0"/>
    <x v="0"/>
    <m/>
    <x v="16"/>
  </r>
  <r>
    <s v="USR-100018"/>
    <d v="2025-05-28T00:00:00"/>
    <x v="0"/>
    <x v="3"/>
    <x v="0"/>
    <x v="2"/>
    <x v="1"/>
    <x v="0"/>
    <x v="0"/>
    <x v="0"/>
    <x v="0"/>
    <x v="0"/>
    <x v="0"/>
    <x v="0"/>
    <m/>
    <x v="17"/>
  </r>
  <r>
    <s v="USR-100019"/>
    <d v="2025-02-15T00:00:00"/>
    <x v="0"/>
    <x v="0"/>
    <x v="0"/>
    <x v="2"/>
    <x v="0"/>
    <x v="0"/>
    <x v="0"/>
    <x v="0"/>
    <x v="0"/>
    <x v="0"/>
    <x v="0"/>
    <x v="0"/>
    <m/>
    <x v="18"/>
  </r>
  <r>
    <s v="USR-100020"/>
    <d v="2025-05-05T00:00:00"/>
    <x v="0"/>
    <x v="1"/>
    <x v="0"/>
    <x v="1"/>
    <x v="0"/>
    <x v="0"/>
    <x v="0"/>
    <x v="0"/>
    <x v="0"/>
    <x v="0"/>
    <x v="2"/>
    <x v="0"/>
    <m/>
    <x v="19"/>
  </r>
  <r>
    <s v="USR-100021"/>
    <d v="2025-04-13T00:00:00"/>
    <x v="0"/>
    <x v="2"/>
    <x v="1"/>
    <x v="4"/>
    <x v="1"/>
    <x v="1"/>
    <x v="0"/>
    <x v="0"/>
    <x v="0"/>
    <x v="0"/>
    <x v="0"/>
    <x v="0"/>
    <m/>
    <x v="20"/>
  </r>
  <r>
    <s v="USR-100022"/>
    <d v="2025-05-07T00:00:00"/>
    <x v="0"/>
    <x v="0"/>
    <x v="0"/>
    <x v="2"/>
    <x v="1"/>
    <x v="0"/>
    <x v="0"/>
    <x v="0"/>
    <x v="0"/>
    <x v="0"/>
    <x v="0"/>
    <x v="0"/>
    <m/>
    <x v="21"/>
  </r>
  <r>
    <s v="USR-100023"/>
    <d v="2025-05-25T00:00:00"/>
    <x v="0"/>
    <x v="0"/>
    <x v="0"/>
    <x v="1"/>
    <x v="1"/>
    <x v="0"/>
    <x v="0"/>
    <x v="0"/>
    <x v="0"/>
    <x v="0"/>
    <x v="0"/>
    <x v="0"/>
    <m/>
    <x v="22"/>
  </r>
  <r>
    <s v="USR-100024"/>
    <d v="2025-04-01T00:00:00"/>
    <x v="0"/>
    <x v="2"/>
    <x v="1"/>
    <x v="2"/>
    <x v="2"/>
    <x v="1"/>
    <x v="1"/>
    <x v="0"/>
    <x v="0"/>
    <x v="0"/>
    <x v="0"/>
    <x v="0"/>
    <m/>
    <x v="23"/>
  </r>
  <r>
    <s v="USR-100025"/>
    <d v="2025-02-22T00:00:00"/>
    <x v="0"/>
    <x v="0"/>
    <x v="1"/>
    <x v="2"/>
    <x v="2"/>
    <x v="0"/>
    <x v="0"/>
    <x v="0"/>
    <x v="0"/>
    <x v="0"/>
    <x v="2"/>
    <x v="0"/>
    <m/>
    <x v="24"/>
  </r>
  <r>
    <s v="USR-100026"/>
    <d v="2025-03-24T00:00:00"/>
    <x v="0"/>
    <x v="2"/>
    <x v="1"/>
    <x v="1"/>
    <x v="0"/>
    <x v="0"/>
    <x v="0"/>
    <x v="0"/>
    <x v="0"/>
    <x v="0"/>
    <x v="0"/>
    <x v="0"/>
    <m/>
    <x v="25"/>
  </r>
  <r>
    <s v="USR-100027"/>
    <d v="2025-02-13T00:00:00"/>
    <x v="0"/>
    <x v="0"/>
    <x v="1"/>
    <x v="1"/>
    <x v="1"/>
    <x v="0"/>
    <x v="0"/>
    <x v="0"/>
    <x v="0"/>
    <x v="0"/>
    <x v="0"/>
    <x v="0"/>
    <m/>
    <x v="26"/>
  </r>
  <r>
    <s v="USR-100028"/>
    <d v="2025-05-30T00:00:00"/>
    <x v="0"/>
    <x v="3"/>
    <x v="1"/>
    <x v="1"/>
    <x v="1"/>
    <x v="1"/>
    <x v="0"/>
    <x v="0"/>
    <x v="0"/>
    <x v="0"/>
    <x v="0"/>
    <x v="0"/>
    <m/>
    <x v="27"/>
  </r>
  <r>
    <s v="USR-100029"/>
    <d v="2025-01-20T00:00:00"/>
    <x v="0"/>
    <x v="2"/>
    <x v="2"/>
    <x v="1"/>
    <x v="0"/>
    <x v="0"/>
    <x v="0"/>
    <x v="0"/>
    <x v="0"/>
    <x v="0"/>
    <x v="0"/>
    <x v="0"/>
    <m/>
    <x v="28"/>
  </r>
  <r>
    <s v="USR-100030"/>
    <d v="2025-05-19T00:00:00"/>
    <x v="0"/>
    <x v="2"/>
    <x v="1"/>
    <x v="4"/>
    <x v="0"/>
    <x v="1"/>
    <x v="1"/>
    <x v="1"/>
    <x v="0"/>
    <x v="0"/>
    <x v="0"/>
    <x v="0"/>
    <m/>
    <x v="29"/>
  </r>
  <r>
    <s v="USR-100031"/>
    <d v="2025-02-18T00:00:00"/>
    <x v="0"/>
    <x v="3"/>
    <x v="1"/>
    <x v="1"/>
    <x v="0"/>
    <x v="1"/>
    <x v="0"/>
    <x v="0"/>
    <x v="0"/>
    <x v="0"/>
    <x v="0"/>
    <x v="0"/>
    <m/>
    <x v="30"/>
  </r>
  <r>
    <s v="USR-100032"/>
    <d v="2025-02-13T00:00:00"/>
    <x v="0"/>
    <x v="2"/>
    <x v="1"/>
    <x v="1"/>
    <x v="1"/>
    <x v="0"/>
    <x v="0"/>
    <x v="0"/>
    <x v="0"/>
    <x v="0"/>
    <x v="0"/>
    <x v="0"/>
    <m/>
    <x v="31"/>
  </r>
  <r>
    <s v="USR-100033"/>
    <d v="2025-03-08T00:00:00"/>
    <x v="0"/>
    <x v="2"/>
    <x v="0"/>
    <x v="3"/>
    <x v="2"/>
    <x v="0"/>
    <x v="0"/>
    <x v="0"/>
    <x v="0"/>
    <x v="0"/>
    <x v="0"/>
    <x v="0"/>
    <m/>
    <x v="32"/>
  </r>
  <r>
    <s v="USR-100034"/>
    <d v="2025-01-11T00:00:00"/>
    <x v="0"/>
    <x v="0"/>
    <x v="1"/>
    <x v="2"/>
    <x v="1"/>
    <x v="1"/>
    <x v="1"/>
    <x v="0"/>
    <x v="0"/>
    <x v="0"/>
    <x v="0"/>
    <x v="0"/>
    <m/>
    <x v="33"/>
  </r>
  <r>
    <s v="USR-100035"/>
    <d v="2025-02-12T00:00:00"/>
    <x v="0"/>
    <x v="0"/>
    <x v="0"/>
    <x v="1"/>
    <x v="1"/>
    <x v="1"/>
    <x v="0"/>
    <x v="0"/>
    <x v="0"/>
    <x v="0"/>
    <x v="0"/>
    <x v="0"/>
    <m/>
    <x v="34"/>
  </r>
  <r>
    <s v="USR-100036"/>
    <d v="2025-04-13T00:00:00"/>
    <x v="0"/>
    <x v="2"/>
    <x v="0"/>
    <x v="1"/>
    <x v="0"/>
    <x v="1"/>
    <x v="0"/>
    <x v="0"/>
    <x v="0"/>
    <x v="0"/>
    <x v="0"/>
    <x v="0"/>
    <m/>
    <x v="35"/>
  </r>
  <r>
    <s v="USR-100037"/>
    <d v="2025-05-09T00:00:00"/>
    <x v="0"/>
    <x v="2"/>
    <x v="1"/>
    <x v="1"/>
    <x v="2"/>
    <x v="1"/>
    <x v="0"/>
    <x v="0"/>
    <x v="0"/>
    <x v="0"/>
    <x v="1"/>
    <x v="0"/>
    <m/>
    <x v="36"/>
  </r>
  <r>
    <s v="USR-100038"/>
    <d v="2025-01-20T00:00:00"/>
    <x v="0"/>
    <x v="2"/>
    <x v="1"/>
    <x v="1"/>
    <x v="1"/>
    <x v="1"/>
    <x v="1"/>
    <x v="1"/>
    <x v="0"/>
    <x v="0"/>
    <x v="3"/>
    <x v="0"/>
    <m/>
    <x v="37"/>
  </r>
  <r>
    <s v="USR-100039"/>
    <d v="2025-05-13T00:00:00"/>
    <x v="0"/>
    <x v="2"/>
    <x v="1"/>
    <x v="0"/>
    <x v="2"/>
    <x v="1"/>
    <x v="0"/>
    <x v="0"/>
    <x v="0"/>
    <x v="0"/>
    <x v="0"/>
    <x v="0"/>
    <m/>
    <x v="38"/>
  </r>
  <r>
    <s v="USR-100040"/>
    <d v="2025-04-07T00:00:00"/>
    <x v="0"/>
    <x v="0"/>
    <x v="0"/>
    <x v="1"/>
    <x v="0"/>
    <x v="1"/>
    <x v="0"/>
    <x v="0"/>
    <x v="0"/>
    <x v="0"/>
    <x v="0"/>
    <x v="0"/>
    <m/>
    <x v="39"/>
  </r>
  <r>
    <s v="USR-100041"/>
    <d v="2025-03-31T00:00:00"/>
    <x v="0"/>
    <x v="0"/>
    <x v="0"/>
    <x v="1"/>
    <x v="1"/>
    <x v="0"/>
    <x v="0"/>
    <x v="0"/>
    <x v="0"/>
    <x v="0"/>
    <x v="0"/>
    <x v="0"/>
    <m/>
    <x v="40"/>
  </r>
  <r>
    <s v="USR-100042"/>
    <d v="2025-01-25T00:00:00"/>
    <x v="0"/>
    <x v="2"/>
    <x v="1"/>
    <x v="0"/>
    <x v="2"/>
    <x v="0"/>
    <x v="0"/>
    <x v="0"/>
    <x v="0"/>
    <x v="0"/>
    <x v="0"/>
    <x v="0"/>
    <m/>
    <x v="41"/>
  </r>
  <r>
    <s v="USR-100043"/>
    <d v="2025-02-14T00:00:00"/>
    <x v="0"/>
    <x v="3"/>
    <x v="0"/>
    <x v="1"/>
    <x v="1"/>
    <x v="0"/>
    <x v="0"/>
    <x v="0"/>
    <x v="0"/>
    <x v="0"/>
    <x v="0"/>
    <x v="0"/>
    <m/>
    <x v="42"/>
  </r>
  <r>
    <s v="USR-100044"/>
    <d v="2025-02-27T00:00:00"/>
    <x v="0"/>
    <x v="2"/>
    <x v="1"/>
    <x v="0"/>
    <x v="1"/>
    <x v="1"/>
    <x v="0"/>
    <x v="0"/>
    <x v="0"/>
    <x v="0"/>
    <x v="0"/>
    <x v="0"/>
    <m/>
    <x v="43"/>
  </r>
  <r>
    <s v="USR-100045"/>
    <d v="2025-03-28T00:00:00"/>
    <x v="0"/>
    <x v="2"/>
    <x v="1"/>
    <x v="4"/>
    <x v="1"/>
    <x v="1"/>
    <x v="0"/>
    <x v="0"/>
    <x v="0"/>
    <x v="0"/>
    <x v="4"/>
    <x v="0"/>
    <m/>
    <x v="44"/>
  </r>
  <r>
    <s v="USR-100046"/>
    <d v="2025-05-25T00:00:00"/>
    <x v="0"/>
    <x v="2"/>
    <x v="1"/>
    <x v="3"/>
    <x v="2"/>
    <x v="1"/>
    <x v="0"/>
    <x v="0"/>
    <x v="0"/>
    <x v="0"/>
    <x v="0"/>
    <x v="0"/>
    <m/>
    <x v="12"/>
  </r>
  <r>
    <s v="USR-100047"/>
    <d v="2025-05-05T00:00:00"/>
    <x v="0"/>
    <x v="1"/>
    <x v="0"/>
    <x v="1"/>
    <x v="1"/>
    <x v="1"/>
    <x v="1"/>
    <x v="1"/>
    <x v="0"/>
    <x v="0"/>
    <x v="0"/>
    <x v="0"/>
    <m/>
    <x v="45"/>
  </r>
  <r>
    <s v="USR-100048"/>
    <d v="2025-05-16T00:00:00"/>
    <x v="0"/>
    <x v="0"/>
    <x v="1"/>
    <x v="1"/>
    <x v="1"/>
    <x v="1"/>
    <x v="1"/>
    <x v="1"/>
    <x v="0"/>
    <x v="0"/>
    <x v="0"/>
    <x v="0"/>
    <m/>
    <x v="46"/>
  </r>
  <r>
    <s v="USR-100049"/>
    <d v="2025-01-08T00:00:00"/>
    <x v="0"/>
    <x v="0"/>
    <x v="1"/>
    <x v="4"/>
    <x v="1"/>
    <x v="1"/>
    <x v="1"/>
    <x v="0"/>
    <x v="0"/>
    <x v="0"/>
    <x v="0"/>
    <x v="0"/>
    <m/>
    <x v="47"/>
  </r>
  <r>
    <s v="USR-100050"/>
    <d v="2025-01-06T00:00:00"/>
    <x v="0"/>
    <x v="1"/>
    <x v="0"/>
    <x v="2"/>
    <x v="1"/>
    <x v="1"/>
    <x v="0"/>
    <x v="0"/>
    <x v="0"/>
    <x v="0"/>
    <x v="0"/>
    <x v="0"/>
    <m/>
    <x v="21"/>
  </r>
  <r>
    <s v="USR-100051"/>
    <d v="2025-01-12T00:00:00"/>
    <x v="0"/>
    <x v="0"/>
    <x v="1"/>
    <x v="4"/>
    <x v="0"/>
    <x v="0"/>
    <x v="0"/>
    <x v="0"/>
    <x v="0"/>
    <x v="0"/>
    <x v="0"/>
    <x v="0"/>
    <m/>
    <x v="48"/>
  </r>
  <r>
    <s v="USR-100052"/>
    <d v="2025-02-14T00:00:00"/>
    <x v="0"/>
    <x v="2"/>
    <x v="0"/>
    <x v="0"/>
    <x v="2"/>
    <x v="1"/>
    <x v="0"/>
    <x v="0"/>
    <x v="0"/>
    <x v="0"/>
    <x v="0"/>
    <x v="0"/>
    <m/>
    <x v="49"/>
  </r>
  <r>
    <s v="USR-100053"/>
    <d v="2025-03-10T00:00:00"/>
    <x v="0"/>
    <x v="3"/>
    <x v="2"/>
    <x v="1"/>
    <x v="1"/>
    <x v="0"/>
    <x v="0"/>
    <x v="0"/>
    <x v="0"/>
    <x v="0"/>
    <x v="0"/>
    <x v="0"/>
    <m/>
    <x v="50"/>
  </r>
  <r>
    <s v="USR-100054"/>
    <d v="2025-04-20T00:00:00"/>
    <x v="0"/>
    <x v="1"/>
    <x v="0"/>
    <x v="1"/>
    <x v="0"/>
    <x v="0"/>
    <x v="0"/>
    <x v="0"/>
    <x v="0"/>
    <x v="0"/>
    <x v="0"/>
    <x v="0"/>
    <m/>
    <x v="51"/>
  </r>
  <r>
    <s v="USR-100055"/>
    <d v="2025-02-19T00:00:00"/>
    <x v="0"/>
    <x v="3"/>
    <x v="1"/>
    <x v="1"/>
    <x v="1"/>
    <x v="0"/>
    <x v="0"/>
    <x v="0"/>
    <x v="0"/>
    <x v="0"/>
    <x v="0"/>
    <x v="0"/>
    <m/>
    <x v="22"/>
  </r>
  <r>
    <s v="USR-100056"/>
    <d v="2025-05-17T00:00:00"/>
    <x v="0"/>
    <x v="3"/>
    <x v="1"/>
    <x v="4"/>
    <x v="0"/>
    <x v="1"/>
    <x v="0"/>
    <x v="0"/>
    <x v="0"/>
    <x v="0"/>
    <x v="2"/>
    <x v="0"/>
    <m/>
    <x v="52"/>
  </r>
  <r>
    <s v="USR-100057"/>
    <d v="2025-04-01T00:00:00"/>
    <x v="0"/>
    <x v="2"/>
    <x v="1"/>
    <x v="4"/>
    <x v="0"/>
    <x v="0"/>
    <x v="0"/>
    <x v="0"/>
    <x v="0"/>
    <x v="0"/>
    <x v="0"/>
    <x v="0"/>
    <m/>
    <x v="53"/>
  </r>
  <r>
    <s v="USR-100058"/>
    <d v="2025-02-04T00:00:00"/>
    <x v="0"/>
    <x v="0"/>
    <x v="0"/>
    <x v="1"/>
    <x v="1"/>
    <x v="1"/>
    <x v="0"/>
    <x v="0"/>
    <x v="0"/>
    <x v="0"/>
    <x v="0"/>
    <x v="0"/>
    <m/>
    <x v="51"/>
  </r>
  <r>
    <s v="USR-100059"/>
    <d v="2025-04-14T00:00:00"/>
    <x v="0"/>
    <x v="0"/>
    <x v="1"/>
    <x v="4"/>
    <x v="1"/>
    <x v="0"/>
    <x v="0"/>
    <x v="0"/>
    <x v="0"/>
    <x v="0"/>
    <x v="2"/>
    <x v="0"/>
    <m/>
    <x v="37"/>
  </r>
  <r>
    <s v="USR-100060"/>
    <d v="2025-01-01T00:00:00"/>
    <x v="0"/>
    <x v="1"/>
    <x v="1"/>
    <x v="4"/>
    <x v="1"/>
    <x v="1"/>
    <x v="1"/>
    <x v="1"/>
    <x v="1"/>
    <x v="1"/>
    <x v="0"/>
    <x v="0"/>
    <n v="16"/>
    <x v="54"/>
  </r>
  <r>
    <s v="USR-100061"/>
    <d v="2025-04-02T00:00:00"/>
    <x v="0"/>
    <x v="3"/>
    <x v="1"/>
    <x v="3"/>
    <x v="1"/>
    <x v="1"/>
    <x v="0"/>
    <x v="0"/>
    <x v="0"/>
    <x v="0"/>
    <x v="0"/>
    <x v="0"/>
    <m/>
    <x v="55"/>
  </r>
  <r>
    <s v="USR-100062"/>
    <d v="2025-03-29T00:00:00"/>
    <x v="0"/>
    <x v="0"/>
    <x v="1"/>
    <x v="4"/>
    <x v="2"/>
    <x v="0"/>
    <x v="0"/>
    <x v="0"/>
    <x v="0"/>
    <x v="0"/>
    <x v="0"/>
    <x v="0"/>
    <m/>
    <x v="56"/>
  </r>
  <r>
    <s v="USR-100063"/>
    <d v="2025-05-15T00:00:00"/>
    <x v="0"/>
    <x v="3"/>
    <x v="0"/>
    <x v="1"/>
    <x v="1"/>
    <x v="1"/>
    <x v="0"/>
    <x v="0"/>
    <x v="0"/>
    <x v="0"/>
    <x v="0"/>
    <x v="0"/>
    <m/>
    <x v="57"/>
  </r>
  <r>
    <s v="USR-100064"/>
    <d v="2025-04-11T00:00:00"/>
    <x v="0"/>
    <x v="0"/>
    <x v="1"/>
    <x v="1"/>
    <x v="0"/>
    <x v="1"/>
    <x v="0"/>
    <x v="0"/>
    <x v="0"/>
    <x v="0"/>
    <x v="0"/>
    <x v="0"/>
    <m/>
    <x v="58"/>
  </r>
  <r>
    <s v="USR-100065"/>
    <d v="2025-03-07T00:00:00"/>
    <x v="0"/>
    <x v="3"/>
    <x v="0"/>
    <x v="2"/>
    <x v="1"/>
    <x v="1"/>
    <x v="0"/>
    <x v="0"/>
    <x v="0"/>
    <x v="0"/>
    <x v="0"/>
    <x v="0"/>
    <m/>
    <x v="59"/>
  </r>
  <r>
    <s v="USR-100066"/>
    <d v="2025-05-30T00:00:00"/>
    <x v="0"/>
    <x v="3"/>
    <x v="1"/>
    <x v="1"/>
    <x v="1"/>
    <x v="0"/>
    <x v="0"/>
    <x v="0"/>
    <x v="0"/>
    <x v="0"/>
    <x v="0"/>
    <x v="0"/>
    <m/>
    <x v="60"/>
  </r>
  <r>
    <s v="USR-100067"/>
    <d v="2025-01-07T00:00:00"/>
    <x v="0"/>
    <x v="3"/>
    <x v="0"/>
    <x v="1"/>
    <x v="2"/>
    <x v="1"/>
    <x v="0"/>
    <x v="0"/>
    <x v="0"/>
    <x v="0"/>
    <x v="1"/>
    <x v="0"/>
    <m/>
    <x v="51"/>
  </r>
  <r>
    <s v="USR-100068"/>
    <d v="2025-05-08T00:00:00"/>
    <x v="0"/>
    <x v="1"/>
    <x v="1"/>
    <x v="4"/>
    <x v="1"/>
    <x v="0"/>
    <x v="0"/>
    <x v="0"/>
    <x v="0"/>
    <x v="0"/>
    <x v="0"/>
    <x v="0"/>
    <m/>
    <x v="61"/>
  </r>
  <r>
    <s v="USR-100069"/>
    <d v="2025-03-19T00:00:00"/>
    <x v="0"/>
    <x v="2"/>
    <x v="0"/>
    <x v="0"/>
    <x v="1"/>
    <x v="1"/>
    <x v="1"/>
    <x v="1"/>
    <x v="0"/>
    <x v="0"/>
    <x v="0"/>
    <x v="0"/>
    <m/>
    <x v="62"/>
  </r>
  <r>
    <s v="USR-100070"/>
    <d v="2025-05-16T00:00:00"/>
    <x v="0"/>
    <x v="0"/>
    <x v="0"/>
    <x v="1"/>
    <x v="1"/>
    <x v="0"/>
    <x v="0"/>
    <x v="0"/>
    <x v="0"/>
    <x v="0"/>
    <x v="0"/>
    <x v="0"/>
    <m/>
    <x v="63"/>
  </r>
  <r>
    <s v="USR-100071"/>
    <d v="2025-03-08T00:00:00"/>
    <x v="0"/>
    <x v="1"/>
    <x v="1"/>
    <x v="0"/>
    <x v="1"/>
    <x v="0"/>
    <x v="0"/>
    <x v="0"/>
    <x v="0"/>
    <x v="0"/>
    <x v="0"/>
    <x v="0"/>
    <m/>
    <x v="64"/>
  </r>
  <r>
    <s v="USR-100072"/>
    <d v="2025-03-08T00:00:00"/>
    <x v="0"/>
    <x v="2"/>
    <x v="1"/>
    <x v="0"/>
    <x v="1"/>
    <x v="1"/>
    <x v="0"/>
    <x v="0"/>
    <x v="0"/>
    <x v="0"/>
    <x v="0"/>
    <x v="0"/>
    <m/>
    <x v="65"/>
  </r>
  <r>
    <s v="USR-100073"/>
    <d v="2025-01-14T00:00:00"/>
    <x v="0"/>
    <x v="2"/>
    <x v="0"/>
    <x v="2"/>
    <x v="0"/>
    <x v="0"/>
    <x v="0"/>
    <x v="0"/>
    <x v="0"/>
    <x v="0"/>
    <x v="0"/>
    <x v="0"/>
    <m/>
    <x v="66"/>
  </r>
  <r>
    <s v="USR-100074"/>
    <d v="2025-02-10T00:00:00"/>
    <x v="0"/>
    <x v="3"/>
    <x v="1"/>
    <x v="2"/>
    <x v="0"/>
    <x v="0"/>
    <x v="0"/>
    <x v="0"/>
    <x v="0"/>
    <x v="0"/>
    <x v="0"/>
    <x v="0"/>
    <m/>
    <x v="67"/>
  </r>
  <r>
    <s v="USR-100075"/>
    <d v="2025-03-17T00:00:00"/>
    <x v="0"/>
    <x v="0"/>
    <x v="1"/>
    <x v="1"/>
    <x v="1"/>
    <x v="0"/>
    <x v="0"/>
    <x v="0"/>
    <x v="0"/>
    <x v="0"/>
    <x v="0"/>
    <x v="0"/>
    <m/>
    <x v="68"/>
  </r>
  <r>
    <s v="USR-100076"/>
    <d v="2025-01-09T00:00:00"/>
    <x v="0"/>
    <x v="3"/>
    <x v="1"/>
    <x v="0"/>
    <x v="1"/>
    <x v="0"/>
    <x v="0"/>
    <x v="0"/>
    <x v="0"/>
    <x v="0"/>
    <x v="0"/>
    <x v="0"/>
    <m/>
    <x v="35"/>
  </r>
  <r>
    <s v="USR-100077"/>
    <d v="2025-04-17T00:00:00"/>
    <x v="0"/>
    <x v="0"/>
    <x v="1"/>
    <x v="3"/>
    <x v="1"/>
    <x v="0"/>
    <x v="0"/>
    <x v="0"/>
    <x v="0"/>
    <x v="0"/>
    <x v="1"/>
    <x v="0"/>
    <m/>
    <x v="69"/>
  </r>
  <r>
    <s v="USR-100078"/>
    <d v="2025-01-16T00:00:00"/>
    <x v="0"/>
    <x v="0"/>
    <x v="1"/>
    <x v="1"/>
    <x v="1"/>
    <x v="0"/>
    <x v="0"/>
    <x v="0"/>
    <x v="0"/>
    <x v="0"/>
    <x v="2"/>
    <x v="0"/>
    <m/>
    <x v="70"/>
  </r>
  <r>
    <s v="USR-100079"/>
    <d v="2025-02-20T00:00:00"/>
    <x v="0"/>
    <x v="1"/>
    <x v="0"/>
    <x v="1"/>
    <x v="1"/>
    <x v="1"/>
    <x v="1"/>
    <x v="1"/>
    <x v="1"/>
    <x v="2"/>
    <x v="0"/>
    <x v="0"/>
    <n v="7"/>
    <x v="71"/>
  </r>
  <r>
    <s v="USR-100080"/>
    <d v="2025-05-21T00:00:00"/>
    <x v="0"/>
    <x v="2"/>
    <x v="1"/>
    <x v="4"/>
    <x v="1"/>
    <x v="1"/>
    <x v="0"/>
    <x v="0"/>
    <x v="0"/>
    <x v="0"/>
    <x v="0"/>
    <x v="0"/>
    <m/>
    <x v="72"/>
  </r>
  <r>
    <s v="USR-100081"/>
    <d v="2025-05-08T00:00:00"/>
    <x v="0"/>
    <x v="3"/>
    <x v="1"/>
    <x v="1"/>
    <x v="1"/>
    <x v="1"/>
    <x v="1"/>
    <x v="1"/>
    <x v="0"/>
    <x v="0"/>
    <x v="0"/>
    <x v="0"/>
    <m/>
    <x v="73"/>
  </r>
  <r>
    <s v="USR-100082"/>
    <d v="2025-03-08T00:00:00"/>
    <x v="0"/>
    <x v="3"/>
    <x v="1"/>
    <x v="3"/>
    <x v="1"/>
    <x v="1"/>
    <x v="1"/>
    <x v="0"/>
    <x v="0"/>
    <x v="0"/>
    <x v="0"/>
    <x v="0"/>
    <m/>
    <x v="74"/>
  </r>
  <r>
    <s v="USR-100083"/>
    <d v="2025-04-01T00:00:00"/>
    <x v="0"/>
    <x v="3"/>
    <x v="0"/>
    <x v="0"/>
    <x v="1"/>
    <x v="0"/>
    <x v="0"/>
    <x v="0"/>
    <x v="0"/>
    <x v="0"/>
    <x v="0"/>
    <x v="0"/>
    <m/>
    <x v="75"/>
  </r>
  <r>
    <s v="USR-100084"/>
    <d v="2025-03-03T00:00:00"/>
    <x v="0"/>
    <x v="1"/>
    <x v="1"/>
    <x v="4"/>
    <x v="0"/>
    <x v="0"/>
    <x v="0"/>
    <x v="0"/>
    <x v="0"/>
    <x v="0"/>
    <x v="0"/>
    <x v="0"/>
    <m/>
    <x v="61"/>
  </r>
  <r>
    <s v="USR-100085"/>
    <d v="2025-04-16T00:00:00"/>
    <x v="0"/>
    <x v="3"/>
    <x v="1"/>
    <x v="2"/>
    <x v="1"/>
    <x v="0"/>
    <x v="0"/>
    <x v="0"/>
    <x v="0"/>
    <x v="0"/>
    <x v="0"/>
    <x v="0"/>
    <m/>
    <x v="4"/>
  </r>
  <r>
    <s v="USR-100086"/>
    <d v="2025-01-09T00:00:00"/>
    <x v="0"/>
    <x v="0"/>
    <x v="0"/>
    <x v="1"/>
    <x v="1"/>
    <x v="1"/>
    <x v="0"/>
    <x v="0"/>
    <x v="0"/>
    <x v="0"/>
    <x v="0"/>
    <x v="0"/>
    <m/>
    <x v="76"/>
  </r>
  <r>
    <s v="USR-100087"/>
    <d v="2025-01-22T00:00:00"/>
    <x v="0"/>
    <x v="1"/>
    <x v="0"/>
    <x v="4"/>
    <x v="0"/>
    <x v="0"/>
    <x v="0"/>
    <x v="0"/>
    <x v="0"/>
    <x v="0"/>
    <x v="0"/>
    <x v="0"/>
    <m/>
    <x v="77"/>
  </r>
  <r>
    <s v="USR-100088"/>
    <d v="2025-04-30T00:00:00"/>
    <x v="0"/>
    <x v="3"/>
    <x v="1"/>
    <x v="0"/>
    <x v="2"/>
    <x v="0"/>
    <x v="0"/>
    <x v="0"/>
    <x v="0"/>
    <x v="0"/>
    <x v="0"/>
    <x v="0"/>
    <m/>
    <x v="78"/>
  </r>
  <r>
    <s v="USR-100089"/>
    <d v="2025-04-25T00:00:00"/>
    <x v="0"/>
    <x v="0"/>
    <x v="1"/>
    <x v="3"/>
    <x v="0"/>
    <x v="1"/>
    <x v="0"/>
    <x v="0"/>
    <x v="0"/>
    <x v="0"/>
    <x v="0"/>
    <x v="0"/>
    <m/>
    <x v="79"/>
  </r>
  <r>
    <s v="USR-100090"/>
    <d v="2025-02-01T00:00:00"/>
    <x v="0"/>
    <x v="0"/>
    <x v="1"/>
    <x v="1"/>
    <x v="0"/>
    <x v="1"/>
    <x v="0"/>
    <x v="0"/>
    <x v="0"/>
    <x v="0"/>
    <x v="0"/>
    <x v="0"/>
    <m/>
    <x v="67"/>
  </r>
  <r>
    <s v="USR-100091"/>
    <d v="2025-04-23T00:00:00"/>
    <x v="0"/>
    <x v="3"/>
    <x v="0"/>
    <x v="1"/>
    <x v="1"/>
    <x v="1"/>
    <x v="0"/>
    <x v="0"/>
    <x v="0"/>
    <x v="0"/>
    <x v="0"/>
    <x v="0"/>
    <m/>
    <x v="80"/>
  </r>
  <r>
    <s v="USR-100092"/>
    <d v="2025-02-27T00:00:00"/>
    <x v="0"/>
    <x v="3"/>
    <x v="1"/>
    <x v="4"/>
    <x v="1"/>
    <x v="1"/>
    <x v="0"/>
    <x v="0"/>
    <x v="0"/>
    <x v="0"/>
    <x v="0"/>
    <x v="0"/>
    <m/>
    <x v="81"/>
  </r>
  <r>
    <s v="USR-100093"/>
    <d v="2025-04-09T00:00:00"/>
    <x v="0"/>
    <x v="2"/>
    <x v="0"/>
    <x v="1"/>
    <x v="0"/>
    <x v="1"/>
    <x v="0"/>
    <x v="0"/>
    <x v="0"/>
    <x v="0"/>
    <x v="0"/>
    <x v="0"/>
    <m/>
    <x v="82"/>
  </r>
  <r>
    <s v="USR-100094"/>
    <d v="2025-05-13T00:00:00"/>
    <x v="0"/>
    <x v="3"/>
    <x v="2"/>
    <x v="1"/>
    <x v="2"/>
    <x v="1"/>
    <x v="1"/>
    <x v="1"/>
    <x v="0"/>
    <x v="0"/>
    <x v="1"/>
    <x v="0"/>
    <m/>
    <x v="83"/>
  </r>
  <r>
    <s v="USR-100095"/>
    <d v="2025-04-13T00:00:00"/>
    <x v="0"/>
    <x v="2"/>
    <x v="1"/>
    <x v="1"/>
    <x v="1"/>
    <x v="0"/>
    <x v="0"/>
    <x v="0"/>
    <x v="0"/>
    <x v="0"/>
    <x v="0"/>
    <x v="0"/>
    <m/>
    <x v="84"/>
  </r>
  <r>
    <s v="USR-100096"/>
    <d v="2025-02-05T00:00:00"/>
    <x v="0"/>
    <x v="2"/>
    <x v="1"/>
    <x v="4"/>
    <x v="1"/>
    <x v="0"/>
    <x v="0"/>
    <x v="0"/>
    <x v="0"/>
    <x v="0"/>
    <x v="0"/>
    <x v="0"/>
    <m/>
    <x v="85"/>
  </r>
  <r>
    <s v="USR-100097"/>
    <d v="2025-02-14T00:00:00"/>
    <x v="0"/>
    <x v="1"/>
    <x v="1"/>
    <x v="1"/>
    <x v="0"/>
    <x v="1"/>
    <x v="0"/>
    <x v="0"/>
    <x v="0"/>
    <x v="0"/>
    <x v="0"/>
    <x v="0"/>
    <m/>
    <x v="86"/>
  </r>
  <r>
    <s v="USR-100098"/>
    <d v="2025-02-11T00:00:00"/>
    <x v="0"/>
    <x v="0"/>
    <x v="0"/>
    <x v="1"/>
    <x v="2"/>
    <x v="1"/>
    <x v="0"/>
    <x v="0"/>
    <x v="0"/>
    <x v="0"/>
    <x v="0"/>
    <x v="0"/>
    <m/>
    <x v="87"/>
  </r>
  <r>
    <s v="USR-100099"/>
    <d v="2025-02-11T00:00:00"/>
    <x v="0"/>
    <x v="2"/>
    <x v="0"/>
    <x v="4"/>
    <x v="1"/>
    <x v="1"/>
    <x v="1"/>
    <x v="1"/>
    <x v="1"/>
    <x v="3"/>
    <x v="0"/>
    <x v="0"/>
    <n v="9"/>
    <x v="88"/>
  </r>
  <r>
    <s v="USR-100100"/>
    <d v="2025-05-26T00:00:00"/>
    <x v="0"/>
    <x v="0"/>
    <x v="1"/>
    <x v="1"/>
    <x v="1"/>
    <x v="1"/>
    <x v="0"/>
    <x v="0"/>
    <x v="0"/>
    <x v="0"/>
    <x v="0"/>
    <x v="0"/>
    <m/>
    <x v="89"/>
  </r>
  <r>
    <s v="USR-100101"/>
    <d v="2025-03-22T00:00:00"/>
    <x v="0"/>
    <x v="0"/>
    <x v="1"/>
    <x v="2"/>
    <x v="0"/>
    <x v="1"/>
    <x v="0"/>
    <x v="0"/>
    <x v="0"/>
    <x v="0"/>
    <x v="0"/>
    <x v="0"/>
    <m/>
    <x v="39"/>
  </r>
  <r>
    <s v="USR-100102"/>
    <d v="2025-04-08T00:00:00"/>
    <x v="0"/>
    <x v="1"/>
    <x v="1"/>
    <x v="2"/>
    <x v="1"/>
    <x v="1"/>
    <x v="0"/>
    <x v="0"/>
    <x v="0"/>
    <x v="0"/>
    <x v="0"/>
    <x v="0"/>
    <m/>
    <x v="90"/>
  </r>
  <r>
    <s v="USR-100103"/>
    <d v="2025-04-14T00:00:00"/>
    <x v="0"/>
    <x v="0"/>
    <x v="0"/>
    <x v="4"/>
    <x v="1"/>
    <x v="1"/>
    <x v="1"/>
    <x v="1"/>
    <x v="1"/>
    <x v="4"/>
    <x v="0"/>
    <x v="0"/>
    <n v="13"/>
    <x v="91"/>
  </r>
  <r>
    <s v="USR-100104"/>
    <d v="2025-03-27T00:00:00"/>
    <x v="0"/>
    <x v="3"/>
    <x v="1"/>
    <x v="0"/>
    <x v="1"/>
    <x v="1"/>
    <x v="0"/>
    <x v="0"/>
    <x v="0"/>
    <x v="0"/>
    <x v="1"/>
    <x v="0"/>
    <m/>
    <x v="92"/>
  </r>
  <r>
    <s v="USR-100105"/>
    <d v="2025-01-05T00:00:00"/>
    <x v="0"/>
    <x v="3"/>
    <x v="1"/>
    <x v="4"/>
    <x v="1"/>
    <x v="1"/>
    <x v="1"/>
    <x v="1"/>
    <x v="0"/>
    <x v="0"/>
    <x v="0"/>
    <x v="0"/>
    <m/>
    <x v="93"/>
  </r>
  <r>
    <s v="USR-100106"/>
    <d v="2025-01-25T00:00:00"/>
    <x v="0"/>
    <x v="3"/>
    <x v="1"/>
    <x v="4"/>
    <x v="0"/>
    <x v="1"/>
    <x v="1"/>
    <x v="1"/>
    <x v="1"/>
    <x v="5"/>
    <x v="0"/>
    <x v="0"/>
    <n v="6"/>
    <x v="94"/>
  </r>
  <r>
    <s v="USR-100107"/>
    <d v="2025-01-23T00:00:00"/>
    <x v="0"/>
    <x v="1"/>
    <x v="1"/>
    <x v="0"/>
    <x v="1"/>
    <x v="1"/>
    <x v="1"/>
    <x v="1"/>
    <x v="0"/>
    <x v="0"/>
    <x v="4"/>
    <x v="0"/>
    <m/>
    <x v="95"/>
  </r>
  <r>
    <s v="USR-100108"/>
    <d v="2025-05-25T00:00:00"/>
    <x v="0"/>
    <x v="2"/>
    <x v="0"/>
    <x v="3"/>
    <x v="1"/>
    <x v="1"/>
    <x v="0"/>
    <x v="0"/>
    <x v="0"/>
    <x v="0"/>
    <x v="0"/>
    <x v="0"/>
    <m/>
    <x v="96"/>
  </r>
  <r>
    <s v="USR-100109"/>
    <d v="2025-03-22T00:00:00"/>
    <x v="0"/>
    <x v="3"/>
    <x v="1"/>
    <x v="3"/>
    <x v="0"/>
    <x v="0"/>
    <x v="0"/>
    <x v="0"/>
    <x v="0"/>
    <x v="0"/>
    <x v="0"/>
    <x v="0"/>
    <m/>
    <x v="97"/>
  </r>
  <r>
    <s v="USR-100110"/>
    <d v="2025-02-12T00:00:00"/>
    <x v="0"/>
    <x v="1"/>
    <x v="0"/>
    <x v="2"/>
    <x v="0"/>
    <x v="1"/>
    <x v="0"/>
    <x v="0"/>
    <x v="0"/>
    <x v="0"/>
    <x v="1"/>
    <x v="0"/>
    <m/>
    <x v="98"/>
  </r>
  <r>
    <s v="USR-100111"/>
    <d v="2025-04-28T00:00:00"/>
    <x v="0"/>
    <x v="1"/>
    <x v="0"/>
    <x v="1"/>
    <x v="0"/>
    <x v="1"/>
    <x v="0"/>
    <x v="0"/>
    <x v="0"/>
    <x v="0"/>
    <x v="0"/>
    <x v="0"/>
    <m/>
    <x v="99"/>
  </r>
  <r>
    <s v="USR-100112"/>
    <d v="2025-01-30T00:00:00"/>
    <x v="0"/>
    <x v="0"/>
    <x v="1"/>
    <x v="1"/>
    <x v="0"/>
    <x v="1"/>
    <x v="0"/>
    <x v="0"/>
    <x v="0"/>
    <x v="0"/>
    <x v="0"/>
    <x v="0"/>
    <m/>
    <x v="40"/>
  </r>
  <r>
    <s v="USR-100113"/>
    <d v="2025-05-19T00:00:00"/>
    <x v="0"/>
    <x v="2"/>
    <x v="2"/>
    <x v="2"/>
    <x v="1"/>
    <x v="0"/>
    <x v="0"/>
    <x v="0"/>
    <x v="0"/>
    <x v="0"/>
    <x v="0"/>
    <x v="0"/>
    <m/>
    <x v="53"/>
  </r>
  <r>
    <s v="USR-100114"/>
    <d v="2025-01-23T00:00:00"/>
    <x v="0"/>
    <x v="3"/>
    <x v="1"/>
    <x v="4"/>
    <x v="1"/>
    <x v="1"/>
    <x v="1"/>
    <x v="0"/>
    <x v="0"/>
    <x v="0"/>
    <x v="0"/>
    <x v="0"/>
    <m/>
    <x v="100"/>
  </r>
  <r>
    <s v="USR-100115"/>
    <d v="2025-03-28T00:00:00"/>
    <x v="0"/>
    <x v="2"/>
    <x v="0"/>
    <x v="4"/>
    <x v="1"/>
    <x v="1"/>
    <x v="0"/>
    <x v="0"/>
    <x v="0"/>
    <x v="0"/>
    <x v="0"/>
    <x v="0"/>
    <m/>
    <x v="87"/>
  </r>
  <r>
    <s v="USR-100116"/>
    <d v="2025-01-11T00:00:00"/>
    <x v="0"/>
    <x v="1"/>
    <x v="1"/>
    <x v="1"/>
    <x v="1"/>
    <x v="0"/>
    <x v="0"/>
    <x v="0"/>
    <x v="0"/>
    <x v="0"/>
    <x v="0"/>
    <x v="0"/>
    <m/>
    <x v="16"/>
  </r>
  <r>
    <s v="USR-100117"/>
    <d v="2025-04-11T00:00:00"/>
    <x v="0"/>
    <x v="0"/>
    <x v="1"/>
    <x v="3"/>
    <x v="1"/>
    <x v="0"/>
    <x v="0"/>
    <x v="0"/>
    <x v="0"/>
    <x v="0"/>
    <x v="0"/>
    <x v="0"/>
    <m/>
    <x v="20"/>
  </r>
  <r>
    <s v="USR-100118"/>
    <d v="2025-01-02T00:00:00"/>
    <x v="0"/>
    <x v="1"/>
    <x v="1"/>
    <x v="2"/>
    <x v="1"/>
    <x v="1"/>
    <x v="0"/>
    <x v="0"/>
    <x v="0"/>
    <x v="0"/>
    <x v="0"/>
    <x v="0"/>
    <m/>
    <x v="39"/>
  </r>
  <r>
    <s v="USR-100119"/>
    <d v="2025-03-18T00:00:00"/>
    <x v="0"/>
    <x v="2"/>
    <x v="1"/>
    <x v="4"/>
    <x v="1"/>
    <x v="1"/>
    <x v="1"/>
    <x v="1"/>
    <x v="0"/>
    <x v="0"/>
    <x v="0"/>
    <x v="0"/>
    <m/>
    <x v="101"/>
  </r>
  <r>
    <s v="USR-100120"/>
    <d v="2025-03-31T00:00:00"/>
    <x v="0"/>
    <x v="0"/>
    <x v="1"/>
    <x v="0"/>
    <x v="1"/>
    <x v="1"/>
    <x v="0"/>
    <x v="0"/>
    <x v="0"/>
    <x v="0"/>
    <x v="0"/>
    <x v="0"/>
    <m/>
    <x v="102"/>
  </r>
  <r>
    <s v="USR-100121"/>
    <d v="2025-01-06T00:00:00"/>
    <x v="0"/>
    <x v="0"/>
    <x v="1"/>
    <x v="2"/>
    <x v="0"/>
    <x v="1"/>
    <x v="0"/>
    <x v="0"/>
    <x v="0"/>
    <x v="0"/>
    <x v="0"/>
    <x v="0"/>
    <m/>
    <x v="103"/>
  </r>
  <r>
    <s v="USR-100122"/>
    <d v="2025-01-26T00:00:00"/>
    <x v="0"/>
    <x v="0"/>
    <x v="1"/>
    <x v="3"/>
    <x v="1"/>
    <x v="1"/>
    <x v="1"/>
    <x v="0"/>
    <x v="0"/>
    <x v="0"/>
    <x v="0"/>
    <x v="0"/>
    <m/>
    <x v="104"/>
  </r>
  <r>
    <s v="USR-100123"/>
    <d v="2025-04-22T00:00:00"/>
    <x v="0"/>
    <x v="3"/>
    <x v="1"/>
    <x v="3"/>
    <x v="0"/>
    <x v="0"/>
    <x v="0"/>
    <x v="0"/>
    <x v="0"/>
    <x v="0"/>
    <x v="0"/>
    <x v="0"/>
    <m/>
    <x v="105"/>
  </r>
  <r>
    <s v="USR-100124"/>
    <d v="2025-05-30T00:00:00"/>
    <x v="0"/>
    <x v="1"/>
    <x v="3"/>
    <x v="0"/>
    <x v="0"/>
    <x v="1"/>
    <x v="1"/>
    <x v="0"/>
    <x v="0"/>
    <x v="0"/>
    <x v="0"/>
    <x v="0"/>
    <m/>
    <x v="106"/>
  </r>
  <r>
    <s v="USR-100125"/>
    <d v="2025-05-18T00:00:00"/>
    <x v="0"/>
    <x v="1"/>
    <x v="0"/>
    <x v="1"/>
    <x v="2"/>
    <x v="1"/>
    <x v="0"/>
    <x v="0"/>
    <x v="0"/>
    <x v="0"/>
    <x v="0"/>
    <x v="0"/>
    <m/>
    <x v="107"/>
  </r>
  <r>
    <s v="USR-100126"/>
    <d v="2025-01-13T00:00:00"/>
    <x v="0"/>
    <x v="3"/>
    <x v="0"/>
    <x v="2"/>
    <x v="2"/>
    <x v="1"/>
    <x v="0"/>
    <x v="0"/>
    <x v="0"/>
    <x v="0"/>
    <x v="0"/>
    <x v="0"/>
    <m/>
    <x v="108"/>
  </r>
  <r>
    <s v="USR-100127"/>
    <d v="2025-03-25T00:00:00"/>
    <x v="0"/>
    <x v="0"/>
    <x v="0"/>
    <x v="0"/>
    <x v="1"/>
    <x v="0"/>
    <x v="0"/>
    <x v="0"/>
    <x v="0"/>
    <x v="0"/>
    <x v="0"/>
    <x v="0"/>
    <m/>
    <x v="75"/>
  </r>
  <r>
    <s v="USR-100128"/>
    <d v="2025-04-29T00:00:00"/>
    <x v="0"/>
    <x v="3"/>
    <x v="0"/>
    <x v="1"/>
    <x v="1"/>
    <x v="1"/>
    <x v="1"/>
    <x v="1"/>
    <x v="0"/>
    <x v="0"/>
    <x v="0"/>
    <x v="0"/>
    <m/>
    <x v="32"/>
  </r>
  <r>
    <s v="USR-100129"/>
    <d v="2025-05-17T00:00:00"/>
    <x v="0"/>
    <x v="2"/>
    <x v="1"/>
    <x v="3"/>
    <x v="0"/>
    <x v="1"/>
    <x v="1"/>
    <x v="1"/>
    <x v="0"/>
    <x v="0"/>
    <x v="0"/>
    <x v="0"/>
    <m/>
    <x v="109"/>
  </r>
  <r>
    <s v="USR-100130"/>
    <d v="2025-01-02T00:00:00"/>
    <x v="0"/>
    <x v="0"/>
    <x v="1"/>
    <x v="2"/>
    <x v="1"/>
    <x v="1"/>
    <x v="0"/>
    <x v="0"/>
    <x v="0"/>
    <x v="0"/>
    <x v="1"/>
    <x v="0"/>
    <m/>
    <x v="110"/>
  </r>
  <r>
    <s v="USR-100131"/>
    <d v="2025-02-03T00:00:00"/>
    <x v="0"/>
    <x v="3"/>
    <x v="1"/>
    <x v="1"/>
    <x v="1"/>
    <x v="0"/>
    <x v="0"/>
    <x v="0"/>
    <x v="0"/>
    <x v="0"/>
    <x v="0"/>
    <x v="0"/>
    <m/>
    <x v="111"/>
  </r>
  <r>
    <s v="USR-100132"/>
    <d v="2025-03-04T00:00:00"/>
    <x v="0"/>
    <x v="2"/>
    <x v="1"/>
    <x v="1"/>
    <x v="1"/>
    <x v="1"/>
    <x v="0"/>
    <x v="0"/>
    <x v="0"/>
    <x v="0"/>
    <x v="0"/>
    <x v="0"/>
    <m/>
    <x v="112"/>
  </r>
  <r>
    <s v="USR-100133"/>
    <d v="2025-01-26T00:00:00"/>
    <x v="0"/>
    <x v="3"/>
    <x v="1"/>
    <x v="2"/>
    <x v="0"/>
    <x v="0"/>
    <x v="0"/>
    <x v="0"/>
    <x v="0"/>
    <x v="0"/>
    <x v="0"/>
    <x v="0"/>
    <m/>
    <x v="113"/>
  </r>
  <r>
    <s v="USR-100134"/>
    <d v="2025-05-12T00:00:00"/>
    <x v="0"/>
    <x v="1"/>
    <x v="1"/>
    <x v="2"/>
    <x v="0"/>
    <x v="1"/>
    <x v="1"/>
    <x v="1"/>
    <x v="0"/>
    <x v="0"/>
    <x v="0"/>
    <x v="0"/>
    <m/>
    <x v="114"/>
  </r>
  <r>
    <s v="USR-100135"/>
    <d v="2025-03-06T00:00:00"/>
    <x v="0"/>
    <x v="0"/>
    <x v="1"/>
    <x v="1"/>
    <x v="0"/>
    <x v="0"/>
    <x v="0"/>
    <x v="0"/>
    <x v="0"/>
    <x v="0"/>
    <x v="0"/>
    <x v="0"/>
    <m/>
    <x v="115"/>
  </r>
  <r>
    <s v="USR-100136"/>
    <d v="2025-03-10T00:00:00"/>
    <x v="0"/>
    <x v="3"/>
    <x v="0"/>
    <x v="0"/>
    <x v="2"/>
    <x v="0"/>
    <x v="0"/>
    <x v="0"/>
    <x v="0"/>
    <x v="0"/>
    <x v="0"/>
    <x v="0"/>
    <m/>
    <x v="0"/>
  </r>
  <r>
    <s v="USR-100137"/>
    <d v="2025-05-06T00:00:00"/>
    <x v="0"/>
    <x v="0"/>
    <x v="1"/>
    <x v="2"/>
    <x v="1"/>
    <x v="0"/>
    <x v="0"/>
    <x v="0"/>
    <x v="0"/>
    <x v="0"/>
    <x v="3"/>
    <x v="0"/>
    <m/>
    <x v="116"/>
  </r>
  <r>
    <s v="USR-100138"/>
    <d v="2025-02-23T00:00:00"/>
    <x v="0"/>
    <x v="3"/>
    <x v="0"/>
    <x v="2"/>
    <x v="1"/>
    <x v="1"/>
    <x v="0"/>
    <x v="0"/>
    <x v="0"/>
    <x v="0"/>
    <x v="0"/>
    <x v="0"/>
    <m/>
    <x v="117"/>
  </r>
  <r>
    <s v="USR-100139"/>
    <d v="2025-01-29T00:00:00"/>
    <x v="0"/>
    <x v="1"/>
    <x v="1"/>
    <x v="4"/>
    <x v="0"/>
    <x v="1"/>
    <x v="1"/>
    <x v="1"/>
    <x v="0"/>
    <x v="0"/>
    <x v="0"/>
    <x v="0"/>
    <m/>
    <x v="118"/>
  </r>
  <r>
    <s v="USR-100140"/>
    <d v="2025-01-31T00:00:00"/>
    <x v="0"/>
    <x v="0"/>
    <x v="1"/>
    <x v="1"/>
    <x v="0"/>
    <x v="0"/>
    <x v="0"/>
    <x v="0"/>
    <x v="0"/>
    <x v="0"/>
    <x v="0"/>
    <x v="0"/>
    <m/>
    <x v="12"/>
  </r>
  <r>
    <s v="USR-100141"/>
    <d v="2025-01-19T00:00:00"/>
    <x v="0"/>
    <x v="3"/>
    <x v="1"/>
    <x v="1"/>
    <x v="1"/>
    <x v="0"/>
    <x v="0"/>
    <x v="0"/>
    <x v="0"/>
    <x v="0"/>
    <x v="0"/>
    <x v="0"/>
    <m/>
    <x v="51"/>
  </r>
  <r>
    <s v="USR-100142"/>
    <d v="2025-04-03T00:00:00"/>
    <x v="0"/>
    <x v="1"/>
    <x v="0"/>
    <x v="4"/>
    <x v="1"/>
    <x v="1"/>
    <x v="1"/>
    <x v="1"/>
    <x v="1"/>
    <x v="6"/>
    <x v="0"/>
    <x v="0"/>
    <n v="9"/>
    <x v="119"/>
  </r>
  <r>
    <s v="USR-100143"/>
    <d v="2025-04-07T00:00:00"/>
    <x v="0"/>
    <x v="0"/>
    <x v="1"/>
    <x v="2"/>
    <x v="1"/>
    <x v="1"/>
    <x v="0"/>
    <x v="0"/>
    <x v="0"/>
    <x v="0"/>
    <x v="0"/>
    <x v="0"/>
    <m/>
    <x v="106"/>
  </r>
  <r>
    <s v="USR-100144"/>
    <d v="2025-01-06T00:00:00"/>
    <x v="0"/>
    <x v="2"/>
    <x v="1"/>
    <x v="2"/>
    <x v="0"/>
    <x v="1"/>
    <x v="1"/>
    <x v="0"/>
    <x v="0"/>
    <x v="0"/>
    <x v="0"/>
    <x v="0"/>
    <m/>
    <x v="120"/>
  </r>
  <r>
    <s v="USR-100145"/>
    <d v="2025-04-11T00:00:00"/>
    <x v="0"/>
    <x v="2"/>
    <x v="1"/>
    <x v="1"/>
    <x v="1"/>
    <x v="1"/>
    <x v="0"/>
    <x v="0"/>
    <x v="0"/>
    <x v="0"/>
    <x v="1"/>
    <x v="0"/>
    <m/>
    <x v="121"/>
  </r>
  <r>
    <s v="USR-100146"/>
    <d v="2025-04-23T00:00:00"/>
    <x v="0"/>
    <x v="2"/>
    <x v="1"/>
    <x v="2"/>
    <x v="1"/>
    <x v="1"/>
    <x v="0"/>
    <x v="0"/>
    <x v="0"/>
    <x v="0"/>
    <x v="0"/>
    <x v="0"/>
    <m/>
    <x v="122"/>
  </r>
  <r>
    <s v="USR-100147"/>
    <d v="2025-03-25T00:00:00"/>
    <x v="0"/>
    <x v="1"/>
    <x v="1"/>
    <x v="1"/>
    <x v="0"/>
    <x v="1"/>
    <x v="1"/>
    <x v="0"/>
    <x v="0"/>
    <x v="0"/>
    <x v="0"/>
    <x v="0"/>
    <m/>
    <x v="123"/>
  </r>
  <r>
    <s v="USR-100148"/>
    <d v="2025-05-25T00:00:00"/>
    <x v="0"/>
    <x v="3"/>
    <x v="0"/>
    <x v="1"/>
    <x v="0"/>
    <x v="1"/>
    <x v="0"/>
    <x v="0"/>
    <x v="0"/>
    <x v="0"/>
    <x v="0"/>
    <x v="0"/>
    <m/>
    <x v="10"/>
  </r>
  <r>
    <s v="USR-100149"/>
    <d v="2025-01-28T00:00:00"/>
    <x v="0"/>
    <x v="0"/>
    <x v="1"/>
    <x v="1"/>
    <x v="1"/>
    <x v="1"/>
    <x v="1"/>
    <x v="1"/>
    <x v="1"/>
    <x v="7"/>
    <x v="0"/>
    <x v="0"/>
    <n v="9"/>
    <x v="124"/>
  </r>
  <r>
    <s v="USR-100150"/>
    <d v="2025-02-12T00:00:00"/>
    <x v="0"/>
    <x v="1"/>
    <x v="1"/>
    <x v="2"/>
    <x v="2"/>
    <x v="0"/>
    <x v="0"/>
    <x v="0"/>
    <x v="0"/>
    <x v="0"/>
    <x v="1"/>
    <x v="0"/>
    <m/>
    <x v="31"/>
  </r>
  <r>
    <s v="USR-100151"/>
    <d v="2025-04-29T00:00:00"/>
    <x v="0"/>
    <x v="0"/>
    <x v="1"/>
    <x v="4"/>
    <x v="2"/>
    <x v="1"/>
    <x v="0"/>
    <x v="0"/>
    <x v="0"/>
    <x v="0"/>
    <x v="0"/>
    <x v="0"/>
    <m/>
    <x v="125"/>
  </r>
  <r>
    <s v="USR-100152"/>
    <d v="2025-03-13T00:00:00"/>
    <x v="0"/>
    <x v="3"/>
    <x v="1"/>
    <x v="0"/>
    <x v="1"/>
    <x v="1"/>
    <x v="0"/>
    <x v="0"/>
    <x v="0"/>
    <x v="0"/>
    <x v="0"/>
    <x v="0"/>
    <m/>
    <x v="126"/>
  </r>
  <r>
    <s v="USR-100153"/>
    <d v="2025-02-04T00:00:00"/>
    <x v="0"/>
    <x v="2"/>
    <x v="0"/>
    <x v="2"/>
    <x v="1"/>
    <x v="1"/>
    <x v="0"/>
    <x v="0"/>
    <x v="0"/>
    <x v="0"/>
    <x v="0"/>
    <x v="0"/>
    <m/>
    <x v="127"/>
  </r>
  <r>
    <s v="USR-100154"/>
    <d v="2025-03-04T00:00:00"/>
    <x v="0"/>
    <x v="3"/>
    <x v="1"/>
    <x v="3"/>
    <x v="1"/>
    <x v="1"/>
    <x v="1"/>
    <x v="0"/>
    <x v="0"/>
    <x v="0"/>
    <x v="0"/>
    <x v="0"/>
    <m/>
    <x v="128"/>
  </r>
  <r>
    <s v="USR-100155"/>
    <d v="2025-02-04T00:00:00"/>
    <x v="0"/>
    <x v="1"/>
    <x v="1"/>
    <x v="2"/>
    <x v="0"/>
    <x v="1"/>
    <x v="1"/>
    <x v="0"/>
    <x v="0"/>
    <x v="0"/>
    <x v="0"/>
    <x v="0"/>
    <m/>
    <x v="129"/>
  </r>
  <r>
    <s v="USR-100156"/>
    <d v="2025-03-11T00:00:00"/>
    <x v="0"/>
    <x v="0"/>
    <x v="0"/>
    <x v="1"/>
    <x v="1"/>
    <x v="0"/>
    <x v="0"/>
    <x v="0"/>
    <x v="0"/>
    <x v="0"/>
    <x v="0"/>
    <x v="0"/>
    <m/>
    <x v="130"/>
  </r>
  <r>
    <s v="USR-100157"/>
    <d v="2025-04-22T00:00:00"/>
    <x v="0"/>
    <x v="1"/>
    <x v="1"/>
    <x v="1"/>
    <x v="1"/>
    <x v="0"/>
    <x v="0"/>
    <x v="0"/>
    <x v="0"/>
    <x v="0"/>
    <x v="0"/>
    <x v="0"/>
    <m/>
    <x v="131"/>
  </r>
  <r>
    <s v="USR-100158"/>
    <d v="2025-03-08T00:00:00"/>
    <x v="0"/>
    <x v="0"/>
    <x v="0"/>
    <x v="2"/>
    <x v="1"/>
    <x v="0"/>
    <x v="0"/>
    <x v="0"/>
    <x v="0"/>
    <x v="0"/>
    <x v="0"/>
    <x v="0"/>
    <m/>
    <x v="132"/>
  </r>
  <r>
    <s v="USR-100159"/>
    <d v="2025-03-10T00:00:00"/>
    <x v="0"/>
    <x v="2"/>
    <x v="1"/>
    <x v="1"/>
    <x v="1"/>
    <x v="0"/>
    <x v="0"/>
    <x v="0"/>
    <x v="0"/>
    <x v="0"/>
    <x v="2"/>
    <x v="0"/>
    <m/>
    <x v="133"/>
  </r>
  <r>
    <s v="USR-100160"/>
    <d v="2025-05-18T00:00:00"/>
    <x v="0"/>
    <x v="0"/>
    <x v="0"/>
    <x v="2"/>
    <x v="0"/>
    <x v="0"/>
    <x v="0"/>
    <x v="0"/>
    <x v="0"/>
    <x v="0"/>
    <x v="0"/>
    <x v="0"/>
    <m/>
    <x v="134"/>
  </r>
  <r>
    <s v="USR-100161"/>
    <d v="2025-05-14T00:00:00"/>
    <x v="0"/>
    <x v="0"/>
    <x v="1"/>
    <x v="4"/>
    <x v="0"/>
    <x v="0"/>
    <x v="0"/>
    <x v="0"/>
    <x v="0"/>
    <x v="0"/>
    <x v="0"/>
    <x v="0"/>
    <m/>
    <x v="135"/>
  </r>
  <r>
    <s v="USR-100162"/>
    <d v="2025-02-01T00:00:00"/>
    <x v="0"/>
    <x v="0"/>
    <x v="1"/>
    <x v="1"/>
    <x v="1"/>
    <x v="0"/>
    <x v="0"/>
    <x v="0"/>
    <x v="0"/>
    <x v="0"/>
    <x v="0"/>
    <x v="0"/>
    <m/>
    <x v="128"/>
  </r>
  <r>
    <s v="USR-100163"/>
    <d v="2025-04-11T00:00:00"/>
    <x v="0"/>
    <x v="3"/>
    <x v="1"/>
    <x v="1"/>
    <x v="0"/>
    <x v="0"/>
    <x v="0"/>
    <x v="0"/>
    <x v="0"/>
    <x v="0"/>
    <x v="1"/>
    <x v="0"/>
    <m/>
    <x v="136"/>
  </r>
  <r>
    <s v="USR-100164"/>
    <d v="2025-02-14T00:00:00"/>
    <x v="0"/>
    <x v="2"/>
    <x v="1"/>
    <x v="1"/>
    <x v="1"/>
    <x v="0"/>
    <x v="0"/>
    <x v="0"/>
    <x v="0"/>
    <x v="0"/>
    <x v="0"/>
    <x v="0"/>
    <m/>
    <x v="137"/>
  </r>
  <r>
    <s v="USR-100165"/>
    <d v="2025-05-19T00:00:00"/>
    <x v="0"/>
    <x v="2"/>
    <x v="1"/>
    <x v="4"/>
    <x v="1"/>
    <x v="1"/>
    <x v="0"/>
    <x v="0"/>
    <x v="0"/>
    <x v="0"/>
    <x v="0"/>
    <x v="0"/>
    <m/>
    <x v="138"/>
  </r>
  <r>
    <s v="USR-100166"/>
    <d v="2025-04-26T00:00:00"/>
    <x v="0"/>
    <x v="0"/>
    <x v="0"/>
    <x v="2"/>
    <x v="0"/>
    <x v="1"/>
    <x v="1"/>
    <x v="1"/>
    <x v="1"/>
    <x v="8"/>
    <x v="1"/>
    <x v="0"/>
    <n v="9"/>
    <x v="114"/>
  </r>
  <r>
    <s v="USR-100167"/>
    <d v="2025-04-06T00:00:00"/>
    <x v="0"/>
    <x v="3"/>
    <x v="1"/>
    <x v="4"/>
    <x v="1"/>
    <x v="1"/>
    <x v="0"/>
    <x v="0"/>
    <x v="0"/>
    <x v="0"/>
    <x v="0"/>
    <x v="0"/>
    <m/>
    <x v="139"/>
  </r>
  <r>
    <s v="USR-100168"/>
    <d v="2025-03-06T00:00:00"/>
    <x v="0"/>
    <x v="3"/>
    <x v="1"/>
    <x v="2"/>
    <x v="1"/>
    <x v="1"/>
    <x v="0"/>
    <x v="0"/>
    <x v="0"/>
    <x v="0"/>
    <x v="1"/>
    <x v="0"/>
    <m/>
    <x v="128"/>
  </r>
  <r>
    <s v="USR-100169"/>
    <d v="2025-03-10T00:00:00"/>
    <x v="0"/>
    <x v="1"/>
    <x v="1"/>
    <x v="4"/>
    <x v="0"/>
    <x v="0"/>
    <x v="0"/>
    <x v="0"/>
    <x v="0"/>
    <x v="0"/>
    <x v="0"/>
    <x v="0"/>
    <m/>
    <x v="67"/>
  </r>
  <r>
    <s v="USR-100170"/>
    <d v="2025-03-30T00:00:00"/>
    <x v="0"/>
    <x v="0"/>
    <x v="1"/>
    <x v="1"/>
    <x v="1"/>
    <x v="1"/>
    <x v="0"/>
    <x v="0"/>
    <x v="0"/>
    <x v="0"/>
    <x v="0"/>
    <x v="0"/>
    <m/>
    <x v="140"/>
  </r>
  <r>
    <s v="USR-100171"/>
    <d v="2025-05-29T00:00:00"/>
    <x v="0"/>
    <x v="2"/>
    <x v="3"/>
    <x v="2"/>
    <x v="1"/>
    <x v="1"/>
    <x v="1"/>
    <x v="1"/>
    <x v="0"/>
    <x v="0"/>
    <x v="0"/>
    <x v="0"/>
    <m/>
    <x v="141"/>
  </r>
  <r>
    <s v="USR-100172"/>
    <d v="2025-03-23T00:00:00"/>
    <x v="0"/>
    <x v="0"/>
    <x v="1"/>
    <x v="1"/>
    <x v="1"/>
    <x v="1"/>
    <x v="0"/>
    <x v="0"/>
    <x v="0"/>
    <x v="0"/>
    <x v="0"/>
    <x v="0"/>
    <m/>
    <x v="142"/>
  </r>
  <r>
    <s v="USR-100173"/>
    <d v="2025-02-18T00:00:00"/>
    <x v="0"/>
    <x v="0"/>
    <x v="2"/>
    <x v="1"/>
    <x v="0"/>
    <x v="0"/>
    <x v="0"/>
    <x v="0"/>
    <x v="0"/>
    <x v="0"/>
    <x v="1"/>
    <x v="0"/>
    <m/>
    <x v="143"/>
  </r>
  <r>
    <s v="USR-100174"/>
    <d v="2025-01-26T00:00:00"/>
    <x v="0"/>
    <x v="0"/>
    <x v="0"/>
    <x v="0"/>
    <x v="1"/>
    <x v="1"/>
    <x v="0"/>
    <x v="0"/>
    <x v="0"/>
    <x v="0"/>
    <x v="2"/>
    <x v="0"/>
    <m/>
    <x v="144"/>
  </r>
  <r>
    <s v="USR-100175"/>
    <d v="2025-04-23T00:00:00"/>
    <x v="0"/>
    <x v="2"/>
    <x v="1"/>
    <x v="4"/>
    <x v="0"/>
    <x v="0"/>
    <x v="0"/>
    <x v="0"/>
    <x v="0"/>
    <x v="0"/>
    <x v="0"/>
    <x v="0"/>
    <m/>
    <x v="145"/>
  </r>
  <r>
    <s v="USR-100176"/>
    <d v="2025-03-16T00:00:00"/>
    <x v="0"/>
    <x v="3"/>
    <x v="2"/>
    <x v="3"/>
    <x v="0"/>
    <x v="1"/>
    <x v="0"/>
    <x v="0"/>
    <x v="0"/>
    <x v="0"/>
    <x v="0"/>
    <x v="0"/>
    <m/>
    <x v="146"/>
  </r>
  <r>
    <s v="USR-100177"/>
    <d v="2025-04-29T00:00:00"/>
    <x v="0"/>
    <x v="1"/>
    <x v="1"/>
    <x v="1"/>
    <x v="0"/>
    <x v="1"/>
    <x v="0"/>
    <x v="0"/>
    <x v="0"/>
    <x v="0"/>
    <x v="0"/>
    <x v="0"/>
    <m/>
    <x v="147"/>
  </r>
  <r>
    <s v="USR-100178"/>
    <d v="2025-04-06T00:00:00"/>
    <x v="0"/>
    <x v="0"/>
    <x v="1"/>
    <x v="1"/>
    <x v="1"/>
    <x v="0"/>
    <x v="0"/>
    <x v="0"/>
    <x v="0"/>
    <x v="0"/>
    <x v="0"/>
    <x v="0"/>
    <m/>
    <x v="119"/>
  </r>
  <r>
    <s v="USR-100179"/>
    <d v="2025-04-17T00:00:00"/>
    <x v="0"/>
    <x v="0"/>
    <x v="0"/>
    <x v="3"/>
    <x v="2"/>
    <x v="1"/>
    <x v="1"/>
    <x v="1"/>
    <x v="0"/>
    <x v="0"/>
    <x v="0"/>
    <x v="0"/>
    <m/>
    <x v="148"/>
  </r>
  <r>
    <s v="USR-100180"/>
    <d v="2025-04-03T00:00:00"/>
    <x v="0"/>
    <x v="3"/>
    <x v="1"/>
    <x v="2"/>
    <x v="1"/>
    <x v="1"/>
    <x v="0"/>
    <x v="0"/>
    <x v="0"/>
    <x v="0"/>
    <x v="0"/>
    <x v="0"/>
    <m/>
    <x v="149"/>
  </r>
  <r>
    <s v="USR-100181"/>
    <d v="2025-04-25T00:00:00"/>
    <x v="0"/>
    <x v="1"/>
    <x v="1"/>
    <x v="2"/>
    <x v="1"/>
    <x v="0"/>
    <x v="0"/>
    <x v="0"/>
    <x v="0"/>
    <x v="0"/>
    <x v="0"/>
    <x v="0"/>
    <m/>
    <x v="150"/>
  </r>
  <r>
    <s v="USR-100182"/>
    <d v="2025-04-30T00:00:00"/>
    <x v="0"/>
    <x v="3"/>
    <x v="1"/>
    <x v="1"/>
    <x v="2"/>
    <x v="0"/>
    <x v="0"/>
    <x v="0"/>
    <x v="0"/>
    <x v="0"/>
    <x v="0"/>
    <x v="0"/>
    <m/>
    <x v="151"/>
  </r>
  <r>
    <s v="USR-100183"/>
    <d v="2025-03-12T00:00:00"/>
    <x v="0"/>
    <x v="3"/>
    <x v="1"/>
    <x v="2"/>
    <x v="1"/>
    <x v="1"/>
    <x v="0"/>
    <x v="0"/>
    <x v="0"/>
    <x v="0"/>
    <x v="0"/>
    <x v="0"/>
    <m/>
    <x v="152"/>
  </r>
  <r>
    <s v="USR-100184"/>
    <d v="2025-05-04T00:00:00"/>
    <x v="0"/>
    <x v="3"/>
    <x v="1"/>
    <x v="1"/>
    <x v="1"/>
    <x v="1"/>
    <x v="0"/>
    <x v="0"/>
    <x v="0"/>
    <x v="0"/>
    <x v="0"/>
    <x v="0"/>
    <m/>
    <x v="153"/>
  </r>
  <r>
    <s v="USR-100185"/>
    <d v="2025-02-07T00:00:00"/>
    <x v="0"/>
    <x v="3"/>
    <x v="2"/>
    <x v="2"/>
    <x v="2"/>
    <x v="0"/>
    <x v="0"/>
    <x v="0"/>
    <x v="0"/>
    <x v="0"/>
    <x v="0"/>
    <x v="0"/>
    <m/>
    <x v="154"/>
  </r>
  <r>
    <s v="USR-100186"/>
    <d v="2025-04-28T00:00:00"/>
    <x v="0"/>
    <x v="2"/>
    <x v="2"/>
    <x v="0"/>
    <x v="0"/>
    <x v="1"/>
    <x v="1"/>
    <x v="1"/>
    <x v="0"/>
    <x v="0"/>
    <x v="0"/>
    <x v="0"/>
    <m/>
    <x v="155"/>
  </r>
  <r>
    <s v="USR-100187"/>
    <d v="2025-05-15T00:00:00"/>
    <x v="0"/>
    <x v="2"/>
    <x v="0"/>
    <x v="3"/>
    <x v="1"/>
    <x v="0"/>
    <x v="0"/>
    <x v="0"/>
    <x v="0"/>
    <x v="0"/>
    <x v="0"/>
    <x v="0"/>
    <m/>
    <x v="156"/>
  </r>
  <r>
    <s v="USR-100188"/>
    <d v="2025-01-18T00:00:00"/>
    <x v="0"/>
    <x v="1"/>
    <x v="1"/>
    <x v="2"/>
    <x v="0"/>
    <x v="0"/>
    <x v="0"/>
    <x v="0"/>
    <x v="0"/>
    <x v="0"/>
    <x v="0"/>
    <x v="0"/>
    <m/>
    <x v="8"/>
  </r>
  <r>
    <s v="USR-100189"/>
    <d v="2025-02-15T00:00:00"/>
    <x v="0"/>
    <x v="3"/>
    <x v="1"/>
    <x v="4"/>
    <x v="0"/>
    <x v="1"/>
    <x v="0"/>
    <x v="0"/>
    <x v="0"/>
    <x v="0"/>
    <x v="0"/>
    <x v="0"/>
    <m/>
    <x v="112"/>
  </r>
  <r>
    <s v="USR-100190"/>
    <d v="2025-02-18T00:00:00"/>
    <x v="0"/>
    <x v="0"/>
    <x v="2"/>
    <x v="0"/>
    <x v="1"/>
    <x v="1"/>
    <x v="0"/>
    <x v="0"/>
    <x v="0"/>
    <x v="0"/>
    <x v="0"/>
    <x v="0"/>
    <m/>
    <x v="107"/>
  </r>
  <r>
    <s v="USR-100191"/>
    <d v="2025-01-30T00:00:00"/>
    <x v="0"/>
    <x v="3"/>
    <x v="0"/>
    <x v="0"/>
    <x v="0"/>
    <x v="1"/>
    <x v="1"/>
    <x v="1"/>
    <x v="0"/>
    <x v="0"/>
    <x v="0"/>
    <x v="0"/>
    <m/>
    <x v="157"/>
  </r>
  <r>
    <s v="USR-100192"/>
    <d v="2025-02-09T00:00:00"/>
    <x v="0"/>
    <x v="3"/>
    <x v="0"/>
    <x v="1"/>
    <x v="0"/>
    <x v="1"/>
    <x v="0"/>
    <x v="0"/>
    <x v="0"/>
    <x v="0"/>
    <x v="0"/>
    <x v="0"/>
    <m/>
    <x v="158"/>
  </r>
  <r>
    <s v="USR-100193"/>
    <d v="2025-03-16T00:00:00"/>
    <x v="0"/>
    <x v="1"/>
    <x v="1"/>
    <x v="2"/>
    <x v="0"/>
    <x v="1"/>
    <x v="0"/>
    <x v="0"/>
    <x v="0"/>
    <x v="0"/>
    <x v="0"/>
    <x v="0"/>
    <m/>
    <x v="159"/>
  </r>
  <r>
    <s v="USR-100194"/>
    <d v="2025-05-19T00:00:00"/>
    <x v="0"/>
    <x v="0"/>
    <x v="1"/>
    <x v="2"/>
    <x v="1"/>
    <x v="1"/>
    <x v="0"/>
    <x v="0"/>
    <x v="0"/>
    <x v="0"/>
    <x v="0"/>
    <x v="0"/>
    <m/>
    <x v="160"/>
  </r>
  <r>
    <s v="USR-100195"/>
    <d v="2025-05-16T00:00:00"/>
    <x v="0"/>
    <x v="3"/>
    <x v="0"/>
    <x v="1"/>
    <x v="0"/>
    <x v="1"/>
    <x v="0"/>
    <x v="0"/>
    <x v="0"/>
    <x v="0"/>
    <x v="0"/>
    <x v="0"/>
    <m/>
    <x v="161"/>
  </r>
  <r>
    <s v="USR-100196"/>
    <d v="2025-04-25T00:00:00"/>
    <x v="0"/>
    <x v="1"/>
    <x v="0"/>
    <x v="3"/>
    <x v="0"/>
    <x v="0"/>
    <x v="0"/>
    <x v="0"/>
    <x v="0"/>
    <x v="0"/>
    <x v="0"/>
    <x v="0"/>
    <m/>
    <x v="162"/>
  </r>
  <r>
    <s v="USR-100197"/>
    <d v="2025-02-27T00:00:00"/>
    <x v="0"/>
    <x v="0"/>
    <x v="1"/>
    <x v="4"/>
    <x v="0"/>
    <x v="1"/>
    <x v="1"/>
    <x v="1"/>
    <x v="1"/>
    <x v="9"/>
    <x v="2"/>
    <x v="0"/>
    <n v="6"/>
    <x v="75"/>
  </r>
  <r>
    <s v="USR-100198"/>
    <d v="2025-04-26T00:00:00"/>
    <x v="0"/>
    <x v="3"/>
    <x v="1"/>
    <x v="2"/>
    <x v="0"/>
    <x v="0"/>
    <x v="0"/>
    <x v="0"/>
    <x v="0"/>
    <x v="0"/>
    <x v="0"/>
    <x v="0"/>
    <m/>
    <x v="163"/>
  </r>
  <r>
    <s v="USR-100199"/>
    <d v="2025-05-14T00:00:00"/>
    <x v="0"/>
    <x v="0"/>
    <x v="1"/>
    <x v="1"/>
    <x v="0"/>
    <x v="1"/>
    <x v="0"/>
    <x v="0"/>
    <x v="0"/>
    <x v="0"/>
    <x v="0"/>
    <x v="0"/>
    <m/>
    <x v="32"/>
  </r>
  <r>
    <s v="USR-100200"/>
    <d v="2025-03-05T00:00:00"/>
    <x v="0"/>
    <x v="0"/>
    <x v="1"/>
    <x v="1"/>
    <x v="2"/>
    <x v="1"/>
    <x v="0"/>
    <x v="0"/>
    <x v="0"/>
    <x v="0"/>
    <x v="0"/>
    <x v="0"/>
    <m/>
    <x v="164"/>
  </r>
  <r>
    <s v="USR-100201"/>
    <d v="2025-04-02T00:00:00"/>
    <x v="0"/>
    <x v="1"/>
    <x v="0"/>
    <x v="1"/>
    <x v="1"/>
    <x v="1"/>
    <x v="0"/>
    <x v="0"/>
    <x v="0"/>
    <x v="0"/>
    <x v="0"/>
    <x v="0"/>
    <m/>
    <x v="165"/>
  </r>
  <r>
    <s v="USR-100202"/>
    <d v="2025-05-14T00:00:00"/>
    <x v="0"/>
    <x v="3"/>
    <x v="2"/>
    <x v="1"/>
    <x v="1"/>
    <x v="0"/>
    <x v="0"/>
    <x v="0"/>
    <x v="0"/>
    <x v="0"/>
    <x v="0"/>
    <x v="0"/>
    <m/>
    <x v="121"/>
  </r>
  <r>
    <s v="USR-100203"/>
    <d v="2025-05-21T00:00:00"/>
    <x v="0"/>
    <x v="0"/>
    <x v="1"/>
    <x v="2"/>
    <x v="1"/>
    <x v="1"/>
    <x v="1"/>
    <x v="0"/>
    <x v="0"/>
    <x v="0"/>
    <x v="0"/>
    <x v="0"/>
    <m/>
    <x v="166"/>
  </r>
  <r>
    <s v="USR-100204"/>
    <d v="2025-01-27T00:00:00"/>
    <x v="0"/>
    <x v="2"/>
    <x v="1"/>
    <x v="4"/>
    <x v="0"/>
    <x v="0"/>
    <x v="0"/>
    <x v="0"/>
    <x v="0"/>
    <x v="0"/>
    <x v="0"/>
    <x v="0"/>
    <m/>
    <x v="84"/>
  </r>
  <r>
    <s v="USR-100205"/>
    <d v="2025-05-22T00:00:00"/>
    <x v="0"/>
    <x v="1"/>
    <x v="0"/>
    <x v="1"/>
    <x v="1"/>
    <x v="1"/>
    <x v="1"/>
    <x v="0"/>
    <x v="0"/>
    <x v="0"/>
    <x v="0"/>
    <x v="0"/>
    <m/>
    <x v="146"/>
  </r>
  <r>
    <s v="USR-100206"/>
    <d v="2025-05-19T00:00:00"/>
    <x v="0"/>
    <x v="3"/>
    <x v="1"/>
    <x v="2"/>
    <x v="1"/>
    <x v="0"/>
    <x v="0"/>
    <x v="0"/>
    <x v="0"/>
    <x v="0"/>
    <x v="0"/>
    <x v="0"/>
    <m/>
    <x v="167"/>
  </r>
  <r>
    <s v="USR-100207"/>
    <d v="2025-01-14T00:00:00"/>
    <x v="0"/>
    <x v="3"/>
    <x v="0"/>
    <x v="2"/>
    <x v="1"/>
    <x v="1"/>
    <x v="0"/>
    <x v="0"/>
    <x v="0"/>
    <x v="0"/>
    <x v="2"/>
    <x v="0"/>
    <m/>
    <x v="81"/>
  </r>
  <r>
    <s v="USR-100208"/>
    <d v="2025-01-21T00:00:00"/>
    <x v="0"/>
    <x v="0"/>
    <x v="0"/>
    <x v="3"/>
    <x v="2"/>
    <x v="1"/>
    <x v="0"/>
    <x v="0"/>
    <x v="0"/>
    <x v="0"/>
    <x v="1"/>
    <x v="0"/>
    <m/>
    <x v="168"/>
  </r>
  <r>
    <s v="USR-100209"/>
    <d v="2025-05-16T00:00:00"/>
    <x v="0"/>
    <x v="2"/>
    <x v="1"/>
    <x v="1"/>
    <x v="1"/>
    <x v="0"/>
    <x v="0"/>
    <x v="0"/>
    <x v="0"/>
    <x v="0"/>
    <x v="0"/>
    <x v="0"/>
    <m/>
    <x v="169"/>
  </r>
  <r>
    <s v="USR-100210"/>
    <d v="2025-02-02T00:00:00"/>
    <x v="0"/>
    <x v="0"/>
    <x v="1"/>
    <x v="0"/>
    <x v="1"/>
    <x v="1"/>
    <x v="0"/>
    <x v="0"/>
    <x v="0"/>
    <x v="0"/>
    <x v="0"/>
    <x v="0"/>
    <m/>
    <x v="22"/>
  </r>
  <r>
    <s v="USR-100211"/>
    <d v="2025-03-23T00:00:00"/>
    <x v="0"/>
    <x v="2"/>
    <x v="3"/>
    <x v="3"/>
    <x v="1"/>
    <x v="1"/>
    <x v="1"/>
    <x v="1"/>
    <x v="1"/>
    <x v="10"/>
    <x v="0"/>
    <x v="0"/>
    <n v="5"/>
    <x v="170"/>
  </r>
  <r>
    <s v="USR-100212"/>
    <d v="2025-01-24T00:00:00"/>
    <x v="0"/>
    <x v="2"/>
    <x v="1"/>
    <x v="1"/>
    <x v="1"/>
    <x v="1"/>
    <x v="0"/>
    <x v="0"/>
    <x v="0"/>
    <x v="0"/>
    <x v="0"/>
    <x v="0"/>
    <m/>
    <x v="171"/>
  </r>
  <r>
    <s v="USR-100213"/>
    <d v="2025-04-12T00:00:00"/>
    <x v="0"/>
    <x v="0"/>
    <x v="0"/>
    <x v="1"/>
    <x v="1"/>
    <x v="1"/>
    <x v="0"/>
    <x v="0"/>
    <x v="0"/>
    <x v="0"/>
    <x v="0"/>
    <x v="0"/>
    <m/>
    <x v="109"/>
  </r>
  <r>
    <s v="USR-100214"/>
    <d v="2025-02-18T00:00:00"/>
    <x v="0"/>
    <x v="2"/>
    <x v="0"/>
    <x v="2"/>
    <x v="1"/>
    <x v="1"/>
    <x v="1"/>
    <x v="0"/>
    <x v="0"/>
    <x v="0"/>
    <x v="0"/>
    <x v="0"/>
    <m/>
    <x v="19"/>
  </r>
  <r>
    <s v="USR-100215"/>
    <d v="2025-05-28T00:00:00"/>
    <x v="0"/>
    <x v="3"/>
    <x v="1"/>
    <x v="0"/>
    <x v="0"/>
    <x v="1"/>
    <x v="1"/>
    <x v="1"/>
    <x v="0"/>
    <x v="0"/>
    <x v="0"/>
    <x v="0"/>
    <m/>
    <x v="172"/>
  </r>
  <r>
    <s v="USR-100216"/>
    <d v="2025-04-18T00:00:00"/>
    <x v="0"/>
    <x v="3"/>
    <x v="1"/>
    <x v="4"/>
    <x v="0"/>
    <x v="0"/>
    <x v="0"/>
    <x v="0"/>
    <x v="0"/>
    <x v="0"/>
    <x v="0"/>
    <x v="0"/>
    <m/>
    <x v="173"/>
  </r>
  <r>
    <s v="USR-100217"/>
    <d v="2025-03-27T00:00:00"/>
    <x v="0"/>
    <x v="0"/>
    <x v="1"/>
    <x v="2"/>
    <x v="0"/>
    <x v="1"/>
    <x v="0"/>
    <x v="0"/>
    <x v="0"/>
    <x v="0"/>
    <x v="0"/>
    <x v="0"/>
    <m/>
    <x v="174"/>
  </r>
  <r>
    <s v="USR-100218"/>
    <d v="2025-02-25T00:00:00"/>
    <x v="0"/>
    <x v="0"/>
    <x v="2"/>
    <x v="4"/>
    <x v="1"/>
    <x v="1"/>
    <x v="0"/>
    <x v="0"/>
    <x v="0"/>
    <x v="0"/>
    <x v="0"/>
    <x v="0"/>
    <m/>
    <x v="128"/>
  </r>
  <r>
    <s v="USR-100219"/>
    <d v="2025-02-19T00:00:00"/>
    <x v="0"/>
    <x v="2"/>
    <x v="1"/>
    <x v="2"/>
    <x v="1"/>
    <x v="0"/>
    <x v="0"/>
    <x v="0"/>
    <x v="0"/>
    <x v="0"/>
    <x v="1"/>
    <x v="0"/>
    <m/>
    <x v="175"/>
  </r>
  <r>
    <s v="USR-100220"/>
    <d v="2025-04-11T00:00:00"/>
    <x v="0"/>
    <x v="1"/>
    <x v="1"/>
    <x v="2"/>
    <x v="1"/>
    <x v="1"/>
    <x v="1"/>
    <x v="0"/>
    <x v="0"/>
    <x v="0"/>
    <x v="3"/>
    <x v="0"/>
    <m/>
    <x v="176"/>
  </r>
  <r>
    <s v="USR-100221"/>
    <d v="2025-01-22T00:00:00"/>
    <x v="0"/>
    <x v="2"/>
    <x v="2"/>
    <x v="3"/>
    <x v="2"/>
    <x v="1"/>
    <x v="1"/>
    <x v="1"/>
    <x v="0"/>
    <x v="0"/>
    <x v="0"/>
    <x v="0"/>
    <m/>
    <x v="119"/>
  </r>
  <r>
    <s v="USR-100222"/>
    <d v="2025-01-12T00:00:00"/>
    <x v="0"/>
    <x v="3"/>
    <x v="1"/>
    <x v="4"/>
    <x v="1"/>
    <x v="1"/>
    <x v="0"/>
    <x v="0"/>
    <x v="0"/>
    <x v="0"/>
    <x v="0"/>
    <x v="0"/>
    <m/>
    <x v="177"/>
  </r>
  <r>
    <s v="USR-100223"/>
    <d v="2025-02-17T00:00:00"/>
    <x v="0"/>
    <x v="1"/>
    <x v="1"/>
    <x v="0"/>
    <x v="1"/>
    <x v="1"/>
    <x v="0"/>
    <x v="0"/>
    <x v="0"/>
    <x v="0"/>
    <x v="1"/>
    <x v="0"/>
    <m/>
    <x v="137"/>
  </r>
  <r>
    <s v="USR-100224"/>
    <d v="2025-04-11T00:00:00"/>
    <x v="0"/>
    <x v="1"/>
    <x v="0"/>
    <x v="1"/>
    <x v="1"/>
    <x v="0"/>
    <x v="0"/>
    <x v="0"/>
    <x v="0"/>
    <x v="0"/>
    <x v="0"/>
    <x v="0"/>
    <m/>
    <x v="178"/>
  </r>
  <r>
    <s v="USR-100225"/>
    <d v="2025-05-25T00:00:00"/>
    <x v="0"/>
    <x v="3"/>
    <x v="1"/>
    <x v="3"/>
    <x v="2"/>
    <x v="0"/>
    <x v="0"/>
    <x v="0"/>
    <x v="0"/>
    <x v="0"/>
    <x v="0"/>
    <x v="0"/>
    <m/>
    <x v="179"/>
  </r>
  <r>
    <s v="USR-100226"/>
    <d v="2025-03-12T00:00:00"/>
    <x v="0"/>
    <x v="3"/>
    <x v="1"/>
    <x v="1"/>
    <x v="0"/>
    <x v="1"/>
    <x v="0"/>
    <x v="0"/>
    <x v="0"/>
    <x v="0"/>
    <x v="0"/>
    <x v="0"/>
    <m/>
    <x v="111"/>
  </r>
  <r>
    <s v="USR-100227"/>
    <d v="2025-04-20T00:00:00"/>
    <x v="0"/>
    <x v="0"/>
    <x v="2"/>
    <x v="0"/>
    <x v="1"/>
    <x v="0"/>
    <x v="0"/>
    <x v="0"/>
    <x v="0"/>
    <x v="0"/>
    <x v="0"/>
    <x v="0"/>
    <m/>
    <x v="180"/>
  </r>
  <r>
    <s v="USR-100228"/>
    <d v="2025-02-23T00:00:00"/>
    <x v="0"/>
    <x v="0"/>
    <x v="2"/>
    <x v="1"/>
    <x v="1"/>
    <x v="0"/>
    <x v="0"/>
    <x v="0"/>
    <x v="0"/>
    <x v="0"/>
    <x v="0"/>
    <x v="0"/>
    <m/>
    <x v="24"/>
  </r>
  <r>
    <s v="USR-100229"/>
    <d v="2025-01-24T00:00:00"/>
    <x v="0"/>
    <x v="0"/>
    <x v="1"/>
    <x v="1"/>
    <x v="0"/>
    <x v="1"/>
    <x v="1"/>
    <x v="1"/>
    <x v="0"/>
    <x v="0"/>
    <x v="1"/>
    <x v="0"/>
    <m/>
    <x v="181"/>
  </r>
  <r>
    <s v="USR-100230"/>
    <d v="2025-01-16T00:00:00"/>
    <x v="0"/>
    <x v="1"/>
    <x v="1"/>
    <x v="1"/>
    <x v="2"/>
    <x v="1"/>
    <x v="1"/>
    <x v="1"/>
    <x v="0"/>
    <x v="0"/>
    <x v="1"/>
    <x v="0"/>
    <m/>
    <x v="182"/>
  </r>
  <r>
    <s v="USR-100231"/>
    <d v="2025-02-17T00:00:00"/>
    <x v="0"/>
    <x v="0"/>
    <x v="1"/>
    <x v="4"/>
    <x v="1"/>
    <x v="0"/>
    <x v="0"/>
    <x v="0"/>
    <x v="0"/>
    <x v="0"/>
    <x v="0"/>
    <x v="0"/>
    <m/>
    <x v="183"/>
  </r>
  <r>
    <s v="USR-100232"/>
    <d v="2025-05-04T00:00:00"/>
    <x v="0"/>
    <x v="0"/>
    <x v="0"/>
    <x v="1"/>
    <x v="0"/>
    <x v="1"/>
    <x v="0"/>
    <x v="0"/>
    <x v="0"/>
    <x v="0"/>
    <x v="0"/>
    <x v="0"/>
    <m/>
    <x v="149"/>
  </r>
  <r>
    <s v="USR-100233"/>
    <d v="2025-01-12T00:00:00"/>
    <x v="0"/>
    <x v="1"/>
    <x v="1"/>
    <x v="1"/>
    <x v="0"/>
    <x v="0"/>
    <x v="0"/>
    <x v="0"/>
    <x v="0"/>
    <x v="0"/>
    <x v="0"/>
    <x v="0"/>
    <m/>
    <x v="184"/>
  </r>
  <r>
    <s v="USR-100234"/>
    <d v="2025-04-28T00:00:00"/>
    <x v="0"/>
    <x v="0"/>
    <x v="2"/>
    <x v="1"/>
    <x v="1"/>
    <x v="0"/>
    <x v="0"/>
    <x v="0"/>
    <x v="0"/>
    <x v="0"/>
    <x v="0"/>
    <x v="0"/>
    <m/>
    <x v="18"/>
  </r>
  <r>
    <s v="USR-100235"/>
    <d v="2025-02-26T00:00:00"/>
    <x v="0"/>
    <x v="0"/>
    <x v="1"/>
    <x v="1"/>
    <x v="1"/>
    <x v="0"/>
    <x v="0"/>
    <x v="0"/>
    <x v="0"/>
    <x v="0"/>
    <x v="0"/>
    <x v="0"/>
    <m/>
    <x v="185"/>
  </r>
  <r>
    <s v="USR-100236"/>
    <d v="2025-03-18T00:00:00"/>
    <x v="0"/>
    <x v="1"/>
    <x v="1"/>
    <x v="4"/>
    <x v="1"/>
    <x v="1"/>
    <x v="0"/>
    <x v="0"/>
    <x v="0"/>
    <x v="0"/>
    <x v="3"/>
    <x v="0"/>
    <m/>
    <x v="186"/>
  </r>
  <r>
    <s v="USR-100237"/>
    <d v="2025-03-01T00:00:00"/>
    <x v="0"/>
    <x v="3"/>
    <x v="0"/>
    <x v="1"/>
    <x v="2"/>
    <x v="1"/>
    <x v="0"/>
    <x v="0"/>
    <x v="0"/>
    <x v="0"/>
    <x v="0"/>
    <x v="0"/>
    <m/>
    <x v="173"/>
  </r>
  <r>
    <s v="USR-100238"/>
    <d v="2025-04-05T00:00:00"/>
    <x v="0"/>
    <x v="0"/>
    <x v="0"/>
    <x v="4"/>
    <x v="2"/>
    <x v="1"/>
    <x v="0"/>
    <x v="0"/>
    <x v="0"/>
    <x v="0"/>
    <x v="0"/>
    <x v="0"/>
    <m/>
    <x v="187"/>
  </r>
  <r>
    <s v="USR-100239"/>
    <d v="2025-03-12T00:00:00"/>
    <x v="0"/>
    <x v="0"/>
    <x v="0"/>
    <x v="4"/>
    <x v="1"/>
    <x v="1"/>
    <x v="1"/>
    <x v="1"/>
    <x v="0"/>
    <x v="0"/>
    <x v="0"/>
    <x v="0"/>
    <m/>
    <x v="149"/>
  </r>
  <r>
    <s v="USR-100240"/>
    <d v="2025-03-15T00:00:00"/>
    <x v="0"/>
    <x v="1"/>
    <x v="1"/>
    <x v="3"/>
    <x v="0"/>
    <x v="1"/>
    <x v="1"/>
    <x v="0"/>
    <x v="0"/>
    <x v="0"/>
    <x v="0"/>
    <x v="0"/>
    <m/>
    <x v="188"/>
  </r>
  <r>
    <s v="USR-100241"/>
    <d v="2025-02-23T00:00:00"/>
    <x v="0"/>
    <x v="1"/>
    <x v="1"/>
    <x v="0"/>
    <x v="1"/>
    <x v="0"/>
    <x v="0"/>
    <x v="0"/>
    <x v="0"/>
    <x v="0"/>
    <x v="0"/>
    <x v="0"/>
    <m/>
    <x v="78"/>
  </r>
  <r>
    <s v="USR-100242"/>
    <d v="2025-04-22T00:00:00"/>
    <x v="0"/>
    <x v="0"/>
    <x v="1"/>
    <x v="1"/>
    <x v="0"/>
    <x v="1"/>
    <x v="0"/>
    <x v="0"/>
    <x v="0"/>
    <x v="0"/>
    <x v="0"/>
    <x v="0"/>
    <m/>
    <x v="189"/>
  </r>
  <r>
    <s v="USR-100243"/>
    <d v="2025-01-09T00:00:00"/>
    <x v="0"/>
    <x v="2"/>
    <x v="1"/>
    <x v="1"/>
    <x v="0"/>
    <x v="1"/>
    <x v="1"/>
    <x v="1"/>
    <x v="0"/>
    <x v="0"/>
    <x v="0"/>
    <x v="0"/>
    <m/>
    <x v="190"/>
  </r>
  <r>
    <s v="USR-100244"/>
    <d v="2025-03-05T00:00:00"/>
    <x v="0"/>
    <x v="2"/>
    <x v="2"/>
    <x v="4"/>
    <x v="2"/>
    <x v="1"/>
    <x v="1"/>
    <x v="0"/>
    <x v="0"/>
    <x v="0"/>
    <x v="0"/>
    <x v="0"/>
    <m/>
    <x v="40"/>
  </r>
  <r>
    <s v="USR-100245"/>
    <d v="2025-01-28T00:00:00"/>
    <x v="0"/>
    <x v="0"/>
    <x v="1"/>
    <x v="4"/>
    <x v="1"/>
    <x v="1"/>
    <x v="1"/>
    <x v="1"/>
    <x v="0"/>
    <x v="0"/>
    <x v="0"/>
    <x v="0"/>
    <m/>
    <x v="191"/>
  </r>
  <r>
    <s v="USR-100246"/>
    <d v="2025-01-21T00:00:00"/>
    <x v="0"/>
    <x v="1"/>
    <x v="1"/>
    <x v="2"/>
    <x v="2"/>
    <x v="1"/>
    <x v="1"/>
    <x v="0"/>
    <x v="0"/>
    <x v="0"/>
    <x v="0"/>
    <x v="0"/>
    <m/>
    <x v="192"/>
  </r>
  <r>
    <s v="USR-100247"/>
    <d v="2025-03-14T00:00:00"/>
    <x v="0"/>
    <x v="3"/>
    <x v="1"/>
    <x v="3"/>
    <x v="0"/>
    <x v="0"/>
    <x v="0"/>
    <x v="0"/>
    <x v="0"/>
    <x v="0"/>
    <x v="0"/>
    <x v="0"/>
    <m/>
    <x v="132"/>
  </r>
  <r>
    <s v="USR-100248"/>
    <d v="2025-02-03T00:00:00"/>
    <x v="0"/>
    <x v="1"/>
    <x v="1"/>
    <x v="2"/>
    <x v="1"/>
    <x v="0"/>
    <x v="0"/>
    <x v="0"/>
    <x v="0"/>
    <x v="0"/>
    <x v="0"/>
    <x v="0"/>
    <m/>
    <x v="193"/>
  </r>
  <r>
    <s v="USR-100249"/>
    <d v="2025-05-22T00:00:00"/>
    <x v="0"/>
    <x v="0"/>
    <x v="1"/>
    <x v="4"/>
    <x v="1"/>
    <x v="1"/>
    <x v="0"/>
    <x v="0"/>
    <x v="0"/>
    <x v="0"/>
    <x v="0"/>
    <x v="0"/>
    <m/>
    <x v="39"/>
  </r>
  <r>
    <s v="USR-100250"/>
    <d v="2025-04-25T00:00:00"/>
    <x v="0"/>
    <x v="0"/>
    <x v="0"/>
    <x v="0"/>
    <x v="1"/>
    <x v="1"/>
    <x v="0"/>
    <x v="0"/>
    <x v="0"/>
    <x v="0"/>
    <x v="0"/>
    <x v="0"/>
    <m/>
    <x v="194"/>
  </r>
  <r>
    <s v="USR-100251"/>
    <d v="2025-01-30T00:00:00"/>
    <x v="0"/>
    <x v="0"/>
    <x v="0"/>
    <x v="0"/>
    <x v="0"/>
    <x v="1"/>
    <x v="1"/>
    <x v="1"/>
    <x v="1"/>
    <x v="11"/>
    <x v="0"/>
    <x v="0"/>
    <n v="10"/>
    <x v="195"/>
  </r>
  <r>
    <s v="USR-100252"/>
    <d v="2025-05-23T00:00:00"/>
    <x v="0"/>
    <x v="1"/>
    <x v="1"/>
    <x v="1"/>
    <x v="1"/>
    <x v="1"/>
    <x v="0"/>
    <x v="0"/>
    <x v="0"/>
    <x v="0"/>
    <x v="0"/>
    <x v="0"/>
    <m/>
    <x v="196"/>
  </r>
  <r>
    <s v="USR-100253"/>
    <d v="2025-02-14T00:00:00"/>
    <x v="0"/>
    <x v="2"/>
    <x v="0"/>
    <x v="1"/>
    <x v="1"/>
    <x v="1"/>
    <x v="1"/>
    <x v="1"/>
    <x v="0"/>
    <x v="0"/>
    <x v="0"/>
    <x v="0"/>
    <m/>
    <x v="197"/>
  </r>
  <r>
    <s v="USR-100254"/>
    <d v="2025-03-05T00:00:00"/>
    <x v="0"/>
    <x v="0"/>
    <x v="1"/>
    <x v="2"/>
    <x v="2"/>
    <x v="0"/>
    <x v="0"/>
    <x v="0"/>
    <x v="0"/>
    <x v="0"/>
    <x v="1"/>
    <x v="0"/>
    <m/>
    <x v="68"/>
  </r>
  <r>
    <s v="USR-100255"/>
    <d v="2025-05-27T00:00:00"/>
    <x v="0"/>
    <x v="0"/>
    <x v="1"/>
    <x v="2"/>
    <x v="0"/>
    <x v="0"/>
    <x v="0"/>
    <x v="0"/>
    <x v="0"/>
    <x v="0"/>
    <x v="0"/>
    <x v="0"/>
    <m/>
    <x v="117"/>
  </r>
  <r>
    <s v="USR-100256"/>
    <d v="2025-01-07T00:00:00"/>
    <x v="0"/>
    <x v="3"/>
    <x v="1"/>
    <x v="2"/>
    <x v="1"/>
    <x v="1"/>
    <x v="0"/>
    <x v="0"/>
    <x v="0"/>
    <x v="0"/>
    <x v="0"/>
    <x v="0"/>
    <m/>
    <x v="70"/>
  </r>
  <r>
    <s v="USR-100257"/>
    <d v="2025-04-21T00:00:00"/>
    <x v="0"/>
    <x v="0"/>
    <x v="1"/>
    <x v="0"/>
    <x v="1"/>
    <x v="1"/>
    <x v="0"/>
    <x v="0"/>
    <x v="0"/>
    <x v="0"/>
    <x v="0"/>
    <x v="0"/>
    <m/>
    <x v="59"/>
  </r>
  <r>
    <s v="USR-100258"/>
    <d v="2025-05-13T00:00:00"/>
    <x v="0"/>
    <x v="0"/>
    <x v="1"/>
    <x v="2"/>
    <x v="1"/>
    <x v="0"/>
    <x v="0"/>
    <x v="0"/>
    <x v="0"/>
    <x v="0"/>
    <x v="0"/>
    <x v="0"/>
    <m/>
    <x v="196"/>
  </r>
  <r>
    <s v="USR-100259"/>
    <d v="2025-01-28T00:00:00"/>
    <x v="0"/>
    <x v="2"/>
    <x v="0"/>
    <x v="1"/>
    <x v="1"/>
    <x v="1"/>
    <x v="0"/>
    <x v="0"/>
    <x v="0"/>
    <x v="0"/>
    <x v="0"/>
    <x v="0"/>
    <m/>
    <x v="198"/>
  </r>
  <r>
    <s v="USR-100260"/>
    <d v="2025-03-16T00:00:00"/>
    <x v="0"/>
    <x v="2"/>
    <x v="0"/>
    <x v="2"/>
    <x v="0"/>
    <x v="1"/>
    <x v="0"/>
    <x v="0"/>
    <x v="0"/>
    <x v="0"/>
    <x v="1"/>
    <x v="0"/>
    <m/>
    <x v="174"/>
  </r>
  <r>
    <s v="USR-100261"/>
    <d v="2025-04-10T00:00:00"/>
    <x v="0"/>
    <x v="2"/>
    <x v="0"/>
    <x v="4"/>
    <x v="0"/>
    <x v="0"/>
    <x v="0"/>
    <x v="0"/>
    <x v="0"/>
    <x v="0"/>
    <x v="0"/>
    <x v="0"/>
    <m/>
    <x v="199"/>
  </r>
  <r>
    <s v="USR-100262"/>
    <d v="2025-03-15T00:00:00"/>
    <x v="0"/>
    <x v="2"/>
    <x v="0"/>
    <x v="3"/>
    <x v="1"/>
    <x v="1"/>
    <x v="1"/>
    <x v="1"/>
    <x v="0"/>
    <x v="0"/>
    <x v="0"/>
    <x v="0"/>
    <m/>
    <x v="2"/>
  </r>
  <r>
    <s v="USR-100263"/>
    <d v="2025-04-07T00:00:00"/>
    <x v="0"/>
    <x v="1"/>
    <x v="0"/>
    <x v="1"/>
    <x v="0"/>
    <x v="1"/>
    <x v="0"/>
    <x v="0"/>
    <x v="0"/>
    <x v="0"/>
    <x v="0"/>
    <x v="0"/>
    <m/>
    <x v="200"/>
  </r>
  <r>
    <s v="USR-100264"/>
    <d v="2025-02-12T00:00:00"/>
    <x v="0"/>
    <x v="3"/>
    <x v="1"/>
    <x v="1"/>
    <x v="1"/>
    <x v="1"/>
    <x v="1"/>
    <x v="0"/>
    <x v="0"/>
    <x v="0"/>
    <x v="0"/>
    <x v="0"/>
    <m/>
    <x v="201"/>
  </r>
  <r>
    <s v="USR-100265"/>
    <d v="2025-05-05T00:00:00"/>
    <x v="0"/>
    <x v="1"/>
    <x v="1"/>
    <x v="4"/>
    <x v="1"/>
    <x v="0"/>
    <x v="0"/>
    <x v="0"/>
    <x v="0"/>
    <x v="0"/>
    <x v="0"/>
    <x v="0"/>
    <m/>
    <x v="45"/>
  </r>
  <r>
    <s v="USR-100266"/>
    <d v="2025-03-11T00:00:00"/>
    <x v="0"/>
    <x v="1"/>
    <x v="1"/>
    <x v="3"/>
    <x v="1"/>
    <x v="1"/>
    <x v="0"/>
    <x v="0"/>
    <x v="0"/>
    <x v="0"/>
    <x v="0"/>
    <x v="0"/>
    <m/>
    <x v="105"/>
  </r>
  <r>
    <s v="USR-100267"/>
    <d v="2025-02-10T00:00:00"/>
    <x v="0"/>
    <x v="2"/>
    <x v="1"/>
    <x v="4"/>
    <x v="1"/>
    <x v="0"/>
    <x v="0"/>
    <x v="0"/>
    <x v="0"/>
    <x v="0"/>
    <x v="0"/>
    <x v="0"/>
    <m/>
    <x v="202"/>
  </r>
  <r>
    <s v="USR-100268"/>
    <d v="2025-04-06T00:00:00"/>
    <x v="0"/>
    <x v="3"/>
    <x v="1"/>
    <x v="1"/>
    <x v="1"/>
    <x v="0"/>
    <x v="0"/>
    <x v="0"/>
    <x v="0"/>
    <x v="0"/>
    <x v="0"/>
    <x v="0"/>
    <m/>
    <x v="65"/>
  </r>
  <r>
    <s v="USR-100269"/>
    <d v="2025-01-06T00:00:00"/>
    <x v="0"/>
    <x v="2"/>
    <x v="1"/>
    <x v="3"/>
    <x v="1"/>
    <x v="0"/>
    <x v="0"/>
    <x v="0"/>
    <x v="0"/>
    <x v="0"/>
    <x v="0"/>
    <x v="0"/>
    <m/>
    <x v="52"/>
  </r>
  <r>
    <s v="USR-100270"/>
    <d v="2025-03-25T00:00:00"/>
    <x v="0"/>
    <x v="2"/>
    <x v="2"/>
    <x v="2"/>
    <x v="0"/>
    <x v="1"/>
    <x v="0"/>
    <x v="0"/>
    <x v="0"/>
    <x v="0"/>
    <x v="0"/>
    <x v="0"/>
    <m/>
    <x v="203"/>
  </r>
  <r>
    <s v="USR-100271"/>
    <d v="2025-02-13T00:00:00"/>
    <x v="0"/>
    <x v="2"/>
    <x v="0"/>
    <x v="3"/>
    <x v="1"/>
    <x v="1"/>
    <x v="0"/>
    <x v="0"/>
    <x v="0"/>
    <x v="0"/>
    <x v="0"/>
    <x v="0"/>
    <m/>
    <x v="204"/>
  </r>
  <r>
    <s v="USR-100272"/>
    <d v="2025-03-17T00:00:00"/>
    <x v="0"/>
    <x v="1"/>
    <x v="0"/>
    <x v="1"/>
    <x v="1"/>
    <x v="1"/>
    <x v="0"/>
    <x v="0"/>
    <x v="0"/>
    <x v="0"/>
    <x v="0"/>
    <x v="0"/>
    <m/>
    <x v="112"/>
  </r>
  <r>
    <s v="USR-100273"/>
    <d v="2025-05-10T00:00:00"/>
    <x v="0"/>
    <x v="0"/>
    <x v="1"/>
    <x v="3"/>
    <x v="1"/>
    <x v="1"/>
    <x v="1"/>
    <x v="1"/>
    <x v="0"/>
    <x v="0"/>
    <x v="0"/>
    <x v="0"/>
    <m/>
    <x v="31"/>
  </r>
  <r>
    <s v="USR-100274"/>
    <d v="2025-05-07T00:00:00"/>
    <x v="0"/>
    <x v="3"/>
    <x v="1"/>
    <x v="2"/>
    <x v="0"/>
    <x v="0"/>
    <x v="0"/>
    <x v="0"/>
    <x v="0"/>
    <x v="0"/>
    <x v="0"/>
    <x v="0"/>
    <m/>
    <x v="25"/>
  </r>
  <r>
    <s v="USR-100275"/>
    <d v="2025-02-26T00:00:00"/>
    <x v="0"/>
    <x v="1"/>
    <x v="0"/>
    <x v="2"/>
    <x v="2"/>
    <x v="0"/>
    <x v="0"/>
    <x v="0"/>
    <x v="0"/>
    <x v="0"/>
    <x v="2"/>
    <x v="0"/>
    <m/>
    <x v="145"/>
  </r>
  <r>
    <s v="USR-100276"/>
    <d v="2025-05-11T00:00:00"/>
    <x v="0"/>
    <x v="0"/>
    <x v="1"/>
    <x v="1"/>
    <x v="0"/>
    <x v="0"/>
    <x v="0"/>
    <x v="0"/>
    <x v="0"/>
    <x v="0"/>
    <x v="0"/>
    <x v="0"/>
    <m/>
    <x v="205"/>
  </r>
  <r>
    <s v="USR-100277"/>
    <d v="2025-03-20T00:00:00"/>
    <x v="0"/>
    <x v="3"/>
    <x v="1"/>
    <x v="1"/>
    <x v="0"/>
    <x v="1"/>
    <x v="1"/>
    <x v="0"/>
    <x v="0"/>
    <x v="0"/>
    <x v="0"/>
    <x v="0"/>
    <m/>
    <x v="51"/>
  </r>
  <r>
    <s v="USR-100278"/>
    <d v="2025-01-19T00:00:00"/>
    <x v="0"/>
    <x v="0"/>
    <x v="1"/>
    <x v="0"/>
    <x v="1"/>
    <x v="1"/>
    <x v="1"/>
    <x v="0"/>
    <x v="0"/>
    <x v="0"/>
    <x v="0"/>
    <x v="0"/>
    <m/>
    <x v="206"/>
  </r>
  <r>
    <s v="USR-100279"/>
    <d v="2025-03-08T00:00:00"/>
    <x v="0"/>
    <x v="0"/>
    <x v="2"/>
    <x v="2"/>
    <x v="2"/>
    <x v="1"/>
    <x v="0"/>
    <x v="0"/>
    <x v="0"/>
    <x v="0"/>
    <x v="1"/>
    <x v="0"/>
    <m/>
    <x v="48"/>
  </r>
  <r>
    <s v="USR-100280"/>
    <d v="2025-04-25T00:00:00"/>
    <x v="0"/>
    <x v="0"/>
    <x v="1"/>
    <x v="1"/>
    <x v="1"/>
    <x v="0"/>
    <x v="0"/>
    <x v="0"/>
    <x v="0"/>
    <x v="0"/>
    <x v="0"/>
    <x v="0"/>
    <m/>
    <x v="207"/>
  </r>
  <r>
    <s v="USR-100281"/>
    <d v="2025-04-04T00:00:00"/>
    <x v="0"/>
    <x v="0"/>
    <x v="0"/>
    <x v="1"/>
    <x v="1"/>
    <x v="1"/>
    <x v="0"/>
    <x v="0"/>
    <x v="0"/>
    <x v="0"/>
    <x v="0"/>
    <x v="0"/>
    <m/>
    <x v="208"/>
  </r>
  <r>
    <s v="USR-100282"/>
    <d v="2025-05-01T00:00:00"/>
    <x v="0"/>
    <x v="2"/>
    <x v="1"/>
    <x v="2"/>
    <x v="2"/>
    <x v="1"/>
    <x v="0"/>
    <x v="0"/>
    <x v="0"/>
    <x v="0"/>
    <x v="1"/>
    <x v="0"/>
    <m/>
    <x v="142"/>
  </r>
  <r>
    <s v="USR-100283"/>
    <d v="2025-01-21T00:00:00"/>
    <x v="0"/>
    <x v="3"/>
    <x v="1"/>
    <x v="4"/>
    <x v="1"/>
    <x v="1"/>
    <x v="0"/>
    <x v="0"/>
    <x v="0"/>
    <x v="0"/>
    <x v="1"/>
    <x v="0"/>
    <m/>
    <x v="209"/>
  </r>
  <r>
    <s v="USR-100284"/>
    <d v="2025-02-10T00:00:00"/>
    <x v="0"/>
    <x v="0"/>
    <x v="0"/>
    <x v="3"/>
    <x v="0"/>
    <x v="1"/>
    <x v="0"/>
    <x v="0"/>
    <x v="0"/>
    <x v="0"/>
    <x v="0"/>
    <x v="0"/>
    <m/>
    <x v="210"/>
  </r>
  <r>
    <s v="USR-100285"/>
    <d v="2025-05-06T00:00:00"/>
    <x v="0"/>
    <x v="3"/>
    <x v="0"/>
    <x v="1"/>
    <x v="1"/>
    <x v="1"/>
    <x v="0"/>
    <x v="0"/>
    <x v="0"/>
    <x v="0"/>
    <x v="0"/>
    <x v="0"/>
    <m/>
    <x v="211"/>
  </r>
  <r>
    <s v="USR-100286"/>
    <d v="2025-02-08T00:00:00"/>
    <x v="0"/>
    <x v="0"/>
    <x v="0"/>
    <x v="2"/>
    <x v="0"/>
    <x v="1"/>
    <x v="1"/>
    <x v="0"/>
    <x v="0"/>
    <x v="0"/>
    <x v="0"/>
    <x v="0"/>
    <m/>
    <x v="212"/>
  </r>
  <r>
    <s v="USR-100287"/>
    <d v="2025-05-31T00:00:00"/>
    <x v="0"/>
    <x v="2"/>
    <x v="1"/>
    <x v="4"/>
    <x v="1"/>
    <x v="1"/>
    <x v="0"/>
    <x v="0"/>
    <x v="0"/>
    <x v="0"/>
    <x v="0"/>
    <x v="0"/>
    <m/>
    <x v="129"/>
  </r>
  <r>
    <s v="USR-100288"/>
    <d v="2025-02-07T00:00:00"/>
    <x v="0"/>
    <x v="1"/>
    <x v="1"/>
    <x v="0"/>
    <x v="0"/>
    <x v="1"/>
    <x v="0"/>
    <x v="0"/>
    <x v="0"/>
    <x v="0"/>
    <x v="0"/>
    <x v="0"/>
    <m/>
    <x v="213"/>
  </r>
  <r>
    <s v="USR-100289"/>
    <d v="2025-02-10T00:00:00"/>
    <x v="0"/>
    <x v="0"/>
    <x v="1"/>
    <x v="4"/>
    <x v="1"/>
    <x v="1"/>
    <x v="0"/>
    <x v="0"/>
    <x v="0"/>
    <x v="0"/>
    <x v="0"/>
    <x v="0"/>
    <m/>
    <x v="214"/>
  </r>
  <r>
    <s v="USR-100290"/>
    <d v="2025-01-31T00:00:00"/>
    <x v="0"/>
    <x v="1"/>
    <x v="1"/>
    <x v="4"/>
    <x v="0"/>
    <x v="0"/>
    <x v="0"/>
    <x v="0"/>
    <x v="0"/>
    <x v="0"/>
    <x v="2"/>
    <x v="0"/>
    <m/>
    <x v="215"/>
  </r>
  <r>
    <s v="USR-100291"/>
    <d v="2025-03-16T00:00:00"/>
    <x v="0"/>
    <x v="2"/>
    <x v="1"/>
    <x v="2"/>
    <x v="0"/>
    <x v="1"/>
    <x v="0"/>
    <x v="0"/>
    <x v="0"/>
    <x v="0"/>
    <x v="0"/>
    <x v="0"/>
    <m/>
    <x v="216"/>
  </r>
  <r>
    <s v="USR-100292"/>
    <d v="2025-04-24T00:00:00"/>
    <x v="0"/>
    <x v="3"/>
    <x v="1"/>
    <x v="4"/>
    <x v="0"/>
    <x v="0"/>
    <x v="0"/>
    <x v="0"/>
    <x v="0"/>
    <x v="0"/>
    <x v="0"/>
    <x v="0"/>
    <m/>
    <x v="217"/>
  </r>
  <r>
    <s v="USR-100293"/>
    <d v="2025-01-28T00:00:00"/>
    <x v="0"/>
    <x v="0"/>
    <x v="1"/>
    <x v="1"/>
    <x v="1"/>
    <x v="0"/>
    <x v="0"/>
    <x v="0"/>
    <x v="0"/>
    <x v="0"/>
    <x v="0"/>
    <x v="0"/>
    <m/>
    <x v="58"/>
  </r>
  <r>
    <s v="USR-100294"/>
    <d v="2025-02-16T00:00:00"/>
    <x v="0"/>
    <x v="1"/>
    <x v="0"/>
    <x v="0"/>
    <x v="1"/>
    <x v="1"/>
    <x v="0"/>
    <x v="0"/>
    <x v="0"/>
    <x v="0"/>
    <x v="0"/>
    <x v="0"/>
    <m/>
    <x v="218"/>
  </r>
  <r>
    <s v="USR-100295"/>
    <d v="2025-03-23T00:00:00"/>
    <x v="0"/>
    <x v="2"/>
    <x v="1"/>
    <x v="1"/>
    <x v="2"/>
    <x v="0"/>
    <x v="0"/>
    <x v="0"/>
    <x v="0"/>
    <x v="0"/>
    <x v="0"/>
    <x v="0"/>
    <m/>
    <x v="177"/>
  </r>
  <r>
    <s v="USR-100296"/>
    <d v="2025-05-31T00:00:00"/>
    <x v="0"/>
    <x v="2"/>
    <x v="1"/>
    <x v="2"/>
    <x v="2"/>
    <x v="0"/>
    <x v="0"/>
    <x v="0"/>
    <x v="0"/>
    <x v="0"/>
    <x v="0"/>
    <x v="0"/>
    <m/>
    <x v="77"/>
  </r>
  <r>
    <s v="USR-100297"/>
    <d v="2025-04-13T00:00:00"/>
    <x v="0"/>
    <x v="1"/>
    <x v="1"/>
    <x v="4"/>
    <x v="0"/>
    <x v="1"/>
    <x v="1"/>
    <x v="0"/>
    <x v="0"/>
    <x v="0"/>
    <x v="1"/>
    <x v="0"/>
    <m/>
    <x v="120"/>
  </r>
  <r>
    <s v="USR-100298"/>
    <d v="2025-05-14T00:00:00"/>
    <x v="0"/>
    <x v="0"/>
    <x v="2"/>
    <x v="0"/>
    <x v="0"/>
    <x v="0"/>
    <x v="0"/>
    <x v="0"/>
    <x v="0"/>
    <x v="0"/>
    <x v="0"/>
    <x v="0"/>
    <m/>
    <x v="5"/>
  </r>
  <r>
    <s v="USR-100299"/>
    <d v="2025-02-19T00:00:00"/>
    <x v="0"/>
    <x v="2"/>
    <x v="1"/>
    <x v="2"/>
    <x v="1"/>
    <x v="0"/>
    <x v="0"/>
    <x v="0"/>
    <x v="0"/>
    <x v="0"/>
    <x v="0"/>
    <x v="0"/>
    <m/>
    <x v="219"/>
  </r>
  <r>
    <s v="USR-100300"/>
    <d v="2025-01-24T00:00:00"/>
    <x v="0"/>
    <x v="3"/>
    <x v="1"/>
    <x v="5"/>
    <x v="0"/>
    <x v="1"/>
    <x v="1"/>
    <x v="1"/>
    <x v="1"/>
    <x v="12"/>
    <x v="1"/>
    <x v="0"/>
    <n v="6"/>
    <x v="220"/>
  </r>
  <r>
    <s v="USR-100301"/>
    <d v="2025-05-09T00:00:00"/>
    <x v="0"/>
    <x v="0"/>
    <x v="1"/>
    <x v="0"/>
    <x v="0"/>
    <x v="1"/>
    <x v="1"/>
    <x v="1"/>
    <x v="0"/>
    <x v="0"/>
    <x v="1"/>
    <x v="0"/>
    <m/>
    <x v="221"/>
  </r>
  <r>
    <s v="USR-100302"/>
    <d v="2025-02-11T00:00:00"/>
    <x v="0"/>
    <x v="0"/>
    <x v="1"/>
    <x v="1"/>
    <x v="0"/>
    <x v="1"/>
    <x v="0"/>
    <x v="0"/>
    <x v="0"/>
    <x v="0"/>
    <x v="0"/>
    <x v="0"/>
    <m/>
    <x v="10"/>
  </r>
  <r>
    <s v="USR-100303"/>
    <d v="2025-02-26T00:00:00"/>
    <x v="0"/>
    <x v="0"/>
    <x v="0"/>
    <x v="1"/>
    <x v="0"/>
    <x v="1"/>
    <x v="1"/>
    <x v="1"/>
    <x v="1"/>
    <x v="13"/>
    <x v="0"/>
    <x v="0"/>
    <n v="17"/>
    <x v="222"/>
  </r>
  <r>
    <s v="USR-100304"/>
    <d v="2025-02-12T00:00:00"/>
    <x v="0"/>
    <x v="3"/>
    <x v="1"/>
    <x v="4"/>
    <x v="2"/>
    <x v="0"/>
    <x v="0"/>
    <x v="0"/>
    <x v="0"/>
    <x v="0"/>
    <x v="0"/>
    <x v="0"/>
    <m/>
    <x v="21"/>
  </r>
  <r>
    <s v="USR-100305"/>
    <d v="2025-01-05T00:00:00"/>
    <x v="0"/>
    <x v="3"/>
    <x v="2"/>
    <x v="4"/>
    <x v="2"/>
    <x v="1"/>
    <x v="1"/>
    <x v="1"/>
    <x v="0"/>
    <x v="0"/>
    <x v="2"/>
    <x v="0"/>
    <m/>
    <x v="37"/>
  </r>
  <r>
    <s v="USR-100306"/>
    <d v="2025-05-19T00:00:00"/>
    <x v="0"/>
    <x v="1"/>
    <x v="1"/>
    <x v="1"/>
    <x v="2"/>
    <x v="0"/>
    <x v="0"/>
    <x v="0"/>
    <x v="0"/>
    <x v="0"/>
    <x v="0"/>
    <x v="0"/>
    <m/>
    <x v="223"/>
  </r>
  <r>
    <s v="USR-100307"/>
    <d v="2025-02-02T00:00:00"/>
    <x v="0"/>
    <x v="0"/>
    <x v="1"/>
    <x v="4"/>
    <x v="1"/>
    <x v="1"/>
    <x v="0"/>
    <x v="0"/>
    <x v="0"/>
    <x v="0"/>
    <x v="0"/>
    <x v="0"/>
    <m/>
    <x v="224"/>
  </r>
  <r>
    <s v="USR-100308"/>
    <d v="2025-01-30T00:00:00"/>
    <x v="0"/>
    <x v="1"/>
    <x v="2"/>
    <x v="2"/>
    <x v="1"/>
    <x v="1"/>
    <x v="1"/>
    <x v="1"/>
    <x v="1"/>
    <x v="14"/>
    <x v="0"/>
    <x v="0"/>
    <n v="10"/>
    <x v="225"/>
  </r>
  <r>
    <s v="USR-100309"/>
    <d v="2025-05-01T00:00:00"/>
    <x v="0"/>
    <x v="3"/>
    <x v="0"/>
    <x v="0"/>
    <x v="1"/>
    <x v="0"/>
    <x v="0"/>
    <x v="0"/>
    <x v="0"/>
    <x v="0"/>
    <x v="0"/>
    <x v="0"/>
    <m/>
    <x v="226"/>
  </r>
  <r>
    <s v="USR-100310"/>
    <d v="2025-05-16T00:00:00"/>
    <x v="0"/>
    <x v="3"/>
    <x v="0"/>
    <x v="3"/>
    <x v="0"/>
    <x v="1"/>
    <x v="0"/>
    <x v="0"/>
    <x v="0"/>
    <x v="0"/>
    <x v="0"/>
    <x v="0"/>
    <m/>
    <x v="227"/>
  </r>
  <r>
    <s v="USR-100311"/>
    <d v="2025-03-08T00:00:00"/>
    <x v="0"/>
    <x v="1"/>
    <x v="1"/>
    <x v="1"/>
    <x v="1"/>
    <x v="0"/>
    <x v="0"/>
    <x v="0"/>
    <x v="0"/>
    <x v="0"/>
    <x v="0"/>
    <x v="0"/>
    <m/>
    <x v="228"/>
  </r>
  <r>
    <s v="USR-100312"/>
    <d v="2025-04-04T00:00:00"/>
    <x v="0"/>
    <x v="0"/>
    <x v="1"/>
    <x v="1"/>
    <x v="0"/>
    <x v="1"/>
    <x v="0"/>
    <x v="0"/>
    <x v="0"/>
    <x v="0"/>
    <x v="0"/>
    <x v="0"/>
    <m/>
    <x v="102"/>
  </r>
  <r>
    <s v="USR-100313"/>
    <d v="2025-05-30T00:00:00"/>
    <x v="0"/>
    <x v="3"/>
    <x v="2"/>
    <x v="1"/>
    <x v="1"/>
    <x v="1"/>
    <x v="0"/>
    <x v="0"/>
    <x v="0"/>
    <x v="0"/>
    <x v="0"/>
    <x v="0"/>
    <m/>
    <x v="76"/>
  </r>
  <r>
    <s v="USR-100314"/>
    <d v="2025-01-05T00:00:00"/>
    <x v="0"/>
    <x v="1"/>
    <x v="1"/>
    <x v="1"/>
    <x v="2"/>
    <x v="0"/>
    <x v="0"/>
    <x v="0"/>
    <x v="0"/>
    <x v="0"/>
    <x v="0"/>
    <x v="0"/>
    <m/>
    <x v="68"/>
  </r>
  <r>
    <s v="USR-100315"/>
    <d v="2025-01-20T00:00:00"/>
    <x v="0"/>
    <x v="2"/>
    <x v="1"/>
    <x v="1"/>
    <x v="1"/>
    <x v="1"/>
    <x v="1"/>
    <x v="1"/>
    <x v="0"/>
    <x v="0"/>
    <x v="0"/>
    <x v="0"/>
    <m/>
    <x v="50"/>
  </r>
  <r>
    <s v="USR-100316"/>
    <d v="2025-05-01T00:00:00"/>
    <x v="0"/>
    <x v="2"/>
    <x v="1"/>
    <x v="0"/>
    <x v="1"/>
    <x v="0"/>
    <x v="0"/>
    <x v="0"/>
    <x v="0"/>
    <x v="0"/>
    <x v="0"/>
    <x v="0"/>
    <m/>
    <x v="146"/>
  </r>
  <r>
    <s v="USR-100317"/>
    <d v="2025-03-05T00:00:00"/>
    <x v="0"/>
    <x v="0"/>
    <x v="0"/>
    <x v="1"/>
    <x v="2"/>
    <x v="0"/>
    <x v="0"/>
    <x v="0"/>
    <x v="0"/>
    <x v="0"/>
    <x v="0"/>
    <x v="0"/>
    <m/>
    <x v="9"/>
  </r>
  <r>
    <s v="USR-100318"/>
    <d v="2025-04-01T00:00:00"/>
    <x v="0"/>
    <x v="2"/>
    <x v="0"/>
    <x v="3"/>
    <x v="1"/>
    <x v="1"/>
    <x v="0"/>
    <x v="0"/>
    <x v="0"/>
    <x v="0"/>
    <x v="0"/>
    <x v="0"/>
    <m/>
    <x v="152"/>
  </r>
  <r>
    <s v="USR-100319"/>
    <d v="2025-05-03T00:00:00"/>
    <x v="0"/>
    <x v="0"/>
    <x v="1"/>
    <x v="1"/>
    <x v="1"/>
    <x v="1"/>
    <x v="0"/>
    <x v="0"/>
    <x v="0"/>
    <x v="0"/>
    <x v="0"/>
    <x v="0"/>
    <m/>
    <x v="155"/>
  </r>
  <r>
    <s v="USR-100320"/>
    <d v="2025-03-06T00:00:00"/>
    <x v="0"/>
    <x v="3"/>
    <x v="0"/>
    <x v="2"/>
    <x v="2"/>
    <x v="1"/>
    <x v="0"/>
    <x v="0"/>
    <x v="0"/>
    <x v="0"/>
    <x v="0"/>
    <x v="0"/>
    <m/>
    <x v="229"/>
  </r>
  <r>
    <s v="USR-100321"/>
    <d v="2025-04-01T00:00:00"/>
    <x v="0"/>
    <x v="0"/>
    <x v="0"/>
    <x v="3"/>
    <x v="2"/>
    <x v="0"/>
    <x v="0"/>
    <x v="0"/>
    <x v="0"/>
    <x v="0"/>
    <x v="0"/>
    <x v="0"/>
    <m/>
    <x v="0"/>
  </r>
  <r>
    <s v="USR-100322"/>
    <d v="2025-02-09T00:00:00"/>
    <x v="0"/>
    <x v="0"/>
    <x v="0"/>
    <x v="4"/>
    <x v="0"/>
    <x v="1"/>
    <x v="0"/>
    <x v="0"/>
    <x v="0"/>
    <x v="0"/>
    <x v="2"/>
    <x v="0"/>
    <m/>
    <x v="14"/>
  </r>
  <r>
    <s v="USR-100323"/>
    <d v="2025-04-12T00:00:00"/>
    <x v="0"/>
    <x v="1"/>
    <x v="1"/>
    <x v="1"/>
    <x v="0"/>
    <x v="1"/>
    <x v="1"/>
    <x v="0"/>
    <x v="0"/>
    <x v="0"/>
    <x v="0"/>
    <x v="0"/>
    <m/>
    <x v="230"/>
  </r>
  <r>
    <s v="USR-100324"/>
    <d v="2025-03-18T00:00:00"/>
    <x v="0"/>
    <x v="2"/>
    <x v="1"/>
    <x v="4"/>
    <x v="1"/>
    <x v="1"/>
    <x v="1"/>
    <x v="1"/>
    <x v="0"/>
    <x v="0"/>
    <x v="0"/>
    <x v="0"/>
    <m/>
    <x v="231"/>
  </r>
  <r>
    <s v="USR-100325"/>
    <d v="2025-04-03T00:00:00"/>
    <x v="0"/>
    <x v="2"/>
    <x v="1"/>
    <x v="2"/>
    <x v="1"/>
    <x v="1"/>
    <x v="0"/>
    <x v="0"/>
    <x v="0"/>
    <x v="0"/>
    <x v="0"/>
    <x v="0"/>
    <m/>
    <x v="80"/>
  </r>
  <r>
    <s v="USR-100326"/>
    <d v="2025-04-02T00:00:00"/>
    <x v="0"/>
    <x v="1"/>
    <x v="1"/>
    <x v="0"/>
    <x v="2"/>
    <x v="1"/>
    <x v="1"/>
    <x v="1"/>
    <x v="0"/>
    <x v="0"/>
    <x v="0"/>
    <x v="0"/>
    <m/>
    <x v="232"/>
  </r>
  <r>
    <s v="USR-100327"/>
    <d v="2025-05-10T00:00:00"/>
    <x v="0"/>
    <x v="1"/>
    <x v="0"/>
    <x v="0"/>
    <x v="0"/>
    <x v="0"/>
    <x v="0"/>
    <x v="0"/>
    <x v="0"/>
    <x v="0"/>
    <x v="0"/>
    <x v="0"/>
    <m/>
    <x v="233"/>
  </r>
  <r>
    <s v="USR-100328"/>
    <d v="2025-04-29T00:00:00"/>
    <x v="0"/>
    <x v="1"/>
    <x v="0"/>
    <x v="2"/>
    <x v="1"/>
    <x v="1"/>
    <x v="0"/>
    <x v="0"/>
    <x v="0"/>
    <x v="0"/>
    <x v="0"/>
    <x v="0"/>
    <m/>
    <x v="133"/>
  </r>
  <r>
    <s v="USR-100329"/>
    <d v="2025-02-27T00:00:00"/>
    <x v="0"/>
    <x v="3"/>
    <x v="1"/>
    <x v="2"/>
    <x v="1"/>
    <x v="1"/>
    <x v="0"/>
    <x v="0"/>
    <x v="0"/>
    <x v="0"/>
    <x v="0"/>
    <x v="0"/>
    <m/>
    <x v="234"/>
  </r>
  <r>
    <s v="USR-100330"/>
    <d v="2025-04-10T00:00:00"/>
    <x v="0"/>
    <x v="0"/>
    <x v="0"/>
    <x v="1"/>
    <x v="2"/>
    <x v="0"/>
    <x v="0"/>
    <x v="0"/>
    <x v="0"/>
    <x v="0"/>
    <x v="0"/>
    <x v="0"/>
    <m/>
    <x v="117"/>
  </r>
  <r>
    <s v="USR-100331"/>
    <d v="2025-02-13T00:00:00"/>
    <x v="0"/>
    <x v="2"/>
    <x v="1"/>
    <x v="1"/>
    <x v="1"/>
    <x v="1"/>
    <x v="1"/>
    <x v="1"/>
    <x v="1"/>
    <x v="15"/>
    <x v="1"/>
    <x v="0"/>
    <n v="14"/>
    <x v="235"/>
  </r>
  <r>
    <s v="USR-100332"/>
    <d v="2025-05-03T00:00:00"/>
    <x v="0"/>
    <x v="0"/>
    <x v="1"/>
    <x v="1"/>
    <x v="0"/>
    <x v="1"/>
    <x v="0"/>
    <x v="0"/>
    <x v="0"/>
    <x v="0"/>
    <x v="0"/>
    <x v="0"/>
    <m/>
    <x v="236"/>
  </r>
  <r>
    <s v="USR-100333"/>
    <d v="2025-03-10T00:00:00"/>
    <x v="0"/>
    <x v="2"/>
    <x v="1"/>
    <x v="1"/>
    <x v="0"/>
    <x v="0"/>
    <x v="0"/>
    <x v="0"/>
    <x v="0"/>
    <x v="0"/>
    <x v="0"/>
    <x v="0"/>
    <m/>
    <x v="237"/>
  </r>
  <r>
    <s v="USR-100334"/>
    <d v="2025-01-10T00:00:00"/>
    <x v="0"/>
    <x v="1"/>
    <x v="2"/>
    <x v="4"/>
    <x v="1"/>
    <x v="1"/>
    <x v="0"/>
    <x v="0"/>
    <x v="0"/>
    <x v="0"/>
    <x v="0"/>
    <x v="0"/>
    <m/>
    <x v="238"/>
  </r>
  <r>
    <s v="USR-100335"/>
    <d v="2025-01-16T00:00:00"/>
    <x v="0"/>
    <x v="3"/>
    <x v="1"/>
    <x v="0"/>
    <x v="0"/>
    <x v="1"/>
    <x v="1"/>
    <x v="1"/>
    <x v="1"/>
    <x v="16"/>
    <x v="0"/>
    <x v="0"/>
    <n v="9"/>
    <x v="72"/>
  </r>
  <r>
    <s v="USR-100336"/>
    <d v="2025-02-11T00:00:00"/>
    <x v="0"/>
    <x v="3"/>
    <x v="0"/>
    <x v="1"/>
    <x v="2"/>
    <x v="1"/>
    <x v="1"/>
    <x v="1"/>
    <x v="1"/>
    <x v="17"/>
    <x v="0"/>
    <x v="0"/>
    <n v="10"/>
    <x v="63"/>
  </r>
  <r>
    <s v="USR-100337"/>
    <d v="2025-04-13T00:00:00"/>
    <x v="0"/>
    <x v="1"/>
    <x v="1"/>
    <x v="1"/>
    <x v="1"/>
    <x v="0"/>
    <x v="0"/>
    <x v="0"/>
    <x v="0"/>
    <x v="0"/>
    <x v="0"/>
    <x v="0"/>
    <m/>
    <x v="239"/>
  </r>
  <r>
    <s v="USR-100338"/>
    <d v="2025-02-08T00:00:00"/>
    <x v="0"/>
    <x v="2"/>
    <x v="1"/>
    <x v="2"/>
    <x v="1"/>
    <x v="1"/>
    <x v="1"/>
    <x v="1"/>
    <x v="0"/>
    <x v="0"/>
    <x v="0"/>
    <x v="0"/>
    <m/>
    <x v="240"/>
  </r>
  <r>
    <s v="USR-100339"/>
    <d v="2025-03-31T00:00:00"/>
    <x v="0"/>
    <x v="1"/>
    <x v="0"/>
    <x v="3"/>
    <x v="1"/>
    <x v="1"/>
    <x v="0"/>
    <x v="0"/>
    <x v="0"/>
    <x v="0"/>
    <x v="0"/>
    <x v="0"/>
    <m/>
    <x v="241"/>
  </r>
  <r>
    <s v="USR-100340"/>
    <d v="2025-01-31T00:00:00"/>
    <x v="0"/>
    <x v="1"/>
    <x v="0"/>
    <x v="3"/>
    <x v="1"/>
    <x v="1"/>
    <x v="1"/>
    <x v="0"/>
    <x v="0"/>
    <x v="0"/>
    <x v="0"/>
    <x v="0"/>
    <m/>
    <x v="47"/>
  </r>
  <r>
    <s v="USR-100341"/>
    <d v="2025-05-08T00:00:00"/>
    <x v="0"/>
    <x v="1"/>
    <x v="2"/>
    <x v="1"/>
    <x v="1"/>
    <x v="0"/>
    <x v="0"/>
    <x v="0"/>
    <x v="0"/>
    <x v="0"/>
    <x v="0"/>
    <x v="0"/>
    <m/>
    <x v="242"/>
  </r>
  <r>
    <s v="USR-100342"/>
    <d v="2025-03-15T00:00:00"/>
    <x v="0"/>
    <x v="0"/>
    <x v="1"/>
    <x v="2"/>
    <x v="1"/>
    <x v="1"/>
    <x v="0"/>
    <x v="0"/>
    <x v="0"/>
    <x v="0"/>
    <x v="1"/>
    <x v="0"/>
    <m/>
    <x v="243"/>
  </r>
  <r>
    <s v="USR-100343"/>
    <d v="2025-01-13T00:00:00"/>
    <x v="0"/>
    <x v="3"/>
    <x v="1"/>
    <x v="3"/>
    <x v="0"/>
    <x v="1"/>
    <x v="0"/>
    <x v="0"/>
    <x v="0"/>
    <x v="0"/>
    <x v="0"/>
    <x v="0"/>
    <m/>
    <x v="244"/>
  </r>
  <r>
    <s v="USR-100344"/>
    <d v="2025-03-07T00:00:00"/>
    <x v="0"/>
    <x v="3"/>
    <x v="2"/>
    <x v="1"/>
    <x v="0"/>
    <x v="1"/>
    <x v="0"/>
    <x v="0"/>
    <x v="0"/>
    <x v="0"/>
    <x v="0"/>
    <x v="0"/>
    <m/>
    <x v="245"/>
  </r>
  <r>
    <s v="USR-100345"/>
    <d v="2025-02-10T00:00:00"/>
    <x v="0"/>
    <x v="3"/>
    <x v="1"/>
    <x v="4"/>
    <x v="2"/>
    <x v="1"/>
    <x v="1"/>
    <x v="0"/>
    <x v="0"/>
    <x v="0"/>
    <x v="0"/>
    <x v="0"/>
    <m/>
    <x v="62"/>
  </r>
  <r>
    <s v="USR-100346"/>
    <d v="2025-03-12T00:00:00"/>
    <x v="0"/>
    <x v="2"/>
    <x v="1"/>
    <x v="2"/>
    <x v="1"/>
    <x v="0"/>
    <x v="0"/>
    <x v="0"/>
    <x v="0"/>
    <x v="0"/>
    <x v="0"/>
    <x v="0"/>
    <m/>
    <x v="158"/>
  </r>
  <r>
    <s v="USR-100347"/>
    <d v="2025-01-03T00:00:00"/>
    <x v="0"/>
    <x v="3"/>
    <x v="0"/>
    <x v="2"/>
    <x v="1"/>
    <x v="0"/>
    <x v="0"/>
    <x v="0"/>
    <x v="0"/>
    <x v="0"/>
    <x v="1"/>
    <x v="0"/>
    <m/>
    <x v="246"/>
  </r>
  <r>
    <s v="USR-100348"/>
    <d v="2025-04-28T00:00:00"/>
    <x v="0"/>
    <x v="0"/>
    <x v="2"/>
    <x v="4"/>
    <x v="0"/>
    <x v="1"/>
    <x v="0"/>
    <x v="0"/>
    <x v="0"/>
    <x v="0"/>
    <x v="0"/>
    <x v="0"/>
    <m/>
    <x v="247"/>
  </r>
  <r>
    <s v="USR-100349"/>
    <d v="2025-04-17T00:00:00"/>
    <x v="0"/>
    <x v="2"/>
    <x v="1"/>
    <x v="1"/>
    <x v="1"/>
    <x v="0"/>
    <x v="0"/>
    <x v="0"/>
    <x v="0"/>
    <x v="0"/>
    <x v="0"/>
    <x v="0"/>
    <m/>
    <x v="208"/>
  </r>
  <r>
    <s v="USR-100350"/>
    <d v="2025-05-23T00:00:00"/>
    <x v="0"/>
    <x v="3"/>
    <x v="0"/>
    <x v="4"/>
    <x v="0"/>
    <x v="1"/>
    <x v="0"/>
    <x v="0"/>
    <x v="0"/>
    <x v="0"/>
    <x v="0"/>
    <x v="0"/>
    <m/>
    <x v="248"/>
  </r>
  <r>
    <s v="USR-100351"/>
    <d v="2025-02-19T00:00:00"/>
    <x v="0"/>
    <x v="1"/>
    <x v="2"/>
    <x v="3"/>
    <x v="0"/>
    <x v="1"/>
    <x v="0"/>
    <x v="0"/>
    <x v="0"/>
    <x v="0"/>
    <x v="0"/>
    <x v="0"/>
    <m/>
    <x v="249"/>
  </r>
  <r>
    <s v="USR-100352"/>
    <d v="2025-01-18T00:00:00"/>
    <x v="0"/>
    <x v="3"/>
    <x v="0"/>
    <x v="1"/>
    <x v="1"/>
    <x v="1"/>
    <x v="1"/>
    <x v="0"/>
    <x v="0"/>
    <x v="0"/>
    <x v="1"/>
    <x v="0"/>
    <m/>
    <x v="209"/>
  </r>
  <r>
    <s v="USR-100353"/>
    <d v="2025-04-17T00:00:00"/>
    <x v="0"/>
    <x v="0"/>
    <x v="1"/>
    <x v="1"/>
    <x v="1"/>
    <x v="0"/>
    <x v="0"/>
    <x v="0"/>
    <x v="0"/>
    <x v="0"/>
    <x v="0"/>
    <x v="0"/>
    <m/>
    <x v="14"/>
  </r>
  <r>
    <s v="USR-100354"/>
    <d v="2025-04-12T00:00:00"/>
    <x v="0"/>
    <x v="2"/>
    <x v="2"/>
    <x v="4"/>
    <x v="1"/>
    <x v="1"/>
    <x v="1"/>
    <x v="1"/>
    <x v="0"/>
    <x v="0"/>
    <x v="0"/>
    <x v="0"/>
    <m/>
    <x v="3"/>
  </r>
  <r>
    <s v="USR-100355"/>
    <d v="2025-05-16T00:00:00"/>
    <x v="0"/>
    <x v="2"/>
    <x v="1"/>
    <x v="0"/>
    <x v="1"/>
    <x v="1"/>
    <x v="1"/>
    <x v="0"/>
    <x v="0"/>
    <x v="0"/>
    <x v="0"/>
    <x v="0"/>
    <m/>
    <x v="250"/>
  </r>
  <r>
    <s v="USR-100356"/>
    <d v="2025-03-24T00:00:00"/>
    <x v="0"/>
    <x v="1"/>
    <x v="1"/>
    <x v="4"/>
    <x v="1"/>
    <x v="0"/>
    <x v="0"/>
    <x v="0"/>
    <x v="0"/>
    <x v="0"/>
    <x v="0"/>
    <x v="0"/>
    <m/>
    <x v="251"/>
  </r>
  <r>
    <s v="USR-100357"/>
    <d v="2025-02-16T00:00:00"/>
    <x v="0"/>
    <x v="1"/>
    <x v="1"/>
    <x v="1"/>
    <x v="0"/>
    <x v="0"/>
    <x v="0"/>
    <x v="0"/>
    <x v="0"/>
    <x v="0"/>
    <x v="0"/>
    <x v="0"/>
    <m/>
    <x v="252"/>
  </r>
  <r>
    <s v="USR-100358"/>
    <d v="2025-03-19T00:00:00"/>
    <x v="0"/>
    <x v="0"/>
    <x v="2"/>
    <x v="1"/>
    <x v="1"/>
    <x v="1"/>
    <x v="1"/>
    <x v="1"/>
    <x v="0"/>
    <x v="0"/>
    <x v="0"/>
    <x v="0"/>
    <m/>
    <x v="253"/>
  </r>
  <r>
    <s v="USR-100359"/>
    <d v="2025-04-21T00:00:00"/>
    <x v="0"/>
    <x v="3"/>
    <x v="1"/>
    <x v="1"/>
    <x v="0"/>
    <x v="1"/>
    <x v="1"/>
    <x v="1"/>
    <x v="0"/>
    <x v="0"/>
    <x v="0"/>
    <x v="0"/>
    <m/>
    <x v="49"/>
  </r>
  <r>
    <s v="USR-100360"/>
    <d v="2025-01-11T00:00:00"/>
    <x v="0"/>
    <x v="1"/>
    <x v="1"/>
    <x v="1"/>
    <x v="1"/>
    <x v="0"/>
    <x v="0"/>
    <x v="0"/>
    <x v="0"/>
    <x v="0"/>
    <x v="0"/>
    <x v="0"/>
    <m/>
    <x v="254"/>
  </r>
  <r>
    <s v="USR-100361"/>
    <d v="2025-04-24T00:00:00"/>
    <x v="0"/>
    <x v="1"/>
    <x v="0"/>
    <x v="1"/>
    <x v="1"/>
    <x v="1"/>
    <x v="1"/>
    <x v="0"/>
    <x v="0"/>
    <x v="0"/>
    <x v="0"/>
    <x v="0"/>
    <m/>
    <x v="255"/>
  </r>
  <r>
    <s v="USR-100362"/>
    <d v="2025-03-13T00:00:00"/>
    <x v="0"/>
    <x v="0"/>
    <x v="1"/>
    <x v="4"/>
    <x v="2"/>
    <x v="1"/>
    <x v="1"/>
    <x v="1"/>
    <x v="0"/>
    <x v="0"/>
    <x v="0"/>
    <x v="0"/>
    <m/>
    <x v="161"/>
  </r>
  <r>
    <s v="USR-100363"/>
    <d v="2025-01-30T00:00:00"/>
    <x v="0"/>
    <x v="0"/>
    <x v="1"/>
    <x v="4"/>
    <x v="0"/>
    <x v="0"/>
    <x v="0"/>
    <x v="0"/>
    <x v="0"/>
    <x v="0"/>
    <x v="0"/>
    <x v="0"/>
    <m/>
    <x v="105"/>
  </r>
  <r>
    <s v="USR-100364"/>
    <d v="2025-05-08T00:00:00"/>
    <x v="0"/>
    <x v="3"/>
    <x v="1"/>
    <x v="4"/>
    <x v="0"/>
    <x v="1"/>
    <x v="1"/>
    <x v="1"/>
    <x v="0"/>
    <x v="0"/>
    <x v="0"/>
    <x v="0"/>
    <m/>
    <x v="256"/>
  </r>
  <r>
    <s v="USR-100365"/>
    <d v="2025-01-08T00:00:00"/>
    <x v="0"/>
    <x v="2"/>
    <x v="0"/>
    <x v="4"/>
    <x v="1"/>
    <x v="1"/>
    <x v="0"/>
    <x v="0"/>
    <x v="0"/>
    <x v="0"/>
    <x v="0"/>
    <x v="0"/>
    <m/>
    <x v="156"/>
  </r>
  <r>
    <s v="USR-100366"/>
    <d v="2025-05-03T00:00:00"/>
    <x v="0"/>
    <x v="3"/>
    <x v="1"/>
    <x v="1"/>
    <x v="1"/>
    <x v="1"/>
    <x v="0"/>
    <x v="0"/>
    <x v="0"/>
    <x v="0"/>
    <x v="0"/>
    <x v="0"/>
    <m/>
    <x v="257"/>
  </r>
  <r>
    <s v="USR-100367"/>
    <d v="2025-02-12T00:00:00"/>
    <x v="0"/>
    <x v="2"/>
    <x v="1"/>
    <x v="2"/>
    <x v="1"/>
    <x v="1"/>
    <x v="1"/>
    <x v="1"/>
    <x v="0"/>
    <x v="0"/>
    <x v="0"/>
    <x v="0"/>
    <m/>
    <x v="28"/>
  </r>
  <r>
    <s v="USR-100368"/>
    <d v="2025-02-25T00:00:00"/>
    <x v="0"/>
    <x v="3"/>
    <x v="2"/>
    <x v="1"/>
    <x v="1"/>
    <x v="0"/>
    <x v="0"/>
    <x v="0"/>
    <x v="0"/>
    <x v="0"/>
    <x v="0"/>
    <x v="0"/>
    <m/>
    <x v="59"/>
  </r>
  <r>
    <s v="USR-100369"/>
    <d v="2025-04-14T00:00:00"/>
    <x v="0"/>
    <x v="3"/>
    <x v="1"/>
    <x v="3"/>
    <x v="1"/>
    <x v="1"/>
    <x v="1"/>
    <x v="1"/>
    <x v="0"/>
    <x v="0"/>
    <x v="0"/>
    <x v="0"/>
    <m/>
    <x v="258"/>
  </r>
  <r>
    <s v="USR-100370"/>
    <d v="2025-01-08T00:00:00"/>
    <x v="0"/>
    <x v="0"/>
    <x v="1"/>
    <x v="3"/>
    <x v="2"/>
    <x v="1"/>
    <x v="1"/>
    <x v="1"/>
    <x v="0"/>
    <x v="0"/>
    <x v="1"/>
    <x v="0"/>
    <m/>
    <x v="46"/>
  </r>
  <r>
    <s v="USR-100371"/>
    <d v="2025-03-14T00:00:00"/>
    <x v="0"/>
    <x v="2"/>
    <x v="1"/>
    <x v="0"/>
    <x v="1"/>
    <x v="0"/>
    <x v="0"/>
    <x v="0"/>
    <x v="0"/>
    <x v="0"/>
    <x v="0"/>
    <x v="0"/>
    <m/>
    <x v="259"/>
  </r>
  <r>
    <s v="USR-100372"/>
    <d v="2025-04-29T00:00:00"/>
    <x v="0"/>
    <x v="0"/>
    <x v="0"/>
    <x v="2"/>
    <x v="2"/>
    <x v="1"/>
    <x v="0"/>
    <x v="0"/>
    <x v="0"/>
    <x v="0"/>
    <x v="0"/>
    <x v="0"/>
    <m/>
    <x v="208"/>
  </r>
  <r>
    <s v="USR-100373"/>
    <d v="2025-05-01T00:00:00"/>
    <x v="0"/>
    <x v="2"/>
    <x v="0"/>
    <x v="4"/>
    <x v="1"/>
    <x v="1"/>
    <x v="0"/>
    <x v="0"/>
    <x v="0"/>
    <x v="0"/>
    <x v="0"/>
    <x v="0"/>
    <m/>
    <x v="260"/>
  </r>
  <r>
    <s v="USR-100374"/>
    <d v="2025-03-19T00:00:00"/>
    <x v="0"/>
    <x v="0"/>
    <x v="1"/>
    <x v="3"/>
    <x v="1"/>
    <x v="1"/>
    <x v="0"/>
    <x v="0"/>
    <x v="0"/>
    <x v="0"/>
    <x v="0"/>
    <x v="0"/>
    <m/>
    <x v="261"/>
  </r>
  <r>
    <s v="USR-100375"/>
    <d v="2025-05-01T00:00:00"/>
    <x v="0"/>
    <x v="3"/>
    <x v="0"/>
    <x v="4"/>
    <x v="0"/>
    <x v="1"/>
    <x v="1"/>
    <x v="1"/>
    <x v="0"/>
    <x v="0"/>
    <x v="0"/>
    <x v="0"/>
    <m/>
    <x v="262"/>
  </r>
  <r>
    <s v="USR-100376"/>
    <d v="2025-03-14T00:00:00"/>
    <x v="0"/>
    <x v="1"/>
    <x v="1"/>
    <x v="1"/>
    <x v="1"/>
    <x v="1"/>
    <x v="1"/>
    <x v="0"/>
    <x v="0"/>
    <x v="0"/>
    <x v="0"/>
    <x v="0"/>
    <m/>
    <x v="114"/>
  </r>
  <r>
    <s v="USR-100377"/>
    <d v="2025-03-23T00:00:00"/>
    <x v="0"/>
    <x v="0"/>
    <x v="1"/>
    <x v="2"/>
    <x v="1"/>
    <x v="0"/>
    <x v="0"/>
    <x v="0"/>
    <x v="0"/>
    <x v="0"/>
    <x v="0"/>
    <x v="0"/>
    <m/>
    <x v="263"/>
  </r>
  <r>
    <s v="USR-100378"/>
    <d v="2025-02-08T00:00:00"/>
    <x v="0"/>
    <x v="2"/>
    <x v="1"/>
    <x v="3"/>
    <x v="0"/>
    <x v="1"/>
    <x v="1"/>
    <x v="1"/>
    <x v="0"/>
    <x v="0"/>
    <x v="0"/>
    <x v="0"/>
    <m/>
    <x v="264"/>
  </r>
  <r>
    <s v="USR-100379"/>
    <d v="2025-04-15T00:00:00"/>
    <x v="0"/>
    <x v="1"/>
    <x v="2"/>
    <x v="2"/>
    <x v="0"/>
    <x v="1"/>
    <x v="0"/>
    <x v="0"/>
    <x v="0"/>
    <x v="0"/>
    <x v="1"/>
    <x v="0"/>
    <m/>
    <x v="167"/>
  </r>
  <r>
    <s v="USR-100380"/>
    <d v="2025-01-03T00:00:00"/>
    <x v="0"/>
    <x v="3"/>
    <x v="0"/>
    <x v="2"/>
    <x v="0"/>
    <x v="1"/>
    <x v="0"/>
    <x v="0"/>
    <x v="0"/>
    <x v="0"/>
    <x v="0"/>
    <x v="0"/>
    <m/>
    <x v="265"/>
  </r>
  <r>
    <s v="USR-100381"/>
    <d v="2025-03-23T00:00:00"/>
    <x v="0"/>
    <x v="1"/>
    <x v="1"/>
    <x v="4"/>
    <x v="1"/>
    <x v="1"/>
    <x v="1"/>
    <x v="1"/>
    <x v="0"/>
    <x v="0"/>
    <x v="0"/>
    <x v="0"/>
    <m/>
    <x v="266"/>
  </r>
  <r>
    <s v="USR-100382"/>
    <d v="2025-05-27T00:00:00"/>
    <x v="0"/>
    <x v="3"/>
    <x v="1"/>
    <x v="3"/>
    <x v="2"/>
    <x v="1"/>
    <x v="0"/>
    <x v="0"/>
    <x v="0"/>
    <x v="0"/>
    <x v="0"/>
    <x v="0"/>
    <m/>
    <x v="251"/>
  </r>
  <r>
    <s v="USR-100383"/>
    <d v="2025-04-30T00:00:00"/>
    <x v="0"/>
    <x v="2"/>
    <x v="1"/>
    <x v="1"/>
    <x v="1"/>
    <x v="1"/>
    <x v="0"/>
    <x v="0"/>
    <x v="0"/>
    <x v="0"/>
    <x v="0"/>
    <x v="0"/>
    <m/>
    <x v="267"/>
  </r>
  <r>
    <s v="USR-100384"/>
    <d v="2025-03-07T00:00:00"/>
    <x v="0"/>
    <x v="1"/>
    <x v="1"/>
    <x v="4"/>
    <x v="0"/>
    <x v="1"/>
    <x v="0"/>
    <x v="0"/>
    <x v="0"/>
    <x v="0"/>
    <x v="0"/>
    <x v="0"/>
    <m/>
    <x v="13"/>
  </r>
  <r>
    <s v="USR-100385"/>
    <d v="2025-05-10T00:00:00"/>
    <x v="0"/>
    <x v="3"/>
    <x v="1"/>
    <x v="1"/>
    <x v="0"/>
    <x v="1"/>
    <x v="1"/>
    <x v="1"/>
    <x v="0"/>
    <x v="0"/>
    <x v="0"/>
    <x v="0"/>
    <m/>
    <x v="16"/>
  </r>
  <r>
    <s v="USR-100386"/>
    <d v="2025-05-22T00:00:00"/>
    <x v="0"/>
    <x v="2"/>
    <x v="1"/>
    <x v="1"/>
    <x v="1"/>
    <x v="0"/>
    <x v="0"/>
    <x v="0"/>
    <x v="0"/>
    <x v="0"/>
    <x v="2"/>
    <x v="0"/>
    <m/>
    <x v="71"/>
  </r>
  <r>
    <s v="USR-100387"/>
    <d v="2025-02-09T00:00:00"/>
    <x v="0"/>
    <x v="2"/>
    <x v="1"/>
    <x v="2"/>
    <x v="1"/>
    <x v="1"/>
    <x v="1"/>
    <x v="0"/>
    <x v="0"/>
    <x v="0"/>
    <x v="0"/>
    <x v="0"/>
    <m/>
    <x v="268"/>
  </r>
  <r>
    <s v="USR-100388"/>
    <d v="2025-05-30T00:00:00"/>
    <x v="0"/>
    <x v="1"/>
    <x v="0"/>
    <x v="1"/>
    <x v="2"/>
    <x v="1"/>
    <x v="0"/>
    <x v="0"/>
    <x v="0"/>
    <x v="0"/>
    <x v="1"/>
    <x v="0"/>
    <m/>
    <x v="269"/>
  </r>
  <r>
    <s v="USR-100389"/>
    <d v="2025-05-01T00:00:00"/>
    <x v="0"/>
    <x v="3"/>
    <x v="1"/>
    <x v="1"/>
    <x v="2"/>
    <x v="1"/>
    <x v="0"/>
    <x v="0"/>
    <x v="0"/>
    <x v="0"/>
    <x v="0"/>
    <x v="0"/>
    <m/>
    <x v="94"/>
  </r>
  <r>
    <s v="USR-100390"/>
    <d v="2025-01-03T00:00:00"/>
    <x v="0"/>
    <x v="3"/>
    <x v="1"/>
    <x v="2"/>
    <x v="1"/>
    <x v="1"/>
    <x v="0"/>
    <x v="0"/>
    <x v="0"/>
    <x v="0"/>
    <x v="0"/>
    <x v="0"/>
    <m/>
    <x v="270"/>
  </r>
  <r>
    <s v="USR-100391"/>
    <d v="2025-02-13T00:00:00"/>
    <x v="0"/>
    <x v="2"/>
    <x v="1"/>
    <x v="1"/>
    <x v="1"/>
    <x v="0"/>
    <x v="0"/>
    <x v="0"/>
    <x v="0"/>
    <x v="0"/>
    <x v="0"/>
    <x v="0"/>
    <m/>
    <x v="53"/>
  </r>
  <r>
    <s v="USR-100392"/>
    <d v="2025-01-14T00:00:00"/>
    <x v="0"/>
    <x v="3"/>
    <x v="0"/>
    <x v="1"/>
    <x v="1"/>
    <x v="0"/>
    <x v="0"/>
    <x v="0"/>
    <x v="0"/>
    <x v="0"/>
    <x v="2"/>
    <x v="0"/>
    <m/>
    <x v="170"/>
  </r>
  <r>
    <s v="USR-100393"/>
    <d v="2025-02-24T00:00:00"/>
    <x v="0"/>
    <x v="0"/>
    <x v="1"/>
    <x v="3"/>
    <x v="1"/>
    <x v="0"/>
    <x v="0"/>
    <x v="0"/>
    <x v="0"/>
    <x v="0"/>
    <x v="0"/>
    <x v="0"/>
    <m/>
    <x v="32"/>
  </r>
  <r>
    <s v="USR-100394"/>
    <d v="2025-05-16T00:00:00"/>
    <x v="0"/>
    <x v="1"/>
    <x v="0"/>
    <x v="1"/>
    <x v="0"/>
    <x v="1"/>
    <x v="1"/>
    <x v="0"/>
    <x v="0"/>
    <x v="0"/>
    <x v="0"/>
    <x v="0"/>
    <m/>
    <x v="63"/>
  </r>
  <r>
    <s v="USR-100395"/>
    <d v="2025-04-29T00:00:00"/>
    <x v="0"/>
    <x v="0"/>
    <x v="1"/>
    <x v="2"/>
    <x v="1"/>
    <x v="1"/>
    <x v="1"/>
    <x v="1"/>
    <x v="0"/>
    <x v="0"/>
    <x v="0"/>
    <x v="0"/>
    <m/>
    <x v="166"/>
  </r>
  <r>
    <s v="USR-100396"/>
    <d v="2025-04-30T00:00:00"/>
    <x v="0"/>
    <x v="3"/>
    <x v="0"/>
    <x v="0"/>
    <x v="0"/>
    <x v="1"/>
    <x v="0"/>
    <x v="0"/>
    <x v="0"/>
    <x v="0"/>
    <x v="0"/>
    <x v="0"/>
    <m/>
    <x v="103"/>
  </r>
  <r>
    <s v="USR-100397"/>
    <d v="2025-01-09T00:00:00"/>
    <x v="0"/>
    <x v="3"/>
    <x v="0"/>
    <x v="1"/>
    <x v="1"/>
    <x v="1"/>
    <x v="1"/>
    <x v="0"/>
    <x v="0"/>
    <x v="0"/>
    <x v="0"/>
    <x v="0"/>
    <m/>
    <x v="49"/>
  </r>
  <r>
    <s v="USR-100398"/>
    <d v="2025-04-25T00:00:00"/>
    <x v="0"/>
    <x v="3"/>
    <x v="1"/>
    <x v="1"/>
    <x v="1"/>
    <x v="1"/>
    <x v="1"/>
    <x v="0"/>
    <x v="0"/>
    <x v="0"/>
    <x v="0"/>
    <x v="0"/>
    <m/>
    <x v="271"/>
  </r>
  <r>
    <s v="USR-100399"/>
    <d v="2025-03-12T00:00:00"/>
    <x v="0"/>
    <x v="0"/>
    <x v="0"/>
    <x v="2"/>
    <x v="1"/>
    <x v="1"/>
    <x v="0"/>
    <x v="0"/>
    <x v="0"/>
    <x v="0"/>
    <x v="0"/>
    <x v="0"/>
    <m/>
    <x v="186"/>
  </r>
  <r>
    <s v="USR-100400"/>
    <d v="2025-03-20T00:00:00"/>
    <x v="0"/>
    <x v="0"/>
    <x v="1"/>
    <x v="1"/>
    <x v="1"/>
    <x v="1"/>
    <x v="1"/>
    <x v="0"/>
    <x v="0"/>
    <x v="0"/>
    <x v="0"/>
    <x v="0"/>
    <m/>
    <x v="272"/>
  </r>
  <r>
    <s v="USR-100401"/>
    <d v="2025-02-18T00:00:00"/>
    <x v="0"/>
    <x v="1"/>
    <x v="1"/>
    <x v="2"/>
    <x v="1"/>
    <x v="1"/>
    <x v="0"/>
    <x v="0"/>
    <x v="0"/>
    <x v="0"/>
    <x v="0"/>
    <x v="0"/>
    <m/>
    <x v="80"/>
  </r>
  <r>
    <s v="USR-100402"/>
    <d v="2025-01-22T00:00:00"/>
    <x v="0"/>
    <x v="0"/>
    <x v="1"/>
    <x v="4"/>
    <x v="0"/>
    <x v="0"/>
    <x v="0"/>
    <x v="0"/>
    <x v="0"/>
    <x v="0"/>
    <x v="0"/>
    <x v="0"/>
    <m/>
    <x v="208"/>
  </r>
  <r>
    <s v="USR-100403"/>
    <d v="2025-02-08T00:00:00"/>
    <x v="0"/>
    <x v="1"/>
    <x v="1"/>
    <x v="0"/>
    <x v="0"/>
    <x v="1"/>
    <x v="1"/>
    <x v="1"/>
    <x v="0"/>
    <x v="0"/>
    <x v="0"/>
    <x v="0"/>
    <m/>
    <x v="273"/>
  </r>
  <r>
    <s v="USR-100404"/>
    <d v="2025-01-20T00:00:00"/>
    <x v="0"/>
    <x v="0"/>
    <x v="1"/>
    <x v="0"/>
    <x v="2"/>
    <x v="0"/>
    <x v="0"/>
    <x v="0"/>
    <x v="0"/>
    <x v="0"/>
    <x v="1"/>
    <x v="0"/>
    <m/>
    <x v="182"/>
  </r>
  <r>
    <s v="USR-100405"/>
    <d v="2025-04-22T00:00:00"/>
    <x v="0"/>
    <x v="1"/>
    <x v="0"/>
    <x v="3"/>
    <x v="1"/>
    <x v="1"/>
    <x v="0"/>
    <x v="0"/>
    <x v="0"/>
    <x v="0"/>
    <x v="0"/>
    <x v="0"/>
    <m/>
    <x v="274"/>
  </r>
  <r>
    <s v="USR-100406"/>
    <d v="2025-01-22T00:00:00"/>
    <x v="0"/>
    <x v="2"/>
    <x v="1"/>
    <x v="1"/>
    <x v="0"/>
    <x v="1"/>
    <x v="1"/>
    <x v="0"/>
    <x v="0"/>
    <x v="0"/>
    <x v="0"/>
    <x v="0"/>
    <m/>
    <x v="275"/>
  </r>
  <r>
    <s v="USR-100407"/>
    <d v="2025-05-11T00:00:00"/>
    <x v="0"/>
    <x v="1"/>
    <x v="1"/>
    <x v="1"/>
    <x v="0"/>
    <x v="1"/>
    <x v="0"/>
    <x v="0"/>
    <x v="0"/>
    <x v="0"/>
    <x v="0"/>
    <x v="0"/>
    <m/>
    <x v="19"/>
  </r>
  <r>
    <s v="USR-100408"/>
    <d v="2025-02-06T00:00:00"/>
    <x v="0"/>
    <x v="3"/>
    <x v="1"/>
    <x v="1"/>
    <x v="0"/>
    <x v="0"/>
    <x v="0"/>
    <x v="0"/>
    <x v="0"/>
    <x v="0"/>
    <x v="1"/>
    <x v="0"/>
    <m/>
    <x v="74"/>
  </r>
  <r>
    <s v="USR-100409"/>
    <d v="2025-02-21T00:00:00"/>
    <x v="0"/>
    <x v="0"/>
    <x v="0"/>
    <x v="1"/>
    <x v="2"/>
    <x v="1"/>
    <x v="0"/>
    <x v="0"/>
    <x v="0"/>
    <x v="0"/>
    <x v="0"/>
    <x v="0"/>
    <m/>
    <x v="257"/>
  </r>
  <r>
    <s v="USR-100410"/>
    <d v="2025-01-13T00:00:00"/>
    <x v="0"/>
    <x v="1"/>
    <x v="1"/>
    <x v="0"/>
    <x v="2"/>
    <x v="1"/>
    <x v="1"/>
    <x v="1"/>
    <x v="0"/>
    <x v="0"/>
    <x v="0"/>
    <x v="0"/>
    <m/>
    <x v="174"/>
  </r>
  <r>
    <s v="USR-100411"/>
    <d v="2025-03-07T00:00:00"/>
    <x v="0"/>
    <x v="0"/>
    <x v="1"/>
    <x v="3"/>
    <x v="2"/>
    <x v="1"/>
    <x v="1"/>
    <x v="1"/>
    <x v="1"/>
    <x v="18"/>
    <x v="0"/>
    <x v="0"/>
    <n v="6"/>
    <x v="193"/>
  </r>
  <r>
    <s v="USR-100412"/>
    <d v="2025-02-26T00:00:00"/>
    <x v="0"/>
    <x v="1"/>
    <x v="0"/>
    <x v="1"/>
    <x v="0"/>
    <x v="1"/>
    <x v="1"/>
    <x v="0"/>
    <x v="0"/>
    <x v="0"/>
    <x v="0"/>
    <x v="0"/>
    <m/>
    <x v="12"/>
  </r>
  <r>
    <s v="USR-100413"/>
    <d v="2025-05-05T00:00:00"/>
    <x v="0"/>
    <x v="0"/>
    <x v="1"/>
    <x v="3"/>
    <x v="2"/>
    <x v="1"/>
    <x v="0"/>
    <x v="0"/>
    <x v="0"/>
    <x v="0"/>
    <x v="0"/>
    <x v="0"/>
    <m/>
    <x v="276"/>
  </r>
  <r>
    <s v="USR-100414"/>
    <d v="2025-01-08T00:00:00"/>
    <x v="0"/>
    <x v="2"/>
    <x v="0"/>
    <x v="1"/>
    <x v="0"/>
    <x v="0"/>
    <x v="0"/>
    <x v="0"/>
    <x v="0"/>
    <x v="0"/>
    <x v="1"/>
    <x v="0"/>
    <m/>
    <x v="277"/>
  </r>
  <r>
    <s v="USR-100415"/>
    <d v="2025-03-19T00:00:00"/>
    <x v="0"/>
    <x v="3"/>
    <x v="1"/>
    <x v="0"/>
    <x v="2"/>
    <x v="1"/>
    <x v="1"/>
    <x v="1"/>
    <x v="0"/>
    <x v="0"/>
    <x v="0"/>
    <x v="0"/>
    <m/>
    <x v="278"/>
  </r>
  <r>
    <s v="USR-100416"/>
    <d v="2025-01-30T00:00:00"/>
    <x v="0"/>
    <x v="2"/>
    <x v="0"/>
    <x v="2"/>
    <x v="1"/>
    <x v="1"/>
    <x v="1"/>
    <x v="1"/>
    <x v="0"/>
    <x v="0"/>
    <x v="2"/>
    <x v="0"/>
    <m/>
    <x v="45"/>
  </r>
  <r>
    <s v="USR-100417"/>
    <d v="2025-04-28T00:00:00"/>
    <x v="0"/>
    <x v="2"/>
    <x v="1"/>
    <x v="1"/>
    <x v="0"/>
    <x v="1"/>
    <x v="0"/>
    <x v="0"/>
    <x v="0"/>
    <x v="0"/>
    <x v="0"/>
    <x v="0"/>
    <m/>
    <x v="47"/>
  </r>
  <r>
    <s v="USR-100418"/>
    <d v="2025-03-07T00:00:00"/>
    <x v="0"/>
    <x v="0"/>
    <x v="1"/>
    <x v="3"/>
    <x v="0"/>
    <x v="0"/>
    <x v="0"/>
    <x v="0"/>
    <x v="0"/>
    <x v="0"/>
    <x v="0"/>
    <x v="0"/>
    <m/>
    <x v="279"/>
  </r>
  <r>
    <s v="USR-100419"/>
    <d v="2025-04-07T00:00:00"/>
    <x v="0"/>
    <x v="0"/>
    <x v="0"/>
    <x v="1"/>
    <x v="1"/>
    <x v="0"/>
    <x v="0"/>
    <x v="0"/>
    <x v="0"/>
    <x v="0"/>
    <x v="0"/>
    <x v="0"/>
    <m/>
    <x v="237"/>
  </r>
  <r>
    <s v="USR-100420"/>
    <d v="2025-05-08T00:00:00"/>
    <x v="0"/>
    <x v="0"/>
    <x v="0"/>
    <x v="1"/>
    <x v="2"/>
    <x v="1"/>
    <x v="0"/>
    <x v="0"/>
    <x v="0"/>
    <x v="0"/>
    <x v="0"/>
    <x v="0"/>
    <m/>
    <x v="228"/>
  </r>
  <r>
    <s v="USR-100421"/>
    <d v="2025-04-15T00:00:00"/>
    <x v="0"/>
    <x v="3"/>
    <x v="1"/>
    <x v="0"/>
    <x v="1"/>
    <x v="1"/>
    <x v="0"/>
    <x v="0"/>
    <x v="0"/>
    <x v="0"/>
    <x v="0"/>
    <x v="0"/>
    <m/>
    <x v="101"/>
  </r>
  <r>
    <s v="USR-100422"/>
    <d v="2025-04-20T00:00:00"/>
    <x v="0"/>
    <x v="2"/>
    <x v="0"/>
    <x v="4"/>
    <x v="1"/>
    <x v="1"/>
    <x v="0"/>
    <x v="0"/>
    <x v="0"/>
    <x v="0"/>
    <x v="0"/>
    <x v="0"/>
    <m/>
    <x v="214"/>
  </r>
  <r>
    <s v="USR-100423"/>
    <d v="2025-05-30T00:00:00"/>
    <x v="0"/>
    <x v="3"/>
    <x v="2"/>
    <x v="1"/>
    <x v="1"/>
    <x v="0"/>
    <x v="0"/>
    <x v="0"/>
    <x v="0"/>
    <x v="0"/>
    <x v="0"/>
    <x v="0"/>
    <m/>
    <x v="90"/>
  </r>
  <r>
    <s v="USR-100424"/>
    <d v="2025-02-13T00:00:00"/>
    <x v="0"/>
    <x v="1"/>
    <x v="1"/>
    <x v="3"/>
    <x v="1"/>
    <x v="0"/>
    <x v="0"/>
    <x v="0"/>
    <x v="0"/>
    <x v="0"/>
    <x v="0"/>
    <x v="0"/>
    <m/>
    <x v="41"/>
  </r>
  <r>
    <s v="USR-100425"/>
    <d v="2025-04-28T00:00:00"/>
    <x v="0"/>
    <x v="1"/>
    <x v="1"/>
    <x v="4"/>
    <x v="1"/>
    <x v="1"/>
    <x v="0"/>
    <x v="0"/>
    <x v="0"/>
    <x v="0"/>
    <x v="0"/>
    <x v="0"/>
    <m/>
    <x v="280"/>
  </r>
  <r>
    <s v="USR-100426"/>
    <d v="2025-02-12T00:00:00"/>
    <x v="0"/>
    <x v="0"/>
    <x v="1"/>
    <x v="2"/>
    <x v="0"/>
    <x v="1"/>
    <x v="0"/>
    <x v="0"/>
    <x v="0"/>
    <x v="0"/>
    <x v="1"/>
    <x v="0"/>
    <m/>
    <x v="281"/>
  </r>
  <r>
    <s v="USR-100427"/>
    <d v="2025-02-12T00:00:00"/>
    <x v="0"/>
    <x v="2"/>
    <x v="1"/>
    <x v="1"/>
    <x v="1"/>
    <x v="0"/>
    <x v="0"/>
    <x v="0"/>
    <x v="0"/>
    <x v="0"/>
    <x v="2"/>
    <x v="0"/>
    <m/>
    <x v="141"/>
  </r>
  <r>
    <s v="USR-100428"/>
    <d v="2025-03-27T00:00:00"/>
    <x v="0"/>
    <x v="0"/>
    <x v="1"/>
    <x v="0"/>
    <x v="2"/>
    <x v="1"/>
    <x v="0"/>
    <x v="0"/>
    <x v="0"/>
    <x v="0"/>
    <x v="0"/>
    <x v="0"/>
    <m/>
    <x v="282"/>
  </r>
  <r>
    <s v="USR-100429"/>
    <d v="2025-04-12T00:00:00"/>
    <x v="0"/>
    <x v="3"/>
    <x v="0"/>
    <x v="1"/>
    <x v="1"/>
    <x v="0"/>
    <x v="0"/>
    <x v="0"/>
    <x v="0"/>
    <x v="0"/>
    <x v="0"/>
    <x v="0"/>
    <m/>
    <x v="239"/>
  </r>
  <r>
    <s v="USR-100430"/>
    <d v="2025-01-30T00:00:00"/>
    <x v="0"/>
    <x v="1"/>
    <x v="1"/>
    <x v="4"/>
    <x v="1"/>
    <x v="0"/>
    <x v="0"/>
    <x v="0"/>
    <x v="0"/>
    <x v="0"/>
    <x v="0"/>
    <x v="0"/>
    <m/>
    <x v="61"/>
  </r>
  <r>
    <s v="USR-100431"/>
    <d v="2025-05-28T00:00:00"/>
    <x v="0"/>
    <x v="1"/>
    <x v="1"/>
    <x v="4"/>
    <x v="2"/>
    <x v="0"/>
    <x v="0"/>
    <x v="0"/>
    <x v="0"/>
    <x v="0"/>
    <x v="1"/>
    <x v="0"/>
    <m/>
    <x v="283"/>
  </r>
  <r>
    <s v="USR-100432"/>
    <d v="2025-05-01T00:00:00"/>
    <x v="0"/>
    <x v="3"/>
    <x v="1"/>
    <x v="1"/>
    <x v="0"/>
    <x v="1"/>
    <x v="1"/>
    <x v="0"/>
    <x v="0"/>
    <x v="0"/>
    <x v="0"/>
    <x v="0"/>
    <m/>
    <x v="219"/>
  </r>
  <r>
    <s v="USR-100433"/>
    <d v="2025-02-03T00:00:00"/>
    <x v="0"/>
    <x v="0"/>
    <x v="2"/>
    <x v="0"/>
    <x v="0"/>
    <x v="1"/>
    <x v="0"/>
    <x v="0"/>
    <x v="0"/>
    <x v="0"/>
    <x v="0"/>
    <x v="0"/>
    <m/>
    <x v="19"/>
  </r>
  <r>
    <s v="USR-100434"/>
    <d v="2025-01-10T00:00:00"/>
    <x v="0"/>
    <x v="3"/>
    <x v="0"/>
    <x v="4"/>
    <x v="0"/>
    <x v="0"/>
    <x v="0"/>
    <x v="0"/>
    <x v="0"/>
    <x v="0"/>
    <x v="0"/>
    <x v="0"/>
    <m/>
    <x v="284"/>
  </r>
  <r>
    <s v="USR-100435"/>
    <d v="2025-05-02T00:00:00"/>
    <x v="0"/>
    <x v="0"/>
    <x v="0"/>
    <x v="1"/>
    <x v="0"/>
    <x v="1"/>
    <x v="0"/>
    <x v="0"/>
    <x v="0"/>
    <x v="0"/>
    <x v="0"/>
    <x v="0"/>
    <m/>
    <x v="255"/>
  </r>
  <r>
    <s v="USR-100436"/>
    <d v="2025-05-26T00:00:00"/>
    <x v="0"/>
    <x v="0"/>
    <x v="0"/>
    <x v="1"/>
    <x v="0"/>
    <x v="1"/>
    <x v="0"/>
    <x v="0"/>
    <x v="0"/>
    <x v="0"/>
    <x v="0"/>
    <x v="0"/>
    <m/>
    <x v="285"/>
  </r>
  <r>
    <s v="USR-100437"/>
    <d v="2025-01-12T00:00:00"/>
    <x v="0"/>
    <x v="1"/>
    <x v="1"/>
    <x v="1"/>
    <x v="0"/>
    <x v="1"/>
    <x v="0"/>
    <x v="0"/>
    <x v="0"/>
    <x v="0"/>
    <x v="0"/>
    <x v="0"/>
    <m/>
    <x v="192"/>
  </r>
  <r>
    <s v="USR-100438"/>
    <d v="2025-05-27T00:00:00"/>
    <x v="0"/>
    <x v="2"/>
    <x v="1"/>
    <x v="2"/>
    <x v="0"/>
    <x v="1"/>
    <x v="1"/>
    <x v="1"/>
    <x v="0"/>
    <x v="0"/>
    <x v="0"/>
    <x v="0"/>
    <m/>
    <x v="286"/>
  </r>
  <r>
    <s v="USR-100439"/>
    <d v="2025-05-22T00:00:00"/>
    <x v="0"/>
    <x v="1"/>
    <x v="0"/>
    <x v="0"/>
    <x v="0"/>
    <x v="0"/>
    <x v="0"/>
    <x v="0"/>
    <x v="0"/>
    <x v="0"/>
    <x v="0"/>
    <x v="0"/>
    <m/>
    <x v="287"/>
  </r>
  <r>
    <s v="USR-100440"/>
    <d v="2025-04-01T00:00:00"/>
    <x v="0"/>
    <x v="2"/>
    <x v="1"/>
    <x v="4"/>
    <x v="2"/>
    <x v="1"/>
    <x v="1"/>
    <x v="1"/>
    <x v="1"/>
    <x v="19"/>
    <x v="0"/>
    <x v="0"/>
    <n v="9"/>
    <x v="269"/>
  </r>
  <r>
    <s v="USR-100441"/>
    <d v="2025-01-22T00:00:00"/>
    <x v="0"/>
    <x v="0"/>
    <x v="1"/>
    <x v="2"/>
    <x v="0"/>
    <x v="1"/>
    <x v="1"/>
    <x v="1"/>
    <x v="0"/>
    <x v="0"/>
    <x v="0"/>
    <x v="0"/>
    <m/>
    <x v="170"/>
  </r>
  <r>
    <s v="USR-100442"/>
    <d v="2025-05-24T00:00:00"/>
    <x v="0"/>
    <x v="2"/>
    <x v="1"/>
    <x v="2"/>
    <x v="0"/>
    <x v="1"/>
    <x v="0"/>
    <x v="0"/>
    <x v="0"/>
    <x v="0"/>
    <x v="0"/>
    <x v="0"/>
    <m/>
    <x v="132"/>
  </r>
  <r>
    <s v="USR-100443"/>
    <d v="2025-04-25T00:00:00"/>
    <x v="0"/>
    <x v="3"/>
    <x v="1"/>
    <x v="4"/>
    <x v="1"/>
    <x v="1"/>
    <x v="0"/>
    <x v="0"/>
    <x v="0"/>
    <x v="0"/>
    <x v="0"/>
    <x v="0"/>
    <m/>
    <x v="288"/>
  </r>
  <r>
    <s v="USR-100444"/>
    <d v="2025-04-12T00:00:00"/>
    <x v="0"/>
    <x v="1"/>
    <x v="0"/>
    <x v="3"/>
    <x v="1"/>
    <x v="1"/>
    <x v="1"/>
    <x v="1"/>
    <x v="0"/>
    <x v="0"/>
    <x v="1"/>
    <x v="0"/>
    <m/>
    <x v="106"/>
  </r>
  <r>
    <s v="USR-100445"/>
    <d v="2025-04-23T00:00:00"/>
    <x v="0"/>
    <x v="3"/>
    <x v="1"/>
    <x v="1"/>
    <x v="2"/>
    <x v="1"/>
    <x v="0"/>
    <x v="0"/>
    <x v="0"/>
    <x v="0"/>
    <x v="0"/>
    <x v="0"/>
    <m/>
    <x v="289"/>
  </r>
  <r>
    <s v="USR-100446"/>
    <d v="2025-03-30T00:00:00"/>
    <x v="0"/>
    <x v="0"/>
    <x v="0"/>
    <x v="3"/>
    <x v="1"/>
    <x v="1"/>
    <x v="1"/>
    <x v="1"/>
    <x v="0"/>
    <x v="0"/>
    <x v="1"/>
    <x v="0"/>
    <m/>
    <x v="290"/>
  </r>
  <r>
    <s v="USR-100447"/>
    <d v="2025-01-18T00:00:00"/>
    <x v="0"/>
    <x v="2"/>
    <x v="1"/>
    <x v="3"/>
    <x v="0"/>
    <x v="0"/>
    <x v="0"/>
    <x v="0"/>
    <x v="0"/>
    <x v="0"/>
    <x v="0"/>
    <x v="0"/>
    <m/>
    <x v="268"/>
  </r>
  <r>
    <s v="USR-100448"/>
    <d v="2025-04-09T00:00:00"/>
    <x v="0"/>
    <x v="2"/>
    <x v="1"/>
    <x v="1"/>
    <x v="1"/>
    <x v="1"/>
    <x v="0"/>
    <x v="0"/>
    <x v="0"/>
    <x v="0"/>
    <x v="0"/>
    <x v="0"/>
    <m/>
    <x v="235"/>
  </r>
  <r>
    <s v="USR-100449"/>
    <d v="2025-01-11T00:00:00"/>
    <x v="0"/>
    <x v="1"/>
    <x v="1"/>
    <x v="1"/>
    <x v="1"/>
    <x v="1"/>
    <x v="1"/>
    <x v="1"/>
    <x v="0"/>
    <x v="0"/>
    <x v="0"/>
    <x v="0"/>
    <m/>
    <x v="291"/>
  </r>
  <r>
    <s v="USR-100450"/>
    <d v="2025-03-05T00:00:00"/>
    <x v="0"/>
    <x v="2"/>
    <x v="1"/>
    <x v="2"/>
    <x v="1"/>
    <x v="1"/>
    <x v="0"/>
    <x v="0"/>
    <x v="0"/>
    <x v="0"/>
    <x v="0"/>
    <x v="0"/>
    <m/>
    <x v="1"/>
  </r>
  <r>
    <s v="USR-100451"/>
    <d v="2025-02-17T00:00:00"/>
    <x v="0"/>
    <x v="0"/>
    <x v="2"/>
    <x v="4"/>
    <x v="1"/>
    <x v="1"/>
    <x v="1"/>
    <x v="1"/>
    <x v="0"/>
    <x v="0"/>
    <x v="0"/>
    <x v="0"/>
    <m/>
    <x v="108"/>
  </r>
  <r>
    <s v="USR-100452"/>
    <d v="2025-05-07T00:00:00"/>
    <x v="0"/>
    <x v="0"/>
    <x v="0"/>
    <x v="2"/>
    <x v="1"/>
    <x v="0"/>
    <x v="0"/>
    <x v="0"/>
    <x v="0"/>
    <x v="0"/>
    <x v="0"/>
    <x v="0"/>
    <m/>
    <x v="184"/>
  </r>
  <r>
    <s v="USR-100453"/>
    <d v="2025-04-10T00:00:00"/>
    <x v="0"/>
    <x v="2"/>
    <x v="1"/>
    <x v="2"/>
    <x v="2"/>
    <x v="0"/>
    <x v="0"/>
    <x v="0"/>
    <x v="0"/>
    <x v="0"/>
    <x v="0"/>
    <x v="0"/>
    <m/>
    <x v="237"/>
  </r>
  <r>
    <s v="USR-100454"/>
    <d v="2025-04-21T00:00:00"/>
    <x v="0"/>
    <x v="0"/>
    <x v="1"/>
    <x v="4"/>
    <x v="1"/>
    <x v="1"/>
    <x v="0"/>
    <x v="0"/>
    <x v="0"/>
    <x v="0"/>
    <x v="0"/>
    <x v="0"/>
    <m/>
    <x v="292"/>
  </r>
  <r>
    <s v="USR-100455"/>
    <d v="2025-02-25T00:00:00"/>
    <x v="0"/>
    <x v="3"/>
    <x v="2"/>
    <x v="5"/>
    <x v="1"/>
    <x v="0"/>
    <x v="0"/>
    <x v="0"/>
    <x v="0"/>
    <x v="0"/>
    <x v="0"/>
    <x v="0"/>
    <m/>
    <x v="39"/>
  </r>
  <r>
    <s v="USR-100456"/>
    <d v="2025-05-14T00:00:00"/>
    <x v="0"/>
    <x v="2"/>
    <x v="0"/>
    <x v="1"/>
    <x v="1"/>
    <x v="0"/>
    <x v="0"/>
    <x v="0"/>
    <x v="0"/>
    <x v="0"/>
    <x v="0"/>
    <x v="0"/>
    <m/>
    <x v="293"/>
  </r>
  <r>
    <s v="USR-100457"/>
    <d v="2025-03-10T00:00:00"/>
    <x v="0"/>
    <x v="0"/>
    <x v="1"/>
    <x v="0"/>
    <x v="0"/>
    <x v="1"/>
    <x v="0"/>
    <x v="0"/>
    <x v="0"/>
    <x v="0"/>
    <x v="1"/>
    <x v="0"/>
    <m/>
    <x v="2"/>
  </r>
  <r>
    <s v="USR-100458"/>
    <d v="2025-01-31T00:00:00"/>
    <x v="0"/>
    <x v="1"/>
    <x v="0"/>
    <x v="1"/>
    <x v="2"/>
    <x v="1"/>
    <x v="0"/>
    <x v="0"/>
    <x v="0"/>
    <x v="0"/>
    <x v="1"/>
    <x v="0"/>
    <m/>
    <x v="267"/>
  </r>
  <r>
    <s v="USR-100459"/>
    <d v="2025-01-17T00:00:00"/>
    <x v="0"/>
    <x v="3"/>
    <x v="1"/>
    <x v="1"/>
    <x v="2"/>
    <x v="1"/>
    <x v="0"/>
    <x v="0"/>
    <x v="0"/>
    <x v="0"/>
    <x v="0"/>
    <x v="0"/>
    <m/>
    <x v="63"/>
  </r>
  <r>
    <s v="USR-100460"/>
    <d v="2025-03-12T00:00:00"/>
    <x v="0"/>
    <x v="3"/>
    <x v="1"/>
    <x v="2"/>
    <x v="1"/>
    <x v="0"/>
    <x v="0"/>
    <x v="0"/>
    <x v="0"/>
    <x v="0"/>
    <x v="3"/>
    <x v="0"/>
    <m/>
    <x v="268"/>
  </r>
  <r>
    <s v="USR-100461"/>
    <d v="2025-02-28T00:00:00"/>
    <x v="0"/>
    <x v="1"/>
    <x v="0"/>
    <x v="1"/>
    <x v="2"/>
    <x v="1"/>
    <x v="1"/>
    <x v="0"/>
    <x v="0"/>
    <x v="0"/>
    <x v="0"/>
    <x v="0"/>
    <m/>
    <x v="294"/>
  </r>
  <r>
    <s v="USR-100462"/>
    <d v="2025-05-19T00:00:00"/>
    <x v="0"/>
    <x v="0"/>
    <x v="3"/>
    <x v="1"/>
    <x v="0"/>
    <x v="1"/>
    <x v="0"/>
    <x v="0"/>
    <x v="0"/>
    <x v="0"/>
    <x v="0"/>
    <x v="0"/>
    <m/>
    <x v="17"/>
  </r>
  <r>
    <s v="USR-100463"/>
    <d v="2025-02-23T00:00:00"/>
    <x v="0"/>
    <x v="0"/>
    <x v="1"/>
    <x v="3"/>
    <x v="0"/>
    <x v="1"/>
    <x v="0"/>
    <x v="0"/>
    <x v="0"/>
    <x v="0"/>
    <x v="0"/>
    <x v="0"/>
    <m/>
    <x v="9"/>
  </r>
  <r>
    <s v="USR-100464"/>
    <d v="2025-02-20T00:00:00"/>
    <x v="0"/>
    <x v="1"/>
    <x v="0"/>
    <x v="1"/>
    <x v="1"/>
    <x v="1"/>
    <x v="1"/>
    <x v="1"/>
    <x v="0"/>
    <x v="0"/>
    <x v="0"/>
    <x v="0"/>
    <m/>
    <x v="222"/>
  </r>
  <r>
    <s v="USR-100465"/>
    <d v="2025-04-12T00:00:00"/>
    <x v="0"/>
    <x v="0"/>
    <x v="1"/>
    <x v="5"/>
    <x v="1"/>
    <x v="0"/>
    <x v="0"/>
    <x v="0"/>
    <x v="0"/>
    <x v="0"/>
    <x v="0"/>
    <x v="0"/>
    <m/>
    <x v="54"/>
  </r>
  <r>
    <s v="USR-100466"/>
    <d v="2025-01-08T00:00:00"/>
    <x v="0"/>
    <x v="1"/>
    <x v="1"/>
    <x v="0"/>
    <x v="1"/>
    <x v="0"/>
    <x v="0"/>
    <x v="0"/>
    <x v="0"/>
    <x v="0"/>
    <x v="0"/>
    <x v="0"/>
    <m/>
    <x v="168"/>
  </r>
  <r>
    <s v="USR-100467"/>
    <d v="2025-02-13T00:00:00"/>
    <x v="0"/>
    <x v="1"/>
    <x v="1"/>
    <x v="1"/>
    <x v="0"/>
    <x v="0"/>
    <x v="0"/>
    <x v="0"/>
    <x v="0"/>
    <x v="0"/>
    <x v="0"/>
    <x v="0"/>
    <m/>
    <x v="295"/>
  </r>
  <r>
    <s v="USR-100468"/>
    <d v="2025-05-21T00:00:00"/>
    <x v="0"/>
    <x v="2"/>
    <x v="0"/>
    <x v="0"/>
    <x v="1"/>
    <x v="1"/>
    <x v="1"/>
    <x v="1"/>
    <x v="0"/>
    <x v="0"/>
    <x v="0"/>
    <x v="0"/>
    <m/>
    <x v="157"/>
  </r>
  <r>
    <s v="USR-100469"/>
    <d v="2025-05-30T00:00:00"/>
    <x v="0"/>
    <x v="0"/>
    <x v="1"/>
    <x v="1"/>
    <x v="0"/>
    <x v="0"/>
    <x v="0"/>
    <x v="0"/>
    <x v="0"/>
    <x v="0"/>
    <x v="0"/>
    <x v="0"/>
    <m/>
    <x v="233"/>
  </r>
  <r>
    <s v="USR-100470"/>
    <d v="2025-05-20T00:00:00"/>
    <x v="0"/>
    <x v="1"/>
    <x v="1"/>
    <x v="2"/>
    <x v="1"/>
    <x v="0"/>
    <x v="0"/>
    <x v="0"/>
    <x v="0"/>
    <x v="0"/>
    <x v="0"/>
    <x v="0"/>
    <m/>
    <x v="265"/>
  </r>
  <r>
    <s v="USR-100471"/>
    <d v="2025-01-09T00:00:00"/>
    <x v="0"/>
    <x v="2"/>
    <x v="0"/>
    <x v="1"/>
    <x v="1"/>
    <x v="0"/>
    <x v="0"/>
    <x v="0"/>
    <x v="0"/>
    <x v="0"/>
    <x v="1"/>
    <x v="0"/>
    <m/>
    <x v="296"/>
  </r>
  <r>
    <s v="USR-100472"/>
    <d v="2025-03-07T00:00:00"/>
    <x v="0"/>
    <x v="1"/>
    <x v="1"/>
    <x v="1"/>
    <x v="1"/>
    <x v="0"/>
    <x v="0"/>
    <x v="0"/>
    <x v="0"/>
    <x v="0"/>
    <x v="0"/>
    <x v="0"/>
    <m/>
    <x v="297"/>
  </r>
  <r>
    <s v="USR-100473"/>
    <d v="2025-04-23T00:00:00"/>
    <x v="0"/>
    <x v="3"/>
    <x v="1"/>
    <x v="4"/>
    <x v="1"/>
    <x v="0"/>
    <x v="0"/>
    <x v="0"/>
    <x v="0"/>
    <x v="0"/>
    <x v="0"/>
    <x v="0"/>
    <m/>
    <x v="298"/>
  </r>
  <r>
    <s v="USR-100474"/>
    <d v="2025-03-08T00:00:00"/>
    <x v="0"/>
    <x v="2"/>
    <x v="1"/>
    <x v="1"/>
    <x v="0"/>
    <x v="0"/>
    <x v="0"/>
    <x v="0"/>
    <x v="0"/>
    <x v="0"/>
    <x v="0"/>
    <x v="0"/>
    <m/>
    <x v="176"/>
  </r>
  <r>
    <s v="USR-100475"/>
    <d v="2025-02-14T00:00:00"/>
    <x v="0"/>
    <x v="3"/>
    <x v="1"/>
    <x v="3"/>
    <x v="1"/>
    <x v="0"/>
    <x v="0"/>
    <x v="0"/>
    <x v="0"/>
    <x v="0"/>
    <x v="0"/>
    <x v="0"/>
    <m/>
    <x v="87"/>
  </r>
  <r>
    <s v="USR-100476"/>
    <d v="2025-05-17T00:00:00"/>
    <x v="0"/>
    <x v="1"/>
    <x v="1"/>
    <x v="3"/>
    <x v="0"/>
    <x v="1"/>
    <x v="0"/>
    <x v="0"/>
    <x v="0"/>
    <x v="0"/>
    <x v="0"/>
    <x v="0"/>
    <m/>
    <x v="299"/>
  </r>
  <r>
    <s v="USR-100477"/>
    <d v="2025-04-25T00:00:00"/>
    <x v="0"/>
    <x v="3"/>
    <x v="1"/>
    <x v="3"/>
    <x v="1"/>
    <x v="0"/>
    <x v="0"/>
    <x v="0"/>
    <x v="0"/>
    <x v="0"/>
    <x v="0"/>
    <x v="0"/>
    <m/>
    <x v="152"/>
  </r>
  <r>
    <s v="USR-100478"/>
    <d v="2025-03-04T00:00:00"/>
    <x v="0"/>
    <x v="3"/>
    <x v="0"/>
    <x v="4"/>
    <x v="0"/>
    <x v="0"/>
    <x v="0"/>
    <x v="0"/>
    <x v="0"/>
    <x v="0"/>
    <x v="0"/>
    <x v="0"/>
    <m/>
    <x v="54"/>
  </r>
  <r>
    <s v="USR-100479"/>
    <d v="2025-03-18T00:00:00"/>
    <x v="0"/>
    <x v="3"/>
    <x v="1"/>
    <x v="1"/>
    <x v="1"/>
    <x v="1"/>
    <x v="0"/>
    <x v="0"/>
    <x v="0"/>
    <x v="0"/>
    <x v="0"/>
    <x v="0"/>
    <m/>
    <x v="300"/>
  </r>
  <r>
    <s v="USR-100480"/>
    <d v="2025-01-30T00:00:00"/>
    <x v="0"/>
    <x v="1"/>
    <x v="1"/>
    <x v="2"/>
    <x v="2"/>
    <x v="1"/>
    <x v="0"/>
    <x v="0"/>
    <x v="0"/>
    <x v="0"/>
    <x v="0"/>
    <x v="0"/>
    <m/>
    <x v="163"/>
  </r>
  <r>
    <s v="USR-100481"/>
    <d v="2025-05-20T00:00:00"/>
    <x v="0"/>
    <x v="1"/>
    <x v="2"/>
    <x v="3"/>
    <x v="1"/>
    <x v="1"/>
    <x v="1"/>
    <x v="1"/>
    <x v="0"/>
    <x v="0"/>
    <x v="0"/>
    <x v="0"/>
    <m/>
    <x v="301"/>
  </r>
  <r>
    <s v="USR-100482"/>
    <d v="2025-02-13T00:00:00"/>
    <x v="0"/>
    <x v="0"/>
    <x v="3"/>
    <x v="1"/>
    <x v="0"/>
    <x v="1"/>
    <x v="1"/>
    <x v="1"/>
    <x v="0"/>
    <x v="0"/>
    <x v="0"/>
    <x v="0"/>
    <m/>
    <x v="302"/>
  </r>
  <r>
    <s v="USR-100483"/>
    <d v="2025-04-12T00:00:00"/>
    <x v="0"/>
    <x v="1"/>
    <x v="0"/>
    <x v="1"/>
    <x v="0"/>
    <x v="0"/>
    <x v="0"/>
    <x v="0"/>
    <x v="0"/>
    <x v="0"/>
    <x v="0"/>
    <x v="0"/>
    <m/>
    <x v="38"/>
  </r>
  <r>
    <s v="USR-100484"/>
    <d v="2025-04-07T00:00:00"/>
    <x v="0"/>
    <x v="0"/>
    <x v="1"/>
    <x v="0"/>
    <x v="1"/>
    <x v="0"/>
    <x v="0"/>
    <x v="0"/>
    <x v="0"/>
    <x v="0"/>
    <x v="0"/>
    <x v="0"/>
    <m/>
    <x v="303"/>
  </r>
  <r>
    <s v="USR-100485"/>
    <d v="2025-03-12T00:00:00"/>
    <x v="0"/>
    <x v="0"/>
    <x v="0"/>
    <x v="4"/>
    <x v="1"/>
    <x v="1"/>
    <x v="1"/>
    <x v="1"/>
    <x v="0"/>
    <x v="0"/>
    <x v="2"/>
    <x v="0"/>
    <m/>
    <x v="252"/>
  </r>
  <r>
    <s v="USR-100486"/>
    <d v="2025-02-07T00:00:00"/>
    <x v="0"/>
    <x v="1"/>
    <x v="1"/>
    <x v="1"/>
    <x v="1"/>
    <x v="1"/>
    <x v="0"/>
    <x v="0"/>
    <x v="0"/>
    <x v="0"/>
    <x v="0"/>
    <x v="0"/>
    <m/>
    <x v="76"/>
  </r>
  <r>
    <s v="USR-100487"/>
    <d v="2025-05-05T00:00:00"/>
    <x v="0"/>
    <x v="0"/>
    <x v="1"/>
    <x v="1"/>
    <x v="2"/>
    <x v="1"/>
    <x v="1"/>
    <x v="0"/>
    <x v="0"/>
    <x v="0"/>
    <x v="0"/>
    <x v="0"/>
    <m/>
    <x v="304"/>
  </r>
  <r>
    <s v="USR-100488"/>
    <d v="2025-03-18T00:00:00"/>
    <x v="0"/>
    <x v="3"/>
    <x v="1"/>
    <x v="3"/>
    <x v="1"/>
    <x v="0"/>
    <x v="0"/>
    <x v="0"/>
    <x v="0"/>
    <x v="0"/>
    <x v="0"/>
    <x v="0"/>
    <m/>
    <x v="305"/>
  </r>
  <r>
    <s v="USR-100489"/>
    <d v="2025-01-05T00:00:00"/>
    <x v="0"/>
    <x v="3"/>
    <x v="1"/>
    <x v="2"/>
    <x v="0"/>
    <x v="1"/>
    <x v="0"/>
    <x v="0"/>
    <x v="0"/>
    <x v="0"/>
    <x v="0"/>
    <x v="0"/>
    <m/>
    <x v="248"/>
  </r>
  <r>
    <s v="USR-100490"/>
    <d v="2025-05-10T00:00:00"/>
    <x v="0"/>
    <x v="3"/>
    <x v="0"/>
    <x v="3"/>
    <x v="0"/>
    <x v="0"/>
    <x v="0"/>
    <x v="0"/>
    <x v="0"/>
    <x v="0"/>
    <x v="0"/>
    <x v="0"/>
    <m/>
    <x v="306"/>
  </r>
  <r>
    <s v="USR-100491"/>
    <d v="2025-01-03T00:00:00"/>
    <x v="0"/>
    <x v="3"/>
    <x v="1"/>
    <x v="4"/>
    <x v="0"/>
    <x v="1"/>
    <x v="1"/>
    <x v="0"/>
    <x v="0"/>
    <x v="0"/>
    <x v="1"/>
    <x v="0"/>
    <m/>
    <x v="307"/>
  </r>
  <r>
    <s v="USR-100492"/>
    <d v="2025-05-08T00:00:00"/>
    <x v="0"/>
    <x v="3"/>
    <x v="1"/>
    <x v="2"/>
    <x v="1"/>
    <x v="1"/>
    <x v="1"/>
    <x v="0"/>
    <x v="0"/>
    <x v="0"/>
    <x v="0"/>
    <x v="0"/>
    <m/>
    <x v="308"/>
  </r>
  <r>
    <s v="USR-100493"/>
    <d v="2025-03-05T00:00:00"/>
    <x v="0"/>
    <x v="3"/>
    <x v="0"/>
    <x v="0"/>
    <x v="0"/>
    <x v="1"/>
    <x v="0"/>
    <x v="0"/>
    <x v="0"/>
    <x v="0"/>
    <x v="2"/>
    <x v="0"/>
    <m/>
    <x v="160"/>
  </r>
  <r>
    <s v="USR-100494"/>
    <d v="2025-02-17T00:00:00"/>
    <x v="0"/>
    <x v="0"/>
    <x v="1"/>
    <x v="1"/>
    <x v="2"/>
    <x v="1"/>
    <x v="0"/>
    <x v="0"/>
    <x v="0"/>
    <x v="0"/>
    <x v="0"/>
    <x v="0"/>
    <m/>
    <x v="51"/>
  </r>
  <r>
    <s v="USR-100495"/>
    <d v="2025-01-09T00:00:00"/>
    <x v="0"/>
    <x v="3"/>
    <x v="1"/>
    <x v="3"/>
    <x v="0"/>
    <x v="0"/>
    <x v="0"/>
    <x v="0"/>
    <x v="0"/>
    <x v="0"/>
    <x v="0"/>
    <x v="0"/>
    <m/>
    <x v="209"/>
  </r>
  <r>
    <s v="USR-100496"/>
    <d v="2025-05-05T00:00:00"/>
    <x v="0"/>
    <x v="3"/>
    <x v="1"/>
    <x v="0"/>
    <x v="0"/>
    <x v="0"/>
    <x v="0"/>
    <x v="0"/>
    <x v="0"/>
    <x v="0"/>
    <x v="1"/>
    <x v="0"/>
    <m/>
    <x v="309"/>
  </r>
  <r>
    <s v="USR-100497"/>
    <d v="2025-04-16T00:00:00"/>
    <x v="0"/>
    <x v="2"/>
    <x v="1"/>
    <x v="0"/>
    <x v="0"/>
    <x v="0"/>
    <x v="0"/>
    <x v="0"/>
    <x v="0"/>
    <x v="0"/>
    <x v="1"/>
    <x v="0"/>
    <m/>
    <x v="17"/>
  </r>
  <r>
    <s v="USR-100498"/>
    <d v="2025-03-02T00:00:00"/>
    <x v="0"/>
    <x v="3"/>
    <x v="0"/>
    <x v="1"/>
    <x v="1"/>
    <x v="1"/>
    <x v="0"/>
    <x v="0"/>
    <x v="0"/>
    <x v="0"/>
    <x v="0"/>
    <x v="0"/>
    <m/>
    <x v="146"/>
  </r>
  <r>
    <s v="USR-100499"/>
    <d v="2025-04-14T00:00:00"/>
    <x v="0"/>
    <x v="3"/>
    <x v="1"/>
    <x v="4"/>
    <x v="2"/>
    <x v="0"/>
    <x v="0"/>
    <x v="0"/>
    <x v="0"/>
    <x v="0"/>
    <x v="0"/>
    <x v="0"/>
    <m/>
    <x v="310"/>
  </r>
  <r>
    <s v="USR-100500"/>
    <d v="2025-02-15T00:00:00"/>
    <x v="0"/>
    <x v="2"/>
    <x v="0"/>
    <x v="2"/>
    <x v="0"/>
    <x v="0"/>
    <x v="0"/>
    <x v="0"/>
    <x v="0"/>
    <x v="0"/>
    <x v="0"/>
    <x v="0"/>
    <m/>
    <x v="262"/>
  </r>
  <r>
    <s v="USR-100501"/>
    <d v="2025-02-13T00:00:00"/>
    <x v="0"/>
    <x v="1"/>
    <x v="1"/>
    <x v="4"/>
    <x v="1"/>
    <x v="1"/>
    <x v="1"/>
    <x v="1"/>
    <x v="1"/>
    <x v="20"/>
    <x v="0"/>
    <x v="0"/>
    <n v="7"/>
    <x v="122"/>
  </r>
  <r>
    <s v="USR-100502"/>
    <d v="2025-03-06T00:00:00"/>
    <x v="0"/>
    <x v="0"/>
    <x v="1"/>
    <x v="0"/>
    <x v="1"/>
    <x v="0"/>
    <x v="0"/>
    <x v="0"/>
    <x v="0"/>
    <x v="0"/>
    <x v="0"/>
    <x v="0"/>
    <m/>
    <x v="242"/>
  </r>
  <r>
    <s v="USR-100503"/>
    <d v="2025-02-18T00:00:00"/>
    <x v="0"/>
    <x v="3"/>
    <x v="0"/>
    <x v="4"/>
    <x v="1"/>
    <x v="0"/>
    <x v="0"/>
    <x v="0"/>
    <x v="0"/>
    <x v="0"/>
    <x v="0"/>
    <x v="0"/>
    <m/>
    <x v="311"/>
  </r>
  <r>
    <s v="USR-100504"/>
    <d v="2025-04-07T00:00:00"/>
    <x v="0"/>
    <x v="0"/>
    <x v="0"/>
    <x v="1"/>
    <x v="1"/>
    <x v="0"/>
    <x v="0"/>
    <x v="0"/>
    <x v="0"/>
    <x v="0"/>
    <x v="0"/>
    <x v="0"/>
    <m/>
    <x v="312"/>
  </r>
  <r>
    <s v="USR-100505"/>
    <d v="2025-04-06T00:00:00"/>
    <x v="0"/>
    <x v="0"/>
    <x v="1"/>
    <x v="3"/>
    <x v="1"/>
    <x v="0"/>
    <x v="0"/>
    <x v="0"/>
    <x v="0"/>
    <x v="0"/>
    <x v="0"/>
    <x v="0"/>
    <m/>
    <x v="74"/>
  </r>
  <r>
    <s v="USR-100506"/>
    <d v="2025-01-30T00:00:00"/>
    <x v="0"/>
    <x v="0"/>
    <x v="0"/>
    <x v="4"/>
    <x v="1"/>
    <x v="1"/>
    <x v="0"/>
    <x v="0"/>
    <x v="0"/>
    <x v="0"/>
    <x v="0"/>
    <x v="0"/>
    <m/>
    <x v="313"/>
  </r>
  <r>
    <s v="USR-100507"/>
    <d v="2025-05-13T00:00:00"/>
    <x v="0"/>
    <x v="3"/>
    <x v="0"/>
    <x v="1"/>
    <x v="0"/>
    <x v="1"/>
    <x v="1"/>
    <x v="0"/>
    <x v="0"/>
    <x v="0"/>
    <x v="0"/>
    <x v="0"/>
    <m/>
    <x v="314"/>
  </r>
  <r>
    <s v="USR-100508"/>
    <d v="2025-01-20T00:00:00"/>
    <x v="0"/>
    <x v="1"/>
    <x v="1"/>
    <x v="2"/>
    <x v="2"/>
    <x v="1"/>
    <x v="1"/>
    <x v="0"/>
    <x v="0"/>
    <x v="0"/>
    <x v="0"/>
    <x v="0"/>
    <m/>
    <x v="52"/>
  </r>
  <r>
    <s v="USR-100509"/>
    <d v="2025-01-30T00:00:00"/>
    <x v="0"/>
    <x v="0"/>
    <x v="2"/>
    <x v="1"/>
    <x v="1"/>
    <x v="1"/>
    <x v="0"/>
    <x v="0"/>
    <x v="0"/>
    <x v="0"/>
    <x v="0"/>
    <x v="0"/>
    <m/>
    <x v="315"/>
  </r>
  <r>
    <s v="USR-100510"/>
    <d v="2025-01-13T00:00:00"/>
    <x v="0"/>
    <x v="3"/>
    <x v="1"/>
    <x v="1"/>
    <x v="1"/>
    <x v="0"/>
    <x v="0"/>
    <x v="0"/>
    <x v="0"/>
    <x v="0"/>
    <x v="2"/>
    <x v="0"/>
    <m/>
    <x v="316"/>
  </r>
  <r>
    <s v="USR-100511"/>
    <d v="2025-02-11T00:00:00"/>
    <x v="0"/>
    <x v="0"/>
    <x v="1"/>
    <x v="4"/>
    <x v="1"/>
    <x v="1"/>
    <x v="1"/>
    <x v="0"/>
    <x v="0"/>
    <x v="0"/>
    <x v="0"/>
    <x v="0"/>
    <m/>
    <x v="108"/>
  </r>
  <r>
    <s v="USR-100512"/>
    <d v="2025-04-15T00:00:00"/>
    <x v="0"/>
    <x v="3"/>
    <x v="1"/>
    <x v="1"/>
    <x v="1"/>
    <x v="0"/>
    <x v="0"/>
    <x v="0"/>
    <x v="0"/>
    <x v="0"/>
    <x v="1"/>
    <x v="0"/>
    <m/>
    <x v="164"/>
  </r>
  <r>
    <s v="USR-100513"/>
    <d v="2025-02-13T00:00:00"/>
    <x v="0"/>
    <x v="3"/>
    <x v="1"/>
    <x v="5"/>
    <x v="1"/>
    <x v="1"/>
    <x v="1"/>
    <x v="0"/>
    <x v="0"/>
    <x v="0"/>
    <x v="0"/>
    <x v="0"/>
    <m/>
    <x v="317"/>
  </r>
  <r>
    <s v="USR-100514"/>
    <d v="2025-05-09T00:00:00"/>
    <x v="0"/>
    <x v="3"/>
    <x v="0"/>
    <x v="1"/>
    <x v="1"/>
    <x v="0"/>
    <x v="0"/>
    <x v="0"/>
    <x v="0"/>
    <x v="0"/>
    <x v="0"/>
    <x v="0"/>
    <m/>
    <x v="228"/>
  </r>
  <r>
    <s v="USR-100515"/>
    <d v="2025-03-10T00:00:00"/>
    <x v="0"/>
    <x v="0"/>
    <x v="1"/>
    <x v="2"/>
    <x v="1"/>
    <x v="1"/>
    <x v="1"/>
    <x v="1"/>
    <x v="0"/>
    <x v="0"/>
    <x v="1"/>
    <x v="0"/>
    <m/>
    <x v="318"/>
  </r>
  <r>
    <s v="USR-100516"/>
    <d v="2025-04-01T00:00:00"/>
    <x v="0"/>
    <x v="0"/>
    <x v="1"/>
    <x v="1"/>
    <x v="1"/>
    <x v="1"/>
    <x v="1"/>
    <x v="0"/>
    <x v="0"/>
    <x v="0"/>
    <x v="0"/>
    <x v="0"/>
    <m/>
    <x v="319"/>
  </r>
  <r>
    <s v="USR-100517"/>
    <d v="2025-05-15T00:00:00"/>
    <x v="0"/>
    <x v="2"/>
    <x v="1"/>
    <x v="3"/>
    <x v="0"/>
    <x v="1"/>
    <x v="0"/>
    <x v="0"/>
    <x v="0"/>
    <x v="0"/>
    <x v="0"/>
    <x v="0"/>
    <m/>
    <x v="139"/>
  </r>
  <r>
    <s v="USR-100518"/>
    <d v="2025-05-04T00:00:00"/>
    <x v="0"/>
    <x v="3"/>
    <x v="0"/>
    <x v="4"/>
    <x v="2"/>
    <x v="1"/>
    <x v="1"/>
    <x v="1"/>
    <x v="0"/>
    <x v="0"/>
    <x v="0"/>
    <x v="0"/>
    <m/>
    <x v="320"/>
  </r>
  <r>
    <s v="USR-100519"/>
    <d v="2025-05-20T00:00:00"/>
    <x v="0"/>
    <x v="2"/>
    <x v="1"/>
    <x v="2"/>
    <x v="1"/>
    <x v="0"/>
    <x v="0"/>
    <x v="0"/>
    <x v="0"/>
    <x v="0"/>
    <x v="0"/>
    <x v="0"/>
    <m/>
    <x v="321"/>
  </r>
  <r>
    <s v="USR-100520"/>
    <d v="2025-05-16T00:00:00"/>
    <x v="0"/>
    <x v="1"/>
    <x v="0"/>
    <x v="3"/>
    <x v="1"/>
    <x v="0"/>
    <x v="0"/>
    <x v="0"/>
    <x v="0"/>
    <x v="0"/>
    <x v="0"/>
    <x v="0"/>
    <m/>
    <x v="22"/>
  </r>
  <r>
    <s v="USR-100521"/>
    <d v="2025-03-17T00:00:00"/>
    <x v="0"/>
    <x v="1"/>
    <x v="1"/>
    <x v="1"/>
    <x v="1"/>
    <x v="1"/>
    <x v="0"/>
    <x v="0"/>
    <x v="0"/>
    <x v="0"/>
    <x v="0"/>
    <x v="0"/>
    <m/>
    <x v="322"/>
  </r>
  <r>
    <s v="USR-100522"/>
    <d v="2025-01-27T00:00:00"/>
    <x v="0"/>
    <x v="2"/>
    <x v="2"/>
    <x v="2"/>
    <x v="1"/>
    <x v="1"/>
    <x v="1"/>
    <x v="0"/>
    <x v="0"/>
    <x v="0"/>
    <x v="0"/>
    <x v="0"/>
    <m/>
    <x v="161"/>
  </r>
  <r>
    <s v="USR-100523"/>
    <d v="2025-04-13T00:00:00"/>
    <x v="0"/>
    <x v="3"/>
    <x v="1"/>
    <x v="1"/>
    <x v="0"/>
    <x v="1"/>
    <x v="0"/>
    <x v="0"/>
    <x v="0"/>
    <x v="0"/>
    <x v="0"/>
    <x v="0"/>
    <m/>
    <x v="323"/>
  </r>
  <r>
    <s v="USR-100524"/>
    <d v="2025-05-03T00:00:00"/>
    <x v="0"/>
    <x v="3"/>
    <x v="0"/>
    <x v="0"/>
    <x v="0"/>
    <x v="1"/>
    <x v="0"/>
    <x v="0"/>
    <x v="0"/>
    <x v="0"/>
    <x v="2"/>
    <x v="0"/>
    <m/>
    <x v="324"/>
  </r>
  <r>
    <s v="USR-100525"/>
    <d v="2025-03-30T00:00:00"/>
    <x v="0"/>
    <x v="0"/>
    <x v="1"/>
    <x v="1"/>
    <x v="1"/>
    <x v="1"/>
    <x v="1"/>
    <x v="1"/>
    <x v="0"/>
    <x v="0"/>
    <x v="0"/>
    <x v="0"/>
    <m/>
    <x v="325"/>
  </r>
  <r>
    <s v="USR-100526"/>
    <d v="2025-01-01T00:00:00"/>
    <x v="0"/>
    <x v="1"/>
    <x v="1"/>
    <x v="2"/>
    <x v="0"/>
    <x v="1"/>
    <x v="1"/>
    <x v="1"/>
    <x v="0"/>
    <x v="0"/>
    <x v="0"/>
    <x v="0"/>
    <m/>
    <x v="154"/>
  </r>
  <r>
    <s v="USR-100527"/>
    <d v="2025-02-06T00:00:00"/>
    <x v="0"/>
    <x v="1"/>
    <x v="1"/>
    <x v="2"/>
    <x v="0"/>
    <x v="1"/>
    <x v="0"/>
    <x v="0"/>
    <x v="0"/>
    <x v="0"/>
    <x v="0"/>
    <x v="0"/>
    <m/>
    <x v="326"/>
  </r>
  <r>
    <s v="USR-100528"/>
    <d v="2025-02-25T00:00:00"/>
    <x v="0"/>
    <x v="0"/>
    <x v="0"/>
    <x v="1"/>
    <x v="1"/>
    <x v="0"/>
    <x v="0"/>
    <x v="0"/>
    <x v="0"/>
    <x v="0"/>
    <x v="0"/>
    <x v="0"/>
    <m/>
    <x v="327"/>
  </r>
  <r>
    <s v="USR-100529"/>
    <d v="2025-05-14T00:00:00"/>
    <x v="0"/>
    <x v="2"/>
    <x v="2"/>
    <x v="4"/>
    <x v="1"/>
    <x v="1"/>
    <x v="0"/>
    <x v="0"/>
    <x v="0"/>
    <x v="0"/>
    <x v="0"/>
    <x v="0"/>
    <m/>
    <x v="2"/>
  </r>
  <r>
    <s v="USR-100530"/>
    <d v="2025-05-20T00:00:00"/>
    <x v="0"/>
    <x v="3"/>
    <x v="1"/>
    <x v="1"/>
    <x v="0"/>
    <x v="0"/>
    <x v="0"/>
    <x v="0"/>
    <x v="0"/>
    <x v="0"/>
    <x v="0"/>
    <x v="0"/>
    <m/>
    <x v="328"/>
  </r>
  <r>
    <s v="USR-100531"/>
    <d v="2025-02-11T00:00:00"/>
    <x v="0"/>
    <x v="3"/>
    <x v="1"/>
    <x v="1"/>
    <x v="1"/>
    <x v="0"/>
    <x v="0"/>
    <x v="0"/>
    <x v="0"/>
    <x v="0"/>
    <x v="0"/>
    <x v="0"/>
    <m/>
    <x v="329"/>
  </r>
  <r>
    <s v="USR-100532"/>
    <d v="2025-02-13T00:00:00"/>
    <x v="0"/>
    <x v="1"/>
    <x v="1"/>
    <x v="1"/>
    <x v="1"/>
    <x v="1"/>
    <x v="0"/>
    <x v="0"/>
    <x v="0"/>
    <x v="0"/>
    <x v="0"/>
    <x v="0"/>
    <m/>
    <x v="330"/>
  </r>
  <r>
    <s v="USR-100533"/>
    <d v="2025-04-07T00:00:00"/>
    <x v="0"/>
    <x v="3"/>
    <x v="1"/>
    <x v="2"/>
    <x v="2"/>
    <x v="1"/>
    <x v="0"/>
    <x v="0"/>
    <x v="0"/>
    <x v="0"/>
    <x v="0"/>
    <x v="0"/>
    <m/>
    <x v="255"/>
  </r>
  <r>
    <s v="USR-100534"/>
    <d v="2025-03-08T00:00:00"/>
    <x v="0"/>
    <x v="2"/>
    <x v="1"/>
    <x v="0"/>
    <x v="1"/>
    <x v="1"/>
    <x v="0"/>
    <x v="0"/>
    <x v="0"/>
    <x v="0"/>
    <x v="0"/>
    <x v="0"/>
    <m/>
    <x v="331"/>
  </r>
  <r>
    <s v="USR-100535"/>
    <d v="2025-02-16T00:00:00"/>
    <x v="0"/>
    <x v="0"/>
    <x v="0"/>
    <x v="2"/>
    <x v="1"/>
    <x v="1"/>
    <x v="1"/>
    <x v="1"/>
    <x v="0"/>
    <x v="0"/>
    <x v="0"/>
    <x v="0"/>
    <m/>
    <x v="226"/>
  </r>
  <r>
    <s v="USR-100536"/>
    <d v="2025-04-28T00:00:00"/>
    <x v="0"/>
    <x v="3"/>
    <x v="1"/>
    <x v="2"/>
    <x v="2"/>
    <x v="1"/>
    <x v="0"/>
    <x v="0"/>
    <x v="0"/>
    <x v="0"/>
    <x v="0"/>
    <x v="0"/>
    <m/>
    <x v="332"/>
  </r>
  <r>
    <s v="USR-100537"/>
    <d v="2025-03-10T00:00:00"/>
    <x v="0"/>
    <x v="1"/>
    <x v="2"/>
    <x v="4"/>
    <x v="0"/>
    <x v="1"/>
    <x v="1"/>
    <x v="0"/>
    <x v="0"/>
    <x v="0"/>
    <x v="1"/>
    <x v="0"/>
    <m/>
    <x v="333"/>
  </r>
  <r>
    <s v="USR-100538"/>
    <d v="2025-01-25T00:00:00"/>
    <x v="0"/>
    <x v="2"/>
    <x v="1"/>
    <x v="4"/>
    <x v="1"/>
    <x v="1"/>
    <x v="0"/>
    <x v="0"/>
    <x v="0"/>
    <x v="0"/>
    <x v="0"/>
    <x v="0"/>
    <m/>
    <x v="43"/>
  </r>
  <r>
    <s v="USR-100539"/>
    <d v="2025-01-11T00:00:00"/>
    <x v="0"/>
    <x v="1"/>
    <x v="1"/>
    <x v="2"/>
    <x v="2"/>
    <x v="1"/>
    <x v="1"/>
    <x v="1"/>
    <x v="0"/>
    <x v="0"/>
    <x v="1"/>
    <x v="0"/>
    <m/>
    <x v="135"/>
  </r>
  <r>
    <s v="USR-100540"/>
    <d v="2025-03-31T00:00:00"/>
    <x v="0"/>
    <x v="1"/>
    <x v="2"/>
    <x v="2"/>
    <x v="1"/>
    <x v="1"/>
    <x v="0"/>
    <x v="0"/>
    <x v="0"/>
    <x v="0"/>
    <x v="0"/>
    <x v="0"/>
    <m/>
    <x v="114"/>
  </r>
  <r>
    <s v="USR-100541"/>
    <d v="2025-05-22T00:00:00"/>
    <x v="0"/>
    <x v="0"/>
    <x v="1"/>
    <x v="2"/>
    <x v="0"/>
    <x v="1"/>
    <x v="1"/>
    <x v="0"/>
    <x v="0"/>
    <x v="0"/>
    <x v="0"/>
    <x v="0"/>
    <m/>
    <x v="334"/>
  </r>
  <r>
    <s v="USR-100542"/>
    <d v="2025-05-16T00:00:00"/>
    <x v="0"/>
    <x v="0"/>
    <x v="1"/>
    <x v="3"/>
    <x v="0"/>
    <x v="0"/>
    <x v="0"/>
    <x v="0"/>
    <x v="0"/>
    <x v="0"/>
    <x v="0"/>
    <x v="0"/>
    <m/>
    <x v="178"/>
  </r>
  <r>
    <s v="USR-100543"/>
    <d v="2025-04-25T00:00:00"/>
    <x v="0"/>
    <x v="2"/>
    <x v="0"/>
    <x v="2"/>
    <x v="1"/>
    <x v="1"/>
    <x v="0"/>
    <x v="0"/>
    <x v="0"/>
    <x v="0"/>
    <x v="0"/>
    <x v="0"/>
    <m/>
    <x v="242"/>
  </r>
  <r>
    <s v="USR-100544"/>
    <d v="2025-04-17T00:00:00"/>
    <x v="0"/>
    <x v="2"/>
    <x v="1"/>
    <x v="4"/>
    <x v="2"/>
    <x v="1"/>
    <x v="1"/>
    <x v="1"/>
    <x v="0"/>
    <x v="0"/>
    <x v="0"/>
    <x v="0"/>
    <m/>
    <x v="335"/>
  </r>
  <r>
    <s v="USR-100545"/>
    <d v="2025-01-01T00:00:00"/>
    <x v="0"/>
    <x v="3"/>
    <x v="0"/>
    <x v="4"/>
    <x v="0"/>
    <x v="0"/>
    <x v="0"/>
    <x v="0"/>
    <x v="0"/>
    <x v="0"/>
    <x v="0"/>
    <x v="0"/>
    <m/>
    <x v="128"/>
  </r>
  <r>
    <s v="USR-100546"/>
    <d v="2025-03-18T00:00:00"/>
    <x v="0"/>
    <x v="2"/>
    <x v="1"/>
    <x v="2"/>
    <x v="0"/>
    <x v="1"/>
    <x v="1"/>
    <x v="1"/>
    <x v="0"/>
    <x v="0"/>
    <x v="0"/>
    <x v="0"/>
    <m/>
    <x v="336"/>
  </r>
  <r>
    <s v="USR-100547"/>
    <d v="2025-05-20T00:00:00"/>
    <x v="0"/>
    <x v="0"/>
    <x v="2"/>
    <x v="2"/>
    <x v="1"/>
    <x v="1"/>
    <x v="0"/>
    <x v="0"/>
    <x v="0"/>
    <x v="0"/>
    <x v="0"/>
    <x v="0"/>
    <m/>
    <x v="275"/>
  </r>
  <r>
    <s v="USR-100548"/>
    <d v="2025-03-16T00:00:00"/>
    <x v="0"/>
    <x v="0"/>
    <x v="1"/>
    <x v="1"/>
    <x v="0"/>
    <x v="1"/>
    <x v="0"/>
    <x v="0"/>
    <x v="0"/>
    <x v="0"/>
    <x v="0"/>
    <x v="0"/>
    <m/>
    <x v="337"/>
  </r>
  <r>
    <s v="USR-100549"/>
    <d v="2025-05-30T00:00:00"/>
    <x v="0"/>
    <x v="2"/>
    <x v="0"/>
    <x v="4"/>
    <x v="1"/>
    <x v="1"/>
    <x v="0"/>
    <x v="0"/>
    <x v="0"/>
    <x v="0"/>
    <x v="0"/>
    <x v="0"/>
    <m/>
    <x v="169"/>
  </r>
  <r>
    <s v="USR-100550"/>
    <d v="2025-02-20T00:00:00"/>
    <x v="0"/>
    <x v="0"/>
    <x v="1"/>
    <x v="4"/>
    <x v="2"/>
    <x v="0"/>
    <x v="0"/>
    <x v="0"/>
    <x v="0"/>
    <x v="0"/>
    <x v="2"/>
    <x v="0"/>
    <m/>
    <x v="88"/>
  </r>
  <r>
    <s v="USR-100551"/>
    <d v="2025-02-11T00:00:00"/>
    <x v="0"/>
    <x v="2"/>
    <x v="3"/>
    <x v="4"/>
    <x v="1"/>
    <x v="1"/>
    <x v="1"/>
    <x v="0"/>
    <x v="0"/>
    <x v="0"/>
    <x v="0"/>
    <x v="0"/>
    <m/>
    <x v="184"/>
  </r>
  <r>
    <s v="USR-100552"/>
    <d v="2025-01-02T00:00:00"/>
    <x v="0"/>
    <x v="3"/>
    <x v="2"/>
    <x v="3"/>
    <x v="0"/>
    <x v="1"/>
    <x v="0"/>
    <x v="0"/>
    <x v="0"/>
    <x v="0"/>
    <x v="0"/>
    <x v="0"/>
    <m/>
    <x v="328"/>
  </r>
  <r>
    <s v="USR-100553"/>
    <d v="2025-05-03T00:00:00"/>
    <x v="0"/>
    <x v="0"/>
    <x v="1"/>
    <x v="1"/>
    <x v="1"/>
    <x v="0"/>
    <x v="0"/>
    <x v="0"/>
    <x v="0"/>
    <x v="0"/>
    <x v="0"/>
    <x v="0"/>
    <m/>
    <x v="285"/>
  </r>
  <r>
    <s v="USR-100554"/>
    <d v="2025-02-24T00:00:00"/>
    <x v="0"/>
    <x v="1"/>
    <x v="1"/>
    <x v="1"/>
    <x v="1"/>
    <x v="1"/>
    <x v="0"/>
    <x v="0"/>
    <x v="0"/>
    <x v="0"/>
    <x v="0"/>
    <x v="0"/>
    <m/>
    <x v="338"/>
  </r>
  <r>
    <s v="USR-100555"/>
    <d v="2025-02-11T00:00:00"/>
    <x v="0"/>
    <x v="3"/>
    <x v="3"/>
    <x v="1"/>
    <x v="1"/>
    <x v="1"/>
    <x v="1"/>
    <x v="1"/>
    <x v="0"/>
    <x v="0"/>
    <x v="0"/>
    <x v="0"/>
    <m/>
    <x v="126"/>
  </r>
  <r>
    <s v="USR-100556"/>
    <d v="2025-05-06T00:00:00"/>
    <x v="0"/>
    <x v="3"/>
    <x v="1"/>
    <x v="4"/>
    <x v="0"/>
    <x v="1"/>
    <x v="0"/>
    <x v="0"/>
    <x v="0"/>
    <x v="0"/>
    <x v="0"/>
    <x v="0"/>
    <m/>
    <x v="300"/>
  </r>
  <r>
    <s v="USR-100557"/>
    <d v="2025-05-23T00:00:00"/>
    <x v="0"/>
    <x v="0"/>
    <x v="1"/>
    <x v="2"/>
    <x v="2"/>
    <x v="0"/>
    <x v="0"/>
    <x v="0"/>
    <x v="0"/>
    <x v="0"/>
    <x v="0"/>
    <x v="0"/>
    <m/>
    <x v="339"/>
  </r>
  <r>
    <s v="USR-100558"/>
    <d v="2025-01-09T00:00:00"/>
    <x v="0"/>
    <x v="0"/>
    <x v="0"/>
    <x v="2"/>
    <x v="1"/>
    <x v="0"/>
    <x v="0"/>
    <x v="0"/>
    <x v="0"/>
    <x v="0"/>
    <x v="0"/>
    <x v="0"/>
    <m/>
    <x v="340"/>
  </r>
  <r>
    <s v="USR-100559"/>
    <d v="2025-04-01T00:00:00"/>
    <x v="0"/>
    <x v="0"/>
    <x v="0"/>
    <x v="1"/>
    <x v="2"/>
    <x v="1"/>
    <x v="0"/>
    <x v="0"/>
    <x v="0"/>
    <x v="0"/>
    <x v="0"/>
    <x v="0"/>
    <m/>
    <x v="341"/>
  </r>
  <r>
    <s v="USR-100560"/>
    <d v="2025-03-08T00:00:00"/>
    <x v="0"/>
    <x v="0"/>
    <x v="1"/>
    <x v="1"/>
    <x v="1"/>
    <x v="1"/>
    <x v="0"/>
    <x v="0"/>
    <x v="0"/>
    <x v="0"/>
    <x v="0"/>
    <x v="0"/>
    <m/>
    <x v="321"/>
  </r>
  <r>
    <s v="USR-100561"/>
    <d v="2025-02-20T00:00:00"/>
    <x v="0"/>
    <x v="0"/>
    <x v="1"/>
    <x v="4"/>
    <x v="0"/>
    <x v="1"/>
    <x v="0"/>
    <x v="0"/>
    <x v="0"/>
    <x v="0"/>
    <x v="0"/>
    <x v="0"/>
    <m/>
    <x v="342"/>
  </r>
  <r>
    <s v="USR-100562"/>
    <d v="2025-03-30T00:00:00"/>
    <x v="0"/>
    <x v="2"/>
    <x v="1"/>
    <x v="4"/>
    <x v="0"/>
    <x v="0"/>
    <x v="0"/>
    <x v="0"/>
    <x v="0"/>
    <x v="0"/>
    <x v="0"/>
    <x v="0"/>
    <m/>
    <x v="343"/>
  </r>
  <r>
    <s v="USR-100563"/>
    <d v="2025-04-10T00:00:00"/>
    <x v="0"/>
    <x v="2"/>
    <x v="0"/>
    <x v="1"/>
    <x v="0"/>
    <x v="0"/>
    <x v="0"/>
    <x v="0"/>
    <x v="0"/>
    <x v="0"/>
    <x v="0"/>
    <x v="0"/>
    <m/>
    <x v="169"/>
  </r>
  <r>
    <s v="USR-100564"/>
    <d v="2025-03-24T00:00:00"/>
    <x v="0"/>
    <x v="2"/>
    <x v="1"/>
    <x v="1"/>
    <x v="2"/>
    <x v="1"/>
    <x v="1"/>
    <x v="0"/>
    <x v="0"/>
    <x v="0"/>
    <x v="0"/>
    <x v="0"/>
    <m/>
    <x v="344"/>
  </r>
  <r>
    <s v="USR-100565"/>
    <d v="2025-05-21T00:00:00"/>
    <x v="0"/>
    <x v="1"/>
    <x v="1"/>
    <x v="1"/>
    <x v="0"/>
    <x v="1"/>
    <x v="0"/>
    <x v="0"/>
    <x v="0"/>
    <x v="0"/>
    <x v="1"/>
    <x v="0"/>
    <m/>
    <x v="154"/>
  </r>
  <r>
    <s v="USR-100566"/>
    <d v="2025-03-29T00:00:00"/>
    <x v="0"/>
    <x v="2"/>
    <x v="1"/>
    <x v="4"/>
    <x v="2"/>
    <x v="1"/>
    <x v="1"/>
    <x v="1"/>
    <x v="0"/>
    <x v="0"/>
    <x v="0"/>
    <x v="0"/>
    <m/>
    <x v="187"/>
  </r>
  <r>
    <s v="USR-100567"/>
    <d v="2025-02-23T00:00:00"/>
    <x v="0"/>
    <x v="0"/>
    <x v="2"/>
    <x v="3"/>
    <x v="0"/>
    <x v="1"/>
    <x v="0"/>
    <x v="0"/>
    <x v="0"/>
    <x v="0"/>
    <x v="0"/>
    <x v="0"/>
    <m/>
    <x v="345"/>
  </r>
  <r>
    <s v="USR-100568"/>
    <d v="2025-02-16T00:00:00"/>
    <x v="0"/>
    <x v="1"/>
    <x v="1"/>
    <x v="2"/>
    <x v="2"/>
    <x v="1"/>
    <x v="0"/>
    <x v="0"/>
    <x v="0"/>
    <x v="0"/>
    <x v="0"/>
    <x v="0"/>
    <m/>
    <x v="298"/>
  </r>
  <r>
    <s v="USR-100569"/>
    <d v="2025-02-21T00:00:00"/>
    <x v="0"/>
    <x v="1"/>
    <x v="0"/>
    <x v="1"/>
    <x v="0"/>
    <x v="1"/>
    <x v="1"/>
    <x v="0"/>
    <x v="0"/>
    <x v="0"/>
    <x v="0"/>
    <x v="0"/>
    <m/>
    <x v="316"/>
  </r>
  <r>
    <s v="USR-100570"/>
    <d v="2025-01-07T00:00:00"/>
    <x v="0"/>
    <x v="0"/>
    <x v="1"/>
    <x v="3"/>
    <x v="1"/>
    <x v="1"/>
    <x v="0"/>
    <x v="0"/>
    <x v="0"/>
    <x v="0"/>
    <x v="2"/>
    <x v="0"/>
    <m/>
    <x v="346"/>
  </r>
  <r>
    <s v="USR-100571"/>
    <d v="2025-03-06T00:00:00"/>
    <x v="0"/>
    <x v="1"/>
    <x v="1"/>
    <x v="2"/>
    <x v="1"/>
    <x v="0"/>
    <x v="0"/>
    <x v="0"/>
    <x v="0"/>
    <x v="0"/>
    <x v="1"/>
    <x v="0"/>
    <m/>
    <x v="311"/>
  </r>
  <r>
    <s v="USR-100572"/>
    <d v="2025-03-30T00:00:00"/>
    <x v="0"/>
    <x v="2"/>
    <x v="1"/>
    <x v="0"/>
    <x v="0"/>
    <x v="1"/>
    <x v="0"/>
    <x v="0"/>
    <x v="0"/>
    <x v="0"/>
    <x v="0"/>
    <x v="0"/>
    <m/>
    <x v="347"/>
  </r>
  <r>
    <s v="USR-100573"/>
    <d v="2025-05-31T00:00:00"/>
    <x v="0"/>
    <x v="3"/>
    <x v="0"/>
    <x v="1"/>
    <x v="1"/>
    <x v="1"/>
    <x v="0"/>
    <x v="0"/>
    <x v="0"/>
    <x v="0"/>
    <x v="0"/>
    <x v="0"/>
    <m/>
    <x v="10"/>
  </r>
  <r>
    <s v="USR-100574"/>
    <d v="2025-02-20T00:00:00"/>
    <x v="0"/>
    <x v="3"/>
    <x v="1"/>
    <x v="0"/>
    <x v="1"/>
    <x v="0"/>
    <x v="0"/>
    <x v="0"/>
    <x v="0"/>
    <x v="0"/>
    <x v="2"/>
    <x v="0"/>
    <m/>
    <x v="153"/>
  </r>
  <r>
    <s v="USR-100575"/>
    <d v="2025-01-13T00:00:00"/>
    <x v="0"/>
    <x v="1"/>
    <x v="1"/>
    <x v="4"/>
    <x v="1"/>
    <x v="0"/>
    <x v="0"/>
    <x v="0"/>
    <x v="0"/>
    <x v="0"/>
    <x v="0"/>
    <x v="0"/>
    <m/>
    <x v="166"/>
  </r>
  <r>
    <s v="USR-100576"/>
    <d v="2025-05-13T00:00:00"/>
    <x v="0"/>
    <x v="2"/>
    <x v="0"/>
    <x v="2"/>
    <x v="0"/>
    <x v="1"/>
    <x v="1"/>
    <x v="0"/>
    <x v="0"/>
    <x v="0"/>
    <x v="0"/>
    <x v="0"/>
    <m/>
    <x v="59"/>
  </r>
  <r>
    <s v="USR-100577"/>
    <d v="2025-04-21T00:00:00"/>
    <x v="0"/>
    <x v="3"/>
    <x v="2"/>
    <x v="1"/>
    <x v="1"/>
    <x v="1"/>
    <x v="0"/>
    <x v="0"/>
    <x v="0"/>
    <x v="0"/>
    <x v="0"/>
    <x v="0"/>
    <m/>
    <x v="240"/>
  </r>
  <r>
    <s v="USR-100578"/>
    <d v="2025-03-01T00:00:00"/>
    <x v="0"/>
    <x v="2"/>
    <x v="2"/>
    <x v="1"/>
    <x v="2"/>
    <x v="1"/>
    <x v="0"/>
    <x v="0"/>
    <x v="0"/>
    <x v="0"/>
    <x v="0"/>
    <x v="0"/>
    <m/>
    <x v="2"/>
  </r>
  <r>
    <s v="USR-100579"/>
    <d v="2025-03-10T00:00:00"/>
    <x v="0"/>
    <x v="1"/>
    <x v="2"/>
    <x v="1"/>
    <x v="1"/>
    <x v="0"/>
    <x v="0"/>
    <x v="0"/>
    <x v="0"/>
    <x v="0"/>
    <x v="0"/>
    <x v="0"/>
    <m/>
    <x v="348"/>
  </r>
  <r>
    <s v="USR-100580"/>
    <d v="2025-03-08T00:00:00"/>
    <x v="0"/>
    <x v="2"/>
    <x v="0"/>
    <x v="2"/>
    <x v="1"/>
    <x v="0"/>
    <x v="0"/>
    <x v="0"/>
    <x v="0"/>
    <x v="0"/>
    <x v="0"/>
    <x v="0"/>
    <m/>
    <x v="349"/>
  </r>
  <r>
    <s v="USR-100581"/>
    <d v="2025-05-26T00:00:00"/>
    <x v="0"/>
    <x v="3"/>
    <x v="0"/>
    <x v="2"/>
    <x v="1"/>
    <x v="1"/>
    <x v="1"/>
    <x v="1"/>
    <x v="0"/>
    <x v="0"/>
    <x v="3"/>
    <x v="0"/>
    <m/>
    <x v="57"/>
  </r>
  <r>
    <s v="USR-100582"/>
    <d v="2025-05-20T00:00:00"/>
    <x v="0"/>
    <x v="2"/>
    <x v="0"/>
    <x v="2"/>
    <x v="1"/>
    <x v="1"/>
    <x v="0"/>
    <x v="0"/>
    <x v="0"/>
    <x v="0"/>
    <x v="0"/>
    <x v="0"/>
    <m/>
    <x v="350"/>
  </r>
  <r>
    <s v="USR-100583"/>
    <d v="2025-03-22T00:00:00"/>
    <x v="0"/>
    <x v="1"/>
    <x v="0"/>
    <x v="2"/>
    <x v="1"/>
    <x v="0"/>
    <x v="0"/>
    <x v="0"/>
    <x v="0"/>
    <x v="0"/>
    <x v="0"/>
    <x v="0"/>
    <m/>
    <x v="351"/>
  </r>
  <r>
    <s v="USR-100584"/>
    <d v="2025-02-15T00:00:00"/>
    <x v="0"/>
    <x v="3"/>
    <x v="0"/>
    <x v="2"/>
    <x v="1"/>
    <x v="0"/>
    <x v="0"/>
    <x v="0"/>
    <x v="0"/>
    <x v="0"/>
    <x v="0"/>
    <x v="0"/>
    <m/>
    <x v="352"/>
  </r>
  <r>
    <s v="USR-100585"/>
    <d v="2025-01-08T00:00:00"/>
    <x v="0"/>
    <x v="0"/>
    <x v="1"/>
    <x v="4"/>
    <x v="1"/>
    <x v="0"/>
    <x v="0"/>
    <x v="0"/>
    <x v="0"/>
    <x v="0"/>
    <x v="1"/>
    <x v="0"/>
    <m/>
    <x v="353"/>
  </r>
  <r>
    <s v="USR-100586"/>
    <d v="2025-01-29T00:00:00"/>
    <x v="0"/>
    <x v="3"/>
    <x v="1"/>
    <x v="1"/>
    <x v="2"/>
    <x v="1"/>
    <x v="1"/>
    <x v="0"/>
    <x v="0"/>
    <x v="0"/>
    <x v="0"/>
    <x v="0"/>
    <m/>
    <x v="137"/>
  </r>
  <r>
    <s v="USR-100587"/>
    <d v="2025-05-07T00:00:00"/>
    <x v="0"/>
    <x v="2"/>
    <x v="2"/>
    <x v="1"/>
    <x v="1"/>
    <x v="0"/>
    <x v="0"/>
    <x v="0"/>
    <x v="0"/>
    <x v="0"/>
    <x v="0"/>
    <x v="0"/>
    <m/>
    <x v="354"/>
  </r>
  <r>
    <s v="USR-100588"/>
    <d v="2025-03-01T00:00:00"/>
    <x v="0"/>
    <x v="0"/>
    <x v="1"/>
    <x v="4"/>
    <x v="0"/>
    <x v="1"/>
    <x v="0"/>
    <x v="0"/>
    <x v="0"/>
    <x v="0"/>
    <x v="1"/>
    <x v="0"/>
    <m/>
    <x v="285"/>
  </r>
  <r>
    <s v="USR-100589"/>
    <d v="2025-04-20T00:00:00"/>
    <x v="0"/>
    <x v="2"/>
    <x v="1"/>
    <x v="1"/>
    <x v="1"/>
    <x v="1"/>
    <x v="1"/>
    <x v="0"/>
    <x v="0"/>
    <x v="0"/>
    <x v="0"/>
    <x v="0"/>
    <m/>
    <x v="174"/>
  </r>
  <r>
    <s v="USR-100590"/>
    <d v="2025-01-16T00:00:00"/>
    <x v="0"/>
    <x v="2"/>
    <x v="1"/>
    <x v="1"/>
    <x v="2"/>
    <x v="0"/>
    <x v="0"/>
    <x v="0"/>
    <x v="0"/>
    <x v="0"/>
    <x v="2"/>
    <x v="0"/>
    <m/>
    <x v="193"/>
  </r>
  <r>
    <s v="USR-100591"/>
    <d v="2025-04-04T00:00:00"/>
    <x v="0"/>
    <x v="2"/>
    <x v="1"/>
    <x v="2"/>
    <x v="1"/>
    <x v="1"/>
    <x v="0"/>
    <x v="0"/>
    <x v="0"/>
    <x v="0"/>
    <x v="0"/>
    <x v="0"/>
    <m/>
    <x v="107"/>
  </r>
  <r>
    <s v="USR-100592"/>
    <d v="2025-01-29T00:00:00"/>
    <x v="0"/>
    <x v="0"/>
    <x v="2"/>
    <x v="4"/>
    <x v="1"/>
    <x v="1"/>
    <x v="0"/>
    <x v="0"/>
    <x v="0"/>
    <x v="0"/>
    <x v="0"/>
    <x v="0"/>
    <m/>
    <x v="127"/>
  </r>
  <r>
    <s v="USR-100593"/>
    <d v="2025-04-19T00:00:00"/>
    <x v="0"/>
    <x v="2"/>
    <x v="1"/>
    <x v="0"/>
    <x v="1"/>
    <x v="1"/>
    <x v="0"/>
    <x v="0"/>
    <x v="0"/>
    <x v="0"/>
    <x v="0"/>
    <x v="0"/>
    <m/>
    <x v="284"/>
  </r>
  <r>
    <s v="USR-100594"/>
    <d v="2025-03-10T00:00:00"/>
    <x v="0"/>
    <x v="3"/>
    <x v="1"/>
    <x v="4"/>
    <x v="0"/>
    <x v="1"/>
    <x v="1"/>
    <x v="1"/>
    <x v="1"/>
    <x v="21"/>
    <x v="0"/>
    <x v="0"/>
    <n v="6"/>
    <x v="245"/>
  </r>
  <r>
    <s v="USR-100595"/>
    <d v="2025-05-10T00:00:00"/>
    <x v="0"/>
    <x v="3"/>
    <x v="1"/>
    <x v="4"/>
    <x v="0"/>
    <x v="0"/>
    <x v="0"/>
    <x v="0"/>
    <x v="0"/>
    <x v="0"/>
    <x v="0"/>
    <x v="0"/>
    <m/>
    <x v="355"/>
  </r>
  <r>
    <s v="USR-100596"/>
    <d v="2025-02-02T00:00:00"/>
    <x v="0"/>
    <x v="0"/>
    <x v="1"/>
    <x v="4"/>
    <x v="1"/>
    <x v="0"/>
    <x v="0"/>
    <x v="0"/>
    <x v="0"/>
    <x v="0"/>
    <x v="0"/>
    <x v="0"/>
    <m/>
    <x v="240"/>
  </r>
  <r>
    <s v="USR-100597"/>
    <d v="2025-05-06T00:00:00"/>
    <x v="0"/>
    <x v="0"/>
    <x v="0"/>
    <x v="1"/>
    <x v="1"/>
    <x v="1"/>
    <x v="1"/>
    <x v="0"/>
    <x v="0"/>
    <x v="0"/>
    <x v="0"/>
    <x v="0"/>
    <m/>
    <x v="356"/>
  </r>
  <r>
    <s v="USR-100598"/>
    <d v="2025-01-19T00:00:00"/>
    <x v="0"/>
    <x v="1"/>
    <x v="0"/>
    <x v="1"/>
    <x v="1"/>
    <x v="1"/>
    <x v="1"/>
    <x v="1"/>
    <x v="0"/>
    <x v="0"/>
    <x v="0"/>
    <x v="0"/>
    <m/>
    <x v="142"/>
  </r>
  <r>
    <s v="USR-100599"/>
    <d v="2025-01-02T00:00:00"/>
    <x v="0"/>
    <x v="0"/>
    <x v="1"/>
    <x v="1"/>
    <x v="1"/>
    <x v="1"/>
    <x v="0"/>
    <x v="0"/>
    <x v="0"/>
    <x v="0"/>
    <x v="0"/>
    <x v="0"/>
    <m/>
    <x v="357"/>
  </r>
  <r>
    <s v="USR-100600"/>
    <d v="2025-05-03T00:00:00"/>
    <x v="0"/>
    <x v="3"/>
    <x v="0"/>
    <x v="2"/>
    <x v="1"/>
    <x v="0"/>
    <x v="0"/>
    <x v="0"/>
    <x v="0"/>
    <x v="0"/>
    <x v="1"/>
    <x v="0"/>
    <m/>
    <x v="247"/>
  </r>
  <r>
    <s v="USR-100601"/>
    <d v="2025-05-27T00:00:00"/>
    <x v="0"/>
    <x v="2"/>
    <x v="0"/>
    <x v="3"/>
    <x v="2"/>
    <x v="0"/>
    <x v="0"/>
    <x v="0"/>
    <x v="0"/>
    <x v="0"/>
    <x v="2"/>
    <x v="0"/>
    <m/>
    <x v="358"/>
  </r>
  <r>
    <s v="USR-100602"/>
    <d v="2025-02-09T00:00:00"/>
    <x v="0"/>
    <x v="3"/>
    <x v="0"/>
    <x v="4"/>
    <x v="1"/>
    <x v="1"/>
    <x v="0"/>
    <x v="0"/>
    <x v="0"/>
    <x v="0"/>
    <x v="0"/>
    <x v="0"/>
    <m/>
    <x v="359"/>
  </r>
  <r>
    <s v="USR-100603"/>
    <d v="2025-05-18T00:00:00"/>
    <x v="0"/>
    <x v="2"/>
    <x v="1"/>
    <x v="2"/>
    <x v="1"/>
    <x v="1"/>
    <x v="0"/>
    <x v="0"/>
    <x v="0"/>
    <x v="0"/>
    <x v="0"/>
    <x v="0"/>
    <m/>
    <x v="238"/>
  </r>
  <r>
    <s v="USR-100604"/>
    <d v="2025-05-17T00:00:00"/>
    <x v="0"/>
    <x v="0"/>
    <x v="1"/>
    <x v="0"/>
    <x v="1"/>
    <x v="0"/>
    <x v="0"/>
    <x v="0"/>
    <x v="0"/>
    <x v="0"/>
    <x v="0"/>
    <x v="0"/>
    <m/>
    <x v="22"/>
  </r>
  <r>
    <s v="USR-100605"/>
    <d v="2025-01-25T00:00:00"/>
    <x v="0"/>
    <x v="2"/>
    <x v="0"/>
    <x v="3"/>
    <x v="0"/>
    <x v="1"/>
    <x v="0"/>
    <x v="0"/>
    <x v="0"/>
    <x v="0"/>
    <x v="1"/>
    <x v="0"/>
    <m/>
    <x v="67"/>
  </r>
  <r>
    <s v="USR-100606"/>
    <d v="2025-05-04T00:00:00"/>
    <x v="0"/>
    <x v="1"/>
    <x v="1"/>
    <x v="2"/>
    <x v="2"/>
    <x v="1"/>
    <x v="1"/>
    <x v="0"/>
    <x v="0"/>
    <x v="0"/>
    <x v="0"/>
    <x v="0"/>
    <m/>
    <x v="231"/>
  </r>
  <r>
    <s v="USR-100607"/>
    <d v="2025-04-14T00:00:00"/>
    <x v="0"/>
    <x v="1"/>
    <x v="1"/>
    <x v="1"/>
    <x v="1"/>
    <x v="1"/>
    <x v="0"/>
    <x v="0"/>
    <x v="0"/>
    <x v="0"/>
    <x v="0"/>
    <x v="0"/>
    <m/>
    <x v="20"/>
  </r>
  <r>
    <s v="USR-100608"/>
    <d v="2025-04-18T00:00:00"/>
    <x v="0"/>
    <x v="3"/>
    <x v="1"/>
    <x v="2"/>
    <x v="1"/>
    <x v="1"/>
    <x v="1"/>
    <x v="0"/>
    <x v="0"/>
    <x v="0"/>
    <x v="0"/>
    <x v="0"/>
    <m/>
    <x v="125"/>
  </r>
  <r>
    <s v="USR-100609"/>
    <d v="2025-02-24T00:00:00"/>
    <x v="0"/>
    <x v="3"/>
    <x v="0"/>
    <x v="0"/>
    <x v="0"/>
    <x v="0"/>
    <x v="0"/>
    <x v="0"/>
    <x v="0"/>
    <x v="0"/>
    <x v="0"/>
    <x v="0"/>
    <m/>
    <x v="103"/>
  </r>
  <r>
    <s v="USR-100610"/>
    <d v="2025-04-19T00:00:00"/>
    <x v="0"/>
    <x v="0"/>
    <x v="2"/>
    <x v="2"/>
    <x v="1"/>
    <x v="1"/>
    <x v="1"/>
    <x v="1"/>
    <x v="0"/>
    <x v="0"/>
    <x v="0"/>
    <x v="0"/>
    <m/>
    <x v="132"/>
  </r>
  <r>
    <s v="USR-100611"/>
    <d v="2025-03-07T00:00:00"/>
    <x v="0"/>
    <x v="3"/>
    <x v="0"/>
    <x v="1"/>
    <x v="0"/>
    <x v="1"/>
    <x v="0"/>
    <x v="0"/>
    <x v="0"/>
    <x v="0"/>
    <x v="0"/>
    <x v="0"/>
    <m/>
    <x v="337"/>
  </r>
  <r>
    <s v="USR-100612"/>
    <d v="2025-03-09T00:00:00"/>
    <x v="0"/>
    <x v="2"/>
    <x v="1"/>
    <x v="1"/>
    <x v="0"/>
    <x v="0"/>
    <x v="0"/>
    <x v="0"/>
    <x v="0"/>
    <x v="0"/>
    <x v="1"/>
    <x v="0"/>
    <m/>
    <x v="60"/>
  </r>
  <r>
    <s v="USR-100613"/>
    <d v="2025-05-01T00:00:00"/>
    <x v="0"/>
    <x v="3"/>
    <x v="0"/>
    <x v="1"/>
    <x v="0"/>
    <x v="1"/>
    <x v="0"/>
    <x v="0"/>
    <x v="0"/>
    <x v="0"/>
    <x v="0"/>
    <x v="0"/>
    <m/>
    <x v="267"/>
  </r>
  <r>
    <s v="USR-100614"/>
    <d v="2025-02-09T00:00:00"/>
    <x v="0"/>
    <x v="1"/>
    <x v="0"/>
    <x v="1"/>
    <x v="2"/>
    <x v="1"/>
    <x v="1"/>
    <x v="1"/>
    <x v="0"/>
    <x v="0"/>
    <x v="0"/>
    <x v="0"/>
    <m/>
    <x v="149"/>
  </r>
  <r>
    <s v="USR-100615"/>
    <d v="2025-05-22T00:00:00"/>
    <x v="0"/>
    <x v="1"/>
    <x v="1"/>
    <x v="3"/>
    <x v="2"/>
    <x v="0"/>
    <x v="0"/>
    <x v="0"/>
    <x v="0"/>
    <x v="0"/>
    <x v="0"/>
    <x v="0"/>
    <m/>
    <x v="360"/>
  </r>
  <r>
    <s v="USR-100616"/>
    <d v="2025-02-11T00:00:00"/>
    <x v="0"/>
    <x v="0"/>
    <x v="1"/>
    <x v="1"/>
    <x v="2"/>
    <x v="0"/>
    <x v="0"/>
    <x v="0"/>
    <x v="0"/>
    <x v="0"/>
    <x v="0"/>
    <x v="0"/>
    <m/>
    <x v="161"/>
  </r>
  <r>
    <s v="USR-100617"/>
    <d v="2025-04-12T00:00:00"/>
    <x v="0"/>
    <x v="0"/>
    <x v="1"/>
    <x v="3"/>
    <x v="0"/>
    <x v="0"/>
    <x v="0"/>
    <x v="0"/>
    <x v="0"/>
    <x v="0"/>
    <x v="2"/>
    <x v="0"/>
    <m/>
    <x v="302"/>
  </r>
  <r>
    <s v="USR-100618"/>
    <d v="2025-03-01T00:00:00"/>
    <x v="0"/>
    <x v="1"/>
    <x v="1"/>
    <x v="4"/>
    <x v="1"/>
    <x v="1"/>
    <x v="0"/>
    <x v="0"/>
    <x v="0"/>
    <x v="0"/>
    <x v="0"/>
    <x v="0"/>
    <m/>
    <x v="67"/>
  </r>
  <r>
    <s v="USR-100619"/>
    <d v="2025-03-17T00:00:00"/>
    <x v="0"/>
    <x v="1"/>
    <x v="0"/>
    <x v="0"/>
    <x v="0"/>
    <x v="0"/>
    <x v="0"/>
    <x v="0"/>
    <x v="0"/>
    <x v="0"/>
    <x v="0"/>
    <x v="0"/>
    <m/>
    <x v="59"/>
  </r>
  <r>
    <s v="USR-100620"/>
    <d v="2025-01-11T00:00:00"/>
    <x v="0"/>
    <x v="0"/>
    <x v="1"/>
    <x v="2"/>
    <x v="1"/>
    <x v="0"/>
    <x v="0"/>
    <x v="0"/>
    <x v="0"/>
    <x v="0"/>
    <x v="0"/>
    <x v="0"/>
    <m/>
    <x v="47"/>
  </r>
  <r>
    <s v="USR-100621"/>
    <d v="2025-02-17T00:00:00"/>
    <x v="0"/>
    <x v="3"/>
    <x v="1"/>
    <x v="4"/>
    <x v="2"/>
    <x v="1"/>
    <x v="0"/>
    <x v="0"/>
    <x v="0"/>
    <x v="0"/>
    <x v="0"/>
    <x v="0"/>
    <m/>
    <x v="95"/>
  </r>
  <r>
    <s v="USR-100622"/>
    <d v="2025-03-25T00:00:00"/>
    <x v="0"/>
    <x v="2"/>
    <x v="1"/>
    <x v="2"/>
    <x v="0"/>
    <x v="1"/>
    <x v="1"/>
    <x v="0"/>
    <x v="0"/>
    <x v="0"/>
    <x v="0"/>
    <x v="0"/>
    <m/>
    <x v="361"/>
  </r>
  <r>
    <s v="USR-100623"/>
    <d v="2025-05-01T00:00:00"/>
    <x v="0"/>
    <x v="3"/>
    <x v="1"/>
    <x v="2"/>
    <x v="1"/>
    <x v="0"/>
    <x v="0"/>
    <x v="0"/>
    <x v="0"/>
    <x v="0"/>
    <x v="0"/>
    <x v="0"/>
    <m/>
    <x v="290"/>
  </r>
  <r>
    <s v="USR-100624"/>
    <d v="2025-04-02T00:00:00"/>
    <x v="0"/>
    <x v="2"/>
    <x v="1"/>
    <x v="1"/>
    <x v="0"/>
    <x v="0"/>
    <x v="0"/>
    <x v="0"/>
    <x v="0"/>
    <x v="0"/>
    <x v="0"/>
    <x v="0"/>
    <m/>
    <x v="362"/>
  </r>
  <r>
    <s v="USR-100625"/>
    <d v="2025-04-05T00:00:00"/>
    <x v="0"/>
    <x v="2"/>
    <x v="1"/>
    <x v="0"/>
    <x v="1"/>
    <x v="1"/>
    <x v="1"/>
    <x v="0"/>
    <x v="0"/>
    <x v="0"/>
    <x v="0"/>
    <x v="0"/>
    <m/>
    <x v="363"/>
  </r>
  <r>
    <s v="USR-100626"/>
    <d v="2025-02-24T00:00:00"/>
    <x v="0"/>
    <x v="0"/>
    <x v="0"/>
    <x v="4"/>
    <x v="1"/>
    <x v="1"/>
    <x v="1"/>
    <x v="0"/>
    <x v="0"/>
    <x v="0"/>
    <x v="0"/>
    <x v="0"/>
    <m/>
    <x v="115"/>
  </r>
  <r>
    <s v="USR-100627"/>
    <d v="2025-01-24T00:00:00"/>
    <x v="0"/>
    <x v="1"/>
    <x v="1"/>
    <x v="2"/>
    <x v="0"/>
    <x v="1"/>
    <x v="0"/>
    <x v="0"/>
    <x v="0"/>
    <x v="0"/>
    <x v="0"/>
    <x v="0"/>
    <m/>
    <x v="361"/>
  </r>
  <r>
    <s v="USR-100628"/>
    <d v="2025-04-10T00:00:00"/>
    <x v="0"/>
    <x v="3"/>
    <x v="1"/>
    <x v="2"/>
    <x v="1"/>
    <x v="0"/>
    <x v="0"/>
    <x v="0"/>
    <x v="0"/>
    <x v="0"/>
    <x v="0"/>
    <x v="0"/>
    <m/>
    <x v="364"/>
  </r>
  <r>
    <s v="USR-100629"/>
    <d v="2025-02-19T00:00:00"/>
    <x v="0"/>
    <x v="3"/>
    <x v="1"/>
    <x v="3"/>
    <x v="1"/>
    <x v="1"/>
    <x v="1"/>
    <x v="1"/>
    <x v="0"/>
    <x v="0"/>
    <x v="0"/>
    <x v="0"/>
    <m/>
    <x v="142"/>
  </r>
  <r>
    <s v="USR-100630"/>
    <d v="2025-03-22T00:00:00"/>
    <x v="0"/>
    <x v="0"/>
    <x v="1"/>
    <x v="4"/>
    <x v="1"/>
    <x v="0"/>
    <x v="0"/>
    <x v="0"/>
    <x v="0"/>
    <x v="0"/>
    <x v="0"/>
    <x v="0"/>
    <m/>
    <x v="200"/>
  </r>
  <r>
    <s v="USR-100631"/>
    <d v="2025-04-08T00:00:00"/>
    <x v="0"/>
    <x v="2"/>
    <x v="0"/>
    <x v="1"/>
    <x v="2"/>
    <x v="1"/>
    <x v="1"/>
    <x v="1"/>
    <x v="0"/>
    <x v="0"/>
    <x v="0"/>
    <x v="0"/>
    <m/>
    <x v="365"/>
  </r>
  <r>
    <s v="USR-100632"/>
    <d v="2025-03-16T00:00:00"/>
    <x v="0"/>
    <x v="0"/>
    <x v="1"/>
    <x v="4"/>
    <x v="1"/>
    <x v="1"/>
    <x v="0"/>
    <x v="0"/>
    <x v="0"/>
    <x v="0"/>
    <x v="0"/>
    <x v="0"/>
    <m/>
    <x v="128"/>
  </r>
  <r>
    <s v="USR-100633"/>
    <d v="2025-03-07T00:00:00"/>
    <x v="0"/>
    <x v="2"/>
    <x v="1"/>
    <x v="2"/>
    <x v="1"/>
    <x v="1"/>
    <x v="0"/>
    <x v="0"/>
    <x v="0"/>
    <x v="0"/>
    <x v="0"/>
    <x v="0"/>
    <m/>
    <x v="248"/>
  </r>
  <r>
    <s v="USR-100634"/>
    <d v="2025-03-16T00:00:00"/>
    <x v="0"/>
    <x v="3"/>
    <x v="1"/>
    <x v="3"/>
    <x v="0"/>
    <x v="0"/>
    <x v="0"/>
    <x v="0"/>
    <x v="0"/>
    <x v="0"/>
    <x v="0"/>
    <x v="0"/>
    <m/>
    <x v="361"/>
  </r>
  <r>
    <s v="USR-100635"/>
    <d v="2025-05-26T00:00:00"/>
    <x v="0"/>
    <x v="2"/>
    <x v="1"/>
    <x v="5"/>
    <x v="2"/>
    <x v="1"/>
    <x v="0"/>
    <x v="0"/>
    <x v="0"/>
    <x v="0"/>
    <x v="3"/>
    <x v="0"/>
    <m/>
    <x v="208"/>
  </r>
  <r>
    <s v="USR-100636"/>
    <d v="2025-01-14T00:00:00"/>
    <x v="0"/>
    <x v="1"/>
    <x v="1"/>
    <x v="1"/>
    <x v="1"/>
    <x v="0"/>
    <x v="0"/>
    <x v="0"/>
    <x v="0"/>
    <x v="0"/>
    <x v="0"/>
    <x v="0"/>
    <m/>
    <x v="180"/>
  </r>
  <r>
    <s v="USR-100637"/>
    <d v="2025-03-30T00:00:00"/>
    <x v="0"/>
    <x v="1"/>
    <x v="1"/>
    <x v="2"/>
    <x v="2"/>
    <x v="1"/>
    <x v="0"/>
    <x v="0"/>
    <x v="0"/>
    <x v="0"/>
    <x v="0"/>
    <x v="0"/>
    <m/>
    <x v="366"/>
  </r>
  <r>
    <s v="USR-100638"/>
    <d v="2025-05-12T00:00:00"/>
    <x v="0"/>
    <x v="2"/>
    <x v="0"/>
    <x v="0"/>
    <x v="1"/>
    <x v="1"/>
    <x v="1"/>
    <x v="1"/>
    <x v="0"/>
    <x v="0"/>
    <x v="0"/>
    <x v="0"/>
    <m/>
    <x v="367"/>
  </r>
  <r>
    <s v="USR-100639"/>
    <d v="2025-05-10T00:00:00"/>
    <x v="0"/>
    <x v="1"/>
    <x v="1"/>
    <x v="2"/>
    <x v="1"/>
    <x v="0"/>
    <x v="0"/>
    <x v="0"/>
    <x v="0"/>
    <x v="0"/>
    <x v="0"/>
    <x v="0"/>
    <m/>
    <x v="368"/>
  </r>
  <r>
    <s v="USR-100640"/>
    <d v="2025-04-09T00:00:00"/>
    <x v="0"/>
    <x v="2"/>
    <x v="1"/>
    <x v="4"/>
    <x v="0"/>
    <x v="0"/>
    <x v="0"/>
    <x v="0"/>
    <x v="0"/>
    <x v="0"/>
    <x v="0"/>
    <x v="0"/>
    <m/>
    <x v="311"/>
  </r>
  <r>
    <s v="USR-100641"/>
    <d v="2025-05-26T00:00:00"/>
    <x v="0"/>
    <x v="0"/>
    <x v="1"/>
    <x v="4"/>
    <x v="1"/>
    <x v="1"/>
    <x v="0"/>
    <x v="0"/>
    <x v="0"/>
    <x v="0"/>
    <x v="0"/>
    <x v="0"/>
    <m/>
    <x v="21"/>
  </r>
  <r>
    <s v="USR-100642"/>
    <d v="2025-02-12T00:00:00"/>
    <x v="0"/>
    <x v="0"/>
    <x v="1"/>
    <x v="1"/>
    <x v="1"/>
    <x v="1"/>
    <x v="0"/>
    <x v="0"/>
    <x v="0"/>
    <x v="0"/>
    <x v="0"/>
    <x v="0"/>
    <m/>
    <x v="369"/>
  </r>
  <r>
    <s v="USR-100643"/>
    <d v="2025-04-01T00:00:00"/>
    <x v="0"/>
    <x v="0"/>
    <x v="0"/>
    <x v="0"/>
    <x v="0"/>
    <x v="0"/>
    <x v="0"/>
    <x v="0"/>
    <x v="0"/>
    <x v="0"/>
    <x v="0"/>
    <x v="0"/>
    <m/>
    <x v="370"/>
  </r>
  <r>
    <s v="USR-100644"/>
    <d v="2025-01-18T00:00:00"/>
    <x v="0"/>
    <x v="3"/>
    <x v="0"/>
    <x v="1"/>
    <x v="0"/>
    <x v="0"/>
    <x v="0"/>
    <x v="0"/>
    <x v="0"/>
    <x v="0"/>
    <x v="0"/>
    <x v="0"/>
    <m/>
    <x v="371"/>
  </r>
  <r>
    <s v="USR-100645"/>
    <d v="2025-04-06T00:00:00"/>
    <x v="0"/>
    <x v="2"/>
    <x v="2"/>
    <x v="1"/>
    <x v="1"/>
    <x v="1"/>
    <x v="0"/>
    <x v="0"/>
    <x v="0"/>
    <x v="0"/>
    <x v="0"/>
    <x v="0"/>
    <m/>
    <x v="271"/>
  </r>
  <r>
    <s v="USR-100646"/>
    <d v="2025-04-17T00:00:00"/>
    <x v="0"/>
    <x v="2"/>
    <x v="1"/>
    <x v="1"/>
    <x v="1"/>
    <x v="1"/>
    <x v="0"/>
    <x v="0"/>
    <x v="0"/>
    <x v="0"/>
    <x v="0"/>
    <x v="0"/>
    <m/>
    <x v="372"/>
  </r>
  <r>
    <s v="USR-100647"/>
    <d v="2025-02-07T00:00:00"/>
    <x v="0"/>
    <x v="0"/>
    <x v="0"/>
    <x v="2"/>
    <x v="1"/>
    <x v="0"/>
    <x v="0"/>
    <x v="0"/>
    <x v="0"/>
    <x v="0"/>
    <x v="0"/>
    <x v="0"/>
    <m/>
    <x v="131"/>
  </r>
  <r>
    <s v="USR-100648"/>
    <d v="2025-03-04T00:00:00"/>
    <x v="0"/>
    <x v="2"/>
    <x v="1"/>
    <x v="1"/>
    <x v="0"/>
    <x v="1"/>
    <x v="0"/>
    <x v="0"/>
    <x v="0"/>
    <x v="0"/>
    <x v="0"/>
    <x v="0"/>
    <m/>
    <x v="306"/>
  </r>
  <r>
    <s v="USR-100649"/>
    <d v="2025-02-17T00:00:00"/>
    <x v="0"/>
    <x v="0"/>
    <x v="0"/>
    <x v="1"/>
    <x v="2"/>
    <x v="0"/>
    <x v="0"/>
    <x v="0"/>
    <x v="0"/>
    <x v="0"/>
    <x v="0"/>
    <x v="0"/>
    <m/>
    <x v="67"/>
  </r>
  <r>
    <s v="USR-100650"/>
    <d v="2025-05-06T00:00:00"/>
    <x v="0"/>
    <x v="3"/>
    <x v="1"/>
    <x v="3"/>
    <x v="1"/>
    <x v="1"/>
    <x v="0"/>
    <x v="0"/>
    <x v="0"/>
    <x v="0"/>
    <x v="0"/>
    <x v="0"/>
    <m/>
    <x v="373"/>
  </r>
  <r>
    <s v="USR-100651"/>
    <d v="2025-03-25T00:00:00"/>
    <x v="0"/>
    <x v="3"/>
    <x v="1"/>
    <x v="3"/>
    <x v="2"/>
    <x v="0"/>
    <x v="0"/>
    <x v="0"/>
    <x v="0"/>
    <x v="0"/>
    <x v="0"/>
    <x v="0"/>
    <m/>
    <x v="253"/>
  </r>
  <r>
    <s v="USR-100652"/>
    <d v="2025-03-04T00:00:00"/>
    <x v="0"/>
    <x v="1"/>
    <x v="1"/>
    <x v="0"/>
    <x v="2"/>
    <x v="1"/>
    <x v="0"/>
    <x v="0"/>
    <x v="0"/>
    <x v="0"/>
    <x v="0"/>
    <x v="0"/>
    <m/>
    <x v="296"/>
  </r>
  <r>
    <s v="USR-100653"/>
    <d v="2025-05-09T00:00:00"/>
    <x v="0"/>
    <x v="1"/>
    <x v="1"/>
    <x v="1"/>
    <x v="1"/>
    <x v="1"/>
    <x v="0"/>
    <x v="0"/>
    <x v="0"/>
    <x v="0"/>
    <x v="1"/>
    <x v="0"/>
    <m/>
    <x v="88"/>
  </r>
  <r>
    <s v="USR-100654"/>
    <d v="2025-05-17T00:00:00"/>
    <x v="0"/>
    <x v="1"/>
    <x v="1"/>
    <x v="3"/>
    <x v="2"/>
    <x v="1"/>
    <x v="0"/>
    <x v="0"/>
    <x v="0"/>
    <x v="0"/>
    <x v="0"/>
    <x v="0"/>
    <m/>
    <x v="162"/>
  </r>
  <r>
    <s v="USR-100655"/>
    <d v="2025-01-12T00:00:00"/>
    <x v="0"/>
    <x v="1"/>
    <x v="1"/>
    <x v="1"/>
    <x v="1"/>
    <x v="0"/>
    <x v="0"/>
    <x v="0"/>
    <x v="0"/>
    <x v="0"/>
    <x v="0"/>
    <x v="0"/>
    <m/>
    <x v="170"/>
  </r>
  <r>
    <s v="USR-100656"/>
    <d v="2025-03-12T00:00:00"/>
    <x v="0"/>
    <x v="1"/>
    <x v="1"/>
    <x v="1"/>
    <x v="2"/>
    <x v="1"/>
    <x v="0"/>
    <x v="0"/>
    <x v="0"/>
    <x v="0"/>
    <x v="0"/>
    <x v="0"/>
    <m/>
    <x v="203"/>
  </r>
  <r>
    <s v="USR-100657"/>
    <d v="2025-04-02T00:00:00"/>
    <x v="0"/>
    <x v="3"/>
    <x v="1"/>
    <x v="1"/>
    <x v="0"/>
    <x v="0"/>
    <x v="0"/>
    <x v="0"/>
    <x v="0"/>
    <x v="0"/>
    <x v="0"/>
    <x v="0"/>
    <m/>
    <x v="41"/>
  </r>
  <r>
    <s v="USR-100658"/>
    <d v="2025-01-13T00:00:00"/>
    <x v="0"/>
    <x v="3"/>
    <x v="1"/>
    <x v="1"/>
    <x v="0"/>
    <x v="1"/>
    <x v="0"/>
    <x v="0"/>
    <x v="0"/>
    <x v="0"/>
    <x v="0"/>
    <x v="0"/>
    <m/>
    <x v="202"/>
  </r>
  <r>
    <s v="USR-100659"/>
    <d v="2025-03-07T00:00:00"/>
    <x v="0"/>
    <x v="2"/>
    <x v="1"/>
    <x v="3"/>
    <x v="1"/>
    <x v="0"/>
    <x v="0"/>
    <x v="0"/>
    <x v="0"/>
    <x v="0"/>
    <x v="0"/>
    <x v="0"/>
    <m/>
    <x v="374"/>
  </r>
  <r>
    <s v="USR-100660"/>
    <d v="2025-04-20T00:00:00"/>
    <x v="0"/>
    <x v="3"/>
    <x v="0"/>
    <x v="4"/>
    <x v="1"/>
    <x v="1"/>
    <x v="1"/>
    <x v="1"/>
    <x v="1"/>
    <x v="22"/>
    <x v="0"/>
    <x v="0"/>
    <n v="2"/>
    <x v="164"/>
  </r>
  <r>
    <s v="USR-100661"/>
    <d v="2025-01-07T00:00:00"/>
    <x v="0"/>
    <x v="3"/>
    <x v="1"/>
    <x v="2"/>
    <x v="1"/>
    <x v="1"/>
    <x v="0"/>
    <x v="0"/>
    <x v="0"/>
    <x v="0"/>
    <x v="0"/>
    <x v="0"/>
    <m/>
    <x v="112"/>
  </r>
  <r>
    <s v="USR-100662"/>
    <d v="2025-04-23T00:00:00"/>
    <x v="0"/>
    <x v="3"/>
    <x v="1"/>
    <x v="3"/>
    <x v="1"/>
    <x v="0"/>
    <x v="0"/>
    <x v="0"/>
    <x v="0"/>
    <x v="0"/>
    <x v="0"/>
    <x v="0"/>
    <m/>
    <x v="278"/>
  </r>
  <r>
    <s v="USR-100663"/>
    <d v="2025-05-26T00:00:00"/>
    <x v="0"/>
    <x v="0"/>
    <x v="1"/>
    <x v="2"/>
    <x v="0"/>
    <x v="0"/>
    <x v="0"/>
    <x v="0"/>
    <x v="0"/>
    <x v="0"/>
    <x v="0"/>
    <x v="0"/>
    <m/>
    <x v="297"/>
  </r>
  <r>
    <s v="USR-100664"/>
    <d v="2025-03-17T00:00:00"/>
    <x v="0"/>
    <x v="0"/>
    <x v="0"/>
    <x v="4"/>
    <x v="0"/>
    <x v="1"/>
    <x v="1"/>
    <x v="1"/>
    <x v="0"/>
    <x v="0"/>
    <x v="0"/>
    <x v="0"/>
    <m/>
    <x v="309"/>
  </r>
  <r>
    <s v="USR-100665"/>
    <d v="2025-05-17T00:00:00"/>
    <x v="0"/>
    <x v="0"/>
    <x v="0"/>
    <x v="2"/>
    <x v="0"/>
    <x v="1"/>
    <x v="0"/>
    <x v="0"/>
    <x v="0"/>
    <x v="0"/>
    <x v="3"/>
    <x v="0"/>
    <m/>
    <x v="375"/>
  </r>
  <r>
    <s v="USR-100666"/>
    <d v="2025-02-21T00:00:00"/>
    <x v="0"/>
    <x v="0"/>
    <x v="1"/>
    <x v="2"/>
    <x v="0"/>
    <x v="0"/>
    <x v="0"/>
    <x v="0"/>
    <x v="0"/>
    <x v="0"/>
    <x v="0"/>
    <x v="0"/>
    <m/>
    <x v="308"/>
  </r>
  <r>
    <s v="USR-100667"/>
    <d v="2025-02-25T00:00:00"/>
    <x v="0"/>
    <x v="2"/>
    <x v="0"/>
    <x v="2"/>
    <x v="2"/>
    <x v="0"/>
    <x v="0"/>
    <x v="0"/>
    <x v="0"/>
    <x v="0"/>
    <x v="0"/>
    <x v="0"/>
    <m/>
    <x v="189"/>
  </r>
  <r>
    <s v="USR-100668"/>
    <d v="2025-01-30T00:00:00"/>
    <x v="0"/>
    <x v="3"/>
    <x v="1"/>
    <x v="4"/>
    <x v="1"/>
    <x v="1"/>
    <x v="1"/>
    <x v="0"/>
    <x v="0"/>
    <x v="0"/>
    <x v="1"/>
    <x v="0"/>
    <m/>
    <x v="376"/>
  </r>
  <r>
    <s v="USR-100669"/>
    <d v="2025-02-17T00:00:00"/>
    <x v="0"/>
    <x v="0"/>
    <x v="2"/>
    <x v="4"/>
    <x v="0"/>
    <x v="0"/>
    <x v="0"/>
    <x v="0"/>
    <x v="0"/>
    <x v="0"/>
    <x v="0"/>
    <x v="0"/>
    <m/>
    <x v="152"/>
  </r>
  <r>
    <s v="USR-100670"/>
    <d v="2025-05-17T00:00:00"/>
    <x v="0"/>
    <x v="0"/>
    <x v="0"/>
    <x v="2"/>
    <x v="0"/>
    <x v="1"/>
    <x v="0"/>
    <x v="0"/>
    <x v="0"/>
    <x v="0"/>
    <x v="0"/>
    <x v="0"/>
    <m/>
    <x v="377"/>
  </r>
  <r>
    <s v="USR-100671"/>
    <d v="2025-04-30T00:00:00"/>
    <x v="0"/>
    <x v="2"/>
    <x v="0"/>
    <x v="2"/>
    <x v="1"/>
    <x v="1"/>
    <x v="0"/>
    <x v="0"/>
    <x v="0"/>
    <x v="0"/>
    <x v="0"/>
    <x v="0"/>
    <m/>
    <x v="222"/>
  </r>
  <r>
    <s v="USR-100672"/>
    <d v="2025-03-22T00:00:00"/>
    <x v="0"/>
    <x v="1"/>
    <x v="1"/>
    <x v="3"/>
    <x v="1"/>
    <x v="1"/>
    <x v="1"/>
    <x v="0"/>
    <x v="0"/>
    <x v="0"/>
    <x v="0"/>
    <x v="0"/>
    <m/>
    <x v="159"/>
  </r>
  <r>
    <s v="USR-100673"/>
    <d v="2025-01-10T00:00:00"/>
    <x v="0"/>
    <x v="1"/>
    <x v="3"/>
    <x v="2"/>
    <x v="1"/>
    <x v="1"/>
    <x v="0"/>
    <x v="0"/>
    <x v="0"/>
    <x v="0"/>
    <x v="1"/>
    <x v="0"/>
    <m/>
    <x v="378"/>
  </r>
  <r>
    <s v="USR-100674"/>
    <d v="2025-03-21T00:00:00"/>
    <x v="0"/>
    <x v="3"/>
    <x v="3"/>
    <x v="2"/>
    <x v="1"/>
    <x v="1"/>
    <x v="0"/>
    <x v="0"/>
    <x v="0"/>
    <x v="0"/>
    <x v="0"/>
    <x v="0"/>
    <m/>
    <x v="326"/>
  </r>
  <r>
    <s v="USR-100675"/>
    <d v="2025-05-12T00:00:00"/>
    <x v="0"/>
    <x v="0"/>
    <x v="0"/>
    <x v="2"/>
    <x v="0"/>
    <x v="0"/>
    <x v="0"/>
    <x v="0"/>
    <x v="0"/>
    <x v="0"/>
    <x v="0"/>
    <x v="0"/>
    <m/>
    <x v="379"/>
  </r>
  <r>
    <s v="USR-100676"/>
    <d v="2025-05-24T00:00:00"/>
    <x v="0"/>
    <x v="1"/>
    <x v="1"/>
    <x v="2"/>
    <x v="1"/>
    <x v="1"/>
    <x v="1"/>
    <x v="1"/>
    <x v="0"/>
    <x v="0"/>
    <x v="0"/>
    <x v="0"/>
    <m/>
    <x v="350"/>
  </r>
  <r>
    <s v="USR-100677"/>
    <d v="2025-05-03T00:00:00"/>
    <x v="0"/>
    <x v="1"/>
    <x v="2"/>
    <x v="1"/>
    <x v="1"/>
    <x v="1"/>
    <x v="0"/>
    <x v="0"/>
    <x v="0"/>
    <x v="0"/>
    <x v="0"/>
    <x v="0"/>
    <m/>
    <x v="380"/>
  </r>
  <r>
    <s v="USR-100678"/>
    <d v="2025-01-14T00:00:00"/>
    <x v="0"/>
    <x v="3"/>
    <x v="1"/>
    <x v="1"/>
    <x v="0"/>
    <x v="1"/>
    <x v="0"/>
    <x v="0"/>
    <x v="0"/>
    <x v="0"/>
    <x v="0"/>
    <x v="0"/>
    <m/>
    <x v="381"/>
  </r>
  <r>
    <s v="USR-100679"/>
    <d v="2025-03-27T00:00:00"/>
    <x v="0"/>
    <x v="1"/>
    <x v="1"/>
    <x v="4"/>
    <x v="0"/>
    <x v="1"/>
    <x v="0"/>
    <x v="0"/>
    <x v="0"/>
    <x v="0"/>
    <x v="0"/>
    <x v="0"/>
    <m/>
    <x v="35"/>
  </r>
  <r>
    <s v="USR-100680"/>
    <d v="2025-02-28T00:00:00"/>
    <x v="0"/>
    <x v="0"/>
    <x v="0"/>
    <x v="3"/>
    <x v="2"/>
    <x v="0"/>
    <x v="0"/>
    <x v="0"/>
    <x v="0"/>
    <x v="0"/>
    <x v="1"/>
    <x v="0"/>
    <m/>
    <x v="382"/>
  </r>
  <r>
    <s v="USR-100681"/>
    <d v="2025-05-12T00:00:00"/>
    <x v="0"/>
    <x v="1"/>
    <x v="0"/>
    <x v="3"/>
    <x v="2"/>
    <x v="1"/>
    <x v="1"/>
    <x v="1"/>
    <x v="0"/>
    <x v="0"/>
    <x v="0"/>
    <x v="0"/>
    <m/>
    <x v="133"/>
  </r>
  <r>
    <s v="USR-100682"/>
    <d v="2025-03-14T00:00:00"/>
    <x v="0"/>
    <x v="0"/>
    <x v="1"/>
    <x v="1"/>
    <x v="1"/>
    <x v="1"/>
    <x v="0"/>
    <x v="0"/>
    <x v="0"/>
    <x v="0"/>
    <x v="0"/>
    <x v="0"/>
    <m/>
    <x v="189"/>
  </r>
  <r>
    <s v="USR-100683"/>
    <d v="2025-05-20T00:00:00"/>
    <x v="0"/>
    <x v="2"/>
    <x v="1"/>
    <x v="1"/>
    <x v="0"/>
    <x v="0"/>
    <x v="0"/>
    <x v="0"/>
    <x v="0"/>
    <x v="0"/>
    <x v="0"/>
    <x v="0"/>
    <m/>
    <x v="135"/>
  </r>
  <r>
    <s v="USR-100684"/>
    <d v="2025-02-24T00:00:00"/>
    <x v="0"/>
    <x v="3"/>
    <x v="0"/>
    <x v="3"/>
    <x v="1"/>
    <x v="0"/>
    <x v="0"/>
    <x v="0"/>
    <x v="0"/>
    <x v="0"/>
    <x v="0"/>
    <x v="0"/>
    <m/>
    <x v="383"/>
  </r>
  <r>
    <s v="USR-100685"/>
    <d v="2025-02-13T00:00:00"/>
    <x v="0"/>
    <x v="1"/>
    <x v="1"/>
    <x v="1"/>
    <x v="2"/>
    <x v="1"/>
    <x v="0"/>
    <x v="0"/>
    <x v="0"/>
    <x v="0"/>
    <x v="1"/>
    <x v="0"/>
    <m/>
    <x v="379"/>
  </r>
  <r>
    <s v="USR-100686"/>
    <d v="2025-02-06T00:00:00"/>
    <x v="0"/>
    <x v="3"/>
    <x v="0"/>
    <x v="1"/>
    <x v="1"/>
    <x v="1"/>
    <x v="1"/>
    <x v="1"/>
    <x v="0"/>
    <x v="0"/>
    <x v="0"/>
    <x v="0"/>
    <m/>
    <x v="291"/>
  </r>
  <r>
    <s v="USR-100687"/>
    <d v="2025-03-02T00:00:00"/>
    <x v="0"/>
    <x v="0"/>
    <x v="1"/>
    <x v="4"/>
    <x v="0"/>
    <x v="1"/>
    <x v="0"/>
    <x v="0"/>
    <x v="0"/>
    <x v="0"/>
    <x v="0"/>
    <x v="0"/>
    <m/>
    <x v="237"/>
  </r>
  <r>
    <s v="USR-100688"/>
    <d v="2025-04-28T00:00:00"/>
    <x v="0"/>
    <x v="2"/>
    <x v="0"/>
    <x v="2"/>
    <x v="1"/>
    <x v="0"/>
    <x v="0"/>
    <x v="0"/>
    <x v="0"/>
    <x v="0"/>
    <x v="0"/>
    <x v="0"/>
    <m/>
    <x v="384"/>
  </r>
  <r>
    <s v="USR-100689"/>
    <d v="2025-05-27T00:00:00"/>
    <x v="0"/>
    <x v="0"/>
    <x v="0"/>
    <x v="5"/>
    <x v="2"/>
    <x v="1"/>
    <x v="0"/>
    <x v="0"/>
    <x v="0"/>
    <x v="0"/>
    <x v="0"/>
    <x v="0"/>
    <m/>
    <x v="136"/>
  </r>
  <r>
    <s v="USR-100690"/>
    <d v="2025-04-07T00:00:00"/>
    <x v="0"/>
    <x v="3"/>
    <x v="0"/>
    <x v="1"/>
    <x v="0"/>
    <x v="0"/>
    <x v="0"/>
    <x v="0"/>
    <x v="0"/>
    <x v="0"/>
    <x v="2"/>
    <x v="0"/>
    <m/>
    <x v="385"/>
  </r>
  <r>
    <s v="USR-100691"/>
    <d v="2025-04-14T00:00:00"/>
    <x v="1"/>
    <x v="2"/>
    <x v="0"/>
    <x v="4"/>
    <x v="0"/>
    <x v="1"/>
    <x v="0"/>
    <x v="0"/>
    <x v="0"/>
    <x v="0"/>
    <x v="0"/>
    <x v="0"/>
    <m/>
    <x v="386"/>
  </r>
  <r>
    <s v="USR-100692"/>
    <d v="2025-05-09T00:00:00"/>
    <x v="1"/>
    <x v="2"/>
    <x v="0"/>
    <x v="1"/>
    <x v="0"/>
    <x v="1"/>
    <x v="1"/>
    <x v="1"/>
    <x v="0"/>
    <x v="0"/>
    <x v="3"/>
    <x v="0"/>
    <m/>
    <x v="132"/>
  </r>
  <r>
    <s v="USR-100693"/>
    <d v="2025-03-21T00:00:00"/>
    <x v="1"/>
    <x v="0"/>
    <x v="1"/>
    <x v="1"/>
    <x v="1"/>
    <x v="1"/>
    <x v="1"/>
    <x v="1"/>
    <x v="0"/>
    <x v="0"/>
    <x v="0"/>
    <x v="0"/>
    <m/>
    <x v="387"/>
  </r>
  <r>
    <s v="USR-100694"/>
    <d v="2025-03-27T00:00:00"/>
    <x v="1"/>
    <x v="0"/>
    <x v="0"/>
    <x v="4"/>
    <x v="1"/>
    <x v="1"/>
    <x v="0"/>
    <x v="0"/>
    <x v="0"/>
    <x v="0"/>
    <x v="0"/>
    <x v="0"/>
    <m/>
    <x v="128"/>
  </r>
  <r>
    <s v="USR-100695"/>
    <d v="2025-01-21T00:00:00"/>
    <x v="1"/>
    <x v="3"/>
    <x v="1"/>
    <x v="2"/>
    <x v="1"/>
    <x v="0"/>
    <x v="0"/>
    <x v="0"/>
    <x v="0"/>
    <x v="0"/>
    <x v="0"/>
    <x v="0"/>
    <m/>
    <x v="388"/>
  </r>
  <r>
    <s v="USR-100696"/>
    <d v="2025-03-19T00:00:00"/>
    <x v="1"/>
    <x v="2"/>
    <x v="0"/>
    <x v="0"/>
    <x v="1"/>
    <x v="1"/>
    <x v="0"/>
    <x v="0"/>
    <x v="0"/>
    <x v="0"/>
    <x v="0"/>
    <x v="0"/>
    <m/>
    <x v="308"/>
  </r>
  <r>
    <s v="USR-100697"/>
    <d v="2025-05-27T00:00:00"/>
    <x v="1"/>
    <x v="0"/>
    <x v="1"/>
    <x v="1"/>
    <x v="0"/>
    <x v="1"/>
    <x v="0"/>
    <x v="0"/>
    <x v="0"/>
    <x v="0"/>
    <x v="0"/>
    <x v="0"/>
    <m/>
    <x v="389"/>
  </r>
  <r>
    <s v="USR-100698"/>
    <d v="2025-01-01T00:00:00"/>
    <x v="1"/>
    <x v="0"/>
    <x v="1"/>
    <x v="4"/>
    <x v="1"/>
    <x v="1"/>
    <x v="1"/>
    <x v="1"/>
    <x v="0"/>
    <x v="0"/>
    <x v="0"/>
    <x v="0"/>
    <m/>
    <x v="273"/>
  </r>
  <r>
    <s v="USR-100699"/>
    <d v="2025-03-29T00:00:00"/>
    <x v="1"/>
    <x v="1"/>
    <x v="0"/>
    <x v="2"/>
    <x v="2"/>
    <x v="1"/>
    <x v="0"/>
    <x v="0"/>
    <x v="0"/>
    <x v="0"/>
    <x v="1"/>
    <x v="0"/>
    <m/>
    <x v="390"/>
  </r>
  <r>
    <s v="USR-100700"/>
    <d v="2025-03-17T00:00:00"/>
    <x v="1"/>
    <x v="1"/>
    <x v="0"/>
    <x v="1"/>
    <x v="0"/>
    <x v="1"/>
    <x v="0"/>
    <x v="0"/>
    <x v="0"/>
    <x v="0"/>
    <x v="1"/>
    <x v="0"/>
    <m/>
    <x v="309"/>
  </r>
  <r>
    <s v="USR-100701"/>
    <d v="2025-05-05T00:00:00"/>
    <x v="1"/>
    <x v="0"/>
    <x v="1"/>
    <x v="1"/>
    <x v="1"/>
    <x v="1"/>
    <x v="1"/>
    <x v="1"/>
    <x v="1"/>
    <x v="23"/>
    <x v="0"/>
    <x v="0"/>
    <n v="10"/>
    <x v="391"/>
  </r>
  <r>
    <s v="USR-100702"/>
    <d v="2025-05-04T00:00:00"/>
    <x v="1"/>
    <x v="3"/>
    <x v="1"/>
    <x v="4"/>
    <x v="1"/>
    <x v="1"/>
    <x v="0"/>
    <x v="0"/>
    <x v="0"/>
    <x v="0"/>
    <x v="0"/>
    <x v="0"/>
    <m/>
    <x v="392"/>
  </r>
  <r>
    <s v="USR-100703"/>
    <d v="2025-03-25T00:00:00"/>
    <x v="1"/>
    <x v="0"/>
    <x v="1"/>
    <x v="4"/>
    <x v="2"/>
    <x v="0"/>
    <x v="0"/>
    <x v="0"/>
    <x v="0"/>
    <x v="0"/>
    <x v="3"/>
    <x v="0"/>
    <m/>
    <x v="384"/>
  </r>
  <r>
    <s v="USR-100704"/>
    <d v="2025-04-17T00:00:00"/>
    <x v="1"/>
    <x v="1"/>
    <x v="1"/>
    <x v="0"/>
    <x v="1"/>
    <x v="0"/>
    <x v="0"/>
    <x v="0"/>
    <x v="0"/>
    <x v="0"/>
    <x v="1"/>
    <x v="0"/>
    <m/>
    <x v="393"/>
  </r>
  <r>
    <s v="USR-100705"/>
    <d v="2025-05-23T00:00:00"/>
    <x v="1"/>
    <x v="3"/>
    <x v="1"/>
    <x v="3"/>
    <x v="0"/>
    <x v="1"/>
    <x v="1"/>
    <x v="1"/>
    <x v="0"/>
    <x v="0"/>
    <x v="1"/>
    <x v="0"/>
    <m/>
    <x v="394"/>
  </r>
  <r>
    <s v="USR-100706"/>
    <d v="2025-01-13T00:00:00"/>
    <x v="1"/>
    <x v="0"/>
    <x v="1"/>
    <x v="1"/>
    <x v="0"/>
    <x v="0"/>
    <x v="0"/>
    <x v="0"/>
    <x v="0"/>
    <x v="0"/>
    <x v="0"/>
    <x v="0"/>
    <m/>
    <x v="305"/>
  </r>
  <r>
    <s v="USR-100707"/>
    <d v="2025-01-29T00:00:00"/>
    <x v="1"/>
    <x v="0"/>
    <x v="0"/>
    <x v="1"/>
    <x v="0"/>
    <x v="1"/>
    <x v="0"/>
    <x v="0"/>
    <x v="0"/>
    <x v="0"/>
    <x v="0"/>
    <x v="0"/>
    <m/>
    <x v="128"/>
  </r>
  <r>
    <s v="USR-100708"/>
    <d v="2025-05-11T00:00:00"/>
    <x v="1"/>
    <x v="3"/>
    <x v="1"/>
    <x v="0"/>
    <x v="1"/>
    <x v="0"/>
    <x v="0"/>
    <x v="0"/>
    <x v="0"/>
    <x v="0"/>
    <x v="0"/>
    <x v="0"/>
    <m/>
    <x v="395"/>
  </r>
  <r>
    <s v="USR-100709"/>
    <d v="2025-04-22T00:00:00"/>
    <x v="1"/>
    <x v="3"/>
    <x v="1"/>
    <x v="1"/>
    <x v="0"/>
    <x v="1"/>
    <x v="0"/>
    <x v="0"/>
    <x v="0"/>
    <x v="0"/>
    <x v="0"/>
    <x v="0"/>
    <m/>
    <x v="396"/>
  </r>
  <r>
    <s v="USR-100710"/>
    <d v="2025-03-03T00:00:00"/>
    <x v="1"/>
    <x v="3"/>
    <x v="1"/>
    <x v="4"/>
    <x v="1"/>
    <x v="1"/>
    <x v="1"/>
    <x v="1"/>
    <x v="0"/>
    <x v="0"/>
    <x v="1"/>
    <x v="0"/>
    <m/>
    <x v="28"/>
  </r>
  <r>
    <s v="USR-100711"/>
    <d v="2025-03-18T00:00:00"/>
    <x v="1"/>
    <x v="0"/>
    <x v="1"/>
    <x v="3"/>
    <x v="1"/>
    <x v="1"/>
    <x v="0"/>
    <x v="0"/>
    <x v="0"/>
    <x v="0"/>
    <x v="0"/>
    <x v="0"/>
    <m/>
    <x v="88"/>
  </r>
  <r>
    <s v="USR-100712"/>
    <d v="2025-04-05T00:00:00"/>
    <x v="1"/>
    <x v="0"/>
    <x v="1"/>
    <x v="1"/>
    <x v="0"/>
    <x v="1"/>
    <x v="0"/>
    <x v="0"/>
    <x v="0"/>
    <x v="0"/>
    <x v="0"/>
    <x v="0"/>
    <m/>
    <x v="39"/>
  </r>
  <r>
    <s v="USR-100713"/>
    <d v="2025-04-16T00:00:00"/>
    <x v="1"/>
    <x v="2"/>
    <x v="1"/>
    <x v="1"/>
    <x v="1"/>
    <x v="1"/>
    <x v="1"/>
    <x v="1"/>
    <x v="1"/>
    <x v="24"/>
    <x v="0"/>
    <x v="0"/>
    <n v="11"/>
    <x v="274"/>
  </r>
  <r>
    <s v="USR-100714"/>
    <d v="2025-04-20T00:00:00"/>
    <x v="1"/>
    <x v="3"/>
    <x v="1"/>
    <x v="3"/>
    <x v="1"/>
    <x v="1"/>
    <x v="1"/>
    <x v="1"/>
    <x v="1"/>
    <x v="25"/>
    <x v="2"/>
    <x v="0"/>
    <n v="8"/>
    <x v="291"/>
  </r>
  <r>
    <s v="USR-100715"/>
    <d v="2025-02-15T00:00:00"/>
    <x v="1"/>
    <x v="3"/>
    <x v="1"/>
    <x v="1"/>
    <x v="1"/>
    <x v="0"/>
    <x v="0"/>
    <x v="0"/>
    <x v="0"/>
    <x v="0"/>
    <x v="0"/>
    <x v="0"/>
    <m/>
    <x v="171"/>
  </r>
  <r>
    <s v="USR-100716"/>
    <d v="2025-01-21T00:00:00"/>
    <x v="1"/>
    <x v="3"/>
    <x v="1"/>
    <x v="1"/>
    <x v="1"/>
    <x v="1"/>
    <x v="0"/>
    <x v="0"/>
    <x v="0"/>
    <x v="0"/>
    <x v="0"/>
    <x v="0"/>
    <m/>
    <x v="235"/>
  </r>
  <r>
    <s v="USR-100717"/>
    <d v="2025-05-23T00:00:00"/>
    <x v="1"/>
    <x v="0"/>
    <x v="1"/>
    <x v="2"/>
    <x v="2"/>
    <x v="1"/>
    <x v="1"/>
    <x v="1"/>
    <x v="0"/>
    <x v="0"/>
    <x v="0"/>
    <x v="0"/>
    <m/>
    <x v="397"/>
  </r>
  <r>
    <s v="USR-100718"/>
    <d v="2025-01-22T00:00:00"/>
    <x v="1"/>
    <x v="1"/>
    <x v="1"/>
    <x v="2"/>
    <x v="0"/>
    <x v="0"/>
    <x v="0"/>
    <x v="0"/>
    <x v="0"/>
    <x v="0"/>
    <x v="0"/>
    <x v="0"/>
    <m/>
    <x v="96"/>
  </r>
  <r>
    <s v="USR-100719"/>
    <d v="2025-04-24T00:00:00"/>
    <x v="1"/>
    <x v="1"/>
    <x v="1"/>
    <x v="2"/>
    <x v="2"/>
    <x v="0"/>
    <x v="0"/>
    <x v="0"/>
    <x v="0"/>
    <x v="0"/>
    <x v="0"/>
    <x v="0"/>
    <m/>
    <x v="10"/>
  </r>
  <r>
    <s v="USR-100720"/>
    <d v="2025-01-17T00:00:00"/>
    <x v="1"/>
    <x v="1"/>
    <x v="0"/>
    <x v="0"/>
    <x v="1"/>
    <x v="0"/>
    <x v="0"/>
    <x v="0"/>
    <x v="0"/>
    <x v="0"/>
    <x v="2"/>
    <x v="0"/>
    <m/>
    <x v="196"/>
  </r>
  <r>
    <s v="USR-100721"/>
    <d v="2025-01-22T00:00:00"/>
    <x v="1"/>
    <x v="2"/>
    <x v="1"/>
    <x v="3"/>
    <x v="0"/>
    <x v="1"/>
    <x v="1"/>
    <x v="0"/>
    <x v="0"/>
    <x v="0"/>
    <x v="0"/>
    <x v="0"/>
    <m/>
    <x v="398"/>
  </r>
  <r>
    <s v="USR-100722"/>
    <d v="2025-05-04T00:00:00"/>
    <x v="1"/>
    <x v="2"/>
    <x v="0"/>
    <x v="2"/>
    <x v="1"/>
    <x v="1"/>
    <x v="0"/>
    <x v="0"/>
    <x v="0"/>
    <x v="0"/>
    <x v="0"/>
    <x v="0"/>
    <m/>
    <x v="399"/>
  </r>
  <r>
    <s v="USR-100723"/>
    <d v="2025-03-13T00:00:00"/>
    <x v="1"/>
    <x v="3"/>
    <x v="1"/>
    <x v="5"/>
    <x v="1"/>
    <x v="0"/>
    <x v="0"/>
    <x v="0"/>
    <x v="0"/>
    <x v="0"/>
    <x v="0"/>
    <x v="0"/>
    <m/>
    <x v="191"/>
  </r>
  <r>
    <s v="USR-100724"/>
    <d v="2025-01-02T00:00:00"/>
    <x v="1"/>
    <x v="0"/>
    <x v="1"/>
    <x v="1"/>
    <x v="0"/>
    <x v="1"/>
    <x v="0"/>
    <x v="0"/>
    <x v="0"/>
    <x v="0"/>
    <x v="0"/>
    <x v="0"/>
    <m/>
    <x v="319"/>
  </r>
  <r>
    <s v="USR-100725"/>
    <d v="2025-01-13T00:00:00"/>
    <x v="1"/>
    <x v="2"/>
    <x v="1"/>
    <x v="2"/>
    <x v="0"/>
    <x v="0"/>
    <x v="0"/>
    <x v="0"/>
    <x v="0"/>
    <x v="0"/>
    <x v="0"/>
    <x v="0"/>
    <m/>
    <x v="134"/>
  </r>
  <r>
    <s v="USR-100726"/>
    <d v="2025-02-09T00:00:00"/>
    <x v="1"/>
    <x v="2"/>
    <x v="1"/>
    <x v="4"/>
    <x v="1"/>
    <x v="1"/>
    <x v="1"/>
    <x v="1"/>
    <x v="0"/>
    <x v="0"/>
    <x v="0"/>
    <x v="0"/>
    <m/>
    <x v="340"/>
  </r>
  <r>
    <s v="USR-100727"/>
    <d v="2025-04-09T00:00:00"/>
    <x v="1"/>
    <x v="2"/>
    <x v="0"/>
    <x v="4"/>
    <x v="1"/>
    <x v="1"/>
    <x v="1"/>
    <x v="0"/>
    <x v="0"/>
    <x v="0"/>
    <x v="2"/>
    <x v="0"/>
    <m/>
    <x v="118"/>
  </r>
  <r>
    <s v="USR-100728"/>
    <d v="2025-01-02T00:00:00"/>
    <x v="1"/>
    <x v="3"/>
    <x v="1"/>
    <x v="2"/>
    <x v="1"/>
    <x v="1"/>
    <x v="1"/>
    <x v="1"/>
    <x v="1"/>
    <x v="26"/>
    <x v="0"/>
    <x v="0"/>
    <n v="7"/>
    <x v="331"/>
  </r>
  <r>
    <s v="USR-100729"/>
    <d v="2025-02-04T00:00:00"/>
    <x v="1"/>
    <x v="3"/>
    <x v="1"/>
    <x v="5"/>
    <x v="2"/>
    <x v="1"/>
    <x v="0"/>
    <x v="0"/>
    <x v="0"/>
    <x v="0"/>
    <x v="0"/>
    <x v="0"/>
    <m/>
    <x v="133"/>
  </r>
  <r>
    <s v="USR-100730"/>
    <d v="2025-02-19T00:00:00"/>
    <x v="1"/>
    <x v="3"/>
    <x v="2"/>
    <x v="2"/>
    <x v="1"/>
    <x v="0"/>
    <x v="0"/>
    <x v="0"/>
    <x v="0"/>
    <x v="0"/>
    <x v="0"/>
    <x v="0"/>
    <m/>
    <x v="400"/>
  </r>
  <r>
    <s v="USR-100731"/>
    <d v="2025-04-01T00:00:00"/>
    <x v="1"/>
    <x v="2"/>
    <x v="1"/>
    <x v="2"/>
    <x v="0"/>
    <x v="1"/>
    <x v="0"/>
    <x v="0"/>
    <x v="0"/>
    <x v="0"/>
    <x v="2"/>
    <x v="0"/>
    <m/>
    <x v="296"/>
  </r>
  <r>
    <s v="USR-100732"/>
    <d v="2025-01-29T00:00:00"/>
    <x v="1"/>
    <x v="0"/>
    <x v="1"/>
    <x v="3"/>
    <x v="1"/>
    <x v="1"/>
    <x v="1"/>
    <x v="1"/>
    <x v="1"/>
    <x v="27"/>
    <x v="1"/>
    <x v="0"/>
    <n v="4"/>
    <x v="187"/>
  </r>
  <r>
    <s v="USR-100733"/>
    <d v="2025-05-18T00:00:00"/>
    <x v="1"/>
    <x v="0"/>
    <x v="1"/>
    <x v="3"/>
    <x v="0"/>
    <x v="1"/>
    <x v="1"/>
    <x v="1"/>
    <x v="0"/>
    <x v="0"/>
    <x v="0"/>
    <x v="0"/>
    <m/>
    <x v="192"/>
  </r>
  <r>
    <s v="USR-100734"/>
    <d v="2025-04-15T00:00:00"/>
    <x v="1"/>
    <x v="2"/>
    <x v="0"/>
    <x v="4"/>
    <x v="2"/>
    <x v="1"/>
    <x v="1"/>
    <x v="0"/>
    <x v="0"/>
    <x v="0"/>
    <x v="0"/>
    <x v="0"/>
    <m/>
    <x v="401"/>
  </r>
  <r>
    <s v="USR-100735"/>
    <d v="2025-03-28T00:00:00"/>
    <x v="1"/>
    <x v="2"/>
    <x v="0"/>
    <x v="0"/>
    <x v="1"/>
    <x v="1"/>
    <x v="0"/>
    <x v="0"/>
    <x v="0"/>
    <x v="0"/>
    <x v="1"/>
    <x v="0"/>
    <m/>
    <x v="402"/>
  </r>
  <r>
    <s v="USR-100736"/>
    <d v="2025-04-01T00:00:00"/>
    <x v="1"/>
    <x v="1"/>
    <x v="1"/>
    <x v="2"/>
    <x v="0"/>
    <x v="1"/>
    <x v="1"/>
    <x v="0"/>
    <x v="0"/>
    <x v="0"/>
    <x v="1"/>
    <x v="0"/>
    <m/>
    <x v="108"/>
  </r>
  <r>
    <s v="USR-100737"/>
    <d v="2025-02-11T00:00:00"/>
    <x v="1"/>
    <x v="1"/>
    <x v="1"/>
    <x v="4"/>
    <x v="0"/>
    <x v="1"/>
    <x v="0"/>
    <x v="0"/>
    <x v="0"/>
    <x v="0"/>
    <x v="0"/>
    <x v="0"/>
    <m/>
    <x v="187"/>
  </r>
  <r>
    <s v="USR-100738"/>
    <d v="2025-03-04T00:00:00"/>
    <x v="1"/>
    <x v="3"/>
    <x v="1"/>
    <x v="1"/>
    <x v="1"/>
    <x v="1"/>
    <x v="1"/>
    <x v="1"/>
    <x v="0"/>
    <x v="0"/>
    <x v="0"/>
    <x v="0"/>
    <m/>
    <x v="403"/>
  </r>
  <r>
    <s v="USR-100739"/>
    <d v="2025-01-21T00:00:00"/>
    <x v="1"/>
    <x v="0"/>
    <x v="2"/>
    <x v="4"/>
    <x v="0"/>
    <x v="0"/>
    <x v="0"/>
    <x v="0"/>
    <x v="0"/>
    <x v="0"/>
    <x v="2"/>
    <x v="0"/>
    <m/>
    <x v="404"/>
  </r>
  <r>
    <s v="USR-100740"/>
    <d v="2025-02-14T00:00:00"/>
    <x v="1"/>
    <x v="0"/>
    <x v="1"/>
    <x v="3"/>
    <x v="1"/>
    <x v="0"/>
    <x v="0"/>
    <x v="0"/>
    <x v="0"/>
    <x v="0"/>
    <x v="1"/>
    <x v="0"/>
    <m/>
    <x v="142"/>
  </r>
  <r>
    <s v="USR-100741"/>
    <d v="2025-03-30T00:00:00"/>
    <x v="1"/>
    <x v="0"/>
    <x v="0"/>
    <x v="5"/>
    <x v="2"/>
    <x v="1"/>
    <x v="0"/>
    <x v="0"/>
    <x v="0"/>
    <x v="0"/>
    <x v="2"/>
    <x v="0"/>
    <m/>
    <x v="40"/>
  </r>
  <r>
    <s v="USR-100742"/>
    <d v="2025-01-08T00:00:00"/>
    <x v="1"/>
    <x v="0"/>
    <x v="1"/>
    <x v="3"/>
    <x v="1"/>
    <x v="0"/>
    <x v="0"/>
    <x v="0"/>
    <x v="0"/>
    <x v="0"/>
    <x v="0"/>
    <x v="0"/>
    <m/>
    <x v="247"/>
  </r>
  <r>
    <s v="USR-100743"/>
    <d v="2025-02-07T00:00:00"/>
    <x v="1"/>
    <x v="0"/>
    <x v="1"/>
    <x v="4"/>
    <x v="1"/>
    <x v="1"/>
    <x v="1"/>
    <x v="1"/>
    <x v="0"/>
    <x v="0"/>
    <x v="0"/>
    <x v="0"/>
    <m/>
    <x v="15"/>
  </r>
  <r>
    <s v="USR-100744"/>
    <d v="2025-02-01T00:00:00"/>
    <x v="1"/>
    <x v="0"/>
    <x v="2"/>
    <x v="2"/>
    <x v="0"/>
    <x v="0"/>
    <x v="0"/>
    <x v="0"/>
    <x v="0"/>
    <x v="0"/>
    <x v="0"/>
    <x v="0"/>
    <m/>
    <x v="322"/>
  </r>
  <r>
    <s v="USR-100745"/>
    <d v="2025-01-04T00:00:00"/>
    <x v="1"/>
    <x v="2"/>
    <x v="1"/>
    <x v="0"/>
    <x v="1"/>
    <x v="1"/>
    <x v="1"/>
    <x v="1"/>
    <x v="0"/>
    <x v="0"/>
    <x v="0"/>
    <x v="0"/>
    <m/>
    <x v="332"/>
  </r>
  <r>
    <s v="USR-100746"/>
    <d v="2025-05-16T00:00:00"/>
    <x v="1"/>
    <x v="3"/>
    <x v="0"/>
    <x v="3"/>
    <x v="1"/>
    <x v="0"/>
    <x v="0"/>
    <x v="0"/>
    <x v="0"/>
    <x v="0"/>
    <x v="0"/>
    <x v="0"/>
    <m/>
    <x v="405"/>
  </r>
  <r>
    <s v="USR-100747"/>
    <d v="2025-02-28T00:00:00"/>
    <x v="1"/>
    <x v="1"/>
    <x v="1"/>
    <x v="3"/>
    <x v="1"/>
    <x v="1"/>
    <x v="0"/>
    <x v="0"/>
    <x v="0"/>
    <x v="0"/>
    <x v="0"/>
    <x v="0"/>
    <m/>
    <x v="320"/>
  </r>
  <r>
    <s v="USR-100748"/>
    <d v="2025-04-12T00:00:00"/>
    <x v="1"/>
    <x v="0"/>
    <x v="1"/>
    <x v="3"/>
    <x v="1"/>
    <x v="1"/>
    <x v="0"/>
    <x v="0"/>
    <x v="0"/>
    <x v="0"/>
    <x v="0"/>
    <x v="0"/>
    <m/>
    <x v="159"/>
  </r>
  <r>
    <s v="USR-100749"/>
    <d v="2025-03-23T00:00:00"/>
    <x v="1"/>
    <x v="3"/>
    <x v="0"/>
    <x v="1"/>
    <x v="1"/>
    <x v="0"/>
    <x v="0"/>
    <x v="0"/>
    <x v="0"/>
    <x v="0"/>
    <x v="0"/>
    <x v="0"/>
    <m/>
    <x v="270"/>
  </r>
  <r>
    <s v="USR-100750"/>
    <d v="2025-05-29T00:00:00"/>
    <x v="1"/>
    <x v="0"/>
    <x v="2"/>
    <x v="1"/>
    <x v="1"/>
    <x v="1"/>
    <x v="0"/>
    <x v="0"/>
    <x v="0"/>
    <x v="0"/>
    <x v="0"/>
    <x v="0"/>
    <m/>
    <x v="355"/>
  </r>
  <r>
    <s v="USR-100751"/>
    <d v="2025-05-21T00:00:00"/>
    <x v="1"/>
    <x v="3"/>
    <x v="0"/>
    <x v="1"/>
    <x v="0"/>
    <x v="0"/>
    <x v="0"/>
    <x v="0"/>
    <x v="0"/>
    <x v="0"/>
    <x v="0"/>
    <x v="0"/>
    <m/>
    <x v="92"/>
  </r>
  <r>
    <s v="USR-100752"/>
    <d v="2025-01-05T00:00:00"/>
    <x v="1"/>
    <x v="3"/>
    <x v="1"/>
    <x v="3"/>
    <x v="2"/>
    <x v="0"/>
    <x v="0"/>
    <x v="0"/>
    <x v="0"/>
    <x v="0"/>
    <x v="0"/>
    <x v="0"/>
    <m/>
    <x v="406"/>
  </r>
  <r>
    <s v="USR-100753"/>
    <d v="2025-03-19T00:00:00"/>
    <x v="1"/>
    <x v="2"/>
    <x v="2"/>
    <x v="1"/>
    <x v="1"/>
    <x v="1"/>
    <x v="0"/>
    <x v="0"/>
    <x v="0"/>
    <x v="0"/>
    <x v="0"/>
    <x v="0"/>
    <m/>
    <x v="14"/>
  </r>
  <r>
    <s v="USR-100754"/>
    <d v="2025-04-24T00:00:00"/>
    <x v="1"/>
    <x v="2"/>
    <x v="1"/>
    <x v="1"/>
    <x v="1"/>
    <x v="1"/>
    <x v="0"/>
    <x v="0"/>
    <x v="0"/>
    <x v="0"/>
    <x v="1"/>
    <x v="0"/>
    <m/>
    <x v="156"/>
  </r>
  <r>
    <s v="USR-100755"/>
    <d v="2025-03-10T00:00:00"/>
    <x v="1"/>
    <x v="0"/>
    <x v="2"/>
    <x v="1"/>
    <x v="1"/>
    <x v="0"/>
    <x v="0"/>
    <x v="0"/>
    <x v="0"/>
    <x v="0"/>
    <x v="3"/>
    <x v="0"/>
    <m/>
    <x v="277"/>
  </r>
  <r>
    <s v="USR-100756"/>
    <d v="2025-02-22T00:00:00"/>
    <x v="1"/>
    <x v="3"/>
    <x v="2"/>
    <x v="3"/>
    <x v="0"/>
    <x v="1"/>
    <x v="0"/>
    <x v="0"/>
    <x v="0"/>
    <x v="0"/>
    <x v="0"/>
    <x v="0"/>
    <m/>
    <x v="142"/>
  </r>
  <r>
    <s v="USR-100757"/>
    <d v="2025-05-17T00:00:00"/>
    <x v="1"/>
    <x v="2"/>
    <x v="1"/>
    <x v="4"/>
    <x v="1"/>
    <x v="0"/>
    <x v="0"/>
    <x v="0"/>
    <x v="0"/>
    <x v="0"/>
    <x v="1"/>
    <x v="0"/>
    <m/>
    <x v="24"/>
  </r>
  <r>
    <s v="USR-100758"/>
    <d v="2025-05-09T00:00:00"/>
    <x v="1"/>
    <x v="2"/>
    <x v="2"/>
    <x v="3"/>
    <x v="2"/>
    <x v="1"/>
    <x v="1"/>
    <x v="1"/>
    <x v="1"/>
    <x v="28"/>
    <x v="1"/>
    <x v="0"/>
    <n v="7"/>
    <x v="133"/>
  </r>
  <r>
    <s v="USR-100759"/>
    <d v="2025-04-26T00:00:00"/>
    <x v="1"/>
    <x v="2"/>
    <x v="2"/>
    <x v="1"/>
    <x v="2"/>
    <x v="1"/>
    <x v="0"/>
    <x v="0"/>
    <x v="0"/>
    <x v="0"/>
    <x v="0"/>
    <x v="0"/>
    <m/>
    <x v="211"/>
  </r>
  <r>
    <s v="USR-100760"/>
    <d v="2025-03-15T00:00:00"/>
    <x v="1"/>
    <x v="1"/>
    <x v="0"/>
    <x v="4"/>
    <x v="1"/>
    <x v="1"/>
    <x v="1"/>
    <x v="1"/>
    <x v="0"/>
    <x v="0"/>
    <x v="0"/>
    <x v="0"/>
    <m/>
    <x v="407"/>
  </r>
  <r>
    <s v="USR-100761"/>
    <d v="2025-04-03T00:00:00"/>
    <x v="1"/>
    <x v="0"/>
    <x v="1"/>
    <x v="2"/>
    <x v="1"/>
    <x v="0"/>
    <x v="0"/>
    <x v="0"/>
    <x v="0"/>
    <x v="0"/>
    <x v="0"/>
    <x v="0"/>
    <m/>
    <x v="380"/>
  </r>
  <r>
    <s v="USR-100762"/>
    <d v="2025-03-26T00:00:00"/>
    <x v="1"/>
    <x v="3"/>
    <x v="1"/>
    <x v="2"/>
    <x v="1"/>
    <x v="0"/>
    <x v="0"/>
    <x v="0"/>
    <x v="0"/>
    <x v="0"/>
    <x v="0"/>
    <x v="0"/>
    <m/>
    <x v="128"/>
  </r>
  <r>
    <s v="USR-100763"/>
    <d v="2025-02-05T00:00:00"/>
    <x v="1"/>
    <x v="1"/>
    <x v="0"/>
    <x v="1"/>
    <x v="0"/>
    <x v="1"/>
    <x v="1"/>
    <x v="0"/>
    <x v="0"/>
    <x v="0"/>
    <x v="2"/>
    <x v="0"/>
    <m/>
    <x v="389"/>
  </r>
  <r>
    <s v="USR-100764"/>
    <d v="2025-05-08T00:00:00"/>
    <x v="1"/>
    <x v="3"/>
    <x v="1"/>
    <x v="4"/>
    <x v="0"/>
    <x v="1"/>
    <x v="1"/>
    <x v="0"/>
    <x v="0"/>
    <x v="0"/>
    <x v="0"/>
    <x v="0"/>
    <m/>
    <x v="184"/>
  </r>
  <r>
    <s v="USR-100765"/>
    <d v="2025-03-25T00:00:00"/>
    <x v="1"/>
    <x v="3"/>
    <x v="0"/>
    <x v="1"/>
    <x v="0"/>
    <x v="0"/>
    <x v="0"/>
    <x v="0"/>
    <x v="0"/>
    <x v="0"/>
    <x v="1"/>
    <x v="0"/>
    <m/>
    <x v="28"/>
  </r>
  <r>
    <s v="USR-100766"/>
    <d v="2025-01-14T00:00:00"/>
    <x v="1"/>
    <x v="1"/>
    <x v="3"/>
    <x v="0"/>
    <x v="0"/>
    <x v="1"/>
    <x v="1"/>
    <x v="1"/>
    <x v="0"/>
    <x v="0"/>
    <x v="1"/>
    <x v="0"/>
    <m/>
    <x v="355"/>
  </r>
  <r>
    <s v="USR-100767"/>
    <d v="2025-03-26T00:00:00"/>
    <x v="1"/>
    <x v="0"/>
    <x v="1"/>
    <x v="1"/>
    <x v="1"/>
    <x v="1"/>
    <x v="1"/>
    <x v="0"/>
    <x v="0"/>
    <x v="0"/>
    <x v="2"/>
    <x v="0"/>
    <m/>
    <x v="18"/>
  </r>
  <r>
    <s v="USR-100768"/>
    <d v="2025-01-16T00:00:00"/>
    <x v="1"/>
    <x v="2"/>
    <x v="1"/>
    <x v="3"/>
    <x v="1"/>
    <x v="1"/>
    <x v="0"/>
    <x v="0"/>
    <x v="0"/>
    <x v="0"/>
    <x v="0"/>
    <x v="0"/>
    <m/>
    <x v="349"/>
  </r>
  <r>
    <s v="USR-100769"/>
    <d v="2025-01-04T00:00:00"/>
    <x v="1"/>
    <x v="2"/>
    <x v="1"/>
    <x v="4"/>
    <x v="1"/>
    <x v="1"/>
    <x v="0"/>
    <x v="0"/>
    <x v="0"/>
    <x v="0"/>
    <x v="0"/>
    <x v="0"/>
    <m/>
    <x v="213"/>
  </r>
  <r>
    <s v="USR-100770"/>
    <d v="2025-02-09T00:00:00"/>
    <x v="1"/>
    <x v="3"/>
    <x v="0"/>
    <x v="1"/>
    <x v="2"/>
    <x v="1"/>
    <x v="1"/>
    <x v="1"/>
    <x v="0"/>
    <x v="0"/>
    <x v="0"/>
    <x v="0"/>
    <m/>
    <x v="408"/>
  </r>
  <r>
    <s v="USR-100771"/>
    <d v="2025-03-05T00:00:00"/>
    <x v="1"/>
    <x v="2"/>
    <x v="0"/>
    <x v="1"/>
    <x v="1"/>
    <x v="1"/>
    <x v="0"/>
    <x v="0"/>
    <x v="0"/>
    <x v="0"/>
    <x v="0"/>
    <x v="0"/>
    <m/>
    <x v="285"/>
  </r>
  <r>
    <s v="USR-100772"/>
    <d v="2025-03-10T00:00:00"/>
    <x v="1"/>
    <x v="2"/>
    <x v="1"/>
    <x v="3"/>
    <x v="0"/>
    <x v="1"/>
    <x v="0"/>
    <x v="0"/>
    <x v="0"/>
    <x v="0"/>
    <x v="0"/>
    <x v="0"/>
    <m/>
    <x v="409"/>
  </r>
  <r>
    <s v="USR-100773"/>
    <d v="2025-02-27T00:00:00"/>
    <x v="1"/>
    <x v="2"/>
    <x v="0"/>
    <x v="2"/>
    <x v="1"/>
    <x v="1"/>
    <x v="0"/>
    <x v="0"/>
    <x v="0"/>
    <x v="0"/>
    <x v="0"/>
    <x v="0"/>
    <m/>
    <x v="410"/>
  </r>
  <r>
    <s v="USR-100774"/>
    <d v="2025-03-10T00:00:00"/>
    <x v="1"/>
    <x v="0"/>
    <x v="0"/>
    <x v="3"/>
    <x v="0"/>
    <x v="1"/>
    <x v="1"/>
    <x v="0"/>
    <x v="0"/>
    <x v="0"/>
    <x v="0"/>
    <x v="0"/>
    <m/>
    <x v="104"/>
  </r>
  <r>
    <s v="USR-100775"/>
    <d v="2025-04-23T00:00:00"/>
    <x v="1"/>
    <x v="1"/>
    <x v="1"/>
    <x v="4"/>
    <x v="1"/>
    <x v="0"/>
    <x v="0"/>
    <x v="0"/>
    <x v="0"/>
    <x v="0"/>
    <x v="2"/>
    <x v="0"/>
    <m/>
    <x v="221"/>
  </r>
  <r>
    <s v="USR-100776"/>
    <d v="2025-04-12T00:00:00"/>
    <x v="1"/>
    <x v="0"/>
    <x v="0"/>
    <x v="2"/>
    <x v="1"/>
    <x v="1"/>
    <x v="0"/>
    <x v="0"/>
    <x v="0"/>
    <x v="0"/>
    <x v="0"/>
    <x v="0"/>
    <m/>
    <x v="60"/>
  </r>
  <r>
    <s v="USR-100777"/>
    <d v="2025-01-26T00:00:00"/>
    <x v="1"/>
    <x v="2"/>
    <x v="0"/>
    <x v="3"/>
    <x v="1"/>
    <x v="0"/>
    <x v="0"/>
    <x v="0"/>
    <x v="0"/>
    <x v="0"/>
    <x v="0"/>
    <x v="0"/>
    <m/>
    <x v="94"/>
  </r>
  <r>
    <s v="USR-100778"/>
    <d v="2025-05-24T00:00:00"/>
    <x v="1"/>
    <x v="1"/>
    <x v="2"/>
    <x v="2"/>
    <x v="1"/>
    <x v="0"/>
    <x v="0"/>
    <x v="0"/>
    <x v="0"/>
    <x v="0"/>
    <x v="0"/>
    <x v="0"/>
    <m/>
    <x v="19"/>
  </r>
  <r>
    <s v="USR-100779"/>
    <d v="2025-01-08T00:00:00"/>
    <x v="1"/>
    <x v="3"/>
    <x v="1"/>
    <x v="1"/>
    <x v="1"/>
    <x v="1"/>
    <x v="0"/>
    <x v="0"/>
    <x v="0"/>
    <x v="0"/>
    <x v="0"/>
    <x v="0"/>
    <m/>
    <x v="411"/>
  </r>
  <r>
    <s v="USR-100780"/>
    <d v="2025-04-15T00:00:00"/>
    <x v="1"/>
    <x v="0"/>
    <x v="1"/>
    <x v="3"/>
    <x v="1"/>
    <x v="1"/>
    <x v="1"/>
    <x v="0"/>
    <x v="0"/>
    <x v="0"/>
    <x v="0"/>
    <x v="0"/>
    <m/>
    <x v="314"/>
  </r>
  <r>
    <s v="USR-100781"/>
    <d v="2025-01-15T00:00:00"/>
    <x v="1"/>
    <x v="3"/>
    <x v="0"/>
    <x v="2"/>
    <x v="1"/>
    <x v="1"/>
    <x v="0"/>
    <x v="0"/>
    <x v="0"/>
    <x v="0"/>
    <x v="0"/>
    <x v="0"/>
    <m/>
    <x v="412"/>
  </r>
  <r>
    <s v="USR-100782"/>
    <d v="2025-02-28T00:00:00"/>
    <x v="1"/>
    <x v="0"/>
    <x v="1"/>
    <x v="1"/>
    <x v="0"/>
    <x v="1"/>
    <x v="1"/>
    <x v="1"/>
    <x v="0"/>
    <x v="0"/>
    <x v="0"/>
    <x v="0"/>
    <m/>
    <x v="194"/>
  </r>
  <r>
    <s v="USR-100783"/>
    <d v="2025-01-01T00:00:00"/>
    <x v="1"/>
    <x v="0"/>
    <x v="2"/>
    <x v="1"/>
    <x v="0"/>
    <x v="0"/>
    <x v="0"/>
    <x v="0"/>
    <x v="0"/>
    <x v="0"/>
    <x v="0"/>
    <x v="0"/>
    <m/>
    <x v="163"/>
  </r>
  <r>
    <s v="USR-100784"/>
    <d v="2025-04-17T00:00:00"/>
    <x v="1"/>
    <x v="1"/>
    <x v="1"/>
    <x v="3"/>
    <x v="1"/>
    <x v="1"/>
    <x v="0"/>
    <x v="0"/>
    <x v="0"/>
    <x v="0"/>
    <x v="0"/>
    <x v="0"/>
    <m/>
    <x v="59"/>
  </r>
  <r>
    <s v="USR-100785"/>
    <d v="2025-02-19T00:00:00"/>
    <x v="1"/>
    <x v="0"/>
    <x v="1"/>
    <x v="0"/>
    <x v="0"/>
    <x v="1"/>
    <x v="1"/>
    <x v="0"/>
    <x v="0"/>
    <x v="0"/>
    <x v="0"/>
    <x v="0"/>
    <m/>
    <x v="30"/>
  </r>
  <r>
    <s v="USR-100786"/>
    <d v="2025-03-14T00:00:00"/>
    <x v="1"/>
    <x v="0"/>
    <x v="0"/>
    <x v="1"/>
    <x v="1"/>
    <x v="1"/>
    <x v="0"/>
    <x v="0"/>
    <x v="0"/>
    <x v="0"/>
    <x v="0"/>
    <x v="0"/>
    <m/>
    <x v="132"/>
  </r>
  <r>
    <s v="USR-100787"/>
    <d v="2025-04-21T00:00:00"/>
    <x v="1"/>
    <x v="0"/>
    <x v="1"/>
    <x v="1"/>
    <x v="1"/>
    <x v="1"/>
    <x v="1"/>
    <x v="0"/>
    <x v="0"/>
    <x v="0"/>
    <x v="0"/>
    <x v="0"/>
    <m/>
    <x v="69"/>
  </r>
  <r>
    <s v="USR-100788"/>
    <d v="2025-02-14T00:00:00"/>
    <x v="1"/>
    <x v="0"/>
    <x v="1"/>
    <x v="1"/>
    <x v="1"/>
    <x v="1"/>
    <x v="0"/>
    <x v="0"/>
    <x v="0"/>
    <x v="0"/>
    <x v="0"/>
    <x v="0"/>
    <m/>
    <x v="237"/>
  </r>
  <r>
    <s v="USR-100789"/>
    <d v="2025-05-30T00:00:00"/>
    <x v="1"/>
    <x v="1"/>
    <x v="1"/>
    <x v="1"/>
    <x v="1"/>
    <x v="0"/>
    <x v="0"/>
    <x v="0"/>
    <x v="0"/>
    <x v="0"/>
    <x v="0"/>
    <x v="0"/>
    <m/>
    <x v="413"/>
  </r>
  <r>
    <s v="USR-100790"/>
    <d v="2025-01-20T00:00:00"/>
    <x v="1"/>
    <x v="1"/>
    <x v="1"/>
    <x v="1"/>
    <x v="1"/>
    <x v="0"/>
    <x v="0"/>
    <x v="0"/>
    <x v="0"/>
    <x v="0"/>
    <x v="0"/>
    <x v="0"/>
    <m/>
    <x v="414"/>
  </r>
  <r>
    <s v="USR-100791"/>
    <d v="2025-03-17T00:00:00"/>
    <x v="1"/>
    <x v="1"/>
    <x v="1"/>
    <x v="4"/>
    <x v="2"/>
    <x v="0"/>
    <x v="0"/>
    <x v="0"/>
    <x v="0"/>
    <x v="0"/>
    <x v="0"/>
    <x v="0"/>
    <m/>
    <x v="161"/>
  </r>
  <r>
    <s v="USR-100792"/>
    <d v="2025-03-04T00:00:00"/>
    <x v="1"/>
    <x v="1"/>
    <x v="1"/>
    <x v="4"/>
    <x v="1"/>
    <x v="1"/>
    <x v="1"/>
    <x v="0"/>
    <x v="0"/>
    <x v="0"/>
    <x v="1"/>
    <x v="0"/>
    <m/>
    <x v="415"/>
  </r>
  <r>
    <s v="USR-100793"/>
    <d v="2025-02-22T00:00:00"/>
    <x v="1"/>
    <x v="3"/>
    <x v="1"/>
    <x v="1"/>
    <x v="2"/>
    <x v="0"/>
    <x v="0"/>
    <x v="0"/>
    <x v="0"/>
    <x v="0"/>
    <x v="0"/>
    <x v="0"/>
    <m/>
    <x v="416"/>
  </r>
  <r>
    <s v="USR-100794"/>
    <d v="2025-05-02T00:00:00"/>
    <x v="1"/>
    <x v="0"/>
    <x v="1"/>
    <x v="2"/>
    <x v="2"/>
    <x v="0"/>
    <x v="0"/>
    <x v="0"/>
    <x v="0"/>
    <x v="0"/>
    <x v="0"/>
    <x v="0"/>
    <m/>
    <x v="417"/>
  </r>
  <r>
    <s v="USR-100795"/>
    <d v="2025-03-13T00:00:00"/>
    <x v="1"/>
    <x v="1"/>
    <x v="0"/>
    <x v="1"/>
    <x v="2"/>
    <x v="0"/>
    <x v="0"/>
    <x v="0"/>
    <x v="0"/>
    <x v="0"/>
    <x v="3"/>
    <x v="0"/>
    <m/>
    <x v="177"/>
  </r>
  <r>
    <s v="USR-100796"/>
    <d v="2025-05-31T00:00:00"/>
    <x v="1"/>
    <x v="3"/>
    <x v="1"/>
    <x v="1"/>
    <x v="0"/>
    <x v="1"/>
    <x v="0"/>
    <x v="0"/>
    <x v="0"/>
    <x v="0"/>
    <x v="0"/>
    <x v="0"/>
    <m/>
    <x v="302"/>
  </r>
  <r>
    <s v="USR-100797"/>
    <d v="2025-03-07T00:00:00"/>
    <x v="1"/>
    <x v="1"/>
    <x v="0"/>
    <x v="4"/>
    <x v="1"/>
    <x v="1"/>
    <x v="0"/>
    <x v="0"/>
    <x v="0"/>
    <x v="0"/>
    <x v="0"/>
    <x v="0"/>
    <m/>
    <x v="405"/>
  </r>
  <r>
    <s v="USR-100798"/>
    <d v="2025-02-22T00:00:00"/>
    <x v="1"/>
    <x v="1"/>
    <x v="1"/>
    <x v="2"/>
    <x v="0"/>
    <x v="0"/>
    <x v="0"/>
    <x v="0"/>
    <x v="0"/>
    <x v="0"/>
    <x v="1"/>
    <x v="0"/>
    <m/>
    <x v="418"/>
  </r>
  <r>
    <s v="USR-100799"/>
    <d v="2025-01-05T00:00:00"/>
    <x v="1"/>
    <x v="1"/>
    <x v="0"/>
    <x v="2"/>
    <x v="1"/>
    <x v="1"/>
    <x v="1"/>
    <x v="1"/>
    <x v="0"/>
    <x v="0"/>
    <x v="0"/>
    <x v="0"/>
    <m/>
    <x v="419"/>
  </r>
  <r>
    <s v="USR-100800"/>
    <d v="2025-01-21T00:00:00"/>
    <x v="1"/>
    <x v="1"/>
    <x v="1"/>
    <x v="3"/>
    <x v="1"/>
    <x v="1"/>
    <x v="0"/>
    <x v="0"/>
    <x v="0"/>
    <x v="0"/>
    <x v="0"/>
    <x v="0"/>
    <m/>
    <x v="247"/>
  </r>
  <r>
    <s v="USR-100801"/>
    <d v="2025-01-25T00:00:00"/>
    <x v="1"/>
    <x v="0"/>
    <x v="0"/>
    <x v="4"/>
    <x v="1"/>
    <x v="1"/>
    <x v="1"/>
    <x v="1"/>
    <x v="0"/>
    <x v="0"/>
    <x v="0"/>
    <x v="0"/>
    <m/>
    <x v="349"/>
  </r>
  <r>
    <s v="USR-100802"/>
    <d v="2025-04-04T00:00:00"/>
    <x v="1"/>
    <x v="1"/>
    <x v="1"/>
    <x v="2"/>
    <x v="0"/>
    <x v="1"/>
    <x v="1"/>
    <x v="1"/>
    <x v="0"/>
    <x v="0"/>
    <x v="0"/>
    <x v="0"/>
    <m/>
    <x v="263"/>
  </r>
  <r>
    <s v="USR-100803"/>
    <d v="2025-03-25T00:00:00"/>
    <x v="1"/>
    <x v="0"/>
    <x v="0"/>
    <x v="4"/>
    <x v="2"/>
    <x v="0"/>
    <x v="0"/>
    <x v="0"/>
    <x v="0"/>
    <x v="0"/>
    <x v="0"/>
    <x v="0"/>
    <m/>
    <x v="157"/>
  </r>
  <r>
    <s v="USR-100804"/>
    <d v="2025-03-19T00:00:00"/>
    <x v="1"/>
    <x v="1"/>
    <x v="1"/>
    <x v="4"/>
    <x v="1"/>
    <x v="0"/>
    <x v="0"/>
    <x v="0"/>
    <x v="0"/>
    <x v="0"/>
    <x v="2"/>
    <x v="0"/>
    <m/>
    <x v="307"/>
  </r>
  <r>
    <s v="USR-100805"/>
    <d v="2025-04-24T00:00:00"/>
    <x v="1"/>
    <x v="1"/>
    <x v="0"/>
    <x v="1"/>
    <x v="1"/>
    <x v="1"/>
    <x v="1"/>
    <x v="1"/>
    <x v="1"/>
    <x v="29"/>
    <x v="0"/>
    <x v="0"/>
    <n v="12"/>
    <x v="266"/>
  </r>
  <r>
    <s v="USR-100806"/>
    <d v="2025-04-04T00:00:00"/>
    <x v="1"/>
    <x v="3"/>
    <x v="2"/>
    <x v="1"/>
    <x v="1"/>
    <x v="1"/>
    <x v="0"/>
    <x v="0"/>
    <x v="0"/>
    <x v="0"/>
    <x v="2"/>
    <x v="0"/>
    <m/>
    <x v="367"/>
  </r>
  <r>
    <s v="USR-100807"/>
    <d v="2025-03-28T00:00:00"/>
    <x v="1"/>
    <x v="3"/>
    <x v="0"/>
    <x v="2"/>
    <x v="2"/>
    <x v="1"/>
    <x v="0"/>
    <x v="0"/>
    <x v="0"/>
    <x v="0"/>
    <x v="0"/>
    <x v="0"/>
    <m/>
    <x v="228"/>
  </r>
  <r>
    <s v="USR-100808"/>
    <d v="2025-05-15T00:00:00"/>
    <x v="1"/>
    <x v="3"/>
    <x v="2"/>
    <x v="2"/>
    <x v="1"/>
    <x v="1"/>
    <x v="0"/>
    <x v="0"/>
    <x v="0"/>
    <x v="0"/>
    <x v="0"/>
    <x v="0"/>
    <m/>
    <x v="397"/>
  </r>
  <r>
    <s v="USR-100809"/>
    <d v="2025-03-13T00:00:00"/>
    <x v="1"/>
    <x v="1"/>
    <x v="1"/>
    <x v="2"/>
    <x v="1"/>
    <x v="0"/>
    <x v="0"/>
    <x v="0"/>
    <x v="0"/>
    <x v="0"/>
    <x v="0"/>
    <x v="0"/>
    <m/>
    <x v="1"/>
  </r>
  <r>
    <s v="USR-100810"/>
    <d v="2025-03-26T00:00:00"/>
    <x v="1"/>
    <x v="0"/>
    <x v="1"/>
    <x v="4"/>
    <x v="2"/>
    <x v="1"/>
    <x v="0"/>
    <x v="0"/>
    <x v="0"/>
    <x v="0"/>
    <x v="0"/>
    <x v="0"/>
    <m/>
    <x v="247"/>
  </r>
  <r>
    <s v="USR-100811"/>
    <d v="2025-01-09T00:00:00"/>
    <x v="1"/>
    <x v="0"/>
    <x v="1"/>
    <x v="4"/>
    <x v="0"/>
    <x v="0"/>
    <x v="0"/>
    <x v="0"/>
    <x v="0"/>
    <x v="0"/>
    <x v="1"/>
    <x v="0"/>
    <m/>
    <x v="420"/>
  </r>
  <r>
    <s v="USR-100812"/>
    <d v="2025-05-06T00:00:00"/>
    <x v="1"/>
    <x v="3"/>
    <x v="0"/>
    <x v="2"/>
    <x v="1"/>
    <x v="1"/>
    <x v="0"/>
    <x v="0"/>
    <x v="0"/>
    <x v="0"/>
    <x v="0"/>
    <x v="0"/>
    <m/>
    <x v="168"/>
  </r>
  <r>
    <s v="USR-100813"/>
    <d v="2025-02-17T00:00:00"/>
    <x v="1"/>
    <x v="3"/>
    <x v="1"/>
    <x v="1"/>
    <x v="1"/>
    <x v="1"/>
    <x v="0"/>
    <x v="0"/>
    <x v="0"/>
    <x v="0"/>
    <x v="0"/>
    <x v="0"/>
    <m/>
    <x v="39"/>
  </r>
  <r>
    <s v="USR-100814"/>
    <d v="2025-04-05T00:00:00"/>
    <x v="1"/>
    <x v="2"/>
    <x v="1"/>
    <x v="2"/>
    <x v="1"/>
    <x v="1"/>
    <x v="1"/>
    <x v="1"/>
    <x v="1"/>
    <x v="30"/>
    <x v="3"/>
    <x v="0"/>
    <n v="8"/>
    <x v="251"/>
  </r>
  <r>
    <s v="USR-100815"/>
    <d v="2025-04-13T00:00:00"/>
    <x v="1"/>
    <x v="1"/>
    <x v="2"/>
    <x v="1"/>
    <x v="1"/>
    <x v="1"/>
    <x v="0"/>
    <x v="0"/>
    <x v="0"/>
    <x v="0"/>
    <x v="0"/>
    <x v="0"/>
    <m/>
    <x v="325"/>
  </r>
  <r>
    <s v="USR-100816"/>
    <d v="2025-05-20T00:00:00"/>
    <x v="1"/>
    <x v="2"/>
    <x v="0"/>
    <x v="3"/>
    <x v="1"/>
    <x v="1"/>
    <x v="0"/>
    <x v="0"/>
    <x v="0"/>
    <x v="0"/>
    <x v="0"/>
    <x v="0"/>
    <m/>
    <x v="262"/>
  </r>
  <r>
    <s v="USR-100817"/>
    <d v="2025-03-31T00:00:00"/>
    <x v="1"/>
    <x v="2"/>
    <x v="1"/>
    <x v="0"/>
    <x v="1"/>
    <x v="1"/>
    <x v="1"/>
    <x v="0"/>
    <x v="0"/>
    <x v="0"/>
    <x v="0"/>
    <x v="0"/>
    <m/>
    <x v="421"/>
  </r>
  <r>
    <s v="USR-100818"/>
    <d v="2025-04-03T00:00:00"/>
    <x v="1"/>
    <x v="1"/>
    <x v="2"/>
    <x v="2"/>
    <x v="0"/>
    <x v="1"/>
    <x v="0"/>
    <x v="0"/>
    <x v="0"/>
    <x v="0"/>
    <x v="0"/>
    <x v="0"/>
    <m/>
    <x v="405"/>
  </r>
  <r>
    <s v="USR-100819"/>
    <d v="2025-02-04T00:00:00"/>
    <x v="1"/>
    <x v="3"/>
    <x v="1"/>
    <x v="1"/>
    <x v="1"/>
    <x v="1"/>
    <x v="1"/>
    <x v="1"/>
    <x v="1"/>
    <x v="31"/>
    <x v="2"/>
    <x v="0"/>
    <n v="0"/>
    <x v="279"/>
  </r>
  <r>
    <s v="USR-100820"/>
    <d v="2025-05-19T00:00:00"/>
    <x v="1"/>
    <x v="2"/>
    <x v="1"/>
    <x v="1"/>
    <x v="1"/>
    <x v="1"/>
    <x v="0"/>
    <x v="0"/>
    <x v="0"/>
    <x v="0"/>
    <x v="0"/>
    <x v="0"/>
    <m/>
    <x v="356"/>
  </r>
  <r>
    <s v="USR-100821"/>
    <d v="2025-03-08T00:00:00"/>
    <x v="1"/>
    <x v="2"/>
    <x v="0"/>
    <x v="2"/>
    <x v="0"/>
    <x v="0"/>
    <x v="0"/>
    <x v="0"/>
    <x v="0"/>
    <x v="0"/>
    <x v="0"/>
    <x v="0"/>
    <m/>
    <x v="422"/>
  </r>
  <r>
    <s v="USR-100822"/>
    <d v="2025-05-10T00:00:00"/>
    <x v="1"/>
    <x v="0"/>
    <x v="1"/>
    <x v="4"/>
    <x v="0"/>
    <x v="1"/>
    <x v="0"/>
    <x v="0"/>
    <x v="0"/>
    <x v="0"/>
    <x v="1"/>
    <x v="0"/>
    <m/>
    <x v="329"/>
  </r>
  <r>
    <s v="USR-100823"/>
    <d v="2025-01-02T00:00:00"/>
    <x v="1"/>
    <x v="2"/>
    <x v="0"/>
    <x v="4"/>
    <x v="0"/>
    <x v="1"/>
    <x v="0"/>
    <x v="0"/>
    <x v="0"/>
    <x v="0"/>
    <x v="2"/>
    <x v="0"/>
    <m/>
    <x v="42"/>
  </r>
  <r>
    <s v="USR-100824"/>
    <d v="2025-01-17T00:00:00"/>
    <x v="1"/>
    <x v="1"/>
    <x v="1"/>
    <x v="1"/>
    <x v="0"/>
    <x v="0"/>
    <x v="0"/>
    <x v="0"/>
    <x v="0"/>
    <x v="0"/>
    <x v="0"/>
    <x v="0"/>
    <m/>
    <x v="423"/>
  </r>
  <r>
    <s v="USR-100825"/>
    <d v="2025-05-21T00:00:00"/>
    <x v="1"/>
    <x v="1"/>
    <x v="1"/>
    <x v="3"/>
    <x v="0"/>
    <x v="1"/>
    <x v="1"/>
    <x v="1"/>
    <x v="1"/>
    <x v="32"/>
    <x v="1"/>
    <x v="0"/>
    <n v="6"/>
    <x v="424"/>
  </r>
  <r>
    <s v="USR-100826"/>
    <d v="2025-05-25T00:00:00"/>
    <x v="1"/>
    <x v="2"/>
    <x v="0"/>
    <x v="3"/>
    <x v="1"/>
    <x v="1"/>
    <x v="0"/>
    <x v="0"/>
    <x v="0"/>
    <x v="0"/>
    <x v="3"/>
    <x v="0"/>
    <m/>
    <x v="166"/>
  </r>
  <r>
    <s v="USR-100827"/>
    <d v="2025-01-05T00:00:00"/>
    <x v="1"/>
    <x v="1"/>
    <x v="1"/>
    <x v="0"/>
    <x v="0"/>
    <x v="1"/>
    <x v="0"/>
    <x v="0"/>
    <x v="0"/>
    <x v="0"/>
    <x v="0"/>
    <x v="0"/>
    <m/>
    <x v="94"/>
  </r>
  <r>
    <s v="USR-100828"/>
    <d v="2025-02-24T00:00:00"/>
    <x v="1"/>
    <x v="3"/>
    <x v="0"/>
    <x v="1"/>
    <x v="1"/>
    <x v="1"/>
    <x v="1"/>
    <x v="0"/>
    <x v="0"/>
    <x v="0"/>
    <x v="0"/>
    <x v="0"/>
    <m/>
    <x v="133"/>
  </r>
  <r>
    <s v="USR-100829"/>
    <d v="2025-01-21T00:00:00"/>
    <x v="1"/>
    <x v="2"/>
    <x v="1"/>
    <x v="2"/>
    <x v="0"/>
    <x v="1"/>
    <x v="0"/>
    <x v="0"/>
    <x v="0"/>
    <x v="0"/>
    <x v="0"/>
    <x v="0"/>
    <m/>
    <x v="304"/>
  </r>
  <r>
    <s v="USR-100830"/>
    <d v="2025-04-24T00:00:00"/>
    <x v="1"/>
    <x v="0"/>
    <x v="1"/>
    <x v="1"/>
    <x v="0"/>
    <x v="1"/>
    <x v="1"/>
    <x v="1"/>
    <x v="1"/>
    <x v="33"/>
    <x v="0"/>
    <x v="0"/>
    <n v="5"/>
    <x v="119"/>
  </r>
  <r>
    <s v="USR-100831"/>
    <d v="2025-01-07T00:00:00"/>
    <x v="1"/>
    <x v="1"/>
    <x v="0"/>
    <x v="1"/>
    <x v="1"/>
    <x v="1"/>
    <x v="0"/>
    <x v="0"/>
    <x v="0"/>
    <x v="0"/>
    <x v="0"/>
    <x v="0"/>
    <m/>
    <x v="24"/>
  </r>
  <r>
    <s v="USR-100832"/>
    <d v="2025-05-31T00:00:00"/>
    <x v="1"/>
    <x v="3"/>
    <x v="2"/>
    <x v="1"/>
    <x v="0"/>
    <x v="1"/>
    <x v="1"/>
    <x v="1"/>
    <x v="0"/>
    <x v="0"/>
    <x v="0"/>
    <x v="0"/>
    <m/>
    <x v="26"/>
  </r>
  <r>
    <s v="USR-100833"/>
    <d v="2025-04-02T00:00:00"/>
    <x v="1"/>
    <x v="0"/>
    <x v="0"/>
    <x v="1"/>
    <x v="0"/>
    <x v="1"/>
    <x v="1"/>
    <x v="1"/>
    <x v="1"/>
    <x v="34"/>
    <x v="0"/>
    <x v="0"/>
    <n v="4"/>
    <x v="47"/>
  </r>
  <r>
    <s v="USR-100834"/>
    <d v="2025-04-21T00:00:00"/>
    <x v="1"/>
    <x v="2"/>
    <x v="1"/>
    <x v="1"/>
    <x v="1"/>
    <x v="1"/>
    <x v="1"/>
    <x v="1"/>
    <x v="0"/>
    <x v="0"/>
    <x v="1"/>
    <x v="0"/>
    <m/>
    <x v="91"/>
  </r>
  <r>
    <s v="USR-100835"/>
    <d v="2025-05-05T00:00:00"/>
    <x v="1"/>
    <x v="2"/>
    <x v="1"/>
    <x v="2"/>
    <x v="0"/>
    <x v="1"/>
    <x v="0"/>
    <x v="0"/>
    <x v="0"/>
    <x v="0"/>
    <x v="0"/>
    <x v="0"/>
    <m/>
    <x v="217"/>
  </r>
  <r>
    <s v="USR-100836"/>
    <d v="2025-01-06T00:00:00"/>
    <x v="1"/>
    <x v="0"/>
    <x v="0"/>
    <x v="4"/>
    <x v="1"/>
    <x v="1"/>
    <x v="1"/>
    <x v="1"/>
    <x v="1"/>
    <x v="35"/>
    <x v="0"/>
    <x v="0"/>
    <n v="7"/>
    <x v="309"/>
  </r>
  <r>
    <s v="USR-100837"/>
    <d v="2025-04-24T00:00:00"/>
    <x v="1"/>
    <x v="3"/>
    <x v="1"/>
    <x v="3"/>
    <x v="1"/>
    <x v="1"/>
    <x v="1"/>
    <x v="1"/>
    <x v="1"/>
    <x v="36"/>
    <x v="0"/>
    <x v="0"/>
    <n v="9"/>
    <x v="399"/>
  </r>
  <r>
    <s v="USR-100838"/>
    <d v="2025-04-21T00:00:00"/>
    <x v="1"/>
    <x v="3"/>
    <x v="1"/>
    <x v="1"/>
    <x v="0"/>
    <x v="1"/>
    <x v="0"/>
    <x v="0"/>
    <x v="0"/>
    <x v="0"/>
    <x v="1"/>
    <x v="0"/>
    <m/>
    <x v="425"/>
  </r>
  <r>
    <s v="USR-100839"/>
    <d v="2025-02-09T00:00:00"/>
    <x v="1"/>
    <x v="1"/>
    <x v="1"/>
    <x v="1"/>
    <x v="0"/>
    <x v="1"/>
    <x v="1"/>
    <x v="1"/>
    <x v="0"/>
    <x v="0"/>
    <x v="0"/>
    <x v="0"/>
    <m/>
    <x v="319"/>
  </r>
  <r>
    <s v="USR-100840"/>
    <d v="2025-01-09T00:00:00"/>
    <x v="1"/>
    <x v="2"/>
    <x v="1"/>
    <x v="1"/>
    <x v="2"/>
    <x v="1"/>
    <x v="0"/>
    <x v="0"/>
    <x v="0"/>
    <x v="0"/>
    <x v="0"/>
    <x v="0"/>
    <m/>
    <x v="186"/>
  </r>
  <r>
    <s v="USR-100841"/>
    <d v="2025-02-16T00:00:00"/>
    <x v="1"/>
    <x v="0"/>
    <x v="1"/>
    <x v="2"/>
    <x v="0"/>
    <x v="0"/>
    <x v="0"/>
    <x v="0"/>
    <x v="0"/>
    <x v="0"/>
    <x v="0"/>
    <x v="0"/>
    <m/>
    <x v="92"/>
  </r>
  <r>
    <s v="USR-100842"/>
    <d v="2025-02-21T00:00:00"/>
    <x v="1"/>
    <x v="3"/>
    <x v="1"/>
    <x v="1"/>
    <x v="1"/>
    <x v="1"/>
    <x v="1"/>
    <x v="1"/>
    <x v="0"/>
    <x v="0"/>
    <x v="0"/>
    <x v="0"/>
    <m/>
    <x v="341"/>
  </r>
  <r>
    <s v="USR-100843"/>
    <d v="2025-02-08T00:00:00"/>
    <x v="1"/>
    <x v="3"/>
    <x v="1"/>
    <x v="1"/>
    <x v="2"/>
    <x v="1"/>
    <x v="0"/>
    <x v="0"/>
    <x v="0"/>
    <x v="0"/>
    <x v="0"/>
    <x v="0"/>
    <m/>
    <x v="128"/>
  </r>
  <r>
    <s v="USR-100844"/>
    <d v="2025-01-22T00:00:00"/>
    <x v="1"/>
    <x v="3"/>
    <x v="1"/>
    <x v="2"/>
    <x v="2"/>
    <x v="0"/>
    <x v="0"/>
    <x v="0"/>
    <x v="0"/>
    <x v="0"/>
    <x v="0"/>
    <x v="0"/>
    <m/>
    <x v="426"/>
  </r>
  <r>
    <s v="USR-100845"/>
    <d v="2025-04-01T00:00:00"/>
    <x v="1"/>
    <x v="1"/>
    <x v="1"/>
    <x v="1"/>
    <x v="0"/>
    <x v="1"/>
    <x v="0"/>
    <x v="0"/>
    <x v="0"/>
    <x v="0"/>
    <x v="0"/>
    <x v="0"/>
    <m/>
    <x v="100"/>
  </r>
  <r>
    <s v="USR-100846"/>
    <d v="2025-01-21T00:00:00"/>
    <x v="1"/>
    <x v="0"/>
    <x v="1"/>
    <x v="2"/>
    <x v="0"/>
    <x v="1"/>
    <x v="0"/>
    <x v="0"/>
    <x v="0"/>
    <x v="0"/>
    <x v="0"/>
    <x v="0"/>
    <m/>
    <x v="349"/>
  </r>
  <r>
    <s v="USR-100847"/>
    <d v="2025-01-02T00:00:00"/>
    <x v="1"/>
    <x v="2"/>
    <x v="0"/>
    <x v="1"/>
    <x v="1"/>
    <x v="1"/>
    <x v="1"/>
    <x v="0"/>
    <x v="0"/>
    <x v="0"/>
    <x v="0"/>
    <x v="0"/>
    <m/>
    <x v="427"/>
  </r>
  <r>
    <s v="USR-100848"/>
    <d v="2025-05-12T00:00:00"/>
    <x v="1"/>
    <x v="3"/>
    <x v="0"/>
    <x v="2"/>
    <x v="1"/>
    <x v="0"/>
    <x v="0"/>
    <x v="0"/>
    <x v="0"/>
    <x v="0"/>
    <x v="0"/>
    <x v="0"/>
    <m/>
    <x v="428"/>
  </r>
  <r>
    <s v="USR-100849"/>
    <d v="2025-03-05T00:00:00"/>
    <x v="1"/>
    <x v="3"/>
    <x v="1"/>
    <x v="4"/>
    <x v="0"/>
    <x v="0"/>
    <x v="0"/>
    <x v="0"/>
    <x v="0"/>
    <x v="0"/>
    <x v="0"/>
    <x v="0"/>
    <m/>
    <x v="67"/>
  </r>
  <r>
    <s v="USR-100850"/>
    <d v="2025-01-24T00:00:00"/>
    <x v="1"/>
    <x v="2"/>
    <x v="1"/>
    <x v="1"/>
    <x v="1"/>
    <x v="0"/>
    <x v="0"/>
    <x v="0"/>
    <x v="0"/>
    <x v="0"/>
    <x v="0"/>
    <x v="0"/>
    <m/>
    <x v="251"/>
  </r>
  <r>
    <s v="USR-100851"/>
    <d v="2025-01-31T00:00:00"/>
    <x v="1"/>
    <x v="2"/>
    <x v="0"/>
    <x v="0"/>
    <x v="1"/>
    <x v="1"/>
    <x v="1"/>
    <x v="1"/>
    <x v="0"/>
    <x v="0"/>
    <x v="0"/>
    <x v="0"/>
    <m/>
    <x v="429"/>
  </r>
  <r>
    <s v="USR-100852"/>
    <d v="2025-01-24T00:00:00"/>
    <x v="1"/>
    <x v="0"/>
    <x v="2"/>
    <x v="1"/>
    <x v="0"/>
    <x v="1"/>
    <x v="0"/>
    <x v="0"/>
    <x v="0"/>
    <x v="0"/>
    <x v="0"/>
    <x v="0"/>
    <m/>
    <x v="430"/>
  </r>
  <r>
    <s v="USR-100853"/>
    <d v="2025-02-14T00:00:00"/>
    <x v="1"/>
    <x v="0"/>
    <x v="0"/>
    <x v="3"/>
    <x v="0"/>
    <x v="1"/>
    <x v="1"/>
    <x v="1"/>
    <x v="0"/>
    <x v="0"/>
    <x v="0"/>
    <x v="0"/>
    <m/>
    <x v="162"/>
  </r>
  <r>
    <s v="USR-100854"/>
    <d v="2025-05-27T00:00:00"/>
    <x v="1"/>
    <x v="0"/>
    <x v="1"/>
    <x v="1"/>
    <x v="1"/>
    <x v="1"/>
    <x v="1"/>
    <x v="1"/>
    <x v="0"/>
    <x v="0"/>
    <x v="0"/>
    <x v="0"/>
    <m/>
    <x v="137"/>
  </r>
  <r>
    <s v="USR-100855"/>
    <d v="2025-02-28T00:00:00"/>
    <x v="1"/>
    <x v="0"/>
    <x v="1"/>
    <x v="2"/>
    <x v="1"/>
    <x v="1"/>
    <x v="1"/>
    <x v="1"/>
    <x v="1"/>
    <x v="37"/>
    <x v="0"/>
    <x v="0"/>
    <n v="5"/>
    <x v="431"/>
  </r>
  <r>
    <s v="USR-100856"/>
    <d v="2025-05-27T00:00:00"/>
    <x v="1"/>
    <x v="0"/>
    <x v="1"/>
    <x v="1"/>
    <x v="0"/>
    <x v="1"/>
    <x v="1"/>
    <x v="1"/>
    <x v="0"/>
    <x v="0"/>
    <x v="0"/>
    <x v="0"/>
    <m/>
    <x v="432"/>
  </r>
  <r>
    <s v="USR-100857"/>
    <d v="2025-05-17T00:00:00"/>
    <x v="1"/>
    <x v="3"/>
    <x v="1"/>
    <x v="2"/>
    <x v="2"/>
    <x v="0"/>
    <x v="0"/>
    <x v="0"/>
    <x v="0"/>
    <x v="0"/>
    <x v="1"/>
    <x v="0"/>
    <m/>
    <x v="110"/>
  </r>
  <r>
    <s v="USR-100858"/>
    <d v="2025-01-10T00:00:00"/>
    <x v="1"/>
    <x v="1"/>
    <x v="0"/>
    <x v="4"/>
    <x v="1"/>
    <x v="0"/>
    <x v="0"/>
    <x v="0"/>
    <x v="0"/>
    <x v="0"/>
    <x v="0"/>
    <x v="0"/>
    <m/>
    <x v="185"/>
  </r>
  <r>
    <s v="USR-100859"/>
    <d v="2025-04-22T00:00:00"/>
    <x v="1"/>
    <x v="0"/>
    <x v="1"/>
    <x v="0"/>
    <x v="0"/>
    <x v="1"/>
    <x v="1"/>
    <x v="1"/>
    <x v="1"/>
    <x v="38"/>
    <x v="0"/>
    <x v="0"/>
    <n v="6"/>
    <x v="61"/>
  </r>
  <r>
    <s v="USR-100860"/>
    <d v="2025-03-02T00:00:00"/>
    <x v="1"/>
    <x v="3"/>
    <x v="0"/>
    <x v="1"/>
    <x v="0"/>
    <x v="1"/>
    <x v="0"/>
    <x v="0"/>
    <x v="0"/>
    <x v="0"/>
    <x v="2"/>
    <x v="0"/>
    <m/>
    <x v="318"/>
  </r>
  <r>
    <s v="USR-100861"/>
    <d v="2025-03-23T00:00:00"/>
    <x v="1"/>
    <x v="2"/>
    <x v="1"/>
    <x v="2"/>
    <x v="1"/>
    <x v="1"/>
    <x v="1"/>
    <x v="1"/>
    <x v="0"/>
    <x v="0"/>
    <x v="0"/>
    <x v="0"/>
    <m/>
    <x v="93"/>
  </r>
  <r>
    <s v="USR-100862"/>
    <d v="2025-02-12T00:00:00"/>
    <x v="1"/>
    <x v="2"/>
    <x v="1"/>
    <x v="0"/>
    <x v="1"/>
    <x v="1"/>
    <x v="1"/>
    <x v="1"/>
    <x v="0"/>
    <x v="0"/>
    <x v="0"/>
    <x v="0"/>
    <m/>
    <x v="16"/>
  </r>
  <r>
    <s v="USR-100863"/>
    <d v="2025-05-03T00:00:00"/>
    <x v="1"/>
    <x v="3"/>
    <x v="1"/>
    <x v="3"/>
    <x v="0"/>
    <x v="1"/>
    <x v="0"/>
    <x v="0"/>
    <x v="0"/>
    <x v="0"/>
    <x v="0"/>
    <x v="0"/>
    <m/>
    <x v="332"/>
  </r>
  <r>
    <s v="USR-100864"/>
    <d v="2025-03-28T00:00:00"/>
    <x v="1"/>
    <x v="0"/>
    <x v="0"/>
    <x v="4"/>
    <x v="1"/>
    <x v="1"/>
    <x v="0"/>
    <x v="0"/>
    <x v="0"/>
    <x v="0"/>
    <x v="3"/>
    <x v="0"/>
    <m/>
    <x v="18"/>
  </r>
  <r>
    <s v="USR-100865"/>
    <d v="2025-03-12T00:00:00"/>
    <x v="1"/>
    <x v="0"/>
    <x v="1"/>
    <x v="4"/>
    <x v="0"/>
    <x v="0"/>
    <x v="0"/>
    <x v="0"/>
    <x v="0"/>
    <x v="0"/>
    <x v="1"/>
    <x v="0"/>
    <m/>
    <x v="24"/>
  </r>
  <r>
    <s v="USR-100866"/>
    <d v="2025-04-27T00:00:00"/>
    <x v="1"/>
    <x v="2"/>
    <x v="1"/>
    <x v="2"/>
    <x v="1"/>
    <x v="1"/>
    <x v="0"/>
    <x v="0"/>
    <x v="0"/>
    <x v="0"/>
    <x v="1"/>
    <x v="0"/>
    <m/>
    <x v="433"/>
  </r>
  <r>
    <s v="USR-100867"/>
    <d v="2025-04-02T00:00:00"/>
    <x v="1"/>
    <x v="3"/>
    <x v="1"/>
    <x v="3"/>
    <x v="0"/>
    <x v="1"/>
    <x v="0"/>
    <x v="0"/>
    <x v="0"/>
    <x v="0"/>
    <x v="0"/>
    <x v="0"/>
    <m/>
    <x v="49"/>
  </r>
  <r>
    <s v="USR-100868"/>
    <d v="2025-04-21T00:00:00"/>
    <x v="1"/>
    <x v="0"/>
    <x v="1"/>
    <x v="4"/>
    <x v="1"/>
    <x v="0"/>
    <x v="0"/>
    <x v="0"/>
    <x v="0"/>
    <x v="0"/>
    <x v="0"/>
    <x v="0"/>
    <m/>
    <x v="434"/>
  </r>
  <r>
    <s v="USR-100869"/>
    <d v="2025-01-26T00:00:00"/>
    <x v="1"/>
    <x v="1"/>
    <x v="0"/>
    <x v="1"/>
    <x v="0"/>
    <x v="0"/>
    <x v="0"/>
    <x v="0"/>
    <x v="0"/>
    <x v="0"/>
    <x v="0"/>
    <x v="0"/>
    <m/>
    <x v="187"/>
  </r>
  <r>
    <s v="USR-100870"/>
    <d v="2025-01-06T00:00:00"/>
    <x v="1"/>
    <x v="1"/>
    <x v="1"/>
    <x v="1"/>
    <x v="1"/>
    <x v="0"/>
    <x v="0"/>
    <x v="0"/>
    <x v="0"/>
    <x v="0"/>
    <x v="1"/>
    <x v="0"/>
    <m/>
    <x v="246"/>
  </r>
  <r>
    <s v="USR-100871"/>
    <d v="2025-02-07T00:00:00"/>
    <x v="1"/>
    <x v="2"/>
    <x v="1"/>
    <x v="1"/>
    <x v="1"/>
    <x v="1"/>
    <x v="0"/>
    <x v="0"/>
    <x v="0"/>
    <x v="0"/>
    <x v="0"/>
    <x v="0"/>
    <m/>
    <x v="383"/>
  </r>
  <r>
    <s v="USR-100872"/>
    <d v="2025-05-07T00:00:00"/>
    <x v="1"/>
    <x v="1"/>
    <x v="1"/>
    <x v="1"/>
    <x v="2"/>
    <x v="1"/>
    <x v="0"/>
    <x v="0"/>
    <x v="0"/>
    <x v="0"/>
    <x v="1"/>
    <x v="0"/>
    <m/>
    <x v="54"/>
  </r>
  <r>
    <s v="USR-100873"/>
    <d v="2025-04-22T00:00:00"/>
    <x v="1"/>
    <x v="1"/>
    <x v="3"/>
    <x v="4"/>
    <x v="1"/>
    <x v="1"/>
    <x v="0"/>
    <x v="0"/>
    <x v="0"/>
    <x v="0"/>
    <x v="0"/>
    <x v="0"/>
    <m/>
    <x v="297"/>
  </r>
  <r>
    <s v="USR-100874"/>
    <d v="2025-05-04T00:00:00"/>
    <x v="1"/>
    <x v="1"/>
    <x v="0"/>
    <x v="4"/>
    <x v="1"/>
    <x v="1"/>
    <x v="0"/>
    <x v="0"/>
    <x v="0"/>
    <x v="0"/>
    <x v="0"/>
    <x v="0"/>
    <m/>
    <x v="155"/>
  </r>
  <r>
    <s v="USR-100875"/>
    <d v="2025-05-16T00:00:00"/>
    <x v="1"/>
    <x v="3"/>
    <x v="1"/>
    <x v="4"/>
    <x v="0"/>
    <x v="1"/>
    <x v="1"/>
    <x v="1"/>
    <x v="0"/>
    <x v="0"/>
    <x v="1"/>
    <x v="0"/>
    <m/>
    <x v="435"/>
  </r>
  <r>
    <s v="USR-100876"/>
    <d v="2025-02-11T00:00:00"/>
    <x v="1"/>
    <x v="1"/>
    <x v="1"/>
    <x v="2"/>
    <x v="1"/>
    <x v="0"/>
    <x v="0"/>
    <x v="0"/>
    <x v="0"/>
    <x v="0"/>
    <x v="0"/>
    <x v="0"/>
    <m/>
    <x v="428"/>
  </r>
  <r>
    <s v="USR-100877"/>
    <d v="2025-05-09T00:00:00"/>
    <x v="1"/>
    <x v="2"/>
    <x v="0"/>
    <x v="1"/>
    <x v="2"/>
    <x v="1"/>
    <x v="0"/>
    <x v="0"/>
    <x v="0"/>
    <x v="0"/>
    <x v="0"/>
    <x v="0"/>
    <m/>
    <x v="406"/>
  </r>
  <r>
    <s v="USR-100878"/>
    <d v="2025-02-09T00:00:00"/>
    <x v="1"/>
    <x v="3"/>
    <x v="0"/>
    <x v="2"/>
    <x v="1"/>
    <x v="1"/>
    <x v="1"/>
    <x v="0"/>
    <x v="0"/>
    <x v="0"/>
    <x v="0"/>
    <x v="0"/>
    <m/>
    <x v="226"/>
  </r>
  <r>
    <s v="USR-100879"/>
    <d v="2025-05-22T00:00:00"/>
    <x v="1"/>
    <x v="1"/>
    <x v="1"/>
    <x v="4"/>
    <x v="0"/>
    <x v="0"/>
    <x v="0"/>
    <x v="0"/>
    <x v="0"/>
    <x v="0"/>
    <x v="0"/>
    <x v="0"/>
    <m/>
    <x v="436"/>
  </r>
  <r>
    <s v="USR-100880"/>
    <d v="2025-05-24T00:00:00"/>
    <x v="1"/>
    <x v="2"/>
    <x v="1"/>
    <x v="4"/>
    <x v="0"/>
    <x v="0"/>
    <x v="0"/>
    <x v="0"/>
    <x v="0"/>
    <x v="0"/>
    <x v="0"/>
    <x v="0"/>
    <m/>
    <x v="24"/>
  </r>
  <r>
    <s v="USR-100881"/>
    <d v="2025-04-27T00:00:00"/>
    <x v="1"/>
    <x v="3"/>
    <x v="0"/>
    <x v="4"/>
    <x v="0"/>
    <x v="1"/>
    <x v="1"/>
    <x v="1"/>
    <x v="0"/>
    <x v="0"/>
    <x v="0"/>
    <x v="0"/>
    <m/>
    <x v="126"/>
  </r>
  <r>
    <s v="USR-100882"/>
    <d v="2025-03-19T00:00:00"/>
    <x v="1"/>
    <x v="2"/>
    <x v="1"/>
    <x v="2"/>
    <x v="1"/>
    <x v="1"/>
    <x v="0"/>
    <x v="0"/>
    <x v="0"/>
    <x v="0"/>
    <x v="0"/>
    <x v="0"/>
    <m/>
    <x v="200"/>
  </r>
  <r>
    <s v="USR-100883"/>
    <d v="2025-05-20T00:00:00"/>
    <x v="1"/>
    <x v="3"/>
    <x v="1"/>
    <x v="1"/>
    <x v="2"/>
    <x v="0"/>
    <x v="0"/>
    <x v="0"/>
    <x v="0"/>
    <x v="0"/>
    <x v="0"/>
    <x v="0"/>
    <m/>
    <x v="309"/>
  </r>
  <r>
    <s v="USR-100884"/>
    <d v="2025-05-10T00:00:00"/>
    <x v="1"/>
    <x v="0"/>
    <x v="1"/>
    <x v="0"/>
    <x v="2"/>
    <x v="1"/>
    <x v="0"/>
    <x v="0"/>
    <x v="0"/>
    <x v="0"/>
    <x v="4"/>
    <x v="0"/>
    <m/>
    <x v="55"/>
  </r>
  <r>
    <s v="USR-100885"/>
    <d v="2025-03-29T00:00:00"/>
    <x v="1"/>
    <x v="2"/>
    <x v="1"/>
    <x v="4"/>
    <x v="1"/>
    <x v="1"/>
    <x v="1"/>
    <x v="1"/>
    <x v="0"/>
    <x v="0"/>
    <x v="0"/>
    <x v="0"/>
    <m/>
    <x v="219"/>
  </r>
  <r>
    <s v="USR-100886"/>
    <d v="2025-04-03T00:00:00"/>
    <x v="1"/>
    <x v="1"/>
    <x v="0"/>
    <x v="3"/>
    <x v="0"/>
    <x v="0"/>
    <x v="0"/>
    <x v="0"/>
    <x v="0"/>
    <x v="0"/>
    <x v="0"/>
    <x v="0"/>
    <m/>
    <x v="296"/>
  </r>
  <r>
    <s v="USR-100887"/>
    <d v="2025-05-30T00:00:00"/>
    <x v="1"/>
    <x v="3"/>
    <x v="1"/>
    <x v="0"/>
    <x v="1"/>
    <x v="1"/>
    <x v="0"/>
    <x v="0"/>
    <x v="0"/>
    <x v="0"/>
    <x v="0"/>
    <x v="0"/>
    <m/>
    <x v="352"/>
  </r>
  <r>
    <s v="USR-100888"/>
    <d v="2025-04-06T00:00:00"/>
    <x v="1"/>
    <x v="2"/>
    <x v="0"/>
    <x v="0"/>
    <x v="1"/>
    <x v="1"/>
    <x v="0"/>
    <x v="0"/>
    <x v="0"/>
    <x v="0"/>
    <x v="0"/>
    <x v="0"/>
    <m/>
    <x v="420"/>
  </r>
  <r>
    <s v="USR-100889"/>
    <d v="2025-03-14T00:00:00"/>
    <x v="1"/>
    <x v="0"/>
    <x v="1"/>
    <x v="3"/>
    <x v="1"/>
    <x v="1"/>
    <x v="1"/>
    <x v="1"/>
    <x v="1"/>
    <x v="39"/>
    <x v="0"/>
    <x v="0"/>
    <n v="1"/>
    <x v="297"/>
  </r>
  <r>
    <s v="USR-100890"/>
    <d v="2025-02-24T00:00:00"/>
    <x v="1"/>
    <x v="3"/>
    <x v="0"/>
    <x v="2"/>
    <x v="0"/>
    <x v="1"/>
    <x v="0"/>
    <x v="0"/>
    <x v="0"/>
    <x v="0"/>
    <x v="0"/>
    <x v="0"/>
    <m/>
    <x v="150"/>
  </r>
  <r>
    <s v="USR-100891"/>
    <d v="2025-03-04T00:00:00"/>
    <x v="1"/>
    <x v="1"/>
    <x v="1"/>
    <x v="0"/>
    <x v="0"/>
    <x v="1"/>
    <x v="0"/>
    <x v="0"/>
    <x v="0"/>
    <x v="0"/>
    <x v="0"/>
    <x v="0"/>
    <m/>
    <x v="13"/>
  </r>
  <r>
    <s v="USR-100892"/>
    <d v="2025-04-02T00:00:00"/>
    <x v="1"/>
    <x v="0"/>
    <x v="1"/>
    <x v="1"/>
    <x v="1"/>
    <x v="1"/>
    <x v="1"/>
    <x v="1"/>
    <x v="0"/>
    <x v="0"/>
    <x v="0"/>
    <x v="0"/>
    <m/>
    <x v="302"/>
  </r>
  <r>
    <s v="USR-100893"/>
    <d v="2025-05-11T00:00:00"/>
    <x v="1"/>
    <x v="0"/>
    <x v="1"/>
    <x v="0"/>
    <x v="2"/>
    <x v="0"/>
    <x v="0"/>
    <x v="0"/>
    <x v="0"/>
    <x v="0"/>
    <x v="0"/>
    <x v="0"/>
    <m/>
    <x v="437"/>
  </r>
  <r>
    <s v="USR-100894"/>
    <d v="2025-05-10T00:00:00"/>
    <x v="1"/>
    <x v="1"/>
    <x v="2"/>
    <x v="2"/>
    <x v="0"/>
    <x v="1"/>
    <x v="1"/>
    <x v="1"/>
    <x v="0"/>
    <x v="0"/>
    <x v="0"/>
    <x v="0"/>
    <m/>
    <x v="26"/>
  </r>
  <r>
    <s v="USR-100895"/>
    <d v="2025-05-06T00:00:00"/>
    <x v="1"/>
    <x v="1"/>
    <x v="1"/>
    <x v="3"/>
    <x v="1"/>
    <x v="1"/>
    <x v="1"/>
    <x v="0"/>
    <x v="0"/>
    <x v="0"/>
    <x v="2"/>
    <x v="0"/>
    <m/>
    <x v="438"/>
  </r>
  <r>
    <s v="USR-100896"/>
    <d v="2025-02-11T00:00:00"/>
    <x v="1"/>
    <x v="1"/>
    <x v="0"/>
    <x v="2"/>
    <x v="1"/>
    <x v="1"/>
    <x v="1"/>
    <x v="0"/>
    <x v="0"/>
    <x v="0"/>
    <x v="0"/>
    <x v="0"/>
    <m/>
    <x v="439"/>
  </r>
  <r>
    <s v="USR-100897"/>
    <d v="2025-05-09T00:00:00"/>
    <x v="1"/>
    <x v="3"/>
    <x v="1"/>
    <x v="2"/>
    <x v="2"/>
    <x v="1"/>
    <x v="1"/>
    <x v="0"/>
    <x v="0"/>
    <x v="0"/>
    <x v="0"/>
    <x v="0"/>
    <m/>
    <x v="416"/>
  </r>
  <r>
    <s v="USR-100898"/>
    <d v="2025-02-02T00:00:00"/>
    <x v="1"/>
    <x v="3"/>
    <x v="1"/>
    <x v="5"/>
    <x v="1"/>
    <x v="1"/>
    <x v="0"/>
    <x v="0"/>
    <x v="0"/>
    <x v="0"/>
    <x v="0"/>
    <x v="0"/>
    <m/>
    <x v="301"/>
  </r>
  <r>
    <s v="USR-100899"/>
    <d v="2025-04-03T00:00:00"/>
    <x v="1"/>
    <x v="3"/>
    <x v="1"/>
    <x v="4"/>
    <x v="1"/>
    <x v="1"/>
    <x v="1"/>
    <x v="0"/>
    <x v="0"/>
    <x v="0"/>
    <x v="0"/>
    <x v="0"/>
    <m/>
    <x v="304"/>
  </r>
  <r>
    <s v="USR-100900"/>
    <d v="2025-02-15T00:00:00"/>
    <x v="1"/>
    <x v="0"/>
    <x v="0"/>
    <x v="1"/>
    <x v="0"/>
    <x v="1"/>
    <x v="0"/>
    <x v="0"/>
    <x v="0"/>
    <x v="0"/>
    <x v="2"/>
    <x v="0"/>
    <m/>
    <x v="285"/>
  </r>
  <r>
    <s v="USR-100901"/>
    <d v="2025-04-18T00:00:00"/>
    <x v="1"/>
    <x v="3"/>
    <x v="0"/>
    <x v="1"/>
    <x v="1"/>
    <x v="1"/>
    <x v="0"/>
    <x v="0"/>
    <x v="0"/>
    <x v="0"/>
    <x v="0"/>
    <x v="0"/>
    <m/>
    <x v="440"/>
  </r>
  <r>
    <s v="USR-100902"/>
    <d v="2025-03-14T00:00:00"/>
    <x v="1"/>
    <x v="1"/>
    <x v="0"/>
    <x v="1"/>
    <x v="2"/>
    <x v="0"/>
    <x v="0"/>
    <x v="0"/>
    <x v="0"/>
    <x v="0"/>
    <x v="0"/>
    <x v="0"/>
    <m/>
    <x v="3"/>
  </r>
  <r>
    <s v="USR-100903"/>
    <d v="2025-03-29T00:00:00"/>
    <x v="1"/>
    <x v="3"/>
    <x v="1"/>
    <x v="3"/>
    <x v="1"/>
    <x v="1"/>
    <x v="0"/>
    <x v="0"/>
    <x v="0"/>
    <x v="0"/>
    <x v="2"/>
    <x v="0"/>
    <m/>
    <x v="115"/>
  </r>
  <r>
    <s v="USR-100904"/>
    <d v="2025-02-13T00:00:00"/>
    <x v="1"/>
    <x v="0"/>
    <x v="0"/>
    <x v="1"/>
    <x v="1"/>
    <x v="1"/>
    <x v="1"/>
    <x v="1"/>
    <x v="0"/>
    <x v="0"/>
    <x v="0"/>
    <x v="0"/>
    <m/>
    <x v="313"/>
  </r>
  <r>
    <s v="USR-100905"/>
    <d v="2025-01-23T00:00:00"/>
    <x v="1"/>
    <x v="3"/>
    <x v="1"/>
    <x v="2"/>
    <x v="1"/>
    <x v="1"/>
    <x v="1"/>
    <x v="1"/>
    <x v="1"/>
    <x v="40"/>
    <x v="0"/>
    <x v="0"/>
    <n v="2"/>
    <x v="10"/>
  </r>
  <r>
    <s v="USR-100906"/>
    <d v="2025-02-24T00:00:00"/>
    <x v="1"/>
    <x v="2"/>
    <x v="1"/>
    <x v="4"/>
    <x v="1"/>
    <x v="1"/>
    <x v="0"/>
    <x v="0"/>
    <x v="0"/>
    <x v="0"/>
    <x v="0"/>
    <x v="0"/>
    <m/>
    <x v="147"/>
  </r>
  <r>
    <s v="USR-100907"/>
    <d v="2025-02-28T00:00:00"/>
    <x v="1"/>
    <x v="1"/>
    <x v="1"/>
    <x v="2"/>
    <x v="1"/>
    <x v="1"/>
    <x v="1"/>
    <x v="0"/>
    <x v="0"/>
    <x v="0"/>
    <x v="0"/>
    <x v="0"/>
    <m/>
    <x v="332"/>
  </r>
  <r>
    <s v="USR-100908"/>
    <d v="2025-01-07T00:00:00"/>
    <x v="1"/>
    <x v="1"/>
    <x v="2"/>
    <x v="1"/>
    <x v="0"/>
    <x v="1"/>
    <x v="0"/>
    <x v="0"/>
    <x v="0"/>
    <x v="0"/>
    <x v="0"/>
    <x v="0"/>
    <m/>
    <x v="441"/>
  </r>
  <r>
    <s v="USR-100909"/>
    <d v="2025-03-21T00:00:00"/>
    <x v="1"/>
    <x v="1"/>
    <x v="0"/>
    <x v="0"/>
    <x v="1"/>
    <x v="1"/>
    <x v="0"/>
    <x v="0"/>
    <x v="0"/>
    <x v="0"/>
    <x v="3"/>
    <x v="0"/>
    <m/>
    <x v="174"/>
  </r>
  <r>
    <s v="USR-100910"/>
    <d v="2025-02-18T00:00:00"/>
    <x v="1"/>
    <x v="0"/>
    <x v="0"/>
    <x v="1"/>
    <x v="0"/>
    <x v="0"/>
    <x v="0"/>
    <x v="0"/>
    <x v="0"/>
    <x v="0"/>
    <x v="0"/>
    <x v="0"/>
    <m/>
    <x v="65"/>
  </r>
  <r>
    <s v="USR-100911"/>
    <d v="2025-01-05T00:00:00"/>
    <x v="1"/>
    <x v="0"/>
    <x v="1"/>
    <x v="2"/>
    <x v="1"/>
    <x v="1"/>
    <x v="1"/>
    <x v="0"/>
    <x v="0"/>
    <x v="0"/>
    <x v="0"/>
    <x v="0"/>
    <m/>
    <x v="255"/>
  </r>
  <r>
    <s v="USR-100912"/>
    <d v="2025-03-11T00:00:00"/>
    <x v="1"/>
    <x v="2"/>
    <x v="0"/>
    <x v="1"/>
    <x v="0"/>
    <x v="1"/>
    <x v="0"/>
    <x v="0"/>
    <x v="0"/>
    <x v="0"/>
    <x v="1"/>
    <x v="0"/>
    <m/>
    <x v="54"/>
  </r>
  <r>
    <s v="USR-100913"/>
    <d v="2025-01-09T00:00:00"/>
    <x v="1"/>
    <x v="0"/>
    <x v="0"/>
    <x v="1"/>
    <x v="0"/>
    <x v="1"/>
    <x v="0"/>
    <x v="0"/>
    <x v="0"/>
    <x v="0"/>
    <x v="0"/>
    <x v="0"/>
    <m/>
    <x v="139"/>
  </r>
  <r>
    <s v="USR-100914"/>
    <d v="2025-01-08T00:00:00"/>
    <x v="1"/>
    <x v="3"/>
    <x v="1"/>
    <x v="1"/>
    <x v="1"/>
    <x v="1"/>
    <x v="1"/>
    <x v="1"/>
    <x v="0"/>
    <x v="0"/>
    <x v="0"/>
    <x v="0"/>
    <m/>
    <x v="442"/>
  </r>
  <r>
    <s v="USR-100915"/>
    <d v="2025-05-01T00:00:00"/>
    <x v="1"/>
    <x v="2"/>
    <x v="0"/>
    <x v="2"/>
    <x v="1"/>
    <x v="1"/>
    <x v="0"/>
    <x v="0"/>
    <x v="0"/>
    <x v="0"/>
    <x v="0"/>
    <x v="0"/>
    <m/>
    <x v="328"/>
  </r>
  <r>
    <s v="USR-100916"/>
    <d v="2025-03-03T00:00:00"/>
    <x v="1"/>
    <x v="3"/>
    <x v="1"/>
    <x v="4"/>
    <x v="1"/>
    <x v="1"/>
    <x v="0"/>
    <x v="0"/>
    <x v="0"/>
    <x v="0"/>
    <x v="0"/>
    <x v="0"/>
    <m/>
    <x v="443"/>
  </r>
  <r>
    <s v="USR-100917"/>
    <d v="2025-02-23T00:00:00"/>
    <x v="1"/>
    <x v="1"/>
    <x v="0"/>
    <x v="4"/>
    <x v="0"/>
    <x v="1"/>
    <x v="1"/>
    <x v="1"/>
    <x v="0"/>
    <x v="0"/>
    <x v="0"/>
    <x v="0"/>
    <m/>
    <x v="182"/>
  </r>
  <r>
    <s v="USR-100918"/>
    <d v="2025-02-17T00:00:00"/>
    <x v="1"/>
    <x v="3"/>
    <x v="0"/>
    <x v="1"/>
    <x v="0"/>
    <x v="0"/>
    <x v="0"/>
    <x v="0"/>
    <x v="0"/>
    <x v="0"/>
    <x v="0"/>
    <x v="0"/>
    <m/>
    <x v="222"/>
  </r>
  <r>
    <s v="USR-100919"/>
    <d v="2025-05-21T00:00:00"/>
    <x v="1"/>
    <x v="2"/>
    <x v="1"/>
    <x v="1"/>
    <x v="0"/>
    <x v="1"/>
    <x v="0"/>
    <x v="0"/>
    <x v="0"/>
    <x v="0"/>
    <x v="0"/>
    <x v="0"/>
    <m/>
    <x v="408"/>
  </r>
  <r>
    <s v="USR-100920"/>
    <d v="2025-01-30T00:00:00"/>
    <x v="1"/>
    <x v="3"/>
    <x v="1"/>
    <x v="1"/>
    <x v="1"/>
    <x v="1"/>
    <x v="0"/>
    <x v="0"/>
    <x v="0"/>
    <x v="0"/>
    <x v="0"/>
    <x v="0"/>
    <m/>
    <x v="79"/>
  </r>
  <r>
    <s v="USR-100921"/>
    <d v="2025-03-20T00:00:00"/>
    <x v="1"/>
    <x v="1"/>
    <x v="1"/>
    <x v="0"/>
    <x v="1"/>
    <x v="1"/>
    <x v="1"/>
    <x v="1"/>
    <x v="1"/>
    <x v="41"/>
    <x v="0"/>
    <x v="0"/>
    <n v="8"/>
    <x v="114"/>
  </r>
  <r>
    <s v="USR-100922"/>
    <d v="2025-04-10T00:00:00"/>
    <x v="1"/>
    <x v="1"/>
    <x v="2"/>
    <x v="2"/>
    <x v="1"/>
    <x v="0"/>
    <x v="0"/>
    <x v="0"/>
    <x v="0"/>
    <x v="0"/>
    <x v="0"/>
    <x v="0"/>
    <m/>
    <x v="263"/>
  </r>
  <r>
    <s v="USR-100923"/>
    <d v="2025-03-07T00:00:00"/>
    <x v="1"/>
    <x v="0"/>
    <x v="0"/>
    <x v="1"/>
    <x v="1"/>
    <x v="1"/>
    <x v="1"/>
    <x v="1"/>
    <x v="0"/>
    <x v="0"/>
    <x v="0"/>
    <x v="0"/>
    <m/>
    <x v="95"/>
  </r>
  <r>
    <s v="USR-100924"/>
    <d v="2025-03-12T00:00:00"/>
    <x v="1"/>
    <x v="1"/>
    <x v="1"/>
    <x v="0"/>
    <x v="0"/>
    <x v="1"/>
    <x v="0"/>
    <x v="0"/>
    <x v="0"/>
    <x v="0"/>
    <x v="0"/>
    <x v="0"/>
    <m/>
    <x v="219"/>
  </r>
  <r>
    <s v="USR-100925"/>
    <d v="2025-02-24T00:00:00"/>
    <x v="1"/>
    <x v="2"/>
    <x v="1"/>
    <x v="3"/>
    <x v="1"/>
    <x v="0"/>
    <x v="0"/>
    <x v="0"/>
    <x v="0"/>
    <x v="0"/>
    <x v="0"/>
    <x v="0"/>
    <m/>
    <x v="386"/>
  </r>
  <r>
    <s v="USR-100926"/>
    <d v="2025-01-15T00:00:00"/>
    <x v="1"/>
    <x v="2"/>
    <x v="1"/>
    <x v="3"/>
    <x v="1"/>
    <x v="1"/>
    <x v="1"/>
    <x v="1"/>
    <x v="0"/>
    <x v="0"/>
    <x v="0"/>
    <x v="0"/>
    <m/>
    <x v="155"/>
  </r>
  <r>
    <s v="USR-100927"/>
    <d v="2025-01-07T00:00:00"/>
    <x v="1"/>
    <x v="0"/>
    <x v="0"/>
    <x v="2"/>
    <x v="1"/>
    <x v="1"/>
    <x v="0"/>
    <x v="0"/>
    <x v="0"/>
    <x v="0"/>
    <x v="0"/>
    <x v="0"/>
    <m/>
    <x v="193"/>
  </r>
  <r>
    <s v="USR-100928"/>
    <d v="2025-03-02T00:00:00"/>
    <x v="1"/>
    <x v="0"/>
    <x v="0"/>
    <x v="1"/>
    <x v="1"/>
    <x v="0"/>
    <x v="0"/>
    <x v="0"/>
    <x v="0"/>
    <x v="0"/>
    <x v="0"/>
    <x v="0"/>
    <m/>
    <x v="329"/>
  </r>
  <r>
    <s v="USR-100929"/>
    <d v="2025-01-05T00:00:00"/>
    <x v="1"/>
    <x v="3"/>
    <x v="0"/>
    <x v="3"/>
    <x v="0"/>
    <x v="0"/>
    <x v="0"/>
    <x v="0"/>
    <x v="0"/>
    <x v="0"/>
    <x v="0"/>
    <x v="0"/>
    <m/>
    <x v="336"/>
  </r>
  <r>
    <s v="USR-100930"/>
    <d v="2025-03-03T00:00:00"/>
    <x v="1"/>
    <x v="3"/>
    <x v="1"/>
    <x v="1"/>
    <x v="1"/>
    <x v="1"/>
    <x v="1"/>
    <x v="0"/>
    <x v="0"/>
    <x v="0"/>
    <x v="0"/>
    <x v="0"/>
    <m/>
    <x v="329"/>
  </r>
  <r>
    <s v="USR-100931"/>
    <d v="2025-03-31T00:00:00"/>
    <x v="1"/>
    <x v="2"/>
    <x v="0"/>
    <x v="3"/>
    <x v="1"/>
    <x v="1"/>
    <x v="1"/>
    <x v="1"/>
    <x v="1"/>
    <x v="42"/>
    <x v="0"/>
    <x v="0"/>
    <n v="3"/>
    <x v="425"/>
  </r>
  <r>
    <s v="USR-100932"/>
    <d v="2025-01-14T00:00:00"/>
    <x v="1"/>
    <x v="2"/>
    <x v="0"/>
    <x v="2"/>
    <x v="2"/>
    <x v="0"/>
    <x v="0"/>
    <x v="0"/>
    <x v="0"/>
    <x v="0"/>
    <x v="1"/>
    <x v="0"/>
    <m/>
    <x v="115"/>
  </r>
  <r>
    <s v="USR-100933"/>
    <d v="2025-01-15T00:00:00"/>
    <x v="1"/>
    <x v="1"/>
    <x v="0"/>
    <x v="2"/>
    <x v="2"/>
    <x v="1"/>
    <x v="0"/>
    <x v="0"/>
    <x v="0"/>
    <x v="0"/>
    <x v="0"/>
    <x v="0"/>
    <m/>
    <x v="444"/>
  </r>
  <r>
    <s v="USR-100934"/>
    <d v="2025-04-25T00:00:00"/>
    <x v="1"/>
    <x v="1"/>
    <x v="0"/>
    <x v="1"/>
    <x v="1"/>
    <x v="1"/>
    <x v="0"/>
    <x v="0"/>
    <x v="0"/>
    <x v="0"/>
    <x v="0"/>
    <x v="0"/>
    <m/>
    <x v="40"/>
  </r>
  <r>
    <s v="USR-100935"/>
    <d v="2025-03-21T00:00:00"/>
    <x v="1"/>
    <x v="2"/>
    <x v="1"/>
    <x v="1"/>
    <x v="0"/>
    <x v="1"/>
    <x v="1"/>
    <x v="0"/>
    <x v="0"/>
    <x v="0"/>
    <x v="0"/>
    <x v="0"/>
    <m/>
    <x v="298"/>
  </r>
  <r>
    <s v="USR-100936"/>
    <d v="2025-04-26T00:00:00"/>
    <x v="1"/>
    <x v="3"/>
    <x v="1"/>
    <x v="2"/>
    <x v="0"/>
    <x v="1"/>
    <x v="1"/>
    <x v="1"/>
    <x v="0"/>
    <x v="0"/>
    <x v="0"/>
    <x v="0"/>
    <m/>
    <x v="103"/>
  </r>
  <r>
    <s v="USR-100937"/>
    <d v="2025-05-21T00:00:00"/>
    <x v="1"/>
    <x v="3"/>
    <x v="0"/>
    <x v="5"/>
    <x v="0"/>
    <x v="0"/>
    <x v="0"/>
    <x v="0"/>
    <x v="0"/>
    <x v="0"/>
    <x v="0"/>
    <x v="0"/>
    <m/>
    <x v="445"/>
  </r>
  <r>
    <s v="USR-100938"/>
    <d v="2025-04-18T00:00:00"/>
    <x v="1"/>
    <x v="2"/>
    <x v="1"/>
    <x v="2"/>
    <x v="1"/>
    <x v="0"/>
    <x v="0"/>
    <x v="0"/>
    <x v="0"/>
    <x v="0"/>
    <x v="0"/>
    <x v="0"/>
    <m/>
    <x v="137"/>
  </r>
  <r>
    <s v="USR-100939"/>
    <d v="2025-01-29T00:00:00"/>
    <x v="1"/>
    <x v="0"/>
    <x v="0"/>
    <x v="0"/>
    <x v="2"/>
    <x v="1"/>
    <x v="1"/>
    <x v="0"/>
    <x v="0"/>
    <x v="0"/>
    <x v="0"/>
    <x v="0"/>
    <m/>
    <x v="446"/>
  </r>
  <r>
    <s v="USR-100940"/>
    <d v="2025-05-28T00:00:00"/>
    <x v="1"/>
    <x v="1"/>
    <x v="1"/>
    <x v="1"/>
    <x v="2"/>
    <x v="0"/>
    <x v="0"/>
    <x v="0"/>
    <x v="0"/>
    <x v="0"/>
    <x v="0"/>
    <x v="0"/>
    <m/>
    <x v="301"/>
  </r>
  <r>
    <s v="USR-100941"/>
    <d v="2025-01-15T00:00:00"/>
    <x v="1"/>
    <x v="2"/>
    <x v="1"/>
    <x v="0"/>
    <x v="1"/>
    <x v="1"/>
    <x v="1"/>
    <x v="1"/>
    <x v="0"/>
    <x v="0"/>
    <x v="2"/>
    <x v="0"/>
    <m/>
    <x v="271"/>
  </r>
  <r>
    <s v="USR-100942"/>
    <d v="2025-01-03T00:00:00"/>
    <x v="1"/>
    <x v="3"/>
    <x v="1"/>
    <x v="1"/>
    <x v="0"/>
    <x v="1"/>
    <x v="1"/>
    <x v="0"/>
    <x v="0"/>
    <x v="0"/>
    <x v="0"/>
    <x v="0"/>
    <m/>
    <x v="203"/>
  </r>
  <r>
    <s v="USR-100943"/>
    <d v="2025-02-04T00:00:00"/>
    <x v="1"/>
    <x v="3"/>
    <x v="1"/>
    <x v="2"/>
    <x v="1"/>
    <x v="1"/>
    <x v="1"/>
    <x v="1"/>
    <x v="1"/>
    <x v="43"/>
    <x v="1"/>
    <x v="0"/>
    <n v="7"/>
    <x v="278"/>
  </r>
  <r>
    <s v="USR-100944"/>
    <d v="2025-02-22T00:00:00"/>
    <x v="1"/>
    <x v="3"/>
    <x v="1"/>
    <x v="3"/>
    <x v="2"/>
    <x v="1"/>
    <x v="0"/>
    <x v="0"/>
    <x v="0"/>
    <x v="0"/>
    <x v="0"/>
    <x v="0"/>
    <m/>
    <x v="172"/>
  </r>
  <r>
    <s v="USR-100945"/>
    <d v="2025-05-06T00:00:00"/>
    <x v="1"/>
    <x v="1"/>
    <x v="1"/>
    <x v="1"/>
    <x v="0"/>
    <x v="1"/>
    <x v="0"/>
    <x v="0"/>
    <x v="0"/>
    <x v="0"/>
    <x v="0"/>
    <x v="0"/>
    <m/>
    <x v="447"/>
  </r>
  <r>
    <s v="USR-100946"/>
    <d v="2025-01-31T00:00:00"/>
    <x v="1"/>
    <x v="3"/>
    <x v="1"/>
    <x v="1"/>
    <x v="1"/>
    <x v="1"/>
    <x v="0"/>
    <x v="0"/>
    <x v="0"/>
    <x v="0"/>
    <x v="3"/>
    <x v="0"/>
    <m/>
    <x v="140"/>
  </r>
  <r>
    <s v="USR-100947"/>
    <d v="2025-02-18T00:00:00"/>
    <x v="1"/>
    <x v="0"/>
    <x v="1"/>
    <x v="4"/>
    <x v="0"/>
    <x v="0"/>
    <x v="0"/>
    <x v="0"/>
    <x v="0"/>
    <x v="0"/>
    <x v="0"/>
    <x v="0"/>
    <m/>
    <x v="194"/>
  </r>
  <r>
    <s v="USR-100948"/>
    <d v="2025-04-23T00:00:00"/>
    <x v="1"/>
    <x v="2"/>
    <x v="1"/>
    <x v="2"/>
    <x v="1"/>
    <x v="1"/>
    <x v="1"/>
    <x v="1"/>
    <x v="1"/>
    <x v="44"/>
    <x v="0"/>
    <x v="0"/>
    <n v="10"/>
    <x v="292"/>
  </r>
  <r>
    <s v="USR-100949"/>
    <d v="2025-02-06T00:00:00"/>
    <x v="1"/>
    <x v="0"/>
    <x v="1"/>
    <x v="1"/>
    <x v="1"/>
    <x v="1"/>
    <x v="1"/>
    <x v="1"/>
    <x v="0"/>
    <x v="0"/>
    <x v="0"/>
    <x v="0"/>
    <m/>
    <x v="42"/>
  </r>
  <r>
    <s v="USR-100950"/>
    <d v="2025-04-26T00:00:00"/>
    <x v="1"/>
    <x v="3"/>
    <x v="0"/>
    <x v="2"/>
    <x v="1"/>
    <x v="0"/>
    <x v="0"/>
    <x v="0"/>
    <x v="0"/>
    <x v="0"/>
    <x v="0"/>
    <x v="0"/>
    <m/>
    <x v="312"/>
  </r>
  <r>
    <s v="USR-100951"/>
    <d v="2025-03-30T00:00:00"/>
    <x v="1"/>
    <x v="1"/>
    <x v="0"/>
    <x v="2"/>
    <x v="0"/>
    <x v="1"/>
    <x v="0"/>
    <x v="0"/>
    <x v="0"/>
    <x v="0"/>
    <x v="0"/>
    <x v="0"/>
    <m/>
    <x v="235"/>
  </r>
  <r>
    <s v="USR-100952"/>
    <d v="2025-04-13T00:00:00"/>
    <x v="1"/>
    <x v="1"/>
    <x v="1"/>
    <x v="5"/>
    <x v="2"/>
    <x v="1"/>
    <x v="0"/>
    <x v="0"/>
    <x v="0"/>
    <x v="0"/>
    <x v="0"/>
    <x v="0"/>
    <m/>
    <x v="6"/>
  </r>
  <r>
    <s v="USR-100953"/>
    <d v="2025-04-04T00:00:00"/>
    <x v="1"/>
    <x v="2"/>
    <x v="0"/>
    <x v="1"/>
    <x v="2"/>
    <x v="0"/>
    <x v="0"/>
    <x v="0"/>
    <x v="0"/>
    <x v="0"/>
    <x v="1"/>
    <x v="0"/>
    <m/>
    <x v="448"/>
  </r>
  <r>
    <s v="USR-100954"/>
    <d v="2025-04-03T00:00:00"/>
    <x v="1"/>
    <x v="0"/>
    <x v="0"/>
    <x v="3"/>
    <x v="1"/>
    <x v="1"/>
    <x v="0"/>
    <x v="0"/>
    <x v="0"/>
    <x v="0"/>
    <x v="1"/>
    <x v="0"/>
    <m/>
    <x v="449"/>
  </r>
  <r>
    <s v="USR-100955"/>
    <d v="2025-03-14T00:00:00"/>
    <x v="1"/>
    <x v="1"/>
    <x v="1"/>
    <x v="2"/>
    <x v="2"/>
    <x v="1"/>
    <x v="0"/>
    <x v="0"/>
    <x v="0"/>
    <x v="0"/>
    <x v="0"/>
    <x v="0"/>
    <m/>
    <x v="400"/>
  </r>
  <r>
    <s v="USR-100956"/>
    <d v="2025-01-14T00:00:00"/>
    <x v="1"/>
    <x v="1"/>
    <x v="1"/>
    <x v="3"/>
    <x v="1"/>
    <x v="0"/>
    <x v="0"/>
    <x v="0"/>
    <x v="0"/>
    <x v="0"/>
    <x v="2"/>
    <x v="0"/>
    <m/>
    <x v="29"/>
  </r>
  <r>
    <s v="USR-100957"/>
    <d v="2025-05-05T00:00:00"/>
    <x v="1"/>
    <x v="1"/>
    <x v="1"/>
    <x v="2"/>
    <x v="1"/>
    <x v="0"/>
    <x v="0"/>
    <x v="0"/>
    <x v="0"/>
    <x v="0"/>
    <x v="0"/>
    <x v="0"/>
    <m/>
    <x v="53"/>
  </r>
  <r>
    <s v="USR-100958"/>
    <d v="2025-05-02T00:00:00"/>
    <x v="1"/>
    <x v="1"/>
    <x v="0"/>
    <x v="4"/>
    <x v="1"/>
    <x v="0"/>
    <x v="0"/>
    <x v="0"/>
    <x v="0"/>
    <x v="0"/>
    <x v="1"/>
    <x v="0"/>
    <m/>
    <x v="309"/>
  </r>
  <r>
    <s v="USR-100959"/>
    <d v="2025-05-21T00:00:00"/>
    <x v="1"/>
    <x v="2"/>
    <x v="1"/>
    <x v="1"/>
    <x v="1"/>
    <x v="1"/>
    <x v="0"/>
    <x v="0"/>
    <x v="0"/>
    <x v="0"/>
    <x v="0"/>
    <x v="0"/>
    <m/>
    <x v="319"/>
  </r>
  <r>
    <s v="USR-100960"/>
    <d v="2025-05-16T00:00:00"/>
    <x v="1"/>
    <x v="0"/>
    <x v="1"/>
    <x v="3"/>
    <x v="2"/>
    <x v="1"/>
    <x v="0"/>
    <x v="0"/>
    <x v="0"/>
    <x v="0"/>
    <x v="2"/>
    <x v="0"/>
    <m/>
    <x v="447"/>
  </r>
  <r>
    <s v="USR-100961"/>
    <d v="2025-05-24T00:00:00"/>
    <x v="1"/>
    <x v="2"/>
    <x v="0"/>
    <x v="1"/>
    <x v="2"/>
    <x v="1"/>
    <x v="1"/>
    <x v="1"/>
    <x v="0"/>
    <x v="0"/>
    <x v="1"/>
    <x v="0"/>
    <m/>
    <x v="450"/>
  </r>
  <r>
    <s v="USR-100962"/>
    <d v="2025-03-18T00:00:00"/>
    <x v="1"/>
    <x v="2"/>
    <x v="1"/>
    <x v="1"/>
    <x v="0"/>
    <x v="1"/>
    <x v="0"/>
    <x v="0"/>
    <x v="0"/>
    <x v="0"/>
    <x v="0"/>
    <x v="0"/>
    <m/>
    <x v="35"/>
  </r>
  <r>
    <s v="USR-100963"/>
    <d v="2025-01-11T00:00:00"/>
    <x v="1"/>
    <x v="2"/>
    <x v="0"/>
    <x v="2"/>
    <x v="1"/>
    <x v="0"/>
    <x v="0"/>
    <x v="0"/>
    <x v="0"/>
    <x v="0"/>
    <x v="1"/>
    <x v="0"/>
    <m/>
    <x v="185"/>
  </r>
  <r>
    <s v="USR-100964"/>
    <d v="2025-02-09T00:00:00"/>
    <x v="1"/>
    <x v="3"/>
    <x v="1"/>
    <x v="1"/>
    <x v="0"/>
    <x v="0"/>
    <x v="0"/>
    <x v="0"/>
    <x v="0"/>
    <x v="0"/>
    <x v="0"/>
    <x v="0"/>
    <m/>
    <x v="404"/>
  </r>
  <r>
    <s v="USR-100965"/>
    <d v="2025-03-01T00:00:00"/>
    <x v="1"/>
    <x v="0"/>
    <x v="0"/>
    <x v="4"/>
    <x v="1"/>
    <x v="1"/>
    <x v="0"/>
    <x v="0"/>
    <x v="0"/>
    <x v="0"/>
    <x v="0"/>
    <x v="0"/>
    <m/>
    <x v="233"/>
  </r>
  <r>
    <s v="USR-100966"/>
    <d v="2025-05-07T00:00:00"/>
    <x v="1"/>
    <x v="0"/>
    <x v="1"/>
    <x v="1"/>
    <x v="0"/>
    <x v="0"/>
    <x v="0"/>
    <x v="0"/>
    <x v="0"/>
    <x v="0"/>
    <x v="0"/>
    <x v="0"/>
    <m/>
    <x v="24"/>
  </r>
  <r>
    <s v="USR-100967"/>
    <d v="2025-02-19T00:00:00"/>
    <x v="1"/>
    <x v="3"/>
    <x v="0"/>
    <x v="5"/>
    <x v="1"/>
    <x v="1"/>
    <x v="0"/>
    <x v="0"/>
    <x v="0"/>
    <x v="0"/>
    <x v="0"/>
    <x v="0"/>
    <m/>
    <x v="176"/>
  </r>
  <r>
    <s v="USR-100968"/>
    <d v="2025-02-26T00:00:00"/>
    <x v="1"/>
    <x v="1"/>
    <x v="1"/>
    <x v="1"/>
    <x v="2"/>
    <x v="1"/>
    <x v="0"/>
    <x v="0"/>
    <x v="0"/>
    <x v="0"/>
    <x v="0"/>
    <x v="0"/>
    <m/>
    <x v="451"/>
  </r>
  <r>
    <s v="USR-100969"/>
    <d v="2025-03-23T00:00:00"/>
    <x v="1"/>
    <x v="3"/>
    <x v="1"/>
    <x v="4"/>
    <x v="1"/>
    <x v="0"/>
    <x v="0"/>
    <x v="0"/>
    <x v="0"/>
    <x v="0"/>
    <x v="0"/>
    <x v="0"/>
    <m/>
    <x v="328"/>
  </r>
  <r>
    <s v="USR-100970"/>
    <d v="2025-04-25T00:00:00"/>
    <x v="1"/>
    <x v="3"/>
    <x v="0"/>
    <x v="4"/>
    <x v="1"/>
    <x v="0"/>
    <x v="0"/>
    <x v="0"/>
    <x v="0"/>
    <x v="0"/>
    <x v="1"/>
    <x v="0"/>
    <m/>
    <x v="452"/>
  </r>
  <r>
    <s v="USR-100971"/>
    <d v="2025-05-10T00:00:00"/>
    <x v="1"/>
    <x v="0"/>
    <x v="0"/>
    <x v="4"/>
    <x v="1"/>
    <x v="1"/>
    <x v="1"/>
    <x v="1"/>
    <x v="0"/>
    <x v="0"/>
    <x v="0"/>
    <x v="0"/>
    <m/>
    <x v="453"/>
  </r>
  <r>
    <s v="USR-100972"/>
    <d v="2025-04-22T00:00:00"/>
    <x v="1"/>
    <x v="2"/>
    <x v="1"/>
    <x v="2"/>
    <x v="2"/>
    <x v="0"/>
    <x v="0"/>
    <x v="0"/>
    <x v="0"/>
    <x v="0"/>
    <x v="0"/>
    <x v="0"/>
    <m/>
    <x v="454"/>
  </r>
  <r>
    <s v="USR-100973"/>
    <d v="2025-02-18T00:00:00"/>
    <x v="1"/>
    <x v="1"/>
    <x v="1"/>
    <x v="3"/>
    <x v="0"/>
    <x v="1"/>
    <x v="1"/>
    <x v="1"/>
    <x v="0"/>
    <x v="0"/>
    <x v="0"/>
    <x v="0"/>
    <m/>
    <x v="328"/>
  </r>
  <r>
    <s v="USR-100974"/>
    <d v="2025-01-26T00:00:00"/>
    <x v="1"/>
    <x v="3"/>
    <x v="1"/>
    <x v="2"/>
    <x v="2"/>
    <x v="1"/>
    <x v="1"/>
    <x v="1"/>
    <x v="0"/>
    <x v="0"/>
    <x v="0"/>
    <x v="0"/>
    <m/>
    <x v="165"/>
  </r>
  <r>
    <s v="USR-100975"/>
    <d v="2025-04-28T00:00:00"/>
    <x v="1"/>
    <x v="0"/>
    <x v="1"/>
    <x v="1"/>
    <x v="1"/>
    <x v="1"/>
    <x v="0"/>
    <x v="0"/>
    <x v="0"/>
    <x v="0"/>
    <x v="0"/>
    <x v="0"/>
    <m/>
    <x v="170"/>
  </r>
  <r>
    <s v="USR-100976"/>
    <d v="2025-04-02T00:00:00"/>
    <x v="1"/>
    <x v="3"/>
    <x v="0"/>
    <x v="0"/>
    <x v="0"/>
    <x v="1"/>
    <x v="0"/>
    <x v="0"/>
    <x v="0"/>
    <x v="0"/>
    <x v="0"/>
    <x v="0"/>
    <m/>
    <x v="389"/>
  </r>
  <r>
    <s v="USR-100977"/>
    <d v="2025-04-12T00:00:00"/>
    <x v="1"/>
    <x v="3"/>
    <x v="0"/>
    <x v="0"/>
    <x v="2"/>
    <x v="1"/>
    <x v="1"/>
    <x v="0"/>
    <x v="0"/>
    <x v="0"/>
    <x v="0"/>
    <x v="0"/>
    <m/>
    <x v="311"/>
  </r>
  <r>
    <s v="USR-100978"/>
    <d v="2025-01-03T00:00:00"/>
    <x v="1"/>
    <x v="1"/>
    <x v="0"/>
    <x v="0"/>
    <x v="0"/>
    <x v="1"/>
    <x v="1"/>
    <x v="1"/>
    <x v="0"/>
    <x v="0"/>
    <x v="1"/>
    <x v="0"/>
    <m/>
    <x v="311"/>
  </r>
  <r>
    <s v="USR-100979"/>
    <d v="2025-05-08T00:00:00"/>
    <x v="1"/>
    <x v="0"/>
    <x v="1"/>
    <x v="2"/>
    <x v="1"/>
    <x v="1"/>
    <x v="0"/>
    <x v="0"/>
    <x v="0"/>
    <x v="0"/>
    <x v="0"/>
    <x v="0"/>
    <m/>
    <x v="318"/>
  </r>
  <r>
    <s v="USR-100980"/>
    <d v="2025-02-20T00:00:00"/>
    <x v="1"/>
    <x v="0"/>
    <x v="1"/>
    <x v="3"/>
    <x v="2"/>
    <x v="1"/>
    <x v="0"/>
    <x v="0"/>
    <x v="0"/>
    <x v="0"/>
    <x v="1"/>
    <x v="0"/>
    <m/>
    <x v="455"/>
  </r>
  <r>
    <s v="USR-100981"/>
    <d v="2025-03-17T00:00:00"/>
    <x v="1"/>
    <x v="0"/>
    <x v="0"/>
    <x v="2"/>
    <x v="2"/>
    <x v="1"/>
    <x v="0"/>
    <x v="0"/>
    <x v="0"/>
    <x v="0"/>
    <x v="0"/>
    <x v="0"/>
    <m/>
    <x v="327"/>
  </r>
  <r>
    <s v="USR-100982"/>
    <d v="2025-04-10T00:00:00"/>
    <x v="1"/>
    <x v="3"/>
    <x v="0"/>
    <x v="0"/>
    <x v="1"/>
    <x v="1"/>
    <x v="0"/>
    <x v="0"/>
    <x v="0"/>
    <x v="0"/>
    <x v="3"/>
    <x v="0"/>
    <m/>
    <x v="39"/>
  </r>
  <r>
    <s v="USR-100983"/>
    <d v="2025-05-08T00:00:00"/>
    <x v="1"/>
    <x v="0"/>
    <x v="0"/>
    <x v="3"/>
    <x v="1"/>
    <x v="1"/>
    <x v="0"/>
    <x v="0"/>
    <x v="0"/>
    <x v="0"/>
    <x v="0"/>
    <x v="0"/>
    <m/>
    <x v="103"/>
  </r>
  <r>
    <s v="USR-100984"/>
    <d v="2025-04-19T00:00:00"/>
    <x v="1"/>
    <x v="1"/>
    <x v="1"/>
    <x v="2"/>
    <x v="0"/>
    <x v="1"/>
    <x v="0"/>
    <x v="0"/>
    <x v="0"/>
    <x v="0"/>
    <x v="0"/>
    <x v="0"/>
    <m/>
    <x v="26"/>
  </r>
  <r>
    <s v="USR-100985"/>
    <d v="2025-01-01T00:00:00"/>
    <x v="1"/>
    <x v="3"/>
    <x v="2"/>
    <x v="2"/>
    <x v="0"/>
    <x v="1"/>
    <x v="0"/>
    <x v="0"/>
    <x v="0"/>
    <x v="0"/>
    <x v="0"/>
    <x v="0"/>
    <m/>
    <x v="168"/>
  </r>
  <r>
    <s v="USR-100986"/>
    <d v="2025-03-10T00:00:00"/>
    <x v="1"/>
    <x v="2"/>
    <x v="1"/>
    <x v="2"/>
    <x v="1"/>
    <x v="1"/>
    <x v="0"/>
    <x v="0"/>
    <x v="0"/>
    <x v="0"/>
    <x v="0"/>
    <x v="0"/>
    <m/>
    <x v="166"/>
  </r>
  <r>
    <s v="USR-100987"/>
    <d v="2025-03-10T00:00:00"/>
    <x v="1"/>
    <x v="2"/>
    <x v="2"/>
    <x v="4"/>
    <x v="2"/>
    <x v="0"/>
    <x v="0"/>
    <x v="0"/>
    <x v="0"/>
    <x v="0"/>
    <x v="2"/>
    <x v="0"/>
    <m/>
    <x v="211"/>
  </r>
  <r>
    <s v="USR-100988"/>
    <d v="2025-04-19T00:00:00"/>
    <x v="1"/>
    <x v="1"/>
    <x v="2"/>
    <x v="0"/>
    <x v="0"/>
    <x v="1"/>
    <x v="0"/>
    <x v="0"/>
    <x v="0"/>
    <x v="0"/>
    <x v="0"/>
    <x v="0"/>
    <m/>
    <x v="171"/>
  </r>
  <r>
    <s v="USR-100989"/>
    <d v="2025-04-11T00:00:00"/>
    <x v="1"/>
    <x v="1"/>
    <x v="0"/>
    <x v="1"/>
    <x v="1"/>
    <x v="0"/>
    <x v="0"/>
    <x v="0"/>
    <x v="0"/>
    <x v="0"/>
    <x v="0"/>
    <x v="0"/>
    <m/>
    <x v="365"/>
  </r>
  <r>
    <s v="USR-100990"/>
    <d v="2025-04-10T00:00:00"/>
    <x v="1"/>
    <x v="2"/>
    <x v="1"/>
    <x v="1"/>
    <x v="0"/>
    <x v="1"/>
    <x v="0"/>
    <x v="0"/>
    <x v="0"/>
    <x v="0"/>
    <x v="1"/>
    <x v="0"/>
    <m/>
    <x v="268"/>
  </r>
  <r>
    <s v="USR-100991"/>
    <d v="2025-01-13T00:00:00"/>
    <x v="1"/>
    <x v="1"/>
    <x v="0"/>
    <x v="4"/>
    <x v="1"/>
    <x v="1"/>
    <x v="0"/>
    <x v="0"/>
    <x v="0"/>
    <x v="0"/>
    <x v="0"/>
    <x v="0"/>
    <m/>
    <x v="133"/>
  </r>
  <r>
    <s v="USR-100992"/>
    <d v="2025-03-28T00:00:00"/>
    <x v="1"/>
    <x v="3"/>
    <x v="0"/>
    <x v="1"/>
    <x v="1"/>
    <x v="1"/>
    <x v="1"/>
    <x v="0"/>
    <x v="0"/>
    <x v="0"/>
    <x v="0"/>
    <x v="0"/>
    <m/>
    <x v="276"/>
  </r>
  <r>
    <s v="USR-100993"/>
    <d v="2025-01-29T00:00:00"/>
    <x v="1"/>
    <x v="2"/>
    <x v="1"/>
    <x v="2"/>
    <x v="1"/>
    <x v="1"/>
    <x v="1"/>
    <x v="1"/>
    <x v="1"/>
    <x v="45"/>
    <x v="0"/>
    <x v="0"/>
    <n v="8"/>
    <x v="14"/>
  </r>
  <r>
    <s v="USR-100994"/>
    <d v="2025-03-27T00:00:00"/>
    <x v="1"/>
    <x v="3"/>
    <x v="1"/>
    <x v="3"/>
    <x v="1"/>
    <x v="0"/>
    <x v="0"/>
    <x v="0"/>
    <x v="0"/>
    <x v="0"/>
    <x v="0"/>
    <x v="0"/>
    <m/>
    <x v="456"/>
  </r>
  <r>
    <s v="USR-100995"/>
    <d v="2025-03-20T00:00:00"/>
    <x v="1"/>
    <x v="2"/>
    <x v="2"/>
    <x v="4"/>
    <x v="1"/>
    <x v="0"/>
    <x v="0"/>
    <x v="0"/>
    <x v="0"/>
    <x v="0"/>
    <x v="0"/>
    <x v="0"/>
    <m/>
    <x v="457"/>
  </r>
  <r>
    <s v="USR-100996"/>
    <d v="2025-01-09T00:00:00"/>
    <x v="1"/>
    <x v="0"/>
    <x v="1"/>
    <x v="2"/>
    <x v="0"/>
    <x v="0"/>
    <x v="0"/>
    <x v="0"/>
    <x v="0"/>
    <x v="0"/>
    <x v="1"/>
    <x v="0"/>
    <m/>
    <x v="104"/>
  </r>
  <r>
    <s v="USR-100997"/>
    <d v="2025-04-25T00:00:00"/>
    <x v="1"/>
    <x v="1"/>
    <x v="1"/>
    <x v="4"/>
    <x v="1"/>
    <x v="1"/>
    <x v="1"/>
    <x v="1"/>
    <x v="1"/>
    <x v="46"/>
    <x v="0"/>
    <x v="1"/>
    <n v="8"/>
    <x v="80"/>
  </r>
  <r>
    <s v="USR-100998"/>
    <d v="2025-04-11T00:00:00"/>
    <x v="1"/>
    <x v="3"/>
    <x v="0"/>
    <x v="4"/>
    <x v="1"/>
    <x v="1"/>
    <x v="0"/>
    <x v="0"/>
    <x v="0"/>
    <x v="0"/>
    <x v="0"/>
    <x v="0"/>
    <m/>
    <x v="427"/>
  </r>
  <r>
    <s v="USR-100999"/>
    <d v="2025-02-05T00:00:00"/>
    <x v="1"/>
    <x v="2"/>
    <x v="1"/>
    <x v="4"/>
    <x v="0"/>
    <x v="1"/>
    <x v="1"/>
    <x v="1"/>
    <x v="0"/>
    <x v="0"/>
    <x v="0"/>
    <x v="0"/>
    <m/>
    <x v="458"/>
  </r>
  <r>
    <s v="USR-101000"/>
    <d v="2025-03-28T00:00:00"/>
    <x v="1"/>
    <x v="3"/>
    <x v="1"/>
    <x v="4"/>
    <x v="2"/>
    <x v="1"/>
    <x v="0"/>
    <x v="0"/>
    <x v="0"/>
    <x v="0"/>
    <x v="1"/>
    <x v="0"/>
    <m/>
    <x v="287"/>
  </r>
  <r>
    <s v="USR-101001"/>
    <d v="2025-05-14T00:00:00"/>
    <x v="1"/>
    <x v="3"/>
    <x v="1"/>
    <x v="3"/>
    <x v="1"/>
    <x v="0"/>
    <x v="0"/>
    <x v="0"/>
    <x v="0"/>
    <x v="0"/>
    <x v="0"/>
    <x v="0"/>
    <m/>
    <x v="292"/>
  </r>
  <r>
    <s v="USR-101002"/>
    <d v="2025-03-10T00:00:00"/>
    <x v="1"/>
    <x v="2"/>
    <x v="1"/>
    <x v="2"/>
    <x v="0"/>
    <x v="0"/>
    <x v="0"/>
    <x v="0"/>
    <x v="0"/>
    <x v="0"/>
    <x v="1"/>
    <x v="0"/>
    <m/>
    <x v="150"/>
  </r>
  <r>
    <s v="USR-101003"/>
    <d v="2025-04-09T00:00:00"/>
    <x v="1"/>
    <x v="2"/>
    <x v="0"/>
    <x v="2"/>
    <x v="1"/>
    <x v="1"/>
    <x v="1"/>
    <x v="0"/>
    <x v="0"/>
    <x v="0"/>
    <x v="0"/>
    <x v="0"/>
    <m/>
    <x v="301"/>
  </r>
  <r>
    <s v="USR-101004"/>
    <d v="2025-02-13T00:00:00"/>
    <x v="1"/>
    <x v="0"/>
    <x v="1"/>
    <x v="3"/>
    <x v="0"/>
    <x v="1"/>
    <x v="1"/>
    <x v="1"/>
    <x v="0"/>
    <x v="0"/>
    <x v="2"/>
    <x v="0"/>
    <m/>
    <x v="188"/>
  </r>
  <r>
    <s v="USR-101005"/>
    <d v="2025-05-03T00:00:00"/>
    <x v="1"/>
    <x v="2"/>
    <x v="1"/>
    <x v="0"/>
    <x v="1"/>
    <x v="1"/>
    <x v="1"/>
    <x v="1"/>
    <x v="0"/>
    <x v="0"/>
    <x v="0"/>
    <x v="0"/>
    <m/>
    <x v="391"/>
  </r>
  <r>
    <s v="USR-101006"/>
    <d v="2025-04-16T00:00:00"/>
    <x v="1"/>
    <x v="3"/>
    <x v="0"/>
    <x v="3"/>
    <x v="2"/>
    <x v="1"/>
    <x v="0"/>
    <x v="0"/>
    <x v="0"/>
    <x v="0"/>
    <x v="0"/>
    <x v="0"/>
    <m/>
    <x v="427"/>
  </r>
  <r>
    <s v="USR-101007"/>
    <d v="2025-04-30T00:00:00"/>
    <x v="1"/>
    <x v="0"/>
    <x v="1"/>
    <x v="2"/>
    <x v="2"/>
    <x v="1"/>
    <x v="0"/>
    <x v="0"/>
    <x v="0"/>
    <x v="0"/>
    <x v="0"/>
    <x v="0"/>
    <m/>
    <x v="15"/>
  </r>
  <r>
    <s v="USR-101008"/>
    <d v="2025-02-18T00:00:00"/>
    <x v="1"/>
    <x v="1"/>
    <x v="0"/>
    <x v="1"/>
    <x v="1"/>
    <x v="1"/>
    <x v="0"/>
    <x v="0"/>
    <x v="0"/>
    <x v="0"/>
    <x v="0"/>
    <x v="0"/>
    <m/>
    <x v="414"/>
  </r>
  <r>
    <s v="USR-101009"/>
    <d v="2025-05-22T00:00:00"/>
    <x v="1"/>
    <x v="1"/>
    <x v="0"/>
    <x v="3"/>
    <x v="0"/>
    <x v="0"/>
    <x v="0"/>
    <x v="0"/>
    <x v="0"/>
    <x v="0"/>
    <x v="0"/>
    <x v="0"/>
    <m/>
    <x v="319"/>
  </r>
  <r>
    <s v="USR-101010"/>
    <d v="2025-05-21T00:00:00"/>
    <x v="1"/>
    <x v="3"/>
    <x v="0"/>
    <x v="1"/>
    <x v="1"/>
    <x v="0"/>
    <x v="0"/>
    <x v="0"/>
    <x v="0"/>
    <x v="0"/>
    <x v="0"/>
    <x v="0"/>
    <m/>
    <x v="208"/>
  </r>
  <r>
    <s v="USR-101011"/>
    <d v="2025-04-10T00:00:00"/>
    <x v="1"/>
    <x v="2"/>
    <x v="0"/>
    <x v="1"/>
    <x v="1"/>
    <x v="1"/>
    <x v="0"/>
    <x v="0"/>
    <x v="0"/>
    <x v="0"/>
    <x v="1"/>
    <x v="0"/>
    <m/>
    <x v="459"/>
  </r>
  <r>
    <s v="USR-101012"/>
    <d v="2025-01-07T00:00:00"/>
    <x v="1"/>
    <x v="0"/>
    <x v="0"/>
    <x v="1"/>
    <x v="2"/>
    <x v="1"/>
    <x v="1"/>
    <x v="1"/>
    <x v="1"/>
    <x v="47"/>
    <x v="1"/>
    <x v="0"/>
    <n v="9"/>
    <x v="19"/>
  </r>
  <r>
    <s v="USR-101013"/>
    <d v="2025-02-03T00:00:00"/>
    <x v="1"/>
    <x v="3"/>
    <x v="0"/>
    <x v="4"/>
    <x v="1"/>
    <x v="0"/>
    <x v="0"/>
    <x v="0"/>
    <x v="0"/>
    <x v="0"/>
    <x v="0"/>
    <x v="0"/>
    <m/>
    <x v="276"/>
  </r>
  <r>
    <s v="USR-101014"/>
    <d v="2025-05-18T00:00:00"/>
    <x v="1"/>
    <x v="0"/>
    <x v="1"/>
    <x v="2"/>
    <x v="1"/>
    <x v="1"/>
    <x v="0"/>
    <x v="0"/>
    <x v="0"/>
    <x v="0"/>
    <x v="0"/>
    <x v="0"/>
    <m/>
    <x v="52"/>
  </r>
  <r>
    <s v="USR-101015"/>
    <d v="2025-01-31T00:00:00"/>
    <x v="1"/>
    <x v="0"/>
    <x v="1"/>
    <x v="3"/>
    <x v="1"/>
    <x v="1"/>
    <x v="0"/>
    <x v="0"/>
    <x v="0"/>
    <x v="0"/>
    <x v="0"/>
    <x v="0"/>
    <m/>
    <x v="137"/>
  </r>
  <r>
    <s v="USR-101016"/>
    <d v="2025-01-16T00:00:00"/>
    <x v="1"/>
    <x v="3"/>
    <x v="0"/>
    <x v="1"/>
    <x v="0"/>
    <x v="1"/>
    <x v="0"/>
    <x v="0"/>
    <x v="0"/>
    <x v="0"/>
    <x v="0"/>
    <x v="0"/>
    <m/>
    <x v="407"/>
  </r>
  <r>
    <s v="USR-101017"/>
    <d v="2025-05-14T00:00:00"/>
    <x v="1"/>
    <x v="2"/>
    <x v="1"/>
    <x v="2"/>
    <x v="0"/>
    <x v="1"/>
    <x v="1"/>
    <x v="0"/>
    <x v="0"/>
    <x v="0"/>
    <x v="1"/>
    <x v="0"/>
    <m/>
    <x v="120"/>
  </r>
  <r>
    <s v="USR-101018"/>
    <d v="2025-04-01T00:00:00"/>
    <x v="1"/>
    <x v="3"/>
    <x v="1"/>
    <x v="5"/>
    <x v="0"/>
    <x v="1"/>
    <x v="0"/>
    <x v="0"/>
    <x v="0"/>
    <x v="0"/>
    <x v="0"/>
    <x v="0"/>
    <m/>
    <x v="10"/>
  </r>
  <r>
    <s v="USR-101019"/>
    <d v="2025-04-23T00:00:00"/>
    <x v="1"/>
    <x v="3"/>
    <x v="1"/>
    <x v="1"/>
    <x v="1"/>
    <x v="1"/>
    <x v="0"/>
    <x v="0"/>
    <x v="0"/>
    <x v="0"/>
    <x v="0"/>
    <x v="0"/>
    <m/>
    <x v="235"/>
  </r>
  <r>
    <s v="USR-101020"/>
    <d v="2025-03-02T00:00:00"/>
    <x v="1"/>
    <x v="3"/>
    <x v="0"/>
    <x v="2"/>
    <x v="0"/>
    <x v="1"/>
    <x v="0"/>
    <x v="0"/>
    <x v="0"/>
    <x v="0"/>
    <x v="0"/>
    <x v="0"/>
    <m/>
    <x v="87"/>
  </r>
  <r>
    <s v="USR-101021"/>
    <d v="2025-01-02T00:00:00"/>
    <x v="1"/>
    <x v="2"/>
    <x v="1"/>
    <x v="2"/>
    <x v="0"/>
    <x v="0"/>
    <x v="0"/>
    <x v="0"/>
    <x v="0"/>
    <x v="0"/>
    <x v="0"/>
    <x v="0"/>
    <m/>
    <x v="200"/>
  </r>
  <r>
    <s v="USR-101022"/>
    <d v="2025-05-04T00:00:00"/>
    <x v="1"/>
    <x v="3"/>
    <x v="1"/>
    <x v="1"/>
    <x v="1"/>
    <x v="1"/>
    <x v="0"/>
    <x v="0"/>
    <x v="0"/>
    <x v="0"/>
    <x v="0"/>
    <x v="0"/>
    <m/>
    <x v="460"/>
  </r>
  <r>
    <s v="USR-101023"/>
    <d v="2025-01-16T00:00:00"/>
    <x v="1"/>
    <x v="2"/>
    <x v="0"/>
    <x v="2"/>
    <x v="0"/>
    <x v="0"/>
    <x v="0"/>
    <x v="0"/>
    <x v="0"/>
    <x v="0"/>
    <x v="0"/>
    <x v="0"/>
    <m/>
    <x v="413"/>
  </r>
  <r>
    <s v="USR-101024"/>
    <d v="2025-02-11T00:00:00"/>
    <x v="1"/>
    <x v="1"/>
    <x v="2"/>
    <x v="2"/>
    <x v="2"/>
    <x v="0"/>
    <x v="0"/>
    <x v="0"/>
    <x v="0"/>
    <x v="0"/>
    <x v="0"/>
    <x v="0"/>
    <m/>
    <x v="98"/>
  </r>
  <r>
    <s v="USR-101025"/>
    <d v="2025-04-03T00:00:00"/>
    <x v="1"/>
    <x v="0"/>
    <x v="1"/>
    <x v="4"/>
    <x v="2"/>
    <x v="1"/>
    <x v="1"/>
    <x v="1"/>
    <x v="1"/>
    <x v="48"/>
    <x v="0"/>
    <x v="0"/>
    <n v="4"/>
    <x v="461"/>
  </r>
  <r>
    <s v="USR-101026"/>
    <d v="2025-03-26T00:00:00"/>
    <x v="1"/>
    <x v="2"/>
    <x v="1"/>
    <x v="3"/>
    <x v="1"/>
    <x v="1"/>
    <x v="0"/>
    <x v="0"/>
    <x v="0"/>
    <x v="0"/>
    <x v="0"/>
    <x v="0"/>
    <m/>
    <x v="370"/>
  </r>
  <r>
    <s v="USR-101027"/>
    <d v="2025-05-16T00:00:00"/>
    <x v="1"/>
    <x v="3"/>
    <x v="1"/>
    <x v="0"/>
    <x v="2"/>
    <x v="0"/>
    <x v="0"/>
    <x v="0"/>
    <x v="0"/>
    <x v="0"/>
    <x v="0"/>
    <x v="0"/>
    <m/>
    <x v="170"/>
  </r>
  <r>
    <s v="USR-101028"/>
    <d v="2025-04-20T00:00:00"/>
    <x v="1"/>
    <x v="1"/>
    <x v="1"/>
    <x v="4"/>
    <x v="1"/>
    <x v="0"/>
    <x v="0"/>
    <x v="0"/>
    <x v="0"/>
    <x v="0"/>
    <x v="1"/>
    <x v="0"/>
    <m/>
    <x v="300"/>
  </r>
  <r>
    <s v="USR-101029"/>
    <d v="2025-04-15T00:00:00"/>
    <x v="1"/>
    <x v="1"/>
    <x v="1"/>
    <x v="2"/>
    <x v="1"/>
    <x v="1"/>
    <x v="0"/>
    <x v="0"/>
    <x v="0"/>
    <x v="0"/>
    <x v="2"/>
    <x v="0"/>
    <m/>
    <x v="247"/>
  </r>
  <r>
    <s v="USR-101030"/>
    <d v="2025-01-24T00:00:00"/>
    <x v="1"/>
    <x v="0"/>
    <x v="1"/>
    <x v="1"/>
    <x v="2"/>
    <x v="1"/>
    <x v="1"/>
    <x v="1"/>
    <x v="0"/>
    <x v="0"/>
    <x v="0"/>
    <x v="0"/>
    <m/>
    <x v="462"/>
  </r>
  <r>
    <s v="USR-101031"/>
    <d v="2025-04-11T00:00:00"/>
    <x v="1"/>
    <x v="3"/>
    <x v="1"/>
    <x v="3"/>
    <x v="0"/>
    <x v="0"/>
    <x v="0"/>
    <x v="0"/>
    <x v="0"/>
    <x v="0"/>
    <x v="0"/>
    <x v="0"/>
    <m/>
    <x v="196"/>
  </r>
  <r>
    <s v="USR-101032"/>
    <d v="2025-05-19T00:00:00"/>
    <x v="1"/>
    <x v="0"/>
    <x v="1"/>
    <x v="2"/>
    <x v="1"/>
    <x v="1"/>
    <x v="0"/>
    <x v="0"/>
    <x v="0"/>
    <x v="0"/>
    <x v="0"/>
    <x v="0"/>
    <m/>
    <x v="80"/>
  </r>
  <r>
    <s v="USR-101033"/>
    <d v="2025-01-14T00:00:00"/>
    <x v="1"/>
    <x v="0"/>
    <x v="1"/>
    <x v="1"/>
    <x v="0"/>
    <x v="0"/>
    <x v="0"/>
    <x v="0"/>
    <x v="0"/>
    <x v="0"/>
    <x v="0"/>
    <x v="0"/>
    <m/>
    <x v="430"/>
  </r>
  <r>
    <s v="USR-101034"/>
    <d v="2025-02-28T00:00:00"/>
    <x v="1"/>
    <x v="2"/>
    <x v="0"/>
    <x v="1"/>
    <x v="0"/>
    <x v="0"/>
    <x v="0"/>
    <x v="0"/>
    <x v="0"/>
    <x v="0"/>
    <x v="0"/>
    <x v="0"/>
    <m/>
    <x v="139"/>
  </r>
  <r>
    <s v="USR-101035"/>
    <d v="2025-05-18T00:00:00"/>
    <x v="1"/>
    <x v="2"/>
    <x v="2"/>
    <x v="2"/>
    <x v="0"/>
    <x v="1"/>
    <x v="0"/>
    <x v="0"/>
    <x v="0"/>
    <x v="0"/>
    <x v="0"/>
    <x v="0"/>
    <m/>
    <x v="463"/>
  </r>
  <r>
    <s v="USR-101036"/>
    <d v="2025-01-04T00:00:00"/>
    <x v="1"/>
    <x v="0"/>
    <x v="1"/>
    <x v="4"/>
    <x v="1"/>
    <x v="0"/>
    <x v="0"/>
    <x v="0"/>
    <x v="0"/>
    <x v="0"/>
    <x v="0"/>
    <x v="0"/>
    <m/>
    <x v="38"/>
  </r>
  <r>
    <s v="USR-101037"/>
    <d v="2025-01-16T00:00:00"/>
    <x v="1"/>
    <x v="1"/>
    <x v="1"/>
    <x v="4"/>
    <x v="2"/>
    <x v="1"/>
    <x v="0"/>
    <x v="0"/>
    <x v="0"/>
    <x v="0"/>
    <x v="0"/>
    <x v="0"/>
    <m/>
    <x v="387"/>
  </r>
  <r>
    <s v="USR-101038"/>
    <d v="2025-03-14T00:00:00"/>
    <x v="1"/>
    <x v="1"/>
    <x v="1"/>
    <x v="4"/>
    <x v="2"/>
    <x v="1"/>
    <x v="0"/>
    <x v="0"/>
    <x v="0"/>
    <x v="0"/>
    <x v="3"/>
    <x v="0"/>
    <m/>
    <x v="213"/>
  </r>
  <r>
    <s v="USR-101039"/>
    <d v="2025-01-23T00:00:00"/>
    <x v="1"/>
    <x v="2"/>
    <x v="1"/>
    <x v="2"/>
    <x v="0"/>
    <x v="1"/>
    <x v="0"/>
    <x v="0"/>
    <x v="0"/>
    <x v="0"/>
    <x v="1"/>
    <x v="0"/>
    <m/>
    <x v="183"/>
  </r>
  <r>
    <s v="USR-101040"/>
    <d v="2025-02-03T00:00:00"/>
    <x v="1"/>
    <x v="0"/>
    <x v="0"/>
    <x v="1"/>
    <x v="0"/>
    <x v="1"/>
    <x v="0"/>
    <x v="0"/>
    <x v="0"/>
    <x v="0"/>
    <x v="0"/>
    <x v="0"/>
    <m/>
    <x v="61"/>
  </r>
  <r>
    <s v="USR-101041"/>
    <d v="2025-05-16T00:00:00"/>
    <x v="1"/>
    <x v="2"/>
    <x v="1"/>
    <x v="3"/>
    <x v="1"/>
    <x v="1"/>
    <x v="0"/>
    <x v="0"/>
    <x v="0"/>
    <x v="0"/>
    <x v="0"/>
    <x v="0"/>
    <m/>
    <x v="0"/>
  </r>
  <r>
    <s v="USR-101042"/>
    <d v="2025-01-11T00:00:00"/>
    <x v="1"/>
    <x v="1"/>
    <x v="1"/>
    <x v="1"/>
    <x v="0"/>
    <x v="0"/>
    <x v="0"/>
    <x v="0"/>
    <x v="0"/>
    <x v="0"/>
    <x v="1"/>
    <x v="0"/>
    <m/>
    <x v="113"/>
  </r>
  <r>
    <s v="USR-101043"/>
    <d v="2025-05-25T00:00:00"/>
    <x v="1"/>
    <x v="0"/>
    <x v="0"/>
    <x v="1"/>
    <x v="1"/>
    <x v="0"/>
    <x v="0"/>
    <x v="0"/>
    <x v="0"/>
    <x v="0"/>
    <x v="2"/>
    <x v="0"/>
    <m/>
    <x v="247"/>
  </r>
  <r>
    <s v="USR-101044"/>
    <d v="2025-05-08T00:00:00"/>
    <x v="1"/>
    <x v="2"/>
    <x v="1"/>
    <x v="2"/>
    <x v="2"/>
    <x v="0"/>
    <x v="0"/>
    <x v="0"/>
    <x v="0"/>
    <x v="0"/>
    <x v="0"/>
    <x v="0"/>
    <m/>
    <x v="224"/>
  </r>
  <r>
    <s v="USR-101045"/>
    <d v="2025-02-26T00:00:00"/>
    <x v="1"/>
    <x v="2"/>
    <x v="0"/>
    <x v="5"/>
    <x v="0"/>
    <x v="1"/>
    <x v="0"/>
    <x v="0"/>
    <x v="0"/>
    <x v="0"/>
    <x v="0"/>
    <x v="0"/>
    <m/>
    <x v="85"/>
  </r>
  <r>
    <s v="USR-101046"/>
    <d v="2025-03-30T00:00:00"/>
    <x v="1"/>
    <x v="0"/>
    <x v="1"/>
    <x v="2"/>
    <x v="1"/>
    <x v="1"/>
    <x v="0"/>
    <x v="0"/>
    <x v="0"/>
    <x v="0"/>
    <x v="0"/>
    <x v="0"/>
    <m/>
    <x v="94"/>
  </r>
  <r>
    <s v="USR-101047"/>
    <d v="2025-04-13T00:00:00"/>
    <x v="1"/>
    <x v="1"/>
    <x v="1"/>
    <x v="1"/>
    <x v="0"/>
    <x v="1"/>
    <x v="0"/>
    <x v="0"/>
    <x v="0"/>
    <x v="0"/>
    <x v="0"/>
    <x v="0"/>
    <m/>
    <x v="384"/>
  </r>
  <r>
    <s v="USR-101048"/>
    <d v="2025-02-20T00:00:00"/>
    <x v="1"/>
    <x v="2"/>
    <x v="3"/>
    <x v="2"/>
    <x v="0"/>
    <x v="1"/>
    <x v="0"/>
    <x v="0"/>
    <x v="0"/>
    <x v="0"/>
    <x v="0"/>
    <x v="0"/>
    <m/>
    <x v="319"/>
  </r>
  <r>
    <s v="USR-101049"/>
    <d v="2025-04-19T00:00:00"/>
    <x v="1"/>
    <x v="1"/>
    <x v="0"/>
    <x v="4"/>
    <x v="1"/>
    <x v="1"/>
    <x v="0"/>
    <x v="0"/>
    <x v="0"/>
    <x v="0"/>
    <x v="0"/>
    <x v="0"/>
    <m/>
    <x v="362"/>
  </r>
  <r>
    <s v="USR-101050"/>
    <d v="2025-03-22T00:00:00"/>
    <x v="1"/>
    <x v="3"/>
    <x v="1"/>
    <x v="2"/>
    <x v="1"/>
    <x v="1"/>
    <x v="1"/>
    <x v="0"/>
    <x v="0"/>
    <x v="0"/>
    <x v="1"/>
    <x v="0"/>
    <m/>
    <x v="102"/>
  </r>
  <r>
    <s v="USR-101051"/>
    <d v="2025-02-28T00:00:00"/>
    <x v="1"/>
    <x v="0"/>
    <x v="1"/>
    <x v="0"/>
    <x v="0"/>
    <x v="1"/>
    <x v="1"/>
    <x v="0"/>
    <x v="0"/>
    <x v="0"/>
    <x v="0"/>
    <x v="0"/>
    <m/>
    <x v="197"/>
  </r>
  <r>
    <s v="USR-101052"/>
    <d v="2025-05-24T00:00:00"/>
    <x v="1"/>
    <x v="2"/>
    <x v="1"/>
    <x v="4"/>
    <x v="1"/>
    <x v="1"/>
    <x v="1"/>
    <x v="1"/>
    <x v="0"/>
    <x v="0"/>
    <x v="0"/>
    <x v="0"/>
    <m/>
    <x v="464"/>
  </r>
  <r>
    <s v="USR-101053"/>
    <d v="2025-02-03T00:00:00"/>
    <x v="1"/>
    <x v="0"/>
    <x v="0"/>
    <x v="0"/>
    <x v="1"/>
    <x v="1"/>
    <x v="1"/>
    <x v="1"/>
    <x v="1"/>
    <x v="49"/>
    <x v="0"/>
    <x v="0"/>
    <n v="14"/>
    <x v="465"/>
  </r>
  <r>
    <s v="USR-101054"/>
    <d v="2025-01-27T00:00:00"/>
    <x v="1"/>
    <x v="3"/>
    <x v="1"/>
    <x v="1"/>
    <x v="1"/>
    <x v="1"/>
    <x v="0"/>
    <x v="0"/>
    <x v="0"/>
    <x v="0"/>
    <x v="1"/>
    <x v="0"/>
    <m/>
    <x v="265"/>
  </r>
  <r>
    <s v="USR-101055"/>
    <d v="2025-04-17T00:00:00"/>
    <x v="1"/>
    <x v="2"/>
    <x v="1"/>
    <x v="1"/>
    <x v="1"/>
    <x v="1"/>
    <x v="0"/>
    <x v="0"/>
    <x v="0"/>
    <x v="0"/>
    <x v="0"/>
    <x v="0"/>
    <m/>
    <x v="427"/>
  </r>
  <r>
    <s v="USR-101056"/>
    <d v="2025-02-06T00:00:00"/>
    <x v="1"/>
    <x v="1"/>
    <x v="1"/>
    <x v="4"/>
    <x v="1"/>
    <x v="1"/>
    <x v="1"/>
    <x v="0"/>
    <x v="0"/>
    <x v="0"/>
    <x v="0"/>
    <x v="0"/>
    <m/>
    <x v="142"/>
  </r>
  <r>
    <s v="USR-101057"/>
    <d v="2025-04-20T00:00:00"/>
    <x v="1"/>
    <x v="3"/>
    <x v="1"/>
    <x v="2"/>
    <x v="1"/>
    <x v="1"/>
    <x v="0"/>
    <x v="0"/>
    <x v="0"/>
    <x v="0"/>
    <x v="0"/>
    <x v="0"/>
    <m/>
    <x v="466"/>
  </r>
  <r>
    <s v="USR-101058"/>
    <d v="2025-05-06T00:00:00"/>
    <x v="1"/>
    <x v="0"/>
    <x v="1"/>
    <x v="2"/>
    <x v="0"/>
    <x v="0"/>
    <x v="0"/>
    <x v="0"/>
    <x v="0"/>
    <x v="0"/>
    <x v="0"/>
    <x v="0"/>
    <m/>
    <x v="87"/>
  </r>
  <r>
    <s v="USR-101059"/>
    <d v="2025-05-16T00:00:00"/>
    <x v="1"/>
    <x v="3"/>
    <x v="1"/>
    <x v="1"/>
    <x v="1"/>
    <x v="1"/>
    <x v="0"/>
    <x v="0"/>
    <x v="0"/>
    <x v="0"/>
    <x v="0"/>
    <x v="0"/>
    <m/>
    <x v="458"/>
  </r>
  <r>
    <s v="USR-101060"/>
    <d v="2025-03-02T00:00:00"/>
    <x v="1"/>
    <x v="3"/>
    <x v="1"/>
    <x v="2"/>
    <x v="2"/>
    <x v="1"/>
    <x v="1"/>
    <x v="0"/>
    <x v="0"/>
    <x v="0"/>
    <x v="1"/>
    <x v="0"/>
    <m/>
    <x v="467"/>
  </r>
  <r>
    <s v="USR-101061"/>
    <d v="2025-04-09T00:00:00"/>
    <x v="1"/>
    <x v="1"/>
    <x v="1"/>
    <x v="4"/>
    <x v="1"/>
    <x v="0"/>
    <x v="0"/>
    <x v="0"/>
    <x v="0"/>
    <x v="0"/>
    <x v="0"/>
    <x v="0"/>
    <m/>
    <x v="293"/>
  </r>
  <r>
    <s v="USR-101062"/>
    <d v="2025-01-26T00:00:00"/>
    <x v="1"/>
    <x v="2"/>
    <x v="1"/>
    <x v="2"/>
    <x v="1"/>
    <x v="1"/>
    <x v="1"/>
    <x v="1"/>
    <x v="1"/>
    <x v="50"/>
    <x v="2"/>
    <x v="1"/>
    <n v="1"/>
    <x v="147"/>
  </r>
  <r>
    <s v="USR-101063"/>
    <d v="2025-02-25T00:00:00"/>
    <x v="1"/>
    <x v="3"/>
    <x v="1"/>
    <x v="2"/>
    <x v="0"/>
    <x v="1"/>
    <x v="1"/>
    <x v="1"/>
    <x v="0"/>
    <x v="0"/>
    <x v="0"/>
    <x v="0"/>
    <m/>
    <x v="40"/>
  </r>
  <r>
    <s v="USR-101064"/>
    <d v="2025-01-07T00:00:00"/>
    <x v="1"/>
    <x v="2"/>
    <x v="1"/>
    <x v="1"/>
    <x v="2"/>
    <x v="0"/>
    <x v="0"/>
    <x v="0"/>
    <x v="0"/>
    <x v="0"/>
    <x v="0"/>
    <x v="0"/>
    <m/>
    <x v="7"/>
  </r>
  <r>
    <s v="USR-101065"/>
    <d v="2025-03-08T00:00:00"/>
    <x v="1"/>
    <x v="3"/>
    <x v="1"/>
    <x v="4"/>
    <x v="0"/>
    <x v="1"/>
    <x v="1"/>
    <x v="1"/>
    <x v="0"/>
    <x v="0"/>
    <x v="0"/>
    <x v="0"/>
    <m/>
    <x v="468"/>
  </r>
  <r>
    <s v="USR-101066"/>
    <d v="2025-05-22T00:00:00"/>
    <x v="1"/>
    <x v="2"/>
    <x v="1"/>
    <x v="3"/>
    <x v="1"/>
    <x v="1"/>
    <x v="0"/>
    <x v="0"/>
    <x v="0"/>
    <x v="0"/>
    <x v="1"/>
    <x v="0"/>
    <m/>
    <x v="469"/>
  </r>
  <r>
    <s v="USR-101067"/>
    <d v="2025-04-18T00:00:00"/>
    <x v="1"/>
    <x v="2"/>
    <x v="1"/>
    <x v="2"/>
    <x v="2"/>
    <x v="1"/>
    <x v="0"/>
    <x v="0"/>
    <x v="0"/>
    <x v="0"/>
    <x v="0"/>
    <x v="0"/>
    <m/>
    <x v="189"/>
  </r>
  <r>
    <s v="USR-101068"/>
    <d v="2025-02-24T00:00:00"/>
    <x v="1"/>
    <x v="1"/>
    <x v="1"/>
    <x v="3"/>
    <x v="0"/>
    <x v="0"/>
    <x v="0"/>
    <x v="0"/>
    <x v="0"/>
    <x v="0"/>
    <x v="1"/>
    <x v="0"/>
    <m/>
    <x v="373"/>
  </r>
  <r>
    <s v="USR-101069"/>
    <d v="2025-02-11T00:00:00"/>
    <x v="1"/>
    <x v="0"/>
    <x v="1"/>
    <x v="1"/>
    <x v="1"/>
    <x v="1"/>
    <x v="1"/>
    <x v="1"/>
    <x v="0"/>
    <x v="0"/>
    <x v="0"/>
    <x v="0"/>
    <m/>
    <x v="470"/>
  </r>
  <r>
    <s v="USR-101070"/>
    <d v="2025-03-11T00:00:00"/>
    <x v="1"/>
    <x v="1"/>
    <x v="0"/>
    <x v="2"/>
    <x v="1"/>
    <x v="1"/>
    <x v="0"/>
    <x v="0"/>
    <x v="0"/>
    <x v="0"/>
    <x v="2"/>
    <x v="0"/>
    <m/>
    <x v="1"/>
  </r>
  <r>
    <s v="USR-101071"/>
    <d v="2025-04-11T00:00:00"/>
    <x v="1"/>
    <x v="2"/>
    <x v="2"/>
    <x v="3"/>
    <x v="1"/>
    <x v="1"/>
    <x v="1"/>
    <x v="1"/>
    <x v="0"/>
    <x v="0"/>
    <x v="0"/>
    <x v="0"/>
    <m/>
    <x v="471"/>
  </r>
  <r>
    <s v="USR-101072"/>
    <d v="2025-03-11T00:00:00"/>
    <x v="1"/>
    <x v="0"/>
    <x v="1"/>
    <x v="1"/>
    <x v="1"/>
    <x v="0"/>
    <x v="0"/>
    <x v="0"/>
    <x v="0"/>
    <x v="0"/>
    <x v="0"/>
    <x v="0"/>
    <m/>
    <x v="80"/>
  </r>
  <r>
    <s v="USR-101073"/>
    <d v="2025-05-22T00:00:00"/>
    <x v="1"/>
    <x v="2"/>
    <x v="1"/>
    <x v="3"/>
    <x v="1"/>
    <x v="1"/>
    <x v="0"/>
    <x v="0"/>
    <x v="0"/>
    <x v="0"/>
    <x v="1"/>
    <x v="0"/>
    <m/>
    <x v="128"/>
  </r>
  <r>
    <s v="USR-101074"/>
    <d v="2025-02-22T00:00:00"/>
    <x v="1"/>
    <x v="3"/>
    <x v="0"/>
    <x v="1"/>
    <x v="1"/>
    <x v="1"/>
    <x v="1"/>
    <x v="1"/>
    <x v="1"/>
    <x v="51"/>
    <x v="2"/>
    <x v="0"/>
    <n v="4"/>
    <x v="313"/>
  </r>
  <r>
    <s v="USR-101075"/>
    <d v="2025-01-13T00:00:00"/>
    <x v="1"/>
    <x v="2"/>
    <x v="1"/>
    <x v="2"/>
    <x v="0"/>
    <x v="1"/>
    <x v="0"/>
    <x v="0"/>
    <x v="0"/>
    <x v="0"/>
    <x v="0"/>
    <x v="0"/>
    <m/>
    <x v="107"/>
  </r>
  <r>
    <s v="USR-101076"/>
    <d v="2025-05-19T00:00:00"/>
    <x v="1"/>
    <x v="3"/>
    <x v="1"/>
    <x v="1"/>
    <x v="1"/>
    <x v="1"/>
    <x v="0"/>
    <x v="0"/>
    <x v="0"/>
    <x v="0"/>
    <x v="0"/>
    <x v="0"/>
    <m/>
    <x v="99"/>
  </r>
  <r>
    <s v="USR-101077"/>
    <d v="2025-03-08T00:00:00"/>
    <x v="1"/>
    <x v="0"/>
    <x v="2"/>
    <x v="1"/>
    <x v="0"/>
    <x v="1"/>
    <x v="1"/>
    <x v="1"/>
    <x v="1"/>
    <x v="52"/>
    <x v="0"/>
    <x v="0"/>
    <n v="3"/>
    <x v="197"/>
  </r>
  <r>
    <s v="USR-101078"/>
    <d v="2025-04-20T00:00:00"/>
    <x v="1"/>
    <x v="3"/>
    <x v="1"/>
    <x v="1"/>
    <x v="1"/>
    <x v="1"/>
    <x v="1"/>
    <x v="1"/>
    <x v="1"/>
    <x v="53"/>
    <x v="0"/>
    <x v="0"/>
    <n v="8"/>
    <x v="201"/>
  </r>
  <r>
    <s v="USR-101079"/>
    <d v="2025-05-08T00:00:00"/>
    <x v="1"/>
    <x v="1"/>
    <x v="1"/>
    <x v="0"/>
    <x v="0"/>
    <x v="0"/>
    <x v="0"/>
    <x v="0"/>
    <x v="0"/>
    <x v="0"/>
    <x v="1"/>
    <x v="0"/>
    <m/>
    <x v="472"/>
  </r>
  <r>
    <s v="USR-101080"/>
    <d v="2025-05-10T00:00:00"/>
    <x v="1"/>
    <x v="3"/>
    <x v="1"/>
    <x v="1"/>
    <x v="0"/>
    <x v="1"/>
    <x v="0"/>
    <x v="0"/>
    <x v="0"/>
    <x v="0"/>
    <x v="0"/>
    <x v="0"/>
    <m/>
    <x v="443"/>
  </r>
  <r>
    <s v="USR-101081"/>
    <d v="2025-03-28T00:00:00"/>
    <x v="1"/>
    <x v="2"/>
    <x v="1"/>
    <x v="1"/>
    <x v="1"/>
    <x v="1"/>
    <x v="0"/>
    <x v="0"/>
    <x v="0"/>
    <x v="0"/>
    <x v="0"/>
    <x v="0"/>
    <m/>
    <x v="65"/>
  </r>
  <r>
    <s v="USR-101082"/>
    <d v="2025-04-30T00:00:00"/>
    <x v="1"/>
    <x v="2"/>
    <x v="1"/>
    <x v="2"/>
    <x v="2"/>
    <x v="1"/>
    <x v="1"/>
    <x v="1"/>
    <x v="0"/>
    <x v="0"/>
    <x v="0"/>
    <x v="0"/>
    <m/>
    <x v="473"/>
  </r>
  <r>
    <s v="USR-101083"/>
    <d v="2025-02-08T00:00:00"/>
    <x v="1"/>
    <x v="0"/>
    <x v="1"/>
    <x v="1"/>
    <x v="0"/>
    <x v="0"/>
    <x v="0"/>
    <x v="0"/>
    <x v="0"/>
    <x v="0"/>
    <x v="1"/>
    <x v="0"/>
    <m/>
    <x v="329"/>
  </r>
  <r>
    <s v="USR-101084"/>
    <d v="2025-03-07T00:00:00"/>
    <x v="1"/>
    <x v="3"/>
    <x v="1"/>
    <x v="3"/>
    <x v="2"/>
    <x v="0"/>
    <x v="0"/>
    <x v="0"/>
    <x v="0"/>
    <x v="0"/>
    <x v="0"/>
    <x v="0"/>
    <m/>
    <x v="474"/>
  </r>
  <r>
    <s v="USR-101085"/>
    <d v="2025-05-21T00:00:00"/>
    <x v="1"/>
    <x v="3"/>
    <x v="1"/>
    <x v="4"/>
    <x v="0"/>
    <x v="1"/>
    <x v="1"/>
    <x v="1"/>
    <x v="0"/>
    <x v="0"/>
    <x v="1"/>
    <x v="0"/>
    <m/>
    <x v="420"/>
  </r>
  <r>
    <s v="USR-101086"/>
    <d v="2025-04-12T00:00:00"/>
    <x v="1"/>
    <x v="3"/>
    <x v="1"/>
    <x v="4"/>
    <x v="1"/>
    <x v="1"/>
    <x v="1"/>
    <x v="1"/>
    <x v="0"/>
    <x v="0"/>
    <x v="0"/>
    <x v="0"/>
    <m/>
    <x v="355"/>
  </r>
  <r>
    <s v="USR-101087"/>
    <d v="2025-02-02T00:00:00"/>
    <x v="1"/>
    <x v="3"/>
    <x v="1"/>
    <x v="2"/>
    <x v="1"/>
    <x v="1"/>
    <x v="0"/>
    <x v="0"/>
    <x v="0"/>
    <x v="0"/>
    <x v="0"/>
    <x v="0"/>
    <m/>
    <x v="203"/>
  </r>
  <r>
    <s v="USR-101088"/>
    <d v="2025-04-22T00:00:00"/>
    <x v="1"/>
    <x v="0"/>
    <x v="2"/>
    <x v="3"/>
    <x v="1"/>
    <x v="1"/>
    <x v="1"/>
    <x v="1"/>
    <x v="0"/>
    <x v="0"/>
    <x v="1"/>
    <x v="0"/>
    <m/>
    <x v="475"/>
  </r>
  <r>
    <s v="USR-101089"/>
    <d v="2025-02-08T00:00:00"/>
    <x v="1"/>
    <x v="0"/>
    <x v="1"/>
    <x v="4"/>
    <x v="0"/>
    <x v="1"/>
    <x v="0"/>
    <x v="0"/>
    <x v="0"/>
    <x v="0"/>
    <x v="0"/>
    <x v="0"/>
    <m/>
    <x v="209"/>
  </r>
  <r>
    <s v="USR-101090"/>
    <d v="2025-01-24T00:00:00"/>
    <x v="1"/>
    <x v="3"/>
    <x v="0"/>
    <x v="0"/>
    <x v="1"/>
    <x v="1"/>
    <x v="0"/>
    <x v="0"/>
    <x v="0"/>
    <x v="0"/>
    <x v="0"/>
    <x v="0"/>
    <m/>
    <x v="326"/>
  </r>
  <r>
    <s v="USR-101091"/>
    <d v="2025-05-12T00:00:00"/>
    <x v="1"/>
    <x v="3"/>
    <x v="1"/>
    <x v="2"/>
    <x v="0"/>
    <x v="0"/>
    <x v="0"/>
    <x v="0"/>
    <x v="0"/>
    <x v="0"/>
    <x v="1"/>
    <x v="0"/>
    <m/>
    <x v="386"/>
  </r>
  <r>
    <s v="USR-101092"/>
    <d v="2025-03-30T00:00:00"/>
    <x v="1"/>
    <x v="0"/>
    <x v="1"/>
    <x v="1"/>
    <x v="0"/>
    <x v="0"/>
    <x v="0"/>
    <x v="0"/>
    <x v="0"/>
    <x v="0"/>
    <x v="0"/>
    <x v="0"/>
    <m/>
    <x v="476"/>
  </r>
  <r>
    <s v="USR-101093"/>
    <d v="2025-01-02T00:00:00"/>
    <x v="1"/>
    <x v="3"/>
    <x v="0"/>
    <x v="2"/>
    <x v="0"/>
    <x v="1"/>
    <x v="0"/>
    <x v="0"/>
    <x v="0"/>
    <x v="0"/>
    <x v="0"/>
    <x v="0"/>
    <m/>
    <x v="260"/>
  </r>
  <r>
    <s v="USR-101094"/>
    <d v="2025-03-21T00:00:00"/>
    <x v="1"/>
    <x v="3"/>
    <x v="2"/>
    <x v="0"/>
    <x v="0"/>
    <x v="0"/>
    <x v="0"/>
    <x v="0"/>
    <x v="0"/>
    <x v="0"/>
    <x v="0"/>
    <x v="0"/>
    <m/>
    <x v="66"/>
  </r>
  <r>
    <s v="USR-101095"/>
    <d v="2025-01-25T00:00:00"/>
    <x v="1"/>
    <x v="1"/>
    <x v="1"/>
    <x v="1"/>
    <x v="1"/>
    <x v="1"/>
    <x v="1"/>
    <x v="1"/>
    <x v="0"/>
    <x v="0"/>
    <x v="1"/>
    <x v="0"/>
    <m/>
    <x v="143"/>
  </r>
  <r>
    <s v="USR-101096"/>
    <d v="2025-01-12T00:00:00"/>
    <x v="1"/>
    <x v="3"/>
    <x v="2"/>
    <x v="4"/>
    <x v="1"/>
    <x v="1"/>
    <x v="1"/>
    <x v="1"/>
    <x v="0"/>
    <x v="0"/>
    <x v="0"/>
    <x v="0"/>
    <m/>
    <x v="62"/>
  </r>
  <r>
    <s v="USR-101097"/>
    <d v="2025-03-18T00:00:00"/>
    <x v="1"/>
    <x v="2"/>
    <x v="0"/>
    <x v="3"/>
    <x v="1"/>
    <x v="1"/>
    <x v="0"/>
    <x v="0"/>
    <x v="0"/>
    <x v="0"/>
    <x v="0"/>
    <x v="0"/>
    <m/>
    <x v="466"/>
  </r>
  <r>
    <s v="USR-101098"/>
    <d v="2025-03-26T00:00:00"/>
    <x v="1"/>
    <x v="2"/>
    <x v="1"/>
    <x v="2"/>
    <x v="0"/>
    <x v="1"/>
    <x v="0"/>
    <x v="0"/>
    <x v="0"/>
    <x v="0"/>
    <x v="0"/>
    <x v="0"/>
    <m/>
    <x v="92"/>
  </r>
  <r>
    <s v="USR-101099"/>
    <d v="2025-04-19T00:00:00"/>
    <x v="1"/>
    <x v="0"/>
    <x v="1"/>
    <x v="2"/>
    <x v="0"/>
    <x v="1"/>
    <x v="0"/>
    <x v="0"/>
    <x v="0"/>
    <x v="0"/>
    <x v="0"/>
    <x v="0"/>
    <m/>
    <x v="128"/>
  </r>
  <r>
    <s v="USR-101100"/>
    <d v="2025-04-17T00:00:00"/>
    <x v="1"/>
    <x v="2"/>
    <x v="1"/>
    <x v="1"/>
    <x v="2"/>
    <x v="1"/>
    <x v="1"/>
    <x v="1"/>
    <x v="0"/>
    <x v="0"/>
    <x v="1"/>
    <x v="0"/>
    <m/>
    <x v="194"/>
  </r>
  <r>
    <s v="USR-101101"/>
    <d v="2025-05-26T00:00:00"/>
    <x v="1"/>
    <x v="3"/>
    <x v="1"/>
    <x v="2"/>
    <x v="1"/>
    <x v="1"/>
    <x v="0"/>
    <x v="0"/>
    <x v="0"/>
    <x v="0"/>
    <x v="0"/>
    <x v="0"/>
    <m/>
    <x v="477"/>
  </r>
  <r>
    <s v="USR-101102"/>
    <d v="2025-04-14T00:00:00"/>
    <x v="1"/>
    <x v="0"/>
    <x v="1"/>
    <x v="4"/>
    <x v="2"/>
    <x v="1"/>
    <x v="1"/>
    <x v="1"/>
    <x v="0"/>
    <x v="0"/>
    <x v="0"/>
    <x v="0"/>
    <m/>
    <x v="183"/>
  </r>
  <r>
    <s v="USR-101103"/>
    <d v="2025-01-23T00:00:00"/>
    <x v="1"/>
    <x v="3"/>
    <x v="1"/>
    <x v="1"/>
    <x v="0"/>
    <x v="1"/>
    <x v="1"/>
    <x v="0"/>
    <x v="0"/>
    <x v="0"/>
    <x v="0"/>
    <x v="0"/>
    <m/>
    <x v="265"/>
  </r>
  <r>
    <s v="USR-101104"/>
    <d v="2025-01-06T00:00:00"/>
    <x v="1"/>
    <x v="2"/>
    <x v="1"/>
    <x v="3"/>
    <x v="1"/>
    <x v="0"/>
    <x v="0"/>
    <x v="0"/>
    <x v="0"/>
    <x v="0"/>
    <x v="0"/>
    <x v="0"/>
    <m/>
    <x v="478"/>
  </r>
  <r>
    <s v="USR-101105"/>
    <d v="2025-05-31T00:00:00"/>
    <x v="1"/>
    <x v="1"/>
    <x v="1"/>
    <x v="0"/>
    <x v="0"/>
    <x v="1"/>
    <x v="0"/>
    <x v="0"/>
    <x v="0"/>
    <x v="0"/>
    <x v="0"/>
    <x v="0"/>
    <m/>
    <x v="221"/>
  </r>
  <r>
    <s v="USR-101106"/>
    <d v="2025-05-19T00:00:00"/>
    <x v="1"/>
    <x v="0"/>
    <x v="1"/>
    <x v="1"/>
    <x v="0"/>
    <x v="1"/>
    <x v="1"/>
    <x v="1"/>
    <x v="0"/>
    <x v="0"/>
    <x v="0"/>
    <x v="0"/>
    <m/>
    <x v="479"/>
  </r>
  <r>
    <s v="USR-101107"/>
    <d v="2025-02-25T00:00:00"/>
    <x v="1"/>
    <x v="0"/>
    <x v="1"/>
    <x v="1"/>
    <x v="1"/>
    <x v="0"/>
    <x v="0"/>
    <x v="0"/>
    <x v="0"/>
    <x v="0"/>
    <x v="1"/>
    <x v="0"/>
    <m/>
    <x v="371"/>
  </r>
  <r>
    <s v="USR-101108"/>
    <d v="2025-01-10T00:00:00"/>
    <x v="1"/>
    <x v="3"/>
    <x v="2"/>
    <x v="1"/>
    <x v="0"/>
    <x v="1"/>
    <x v="0"/>
    <x v="0"/>
    <x v="0"/>
    <x v="0"/>
    <x v="0"/>
    <x v="0"/>
    <m/>
    <x v="240"/>
  </r>
  <r>
    <s v="USR-101109"/>
    <d v="2025-05-13T00:00:00"/>
    <x v="1"/>
    <x v="0"/>
    <x v="2"/>
    <x v="2"/>
    <x v="1"/>
    <x v="0"/>
    <x v="0"/>
    <x v="0"/>
    <x v="0"/>
    <x v="0"/>
    <x v="0"/>
    <x v="0"/>
    <m/>
    <x v="30"/>
  </r>
  <r>
    <s v="USR-101110"/>
    <d v="2025-04-27T00:00:00"/>
    <x v="1"/>
    <x v="1"/>
    <x v="0"/>
    <x v="1"/>
    <x v="2"/>
    <x v="1"/>
    <x v="0"/>
    <x v="0"/>
    <x v="0"/>
    <x v="0"/>
    <x v="0"/>
    <x v="0"/>
    <m/>
    <x v="227"/>
  </r>
  <r>
    <s v="USR-101111"/>
    <d v="2025-04-03T00:00:00"/>
    <x v="1"/>
    <x v="3"/>
    <x v="1"/>
    <x v="1"/>
    <x v="1"/>
    <x v="1"/>
    <x v="0"/>
    <x v="0"/>
    <x v="0"/>
    <x v="0"/>
    <x v="1"/>
    <x v="0"/>
    <m/>
    <x v="230"/>
  </r>
  <r>
    <s v="USR-101112"/>
    <d v="2025-03-26T00:00:00"/>
    <x v="1"/>
    <x v="3"/>
    <x v="1"/>
    <x v="1"/>
    <x v="1"/>
    <x v="1"/>
    <x v="1"/>
    <x v="1"/>
    <x v="0"/>
    <x v="0"/>
    <x v="1"/>
    <x v="0"/>
    <m/>
    <x v="289"/>
  </r>
  <r>
    <s v="USR-101113"/>
    <d v="2025-01-31T00:00:00"/>
    <x v="1"/>
    <x v="3"/>
    <x v="1"/>
    <x v="1"/>
    <x v="0"/>
    <x v="1"/>
    <x v="1"/>
    <x v="1"/>
    <x v="0"/>
    <x v="0"/>
    <x v="2"/>
    <x v="0"/>
    <m/>
    <x v="118"/>
  </r>
  <r>
    <s v="USR-101114"/>
    <d v="2025-01-25T00:00:00"/>
    <x v="1"/>
    <x v="3"/>
    <x v="1"/>
    <x v="4"/>
    <x v="1"/>
    <x v="1"/>
    <x v="1"/>
    <x v="1"/>
    <x v="1"/>
    <x v="54"/>
    <x v="1"/>
    <x v="0"/>
    <n v="11"/>
    <x v="177"/>
  </r>
  <r>
    <s v="USR-101115"/>
    <d v="2025-02-06T00:00:00"/>
    <x v="1"/>
    <x v="1"/>
    <x v="1"/>
    <x v="3"/>
    <x v="0"/>
    <x v="1"/>
    <x v="0"/>
    <x v="0"/>
    <x v="0"/>
    <x v="0"/>
    <x v="0"/>
    <x v="0"/>
    <m/>
    <x v="106"/>
  </r>
  <r>
    <s v="USR-101116"/>
    <d v="2025-03-10T00:00:00"/>
    <x v="1"/>
    <x v="2"/>
    <x v="1"/>
    <x v="2"/>
    <x v="1"/>
    <x v="1"/>
    <x v="1"/>
    <x v="0"/>
    <x v="0"/>
    <x v="0"/>
    <x v="0"/>
    <x v="0"/>
    <m/>
    <x v="38"/>
  </r>
  <r>
    <s v="USR-101117"/>
    <d v="2025-01-26T00:00:00"/>
    <x v="1"/>
    <x v="1"/>
    <x v="1"/>
    <x v="1"/>
    <x v="0"/>
    <x v="1"/>
    <x v="1"/>
    <x v="1"/>
    <x v="0"/>
    <x v="0"/>
    <x v="3"/>
    <x v="0"/>
    <m/>
    <x v="480"/>
  </r>
  <r>
    <s v="USR-101118"/>
    <d v="2025-01-01T00:00:00"/>
    <x v="1"/>
    <x v="2"/>
    <x v="1"/>
    <x v="2"/>
    <x v="1"/>
    <x v="1"/>
    <x v="1"/>
    <x v="0"/>
    <x v="0"/>
    <x v="0"/>
    <x v="0"/>
    <x v="0"/>
    <m/>
    <x v="481"/>
  </r>
  <r>
    <s v="USR-101119"/>
    <d v="2025-04-28T00:00:00"/>
    <x v="1"/>
    <x v="0"/>
    <x v="0"/>
    <x v="4"/>
    <x v="0"/>
    <x v="1"/>
    <x v="0"/>
    <x v="0"/>
    <x v="0"/>
    <x v="0"/>
    <x v="0"/>
    <x v="0"/>
    <m/>
    <x v="46"/>
  </r>
  <r>
    <s v="USR-101120"/>
    <d v="2025-04-04T00:00:00"/>
    <x v="1"/>
    <x v="0"/>
    <x v="1"/>
    <x v="1"/>
    <x v="2"/>
    <x v="1"/>
    <x v="0"/>
    <x v="0"/>
    <x v="0"/>
    <x v="0"/>
    <x v="0"/>
    <x v="0"/>
    <m/>
    <x v="240"/>
  </r>
  <r>
    <s v="USR-101121"/>
    <d v="2025-03-02T00:00:00"/>
    <x v="1"/>
    <x v="2"/>
    <x v="1"/>
    <x v="2"/>
    <x v="1"/>
    <x v="1"/>
    <x v="0"/>
    <x v="0"/>
    <x v="0"/>
    <x v="0"/>
    <x v="0"/>
    <x v="0"/>
    <m/>
    <x v="30"/>
  </r>
  <r>
    <s v="USR-101122"/>
    <d v="2025-03-19T00:00:00"/>
    <x v="1"/>
    <x v="3"/>
    <x v="2"/>
    <x v="1"/>
    <x v="0"/>
    <x v="1"/>
    <x v="0"/>
    <x v="0"/>
    <x v="0"/>
    <x v="0"/>
    <x v="0"/>
    <x v="0"/>
    <m/>
    <x v="141"/>
  </r>
  <r>
    <s v="USR-101123"/>
    <d v="2025-01-20T00:00:00"/>
    <x v="1"/>
    <x v="3"/>
    <x v="0"/>
    <x v="1"/>
    <x v="0"/>
    <x v="0"/>
    <x v="0"/>
    <x v="0"/>
    <x v="0"/>
    <x v="0"/>
    <x v="0"/>
    <x v="0"/>
    <m/>
    <x v="427"/>
  </r>
  <r>
    <s v="USR-101124"/>
    <d v="2025-04-03T00:00:00"/>
    <x v="1"/>
    <x v="2"/>
    <x v="1"/>
    <x v="2"/>
    <x v="1"/>
    <x v="1"/>
    <x v="1"/>
    <x v="0"/>
    <x v="0"/>
    <x v="0"/>
    <x v="0"/>
    <x v="0"/>
    <m/>
    <x v="482"/>
  </r>
  <r>
    <s v="USR-101125"/>
    <d v="2025-01-11T00:00:00"/>
    <x v="1"/>
    <x v="2"/>
    <x v="0"/>
    <x v="4"/>
    <x v="1"/>
    <x v="1"/>
    <x v="1"/>
    <x v="1"/>
    <x v="0"/>
    <x v="0"/>
    <x v="3"/>
    <x v="0"/>
    <m/>
    <x v="172"/>
  </r>
  <r>
    <s v="USR-101126"/>
    <d v="2025-02-02T00:00:00"/>
    <x v="1"/>
    <x v="1"/>
    <x v="0"/>
    <x v="4"/>
    <x v="0"/>
    <x v="1"/>
    <x v="0"/>
    <x v="0"/>
    <x v="0"/>
    <x v="0"/>
    <x v="0"/>
    <x v="0"/>
    <m/>
    <x v="483"/>
  </r>
  <r>
    <s v="USR-101127"/>
    <d v="2025-04-01T00:00:00"/>
    <x v="1"/>
    <x v="3"/>
    <x v="1"/>
    <x v="1"/>
    <x v="0"/>
    <x v="1"/>
    <x v="0"/>
    <x v="0"/>
    <x v="0"/>
    <x v="0"/>
    <x v="0"/>
    <x v="0"/>
    <m/>
    <x v="246"/>
  </r>
  <r>
    <s v="USR-101128"/>
    <d v="2025-05-22T00:00:00"/>
    <x v="1"/>
    <x v="2"/>
    <x v="1"/>
    <x v="1"/>
    <x v="0"/>
    <x v="1"/>
    <x v="0"/>
    <x v="0"/>
    <x v="0"/>
    <x v="0"/>
    <x v="0"/>
    <x v="0"/>
    <m/>
    <x v="38"/>
  </r>
  <r>
    <s v="USR-101129"/>
    <d v="2025-02-20T00:00:00"/>
    <x v="1"/>
    <x v="1"/>
    <x v="1"/>
    <x v="1"/>
    <x v="0"/>
    <x v="0"/>
    <x v="0"/>
    <x v="0"/>
    <x v="0"/>
    <x v="0"/>
    <x v="0"/>
    <x v="0"/>
    <m/>
    <x v="381"/>
  </r>
  <r>
    <s v="USR-101130"/>
    <d v="2025-03-21T00:00:00"/>
    <x v="1"/>
    <x v="1"/>
    <x v="1"/>
    <x v="1"/>
    <x v="1"/>
    <x v="1"/>
    <x v="0"/>
    <x v="0"/>
    <x v="0"/>
    <x v="0"/>
    <x v="0"/>
    <x v="0"/>
    <m/>
    <x v="87"/>
  </r>
  <r>
    <s v="USR-101131"/>
    <d v="2025-05-01T00:00:00"/>
    <x v="1"/>
    <x v="1"/>
    <x v="0"/>
    <x v="3"/>
    <x v="1"/>
    <x v="1"/>
    <x v="1"/>
    <x v="1"/>
    <x v="0"/>
    <x v="0"/>
    <x v="3"/>
    <x v="0"/>
    <m/>
    <x v="470"/>
  </r>
  <r>
    <s v="USR-101132"/>
    <d v="2025-01-06T00:00:00"/>
    <x v="1"/>
    <x v="1"/>
    <x v="1"/>
    <x v="2"/>
    <x v="0"/>
    <x v="0"/>
    <x v="0"/>
    <x v="0"/>
    <x v="0"/>
    <x v="0"/>
    <x v="0"/>
    <x v="0"/>
    <m/>
    <x v="484"/>
  </r>
  <r>
    <s v="USR-101133"/>
    <d v="2025-04-12T00:00:00"/>
    <x v="1"/>
    <x v="0"/>
    <x v="0"/>
    <x v="2"/>
    <x v="2"/>
    <x v="1"/>
    <x v="0"/>
    <x v="0"/>
    <x v="0"/>
    <x v="0"/>
    <x v="3"/>
    <x v="0"/>
    <m/>
    <x v="3"/>
  </r>
  <r>
    <s v="USR-101134"/>
    <d v="2025-04-18T00:00:00"/>
    <x v="1"/>
    <x v="0"/>
    <x v="1"/>
    <x v="5"/>
    <x v="0"/>
    <x v="1"/>
    <x v="0"/>
    <x v="0"/>
    <x v="0"/>
    <x v="0"/>
    <x v="0"/>
    <x v="0"/>
    <m/>
    <x v="124"/>
  </r>
  <r>
    <s v="USR-101135"/>
    <d v="2025-03-24T00:00:00"/>
    <x v="1"/>
    <x v="2"/>
    <x v="1"/>
    <x v="4"/>
    <x v="0"/>
    <x v="1"/>
    <x v="0"/>
    <x v="0"/>
    <x v="0"/>
    <x v="0"/>
    <x v="0"/>
    <x v="0"/>
    <m/>
    <x v="356"/>
  </r>
  <r>
    <s v="USR-101136"/>
    <d v="2025-03-18T00:00:00"/>
    <x v="1"/>
    <x v="2"/>
    <x v="0"/>
    <x v="0"/>
    <x v="2"/>
    <x v="1"/>
    <x v="0"/>
    <x v="0"/>
    <x v="0"/>
    <x v="0"/>
    <x v="2"/>
    <x v="0"/>
    <m/>
    <x v="485"/>
  </r>
  <r>
    <s v="USR-101137"/>
    <d v="2025-04-30T00:00:00"/>
    <x v="1"/>
    <x v="3"/>
    <x v="2"/>
    <x v="2"/>
    <x v="0"/>
    <x v="1"/>
    <x v="1"/>
    <x v="0"/>
    <x v="0"/>
    <x v="0"/>
    <x v="0"/>
    <x v="0"/>
    <m/>
    <x v="91"/>
  </r>
  <r>
    <s v="USR-101138"/>
    <d v="2025-01-25T00:00:00"/>
    <x v="1"/>
    <x v="1"/>
    <x v="1"/>
    <x v="0"/>
    <x v="1"/>
    <x v="1"/>
    <x v="1"/>
    <x v="0"/>
    <x v="0"/>
    <x v="0"/>
    <x v="0"/>
    <x v="0"/>
    <m/>
    <x v="406"/>
  </r>
  <r>
    <s v="USR-101139"/>
    <d v="2025-04-10T00:00:00"/>
    <x v="1"/>
    <x v="3"/>
    <x v="1"/>
    <x v="1"/>
    <x v="1"/>
    <x v="1"/>
    <x v="0"/>
    <x v="0"/>
    <x v="0"/>
    <x v="0"/>
    <x v="0"/>
    <x v="0"/>
    <m/>
    <x v="117"/>
  </r>
  <r>
    <s v="USR-101140"/>
    <d v="2025-01-10T00:00:00"/>
    <x v="1"/>
    <x v="1"/>
    <x v="1"/>
    <x v="4"/>
    <x v="1"/>
    <x v="1"/>
    <x v="0"/>
    <x v="0"/>
    <x v="0"/>
    <x v="0"/>
    <x v="0"/>
    <x v="0"/>
    <m/>
    <x v="216"/>
  </r>
  <r>
    <s v="USR-101141"/>
    <d v="2025-02-11T00:00:00"/>
    <x v="1"/>
    <x v="3"/>
    <x v="1"/>
    <x v="2"/>
    <x v="1"/>
    <x v="1"/>
    <x v="0"/>
    <x v="0"/>
    <x v="0"/>
    <x v="0"/>
    <x v="0"/>
    <x v="0"/>
    <m/>
    <x v="201"/>
  </r>
  <r>
    <s v="USR-101142"/>
    <d v="2025-05-01T00:00:00"/>
    <x v="1"/>
    <x v="2"/>
    <x v="1"/>
    <x v="4"/>
    <x v="0"/>
    <x v="1"/>
    <x v="1"/>
    <x v="1"/>
    <x v="1"/>
    <x v="55"/>
    <x v="3"/>
    <x v="0"/>
    <n v="7"/>
    <x v="448"/>
  </r>
  <r>
    <s v="USR-101143"/>
    <d v="2025-01-18T00:00:00"/>
    <x v="1"/>
    <x v="2"/>
    <x v="1"/>
    <x v="1"/>
    <x v="1"/>
    <x v="1"/>
    <x v="0"/>
    <x v="0"/>
    <x v="0"/>
    <x v="0"/>
    <x v="0"/>
    <x v="0"/>
    <m/>
    <x v="353"/>
  </r>
  <r>
    <s v="USR-101144"/>
    <d v="2025-01-02T00:00:00"/>
    <x v="1"/>
    <x v="0"/>
    <x v="1"/>
    <x v="2"/>
    <x v="1"/>
    <x v="0"/>
    <x v="0"/>
    <x v="0"/>
    <x v="0"/>
    <x v="0"/>
    <x v="0"/>
    <x v="0"/>
    <m/>
    <x v="14"/>
  </r>
  <r>
    <s v="USR-101145"/>
    <d v="2025-05-11T00:00:00"/>
    <x v="1"/>
    <x v="1"/>
    <x v="1"/>
    <x v="1"/>
    <x v="1"/>
    <x v="1"/>
    <x v="1"/>
    <x v="1"/>
    <x v="1"/>
    <x v="56"/>
    <x v="0"/>
    <x v="0"/>
    <n v="4"/>
    <x v="115"/>
  </r>
  <r>
    <s v="USR-101146"/>
    <d v="2025-03-22T00:00:00"/>
    <x v="1"/>
    <x v="0"/>
    <x v="1"/>
    <x v="3"/>
    <x v="1"/>
    <x v="1"/>
    <x v="1"/>
    <x v="1"/>
    <x v="0"/>
    <x v="0"/>
    <x v="0"/>
    <x v="0"/>
    <m/>
    <x v="471"/>
  </r>
  <r>
    <s v="USR-101147"/>
    <d v="2025-05-02T00:00:00"/>
    <x v="1"/>
    <x v="3"/>
    <x v="1"/>
    <x v="4"/>
    <x v="2"/>
    <x v="1"/>
    <x v="1"/>
    <x v="1"/>
    <x v="1"/>
    <x v="57"/>
    <x v="0"/>
    <x v="0"/>
    <n v="8"/>
    <x v="425"/>
  </r>
  <r>
    <s v="USR-101148"/>
    <d v="2025-05-26T00:00:00"/>
    <x v="1"/>
    <x v="2"/>
    <x v="0"/>
    <x v="5"/>
    <x v="0"/>
    <x v="1"/>
    <x v="0"/>
    <x v="0"/>
    <x v="0"/>
    <x v="0"/>
    <x v="0"/>
    <x v="0"/>
    <m/>
    <x v="486"/>
  </r>
  <r>
    <s v="USR-101149"/>
    <d v="2025-03-13T00:00:00"/>
    <x v="1"/>
    <x v="3"/>
    <x v="1"/>
    <x v="1"/>
    <x v="0"/>
    <x v="1"/>
    <x v="0"/>
    <x v="0"/>
    <x v="0"/>
    <x v="0"/>
    <x v="1"/>
    <x v="0"/>
    <m/>
    <x v="307"/>
  </r>
  <r>
    <s v="USR-101150"/>
    <d v="2025-05-17T00:00:00"/>
    <x v="1"/>
    <x v="3"/>
    <x v="0"/>
    <x v="2"/>
    <x v="1"/>
    <x v="1"/>
    <x v="1"/>
    <x v="0"/>
    <x v="0"/>
    <x v="0"/>
    <x v="0"/>
    <x v="0"/>
    <m/>
    <x v="270"/>
  </r>
  <r>
    <s v="USR-101151"/>
    <d v="2025-03-13T00:00:00"/>
    <x v="1"/>
    <x v="0"/>
    <x v="0"/>
    <x v="3"/>
    <x v="2"/>
    <x v="1"/>
    <x v="0"/>
    <x v="0"/>
    <x v="0"/>
    <x v="0"/>
    <x v="0"/>
    <x v="0"/>
    <m/>
    <x v="121"/>
  </r>
  <r>
    <s v="USR-101152"/>
    <d v="2025-02-11T00:00:00"/>
    <x v="1"/>
    <x v="2"/>
    <x v="0"/>
    <x v="1"/>
    <x v="0"/>
    <x v="1"/>
    <x v="0"/>
    <x v="0"/>
    <x v="0"/>
    <x v="0"/>
    <x v="1"/>
    <x v="0"/>
    <m/>
    <x v="258"/>
  </r>
  <r>
    <s v="USR-101153"/>
    <d v="2025-03-01T00:00:00"/>
    <x v="1"/>
    <x v="1"/>
    <x v="1"/>
    <x v="4"/>
    <x v="1"/>
    <x v="0"/>
    <x v="0"/>
    <x v="0"/>
    <x v="0"/>
    <x v="0"/>
    <x v="0"/>
    <x v="0"/>
    <m/>
    <x v="83"/>
  </r>
  <r>
    <s v="USR-101154"/>
    <d v="2025-04-15T00:00:00"/>
    <x v="1"/>
    <x v="1"/>
    <x v="1"/>
    <x v="1"/>
    <x v="0"/>
    <x v="0"/>
    <x v="0"/>
    <x v="0"/>
    <x v="0"/>
    <x v="0"/>
    <x v="0"/>
    <x v="0"/>
    <m/>
    <x v="176"/>
  </r>
  <r>
    <s v="USR-101155"/>
    <d v="2025-02-02T00:00:00"/>
    <x v="1"/>
    <x v="2"/>
    <x v="1"/>
    <x v="1"/>
    <x v="2"/>
    <x v="1"/>
    <x v="0"/>
    <x v="0"/>
    <x v="0"/>
    <x v="0"/>
    <x v="0"/>
    <x v="0"/>
    <m/>
    <x v="309"/>
  </r>
  <r>
    <s v="USR-101156"/>
    <d v="2025-05-19T00:00:00"/>
    <x v="1"/>
    <x v="3"/>
    <x v="1"/>
    <x v="0"/>
    <x v="1"/>
    <x v="1"/>
    <x v="0"/>
    <x v="0"/>
    <x v="0"/>
    <x v="0"/>
    <x v="0"/>
    <x v="0"/>
    <m/>
    <x v="211"/>
  </r>
  <r>
    <s v="USR-101157"/>
    <d v="2025-01-05T00:00:00"/>
    <x v="1"/>
    <x v="1"/>
    <x v="1"/>
    <x v="3"/>
    <x v="1"/>
    <x v="0"/>
    <x v="0"/>
    <x v="0"/>
    <x v="0"/>
    <x v="0"/>
    <x v="0"/>
    <x v="0"/>
    <m/>
    <x v="84"/>
  </r>
  <r>
    <s v="USR-101158"/>
    <d v="2025-03-08T00:00:00"/>
    <x v="1"/>
    <x v="3"/>
    <x v="1"/>
    <x v="2"/>
    <x v="1"/>
    <x v="1"/>
    <x v="1"/>
    <x v="0"/>
    <x v="0"/>
    <x v="0"/>
    <x v="0"/>
    <x v="0"/>
    <m/>
    <x v="487"/>
  </r>
  <r>
    <s v="USR-101159"/>
    <d v="2025-03-12T00:00:00"/>
    <x v="1"/>
    <x v="1"/>
    <x v="1"/>
    <x v="0"/>
    <x v="0"/>
    <x v="1"/>
    <x v="0"/>
    <x v="0"/>
    <x v="0"/>
    <x v="0"/>
    <x v="1"/>
    <x v="0"/>
    <m/>
    <x v="31"/>
  </r>
  <r>
    <s v="USR-101160"/>
    <d v="2025-01-24T00:00:00"/>
    <x v="1"/>
    <x v="1"/>
    <x v="1"/>
    <x v="1"/>
    <x v="1"/>
    <x v="0"/>
    <x v="0"/>
    <x v="0"/>
    <x v="0"/>
    <x v="0"/>
    <x v="0"/>
    <x v="0"/>
    <m/>
    <x v="437"/>
  </r>
  <r>
    <s v="USR-101161"/>
    <d v="2025-05-22T00:00:00"/>
    <x v="1"/>
    <x v="3"/>
    <x v="1"/>
    <x v="2"/>
    <x v="0"/>
    <x v="1"/>
    <x v="1"/>
    <x v="1"/>
    <x v="0"/>
    <x v="0"/>
    <x v="0"/>
    <x v="0"/>
    <m/>
    <x v="327"/>
  </r>
  <r>
    <s v="USR-101162"/>
    <d v="2025-03-27T00:00:00"/>
    <x v="1"/>
    <x v="3"/>
    <x v="1"/>
    <x v="2"/>
    <x v="1"/>
    <x v="1"/>
    <x v="0"/>
    <x v="0"/>
    <x v="0"/>
    <x v="0"/>
    <x v="0"/>
    <x v="0"/>
    <m/>
    <x v="175"/>
  </r>
  <r>
    <s v="USR-101163"/>
    <d v="2025-01-02T00:00:00"/>
    <x v="1"/>
    <x v="1"/>
    <x v="1"/>
    <x v="4"/>
    <x v="1"/>
    <x v="0"/>
    <x v="0"/>
    <x v="0"/>
    <x v="0"/>
    <x v="0"/>
    <x v="1"/>
    <x v="0"/>
    <m/>
    <x v="416"/>
  </r>
  <r>
    <s v="USR-101164"/>
    <d v="2025-02-24T00:00:00"/>
    <x v="1"/>
    <x v="0"/>
    <x v="1"/>
    <x v="2"/>
    <x v="1"/>
    <x v="0"/>
    <x v="0"/>
    <x v="0"/>
    <x v="0"/>
    <x v="0"/>
    <x v="1"/>
    <x v="0"/>
    <m/>
    <x v="488"/>
  </r>
  <r>
    <s v="USR-101165"/>
    <d v="2025-03-01T00:00:00"/>
    <x v="1"/>
    <x v="1"/>
    <x v="0"/>
    <x v="1"/>
    <x v="0"/>
    <x v="1"/>
    <x v="1"/>
    <x v="1"/>
    <x v="0"/>
    <x v="0"/>
    <x v="0"/>
    <x v="0"/>
    <m/>
    <x v="419"/>
  </r>
  <r>
    <s v="USR-101166"/>
    <d v="2025-03-26T00:00:00"/>
    <x v="1"/>
    <x v="3"/>
    <x v="2"/>
    <x v="1"/>
    <x v="0"/>
    <x v="1"/>
    <x v="0"/>
    <x v="0"/>
    <x v="0"/>
    <x v="0"/>
    <x v="1"/>
    <x v="0"/>
    <m/>
    <x v="489"/>
  </r>
  <r>
    <s v="USR-101167"/>
    <d v="2025-05-25T00:00:00"/>
    <x v="1"/>
    <x v="2"/>
    <x v="1"/>
    <x v="2"/>
    <x v="1"/>
    <x v="0"/>
    <x v="0"/>
    <x v="0"/>
    <x v="0"/>
    <x v="0"/>
    <x v="1"/>
    <x v="0"/>
    <m/>
    <x v="126"/>
  </r>
  <r>
    <s v="USR-101168"/>
    <d v="2025-02-25T00:00:00"/>
    <x v="1"/>
    <x v="1"/>
    <x v="1"/>
    <x v="3"/>
    <x v="2"/>
    <x v="1"/>
    <x v="1"/>
    <x v="1"/>
    <x v="1"/>
    <x v="58"/>
    <x v="0"/>
    <x v="1"/>
    <n v="2"/>
    <x v="444"/>
  </r>
  <r>
    <s v="USR-101169"/>
    <d v="2025-03-23T00:00:00"/>
    <x v="1"/>
    <x v="3"/>
    <x v="1"/>
    <x v="4"/>
    <x v="1"/>
    <x v="1"/>
    <x v="1"/>
    <x v="1"/>
    <x v="0"/>
    <x v="0"/>
    <x v="2"/>
    <x v="0"/>
    <m/>
    <x v="86"/>
  </r>
  <r>
    <s v="USR-101170"/>
    <d v="2025-04-21T00:00:00"/>
    <x v="1"/>
    <x v="1"/>
    <x v="1"/>
    <x v="3"/>
    <x v="1"/>
    <x v="1"/>
    <x v="0"/>
    <x v="0"/>
    <x v="0"/>
    <x v="0"/>
    <x v="0"/>
    <x v="0"/>
    <m/>
    <x v="120"/>
  </r>
  <r>
    <s v="USR-101171"/>
    <d v="2025-05-21T00:00:00"/>
    <x v="1"/>
    <x v="0"/>
    <x v="1"/>
    <x v="1"/>
    <x v="2"/>
    <x v="1"/>
    <x v="0"/>
    <x v="0"/>
    <x v="0"/>
    <x v="0"/>
    <x v="0"/>
    <x v="0"/>
    <m/>
    <x v="430"/>
  </r>
  <r>
    <s v="USR-101172"/>
    <d v="2025-04-25T00:00:00"/>
    <x v="1"/>
    <x v="0"/>
    <x v="0"/>
    <x v="4"/>
    <x v="1"/>
    <x v="1"/>
    <x v="0"/>
    <x v="0"/>
    <x v="0"/>
    <x v="0"/>
    <x v="1"/>
    <x v="0"/>
    <m/>
    <x v="477"/>
  </r>
  <r>
    <s v="USR-101173"/>
    <d v="2025-05-23T00:00:00"/>
    <x v="1"/>
    <x v="1"/>
    <x v="1"/>
    <x v="3"/>
    <x v="0"/>
    <x v="1"/>
    <x v="0"/>
    <x v="0"/>
    <x v="0"/>
    <x v="0"/>
    <x v="1"/>
    <x v="0"/>
    <m/>
    <x v="211"/>
  </r>
  <r>
    <s v="USR-101174"/>
    <d v="2025-03-18T00:00:00"/>
    <x v="1"/>
    <x v="3"/>
    <x v="1"/>
    <x v="0"/>
    <x v="1"/>
    <x v="1"/>
    <x v="0"/>
    <x v="0"/>
    <x v="0"/>
    <x v="0"/>
    <x v="4"/>
    <x v="0"/>
    <m/>
    <x v="76"/>
  </r>
  <r>
    <s v="USR-101175"/>
    <d v="2025-01-03T00:00:00"/>
    <x v="1"/>
    <x v="3"/>
    <x v="2"/>
    <x v="1"/>
    <x v="1"/>
    <x v="1"/>
    <x v="1"/>
    <x v="1"/>
    <x v="0"/>
    <x v="0"/>
    <x v="0"/>
    <x v="0"/>
    <m/>
    <x v="167"/>
  </r>
  <r>
    <s v="USR-101176"/>
    <d v="2025-02-08T00:00:00"/>
    <x v="1"/>
    <x v="1"/>
    <x v="0"/>
    <x v="1"/>
    <x v="1"/>
    <x v="1"/>
    <x v="0"/>
    <x v="0"/>
    <x v="0"/>
    <x v="0"/>
    <x v="0"/>
    <x v="0"/>
    <m/>
    <x v="278"/>
  </r>
  <r>
    <s v="USR-101177"/>
    <d v="2025-02-04T00:00:00"/>
    <x v="1"/>
    <x v="2"/>
    <x v="3"/>
    <x v="2"/>
    <x v="0"/>
    <x v="0"/>
    <x v="0"/>
    <x v="0"/>
    <x v="0"/>
    <x v="0"/>
    <x v="0"/>
    <x v="0"/>
    <m/>
    <x v="279"/>
  </r>
  <r>
    <s v="USR-101178"/>
    <d v="2025-01-16T00:00:00"/>
    <x v="1"/>
    <x v="0"/>
    <x v="1"/>
    <x v="2"/>
    <x v="1"/>
    <x v="0"/>
    <x v="0"/>
    <x v="0"/>
    <x v="0"/>
    <x v="0"/>
    <x v="0"/>
    <x v="0"/>
    <m/>
    <x v="89"/>
  </r>
  <r>
    <s v="USR-101179"/>
    <d v="2025-04-04T00:00:00"/>
    <x v="1"/>
    <x v="1"/>
    <x v="0"/>
    <x v="2"/>
    <x v="1"/>
    <x v="1"/>
    <x v="1"/>
    <x v="1"/>
    <x v="1"/>
    <x v="59"/>
    <x v="1"/>
    <x v="0"/>
    <n v="8"/>
    <x v="11"/>
  </r>
  <r>
    <s v="USR-101180"/>
    <d v="2025-01-23T00:00:00"/>
    <x v="1"/>
    <x v="0"/>
    <x v="0"/>
    <x v="2"/>
    <x v="1"/>
    <x v="0"/>
    <x v="0"/>
    <x v="0"/>
    <x v="0"/>
    <x v="0"/>
    <x v="0"/>
    <x v="0"/>
    <m/>
    <x v="265"/>
  </r>
  <r>
    <s v="USR-101181"/>
    <d v="2025-03-22T00:00:00"/>
    <x v="1"/>
    <x v="3"/>
    <x v="0"/>
    <x v="2"/>
    <x v="1"/>
    <x v="1"/>
    <x v="0"/>
    <x v="0"/>
    <x v="0"/>
    <x v="0"/>
    <x v="0"/>
    <x v="0"/>
    <m/>
    <x v="313"/>
  </r>
  <r>
    <s v="USR-101182"/>
    <d v="2025-02-02T00:00:00"/>
    <x v="1"/>
    <x v="2"/>
    <x v="2"/>
    <x v="4"/>
    <x v="2"/>
    <x v="0"/>
    <x v="0"/>
    <x v="0"/>
    <x v="0"/>
    <x v="0"/>
    <x v="0"/>
    <x v="0"/>
    <m/>
    <x v="463"/>
  </r>
  <r>
    <s v="USR-101183"/>
    <d v="2025-01-31T00:00:00"/>
    <x v="1"/>
    <x v="0"/>
    <x v="0"/>
    <x v="2"/>
    <x v="1"/>
    <x v="0"/>
    <x v="0"/>
    <x v="0"/>
    <x v="0"/>
    <x v="0"/>
    <x v="0"/>
    <x v="0"/>
    <m/>
    <x v="407"/>
  </r>
  <r>
    <s v="USR-101184"/>
    <d v="2025-05-27T00:00:00"/>
    <x v="1"/>
    <x v="1"/>
    <x v="1"/>
    <x v="1"/>
    <x v="0"/>
    <x v="1"/>
    <x v="0"/>
    <x v="0"/>
    <x v="0"/>
    <x v="0"/>
    <x v="0"/>
    <x v="0"/>
    <m/>
    <x v="108"/>
  </r>
  <r>
    <s v="USR-101185"/>
    <d v="2025-05-07T00:00:00"/>
    <x v="1"/>
    <x v="0"/>
    <x v="1"/>
    <x v="1"/>
    <x v="2"/>
    <x v="1"/>
    <x v="0"/>
    <x v="0"/>
    <x v="0"/>
    <x v="0"/>
    <x v="2"/>
    <x v="0"/>
    <m/>
    <x v="396"/>
  </r>
  <r>
    <s v="USR-101186"/>
    <d v="2025-05-08T00:00:00"/>
    <x v="1"/>
    <x v="0"/>
    <x v="0"/>
    <x v="2"/>
    <x v="0"/>
    <x v="1"/>
    <x v="0"/>
    <x v="0"/>
    <x v="0"/>
    <x v="0"/>
    <x v="0"/>
    <x v="0"/>
    <m/>
    <x v="469"/>
  </r>
  <r>
    <s v="USR-101187"/>
    <d v="2025-01-15T00:00:00"/>
    <x v="1"/>
    <x v="1"/>
    <x v="0"/>
    <x v="0"/>
    <x v="1"/>
    <x v="1"/>
    <x v="0"/>
    <x v="0"/>
    <x v="0"/>
    <x v="0"/>
    <x v="3"/>
    <x v="0"/>
    <m/>
    <x v="258"/>
  </r>
  <r>
    <s v="USR-101188"/>
    <d v="2025-01-18T00:00:00"/>
    <x v="1"/>
    <x v="0"/>
    <x v="1"/>
    <x v="2"/>
    <x v="1"/>
    <x v="0"/>
    <x v="0"/>
    <x v="0"/>
    <x v="0"/>
    <x v="0"/>
    <x v="0"/>
    <x v="0"/>
    <m/>
    <x v="490"/>
  </r>
  <r>
    <s v="USR-101189"/>
    <d v="2025-04-16T00:00:00"/>
    <x v="1"/>
    <x v="2"/>
    <x v="3"/>
    <x v="3"/>
    <x v="1"/>
    <x v="1"/>
    <x v="0"/>
    <x v="0"/>
    <x v="0"/>
    <x v="0"/>
    <x v="0"/>
    <x v="0"/>
    <m/>
    <x v="322"/>
  </r>
  <r>
    <s v="USR-101190"/>
    <d v="2025-02-16T00:00:00"/>
    <x v="1"/>
    <x v="2"/>
    <x v="0"/>
    <x v="2"/>
    <x v="1"/>
    <x v="0"/>
    <x v="0"/>
    <x v="0"/>
    <x v="0"/>
    <x v="0"/>
    <x v="0"/>
    <x v="0"/>
    <m/>
    <x v="292"/>
  </r>
  <r>
    <s v="USR-101191"/>
    <d v="2025-04-17T00:00:00"/>
    <x v="1"/>
    <x v="3"/>
    <x v="0"/>
    <x v="3"/>
    <x v="2"/>
    <x v="1"/>
    <x v="1"/>
    <x v="1"/>
    <x v="0"/>
    <x v="0"/>
    <x v="0"/>
    <x v="0"/>
    <m/>
    <x v="73"/>
  </r>
  <r>
    <s v="USR-101192"/>
    <d v="2025-04-30T00:00:00"/>
    <x v="1"/>
    <x v="3"/>
    <x v="1"/>
    <x v="1"/>
    <x v="0"/>
    <x v="0"/>
    <x v="0"/>
    <x v="0"/>
    <x v="0"/>
    <x v="0"/>
    <x v="0"/>
    <x v="0"/>
    <m/>
    <x v="121"/>
  </r>
  <r>
    <s v="USR-101193"/>
    <d v="2025-01-29T00:00:00"/>
    <x v="1"/>
    <x v="1"/>
    <x v="1"/>
    <x v="4"/>
    <x v="2"/>
    <x v="0"/>
    <x v="0"/>
    <x v="0"/>
    <x v="0"/>
    <x v="0"/>
    <x v="0"/>
    <x v="0"/>
    <m/>
    <x v="101"/>
  </r>
  <r>
    <s v="USR-101194"/>
    <d v="2025-01-11T00:00:00"/>
    <x v="1"/>
    <x v="0"/>
    <x v="1"/>
    <x v="4"/>
    <x v="0"/>
    <x v="0"/>
    <x v="0"/>
    <x v="0"/>
    <x v="0"/>
    <x v="0"/>
    <x v="0"/>
    <x v="0"/>
    <m/>
    <x v="9"/>
  </r>
  <r>
    <s v="USR-101195"/>
    <d v="2025-04-08T00:00:00"/>
    <x v="1"/>
    <x v="2"/>
    <x v="0"/>
    <x v="2"/>
    <x v="2"/>
    <x v="1"/>
    <x v="0"/>
    <x v="0"/>
    <x v="0"/>
    <x v="0"/>
    <x v="1"/>
    <x v="0"/>
    <m/>
    <x v="163"/>
  </r>
  <r>
    <s v="USR-101196"/>
    <d v="2025-02-22T00:00:00"/>
    <x v="1"/>
    <x v="0"/>
    <x v="3"/>
    <x v="4"/>
    <x v="1"/>
    <x v="1"/>
    <x v="0"/>
    <x v="0"/>
    <x v="0"/>
    <x v="0"/>
    <x v="1"/>
    <x v="0"/>
    <m/>
    <x v="491"/>
  </r>
  <r>
    <s v="USR-101197"/>
    <d v="2025-03-23T00:00:00"/>
    <x v="1"/>
    <x v="3"/>
    <x v="1"/>
    <x v="1"/>
    <x v="1"/>
    <x v="0"/>
    <x v="0"/>
    <x v="0"/>
    <x v="0"/>
    <x v="0"/>
    <x v="0"/>
    <x v="0"/>
    <m/>
    <x v="316"/>
  </r>
  <r>
    <s v="USR-101198"/>
    <d v="2025-05-23T00:00:00"/>
    <x v="1"/>
    <x v="3"/>
    <x v="2"/>
    <x v="2"/>
    <x v="1"/>
    <x v="1"/>
    <x v="0"/>
    <x v="0"/>
    <x v="0"/>
    <x v="0"/>
    <x v="1"/>
    <x v="0"/>
    <m/>
    <x v="384"/>
  </r>
  <r>
    <s v="USR-101199"/>
    <d v="2025-04-27T00:00:00"/>
    <x v="1"/>
    <x v="1"/>
    <x v="1"/>
    <x v="3"/>
    <x v="0"/>
    <x v="1"/>
    <x v="1"/>
    <x v="1"/>
    <x v="0"/>
    <x v="0"/>
    <x v="0"/>
    <x v="0"/>
    <m/>
    <x v="260"/>
  </r>
  <r>
    <s v="USR-101200"/>
    <d v="2025-05-26T00:00:00"/>
    <x v="1"/>
    <x v="0"/>
    <x v="1"/>
    <x v="3"/>
    <x v="1"/>
    <x v="1"/>
    <x v="0"/>
    <x v="0"/>
    <x v="0"/>
    <x v="0"/>
    <x v="0"/>
    <x v="0"/>
    <m/>
    <x v="194"/>
  </r>
  <r>
    <s v="USR-101201"/>
    <d v="2025-03-06T00:00:00"/>
    <x v="1"/>
    <x v="2"/>
    <x v="1"/>
    <x v="2"/>
    <x v="0"/>
    <x v="1"/>
    <x v="1"/>
    <x v="0"/>
    <x v="0"/>
    <x v="0"/>
    <x v="1"/>
    <x v="0"/>
    <m/>
    <x v="59"/>
  </r>
  <r>
    <s v="USR-101202"/>
    <d v="2025-04-03T00:00:00"/>
    <x v="1"/>
    <x v="1"/>
    <x v="1"/>
    <x v="1"/>
    <x v="0"/>
    <x v="1"/>
    <x v="1"/>
    <x v="1"/>
    <x v="0"/>
    <x v="0"/>
    <x v="1"/>
    <x v="0"/>
    <m/>
    <x v="194"/>
  </r>
  <r>
    <s v="USR-101203"/>
    <d v="2025-02-01T00:00:00"/>
    <x v="1"/>
    <x v="2"/>
    <x v="0"/>
    <x v="2"/>
    <x v="1"/>
    <x v="1"/>
    <x v="0"/>
    <x v="0"/>
    <x v="0"/>
    <x v="0"/>
    <x v="3"/>
    <x v="0"/>
    <m/>
    <x v="365"/>
  </r>
  <r>
    <s v="USR-101204"/>
    <d v="2025-05-01T00:00:00"/>
    <x v="1"/>
    <x v="1"/>
    <x v="1"/>
    <x v="3"/>
    <x v="2"/>
    <x v="1"/>
    <x v="1"/>
    <x v="1"/>
    <x v="0"/>
    <x v="0"/>
    <x v="3"/>
    <x v="0"/>
    <m/>
    <x v="45"/>
  </r>
  <r>
    <s v="USR-101205"/>
    <d v="2025-04-13T00:00:00"/>
    <x v="1"/>
    <x v="0"/>
    <x v="1"/>
    <x v="4"/>
    <x v="2"/>
    <x v="0"/>
    <x v="0"/>
    <x v="0"/>
    <x v="0"/>
    <x v="0"/>
    <x v="0"/>
    <x v="0"/>
    <m/>
    <x v="139"/>
  </r>
  <r>
    <s v="USR-101206"/>
    <d v="2025-01-25T00:00:00"/>
    <x v="1"/>
    <x v="2"/>
    <x v="1"/>
    <x v="4"/>
    <x v="1"/>
    <x v="0"/>
    <x v="0"/>
    <x v="0"/>
    <x v="0"/>
    <x v="0"/>
    <x v="0"/>
    <x v="0"/>
    <m/>
    <x v="492"/>
  </r>
  <r>
    <s v="USR-101207"/>
    <d v="2025-03-17T00:00:00"/>
    <x v="1"/>
    <x v="0"/>
    <x v="1"/>
    <x v="1"/>
    <x v="1"/>
    <x v="0"/>
    <x v="0"/>
    <x v="0"/>
    <x v="0"/>
    <x v="0"/>
    <x v="0"/>
    <x v="0"/>
    <m/>
    <x v="118"/>
  </r>
  <r>
    <s v="USR-101208"/>
    <d v="2025-02-21T00:00:00"/>
    <x v="1"/>
    <x v="1"/>
    <x v="0"/>
    <x v="4"/>
    <x v="0"/>
    <x v="1"/>
    <x v="0"/>
    <x v="0"/>
    <x v="0"/>
    <x v="0"/>
    <x v="1"/>
    <x v="0"/>
    <m/>
    <x v="299"/>
  </r>
  <r>
    <s v="USR-101209"/>
    <d v="2025-04-08T00:00:00"/>
    <x v="1"/>
    <x v="2"/>
    <x v="2"/>
    <x v="1"/>
    <x v="0"/>
    <x v="0"/>
    <x v="0"/>
    <x v="0"/>
    <x v="0"/>
    <x v="0"/>
    <x v="0"/>
    <x v="0"/>
    <m/>
    <x v="493"/>
  </r>
  <r>
    <s v="USR-101210"/>
    <d v="2025-02-24T00:00:00"/>
    <x v="1"/>
    <x v="1"/>
    <x v="1"/>
    <x v="1"/>
    <x v="0"/>
    <x v="1"/>
    <x v="0"/>
    <x v="0"/>
    <x v="0"/>
    <x v="0"/>
    <x v="0"/>
    <x v="0"/>
    <m/>
    <x v="203"/>
  </r>
  <r>
    <s v="USR-101211"/>
    <d v="2025-05-29T00:00:00"/>
    <x v="1"/>
    <x v="3"/>
    <x v="1"/>
    <x v="1"/>
    <x v="1"/>
    <x v="1"/>
    <x v="1"/>
    <x v="0"/>
    <x v="0"/>
    <x v="0"/>
    <x v="0"/>
    <x v="0"/>
    <m/>
    <x v="208"/>
  </r>
  <r>
    <s v="USR-101212"/>
    <d v="2025-05-30T00:00:00"/>
    <x v="1"/>
    <x v="0"/>
    <x v="1"/>
    <x v="0"/>
    <x v="0"/>
    <x v="1"/>
    <x v="0"/>
    <x v="0"/>
    <x v="0"/>
    <x v="0"/>
    <x v="1"/>
    <x v="0"/>
    <m/>
    <x v="78"/>
  </r>
  <r>
    <s v="USR-101213"/>
    <d v="2025-01-24T00:00:00"/>
    <x v="1"/>
    <x v="0"/>
    <x v="0"/>
    <x v="1"/>
    <x v="2"/>
    <x v="0"/>
    <x v="0"/>
    <x v="0"/>
    <x v="0"/>
    <x v="0"/>
    <x v="0"/>
    <x v="0"/>
    <m/>
    <x v="161"/>
  </r>
  <r>
    <s v="USR-101214"/>
    <d v="2025-05-12T00:00:00"/>
    <x v="1"/>
    <x v="3"/>
    <x v="1"/>
    <x v="1"/>
    <x v="0"/>
    <x v="1"/>
    <x v="1"/>
    <x v="0"/>
    <x v="0"/>
    <x v="0"/>
    <x v="0"/>
    <x v="0"/>
    <m/>
    <x v="449"/>
  </r>
  <r>
    <s v="USR-101215"/>
    <d v="2025-03-28T00:00:00"/>
    <x v="1"/>
    <x v="3"/>
    <x v="1"/>
    <x v="1"/>
    <x v="0"/>
    <x v="1"/>
    <x v="1"/>
    <x v="1"/>
    <x v="0"/>
    <x v="0"/>
    <x v="0"/>
    <x v="0"/>
    <m/>
    <x v="389"/>
  </r>
  <r>
    <s v="USR-101216"/>
    <d v="2025-04-14T00:00:00"/>
    <x v="1"/>
    <x v="0"/>
    <x v="1"/>
    <x v="3"/>
    <x v="0"/>
    <x v="1"/>
    <x v="0"/>
    <x v="0"/>
    <x v="0"/>
    <x v="0"/>
    <x v="0"/>
    <x v="0"/>
    <m/>
    <x v="494"/>
  </r>
  <r>
    <s v="USR-101217"/>
    <d v="2025-01-28T00:00:00"/>
    <x v="1"/>
    <x v="2"/>
    <x v="2"/>
    <x v="3"/>
    <x v="0"/>
    <x v="0"/>
    <x v="0"/>
    <x v="0"/>
    <x v="0"/>
    <x v="0"/>
    <x v="0"/>
    <x v="0"/>
    <m/>
    <x v="18"/>
  </r>
  <r>
    <s v="USR-101218"/>
    <d v="2025-05-21T00:00:00"/>
    <x v="1"/>
    <x v="0"/>
    <x v="1"/>
    <x v="1"/>
    <x v="0"/>
    <x v="0"/>
    <x v="0"/>
    <x v="0"/>
    <x v="0"/>
    <x v="0"/>
    <x v="0"/>
    <x v="0"/>
    <m/>
    <x v="253"/>
  </r>
  <r>
    <s v="USR-101219"/>
    <d v="2025-05-11T00:00:00"/>
    <x v="1"/>
    <x v="1"/>
    <x v="0"/>
    <x v="1"/>
    <x v="1"/>
    <x v="0"/>
    <x v="0"/>
    <x v="0"/>
    <x v="0"/>
    <x v="0"/>
    <x v="0"/>
    <x v="0"/>
    <m/>
    <x v="68"/>
  </r>
  <r>
    <s v="USR-101220"/>
    <d v="2025-02-02T00:00:00"/>
    <x v="1"/>
    <x v="3"/>
    <x v="1"/>
    <x v="2"/>
    <x v="1"/>
    <x v="1"/>
    <x v="0"/>
    <x v="0"/>
    <x v="0"/>
    <x v="0"/>
    <x v="0"/>
    <x v="0"/>
    <m/>
    <x v="88"/>
  </r>
  <r>
    <s v="USR-101221"/>
    <d v="2025-02-26T00:00:00"/>
    <x v="1"/>
    <x v="0"/>
    <x v="1"/>
    <x v="4"/>
    <x v="1"/>
    <x v="1"/>
    <x v="1"/>
    <x v="1"/>
    <x v="1"/>
    <x v="60"/>
    <x v="1"/>
    <x v="0"/>
    <n v="6"/>
    <x v="495"/>
  </r>
  <r>
    <s v="USR-101222"/>
    <d v="2025-02-27T00:00:00"/>
    <x v="1"/>
    <x v="3"/>
    <x v="0"/>
    <x v="3"/>
    <x v="1"/>
    <x v="1"/>
    <x v="1"/>
    <x v="1"/>
    <x v="1"/>
    <x v="61"/>
    <x v="0"/>
    <x v="0"/>
    <n v="4"/>
    <x v="68"/>
  </r>
  <r>
    <s v="USR-101223"/>
    <d v="2025-03-09T00:00:00"/>
    <x v="1"/>
    <x v="1"/>
    <x v="1"/>
    <x v="1"/>
    <x v="1"/>
    <x v="0"/>
    <x v="0"/>
    <x v="0"/>
    <x v="0"/>
    <x v="0"/>
    <x v="0"/>
    <x v="0"/>
    <m/>
    <x v="89"/>
  </r>
  <r>
    <s v="USR-101224"/>
    <d v="2025-02-07T00:00:00"/>
    <x v="1"/>
    <x v="0"/>
    <x v="1"/>
    <x v="2"/>
    <x v="0"/>
    <x v="1"/>
    <x v="0"/>
    <x v="0"/>
    <x v="0"/>
    <x v="0"/>
    <x v="1"/>
    <x v="0"/>
    <m/>
    <x v="136"/>
  </r>
  <r>
    <s v="USR-101225"/>
    <d v="2025-01-31T00:00:00"/>
    <x v="1"/>
    <x v="1"/>
    <x v="1"/>
    <x v="4"/>
    <x v="1"/>
    <x v="0"/>
    <x v="0"/>
    <x v="0"/>
    <x v="0"/>
    <x v="0"/>
    <x v="0"/>
    <x v="0"/>
    <m/>
    <x v="237"/>
  </r>
  <r>
    <s v="USR-101226"/>
    <d v="2025-02-14T00:00:00"/>
    <x v="1"/>
    <x v="0"/>
    <x v="2"/>
    <x v="2"/>
    <x v="0"/>
    <x v="1"/>
    <x v="1"/>
    <x v="1"/>
    <x v="1"/>
    <x v="62"/>
    <x v="0"/>
    <x v="0"/>
    <n v="8"/>
    <x v="496"/>
  </r>
  <r>
    <s v="USR-101227"/>
    <d v="2025-02-12T00:00:00"/>
    <x v="1"/>
    <x v="3"/>
    <x v="0"/>
    <x v="4"/>
    <x v="0"/>
    <x v="0"/>
    <x v="0"/>
    <x v="0"/>
    <x v="0"/>
    <x v="0"/>
    <x v="0"/>
    <x v="0"/>
    <m/>
    <x v="497"/>
  </r>
  <r>
    <s v="USR-101228"/>
    <d v="2025-03-23T00:00:00"/>
    <x v="1"/>
    <x v="2"/>
    <x v="3"/>
    <x v="2"/>
    <x v="1"/>
    <x v="1"/>
    <x v="0"/>
    <x v="0"/>
    <x v="0"/>
    <x v="0"/>
    <x v="1"/>
    <x v="0"/>
    <m/>
    <x v="100"/>
  </r>
  <r>
    <s v="USR-101229"/>
    <d v="2025-03-18T00:00:00"/>
    <x v="1"/>
    <x v="1"/>
    <x v="1"/>
    <x v="2"/>
    <x v="1"/>
    <x v="0"/>
    <x v="0"/>
    <x v="0"/>
    <x v="0"/>
    <x v="0"/>
    <x v="0"/>
    <x v="0"/>
    <m/>
    <x v="336"/>
  </r>
  <r>
    <s v="USR-101230"/>
    <d v="2025-05-17T00:00:00"/>
    <x v="1"/>
    <x v="0"/>
    <x v="1"/>
    <x v="4"/>
    <x v="1"/>
    <x v="1"/>
    <x v="0"/>
    <x v="0"/>
    <x v="0"/>
    <x v="0"/>
    <x v="0"/>
    <x v="0"/>
    <m/>
    <x v="498"/>
  </r>
  <r>
    <s v="USR-101231"/>
    <d v="2025-03-26T00:00:00"/>
    <x v="1"/>
    <x v="1"/>
    <x v="0"/>
    <x v="4"/>
    <x v="2"/>
    <x v="1"/>
    <x v="0"/>
    <x v="0"/>
    <x v="0"/>
    <x v="0"/>
    <x v="1"/>
    <x v="0"/>
    <m/>
    <x v="499"/>
  </r>
  <r>
    <s v="USR-101232"/>
    <d v="2025-03-30T00:00:00"/>
    <x v="1"/>
    <x v="2"/>
    <x v="1"/>
    <x v="1"/>
    <x v="1"/>
    <x v="1"/>
    <x v="1"/>
    <x v="1"/>
    <x v="0"/>
    <x v="0"/>
    <x v="1"/>
    <x v="0"/>
    <m/>
    <x v="442"/>
  </r>
  <r>
    <s v="USR-101233"/>
    <d v="2025-02-25T00:00:00"/>
    <x v="1"/>
    <x v="2"/>
    <x v="0"/>
    <x v="1"/>
    <x v="1"/>
    <x v="1"/>
    <x v="0"/>
    <x v="0"/>
    <x v="0"/>
    <x v="0"/>
    <x v="0"/>
    <x v="0"/>
    <m/>
    <x v="341"/>
  </r>
  <r>
    <s v="USR-101234"/>
    <d v="2025-03-01T00:00:00"/>
    <x v="1"/>
    <x v="2"/>
    <x v="0"/>
    <x v="4"/>
    <x v="1"/>
    <x v="0"/>
    <x v="0"/>
    <x v="0"/>
    <x v="0"/>
    <x v="0"/>
    <x v="0"/>
    <x v="0"/>
    <m/>
    <x v="20"/>
  </r>
  <r>
    <s v="USR-101235"/>
    <d v="2025-05-27T00:00:00"/>
    <x v="1"/>
    <x v="0"/>
    <x v="1"/>
    <x v="2"/>
    <x v="0"/>
    <x v="0"/>
    <x v="0"/>
    <x v="0"/>
    <x v="0"/>
    <x v="0"/>
    <x v="0"/>
    <x v="0"/>
    <m/>
    <x v="13"/>
  </r>
  <r>
    <s v="USR-101236"/>
    <d v="2025-02-05T00:00:00"/>
    <x v="1"/>
    <x v="1"/>
    <x v="1"/>
    <x v="5"/>
    <x v="2"/>
    <x v="1"/>
    <x v="0"/>
    <x v="0"/>
    <x v="0"/>
    <x v="0"/>
    <x v="0"/>
    <x v="0"/>
    <m/>
    <x v="192"/>
  </r>
  <r>
    <s v="USR-101237"/>
    <d v="2025-01-25T00:00:00"/>
    <x v="1"/>
    <x v="1"/>
    <x v="0"/>
    <x v="0"/>
    <x v="1"/>
    <x v="1"/>
    <x v="1"/>
    <x v="1"/>
    <x v="1"/>
    <x v="63"/>
    <x v="0"/>
    <x v="0"/>
    <n v="4"/>
    <x v="297"/>
  </r>
  <r>
    <s v="USR-101238"/>
    <d v="2025-04-10T00:00:00"/>
    <x v="1"/>
    <x v="2"/>
    <x v="1"/>
    <x v="1"/>
    <x v="2"/>
    <x v="1"/>
    <x v="0"/>
    <x v="0"/>
    <x v="0"/>
    <x v="0"/>
    <x v="0"/>
    <x v="0"/>
    <m/>
    <x v="235"/>
  </r>
  <r>
    <s v="USR-101239"/>
    <d v="2025-01-10T00:00:00"/>
    <x v="1"/>
    <x v="2"/>
    <x v="1"/>
    <x v="1"/>
    <x v="2"/>
    <x v="1"/>
    <x v="0"/>
    <x v="0"/>
    <x v="0"/>
    <x v="0"/>
    <x v="0"/>
    <x v="0"/>
    <m/>
    <x v="290"/>
  </r>
  <r>
    <s v="USR-101240"/>
    <d v="2025-02-23T00:00:00"/>
    <x v="1"/>
    <x v="2"/>
    <x v="1"/>
    <x v="5"/>
    <x v="1"/>
    <x v="0"/>
    <x v="0"/>
    <x v="0"/>
    <x v="0"/>
    <x v="0"/>
    <x v="0"/>
    <x v="0"/>
    <m/>
    <x v="500"/>
  </r>
  <r>
    <s v="USR-101241"/>
    <d v="2025-05-23T00:00:00"/>
    <x v="1"/>
    <x v="1"/>
    <x v="0"/>
    <x v="1"/>
    <x v="0"/>
    <x v="1"/>
    <x v="1"/>
    <x v="0"/>
    <x v="0"/>
    <x v="0"/>
    <x v="0"/>
    <x v="0"/>
    <m/>
    <x v="451"/>
  </r>
  <r>
    <s v="USR-101242"/>
    <d v="2025-03-08T00:00:00"/>
    <x v="1"/>
    <x v="0"/>
    <x v="2"/>
    <x v="0"/>
    <x v="0"/>
    <x v="0"/>
    <x v="0"/>
    <x v="0"/>
    <x v="0"/>
    <x v="0"/>
    <x v="1"/>
    <x v="0"/>
    <m/>
    <x v="189"/>
  </r>
  <r>
    <s v="USR-101243"/>
    <d v="2025-05-21T00:00:00"/>
    <x v="1"/>
    <x v="2"/>
    <x v="1"/>
    <x v="1"/>
    <x v="0"/>
    <x v="1"/>
    <x v="0"/>
    <x v="0"/>
    <x v="0"/>
    <x v="0"/>
    <x v="0"/>
    <x v="0"/>
    <m/>
    <x v="21"/>
  </r>
  <r>
    <s v="USR-101244"/>
    <d v="2025-04-22T00:00:00"/>
    <x v="1"/>
    <x v="0"/>
    <x v="1"/>
    <x v="0"/>
    <x v="0"/>
    <x v="1"/>
    <x v="1"/>
    <x v="0"/>
    <x v="0"/>
    <x v="0"/>
    <x v="0"/>
    <x v="0"/>
    <m/>
    <x v="103"/>
  </r>
  <r>
    <s v="USR-101245"/>
    <d v="2025-04-16T00:00:00"/>
    <x v="1"/>
    <x v="0"/>
    <x v="1"/>
    <x v="0"/>
    <x v="2"/>
    <x v="1"/>
    <x v="0"/>
    <x v="0"/>
    <x v="0"/>
    <x v="0"/>
    <x v="0"/>
    <x v="0"/>
    <m/>
    <x v="432"/>
  </r>
  <r>
    <s v="USR-101246"/>
    <d v="2025-05-08T00:00:00"/>
    <x v="1"/>
    <x v="0"/>
    <x v="2"/>
    <x v="1"/>
    <x v="1"/>
    <x v="1"/>
    <x v="0"/>
    <x v="0"/>
    <x v="0"/>
    <x v="0"/>
    <x v="0"/>
    <x v="0"/>
    <m/>
    <x v="38"/>
  </r>
  <r>
    <s v="USR-101247"/>
    <d v="2025-05-22T00:00:00"/>
    <x v="1"/>
    <x v="0"/>
    <x v="1"/>
    <x v="2"/>
    <x v="0"/>
    <x v="1"/>
    <x v="0"/>
    <x v="0"/>
    <x v="0"/>
    <x v="0"/>
    <x v="0"/>
    <x v="0"/>
    <m/>
    <x v="228"/>
  </r>
  <r>
    <s v="USR-101248"/>
    <d v="2025-03-21T00:00:00"/>
    <x v="1"/>
    <x v="0"/>
    <x v="1"/>
    <x v="3"/>
    <x v="0"/>
    <x v="1"/>
    <x v="1"/>
    <x v="1"/>
    <x v="0"/>
    <x v="0"/>
    <x v="0"/>
    <x v="0"/>
    <m/>
    <x v="78"/>
  </r>
  <r>
    <s v="USR-101249"/>
    <d v="2025-03-22T00:00:00"/>
    <x v="1"/>
    <x v="2"/>
    <x v="1"/>
    <x v="1"/>
    <x v="0"/>
    <x v="1"/>
    <x v="0"/>
    <x v="0"/>
    <x v="0"/>
    <x v="0"/>
    <x v="1"/>
    <x v="0"/>
    <m/>
    <x v="501"/>
  </r>
  <r>
    <s v="USR-101250"/>
    <d v="2025-01-10T00:00:00"/>
    <x v="1"/>
    <x v="1"/>
    <x v="0"/>
    <x v="4"/>
    <x v="1"/>
    <x v="1"/>
    <x v="0"/>
    <x v="0"/>
    <x v="0"/>
    <x v="0"/>
    <x v="0"/>
    <x v="0"/>
    <m/>
    <x v="332"/>
  </r>
  <r>
    <s v="USR-101251"/>
    <d v="2025-02-01T00:00:00"/>
    <x v="1"/>
    <x v="2"/>
    <x v="1"/>
    <x v="1"/>
    <x v="0"/>
    <x v="1"/>
    <x v="1"/>
    <x v="1"/>
    <x v="1"/>
    <x v="64"/>
    <x v="0"/>
    <x v="0"/>
    <n v="4"/>
    <x v="441"/>
  </r>
  <r>
    <s v="USR-101252"/>
    <d v="2025-03-31T00:00:00"/>
    <x v="1"/>
    <x v="3"/>
    <x v="1"/>
    <x v="2"/>
    <x v="0"/>
    <x v="1"/>
    <x v="1"/>
    <x v="0"/>
    <x v="0"/>
    <x v="0"/>
    <x v="3"/>
    <x v="0"/>
    <m/>
    <x v="87"/>
  </r>
  <r>
    <s v="USR-101253"/>
    <d v="2025-04-25T00:00:00"/>
    <x v="1"/>
    <x v="0"/>
    <x v="1"/>
    <x v="2"/>
    <x v="1"/>
    <x v="1"/>
    <x v="0"/>
    <x v="0"/>
    <x v="0"/>
    <x v="0"/>
    <x v="0"/>
    <x v="0"/>
    <m/>
    <x v="8"/>
  </r>
  <r>
    <s v="USR-101254"/>
    <d v="2025-05-02T00:00:00"/>
    <x v="1"/>
    <x v="1"/>
    <x v="1"/>
    <x v="4"/>
    <x v="0"/>
    <x v="0"/>
    <x v="0"/>
    <x v="0"/>
    <x v="0"/>
    <x v="0"/>
    <x v="0"/>
    <x v="0"/>
    <m/>
    <x v="304"/>
  </r>
  <r>
    <s v="USR-101255"/>
    <d v="2025-03-08T00:00:00"/>
    <x v="1"/>
    <x v="3"/>
    <x v="0"/>
    <x v="4"/>
    <x v="0"/>
    <x v="1"/>
    <x v="0"/>
    <x v="0"/>
    <x v="0"/>
    <x v="0"/>
    <x v="0"/>
    <x v="0"/>
    <m/>
    <x v="502"/>
  </r>
  <r>
    <s v="USR-101256"/>
    <d v="2025-01-27T00:00:00"/>
    <x v="1"/>
    <x v="2"/>
    <x v="0"/>
    <x v="5"/>
    <x v="1"/>
    <x v="1"/>
    <x v="1"/>
    <x v="1"/>
    <x v="1"/>
    <x v="65"/>
    <x v="0"/>
    <x v="0"/>
    <n v="6"/>
    <x v="222"/>
  </r>
  <r>
    <s v="USR-101257"/>
    <d v="2025-04-27T00:00:00"/>
    <x v="1"/>
    <x v="1"/>
    <x v="1"/>
    <x v="2"/>
    <x v="1"/>
    <x v="0"/>
    <x v="0"/>
    <x v="0"/>
    <x v="0"/>
    <x v="0"/>
    <x v="0"/>
    <x v="0"/>
    <m/>
    <x v="320"/>
  </r>
  <r>
    <s v="USR-101258"/>
    <d v="2025-01-16T00:00:00"/>
    <x v="1"/>
    <x v="1"/>
    <x v="0"/>
    <x v="2"/>
    <x v="0"/>
    <x v="1"/>
    <x v="0"/>
    <x v="0"/>
    <x v="0"/>
    <x v="0"/>
    <x v="0"/>
    <x v="0"/>
    <m/>
    <x v="424"/>
  </r>
  <r>
    <s v="USR-101259"/>
    <d v="2025-01-18T00:00:00"/>
    <x v="1"/>
    <x v="1"/>
    <x v="0"/>
    <x v="2"/>
    <x v="0"/>
    <x v="1"/>
    <x v="0"/>
    <x v="0"/>
    <x v="0"/>
    <x v="0"/>
    <x v="0"/>
    <x v="0"/>
    <m/>
    <x v="176"/>
  </r>
  <r>
    <s v="USR-101260"/>
    <d v="2025-03-21T00:00:00"/>
    <x v="1"/>
    <x v="0"/>
    <x v="1"/>
    <x v="1"/>
    <x v="1"/>
    <x v="1"/>
    <x v="0"/>
    <x v="0"/>
    <x v="0"/>
    <x v="0"/>
    <x v="0"/>
    <x v="0"/>
    <m/>
    <x v="503"/>
  </r>
  <r>
    <s v="USR-101261"/>
    <d v="2025-04-02T00:00:00"/>
    <x v="1"/>
    <x v="0"/>
    <x v="0"/>
    <x v="2"/>
    <x v="1"/>
    <x v="1"/>
    <x v="0"/>
    <x v="0"/>
    <x v="0"/>
    <x v="0"/>
    <x v="0"/>
    <x v="0"/>
    <m/>
    <x v="380"/>
  </r>
  <r>
    <s v="USR-101262"/>
    <d v="2025-02-16T00:00:00"/>
    <x v="1"/>
    <x v="1"/>
    <x v="0"/>
    <x v="1"/>
    <x v="1"/>
    <x v="1"/>
    <x v="1"/>
    <x v="1"/>
    <x v="0"/>
    <x v="0"/>
    <x v="0"/>
    <x v="0"/>
    <m/>
    <x v="347"/>
  </r>
  <r>
    <s v="USR-101263"/>
    <d v="2025-02-18T00:00:00"/>
    <x v="1"/>
    <x v="0"/>
    <x v="1"/>
    <x v="4"/>
    <x v="1"/>
    <x v="1"/>
    <x v="0"/>
    <x v="0"/>
    <x v="0"/>
    <x v="0"/>
    <x v="0"/>
    <x v="0"/>
    <m/>
    <x v="51"/>
  </r>
  <r>
    <s v="USR-101264"/>
    <d v="2025-01-09T00:00:00"/>
    <x v="1"/>
    <x v="2"/>
    <x v="1"/>
    <x v="1"/>
    <x v="1"/>
    <x v="1"/>
    <x v="0"/>
    <x v="0"/>
    <x v="0"/>
    <x v="0"/>
    <x v="0"/>
    <x v="0"/>
    <m/>
    <x v="59"/>
  </r>
  <r>
    <s v="USR-101265"/>
    <d v="2025-02-18T00:00:00"/>
    <x v="1"/>
    <x v="0"/>
    <x v="0"/>
    <x v="2"/>
    <x v="1"/>
    <x v="1"/>
    <x v="0"/>
    <x v="0"/>
    <x v="0"/>
    <x v="0"/>
    <x v="1"/>
    <x v="0"/>
    <m/>
    <x v="115"/>
  </r>
  <r>
    <s v="USR-101266"/>
    <d v="2025-01-10T00:00:00"/>
    <x v="1"/>
    <x v="2"/>
    <x v="1"/>
    <x v="3"/>
    <x v="1"/>
    <x v="0"/>
    <x v="0"/>
    <x v="0"/>
    <x v="0"/>
    <x v="0"/>
    <x v="0"/>
    <x v="0"/>
    <m/>
    <x v="375"/>
  </r>
  <r>
    <s v="USR-101267"/>
    <d v="2025-03-08T00:00:00"/>
    <x v="1"/>
    <x v="1"/>
    <x v="1"/>
    <x v="0"/>
    <x v="1"/>
    <x v="1"/>
    <x v="0"/>
    <x v="0"/>
    <x v="0"/>
    <x v="0"/>
    <x v="0"/>
    <x v="0"/>
    <m/>
    <x v="468"/>
  </r>
  <r>
    <s v="USR-101268"/>
    <d v="2025-04-16T00:00:00"/>
    <x v="1"/>
    <x v="2"/>
    <x v="0"/>
    <x v="2"/>
    <x v="0"/>
    <x v="0"/>
    <x v="0"/>
    <x v="0"/>
    <x v="0"/>
    <x v="0"/>
    <x v="0"/>
    <x v="0"/>
    <m/>
    <x v="75"/>
  </r>
  <r>
    <s v="USR-101269"/>
    <d v="2025-02-19T00:00:00"/>
    <x v="1"/>
    <x v="1"/>
    <x v="0"/>
    <x v="2"/>
    <x v="2"/>
    <x v="0"/>
    <x v="0"/>
    <x v="0"/>
    <x v="0"/>
    <x v="0"/>
    <x v="1"/>
    <x v="0"/>
    <m/>
    <x v="1"/>
  </r>
  <r>
    <s v="USR-101270"/>
    <d v="2025-03-16T00:00:00"/>
    <x v="1"/>
    <x v="2"/>
    <x v="0"/>
    <x v="4"/>
    <x v="1"/>
    <x v="1"/>
    <x v="1"/>
    <x v="0"/>
    <x v="0"/>
    <x v="0"/>
    <x v="0"/>
    <x v="0"/>
    <m/>
    <x v="230"/>
  </r>
  <r>
    <s v="USR-101271"/>
    <d v="2025-02-03T00:00:00"/>
    <x v="1"/>
    <x v="1"/>
    <x v="3"/>
    <x v="3"/>
    <x v="0"/>
    <x v="1"/>
    <x v="0"/>
    <x v="0"/>
    <x v="0"/>
    <x v="0"/>
    <x v="1"/>
    <x v="0"/>
    <m/>
    <x v="426"/>
  </r>
  <r>
    <s v="USR-101272"/>
    <d v="2025-03-12T00:00:00"/>
    <x v="1"/>
    <x v="1"/>
    <x v="1"/>
    <x v="2"/>
    <x v="0"/>
    <x v="1"/>
    <x v="0"/>
    <x v="0"/>
    <x v="0"/>
    <x v="0"/>
    <x v="0"/>
    <x v="0"/>
    <m/>
    <x v="504"/>
  </r>
  <r>
    <s v="USR-101273"/>
    <d v="2025-05-09T00:00:00"/>
    <x v="1"/>
    <x v="1"/>
    <x v="1"/>
    <x v="4"/>
    <x v="1"/>
    <x v="1"/>
    <x v="1"/>
    <x v="1"/>
    <x v="0"/>
    <x v="0"/>
    <x v="3"/>
    <x v="0"/>
    <m/>
    <x v="279"/>
  </r>
  <r>
    <s v="USR-101274"/>
    <d v="2025-01-19T00:00:00"/>
    <x v="1"/>
    <x v="3"/>
    <x v="0"/>
    <x v="4"/>
    <x v="2"/>
    <x v="1"/>
    <x v="0"/>
    <x v="0"/>
    <x v="0"/>
    <x v="0"/>
    <x v="0"/>
    <x v="0"/>
    <m/>
    <x v="505"/>
  </r>
  <r>
    <s v="USR-101275"/>
    <d v="2025-01-24T00:00:00"/>
    <x v="1"/>
    <x v="1"/>
    <x v="1"/>
    <x v="3"/>
    <x v="1"/>
    <x v="1"/>
    <x v="1"/>
    <x v="1"/>
    <x v="0"/>
    <x v="0"/>
    <x v="1"/>
    <x v="0"/>
    <m/>
    <x v="286"/>
  </r>
  <r>
    <s v="USR-101276"/>
    <d v="2025-03-03T00:00:00"/>
    <x v="1"/>
    <x v="2"/>
    <x v="1"/>
    <x v="3"/>
    <x v="1"/>
    <x v="1"/>
    <x v="1"/>
    <x v="0"/>
    <x v="0"/>
    <x v="0"/>
    <x v="0"/>
    <x v="0"/>
    <m/>
    <x v="506"/>
  </r>
  <r>
    <s v="USR-101277"/>
    <d v="2025-05-27T00:00:00"/>
    <x v="1"/>
    <x v="0"/>
    <x v="0"/>
    <x v="3"/>
    <x v="1"/>
    <x v="1"/>
    <x v="1"/>
    <x v="1"/>
    <x v="0"/>
    <x v="0"/>
    <x v="0"/>
    <x v="0"/>
    <m/>
    <x v="146"/>
  </r>
  <r>
    <s v="USR-101278"/>
    <d v="2025-04-23T00:00:00"/>
    <x v="1"/>
    <x v="1"/>
    <x v="0"/>
    <x v="1"/>
    <x v="0"/>
    <x v="1"/>
    <x v="0"/>
    <x v="0"/>
    <x v="0"/>
    <x v="0"/>
    <x v="0"/>
    <x v="0"/>
    <m/>
    <x v="146"/>
  </r>
  <r>
    <s v="USR-101279"/>
    <d v="2025-02-10T00:00:00"/>
    <x v="1"/>
    <x v="2"/>
    <x v="0"/>
    <x v="4"/>
    <x v="1"/>
    <x v="0"/>
    <x v="0"/>
    <x v="0"/>
    <x v="0"/>
    <x v="0"/>
    <x v="0"/>
    <x v="0"/>
    <m/>
    <x v="144"/>
  </r>
  <r>
    <s v="USR-101280"/>
    <d v="2025-02-11T00:00:00"/>
    <x v="1"/>
    <x v="0"/>
    <x v="1"/>
    <x v="1"/>
    <x v="1"/>
    <x v="0"/>
    <x v="0"/>
    <x v="0"/>
    <x v="0"/>
    <x v="0"/>
    <x v="0"/>
    <x v="0"/>
    <m/>
    <x v="235"/>
  </r>
  <r>
    <s v="USR-101281"/>
    <d v="2025-01-21T00:00:00"/>
    <x v="1"/>
    <x v="2"/>
    <x v="0"/>
    <x v="2"/>
    <x v="1"/>
    <x v="1"/>
    <x v="1"/>
    <x v="1"/>
    <x v="0"/>
    <x v="0"/>
    <x v="0"/>
    <x v="0"/>
    <m/>
    <x v="507"/>
  </r>
  <r>
    <s v="USR-101282"/>
    <d v="2025-02-02T00:00:00"/>
    <x v="1"/>
    <x v="1"/>
    <x v="0"/>
    <x v="4"/>
    <x v="1"/>
    <x v="1"/>
    <x v="1"/>
    <x v="0"/>
    <x v="0"/>
    <x v="0"/>
    <x v="0"/>
    <x v="0"/>
    <m/>
    <x v="150"/>
  </r>
  <r>
    <s v="USR-101283"/>
    <d v="2025-02-02T00:00:00"/>
    <x v="1"/>
    <x v="1"/>
    <x v="1"/>
    <x v="1"/>
    <x v="1"/>
    <x v="0"/>
    <x v="0"/>
    <x v="0"/>
    <x v="0"/>
    <x v="0"/>
    <x v="1"/>
    <x v="0"/>
    <m/>
    <x v="267"/>
  </r>
  <r>
    <s v="USR-101284"/>
    <d v="2025-02-26T00:00:00"/>
    <x v="1"/>
    <x v="1"/>
    <x v="2"/>
    <x v="4"/>
    <x v="1"/>
    <x v="1"/>
    <x v="1"/>
    <x v="1"/>
    <x v="0"/>
    <x v="0"/>
    <x v="0"/>
    <x v="0"/>
    <m/>
    <x v="451"/>
  </r>
  <r>
    <s v="USR-101285"/>
    <d v="2025-04-22T00:00:00"/>
    <x v="1"/>
    <x v="0"/>
    <x v="1"/>
    <x v="4"/>
    <x v="2"/>
    <x v="1"/>
    <x v="0"/>
    <x v="0"/>
    <x v="0"/>
    <x v="0"/>
    <x v="0"/>
    <x v="0"/>
    <m/>
    <x v="430"/>
  </r>
  <r>
    <s v="USR-101286"/>
    <d v="2025-03-11T00:00:00"/>
    <x v="1"/>
    <x v="0"/>
    <x v="0"/>
    <x v="1"/>
    <x v="0"/>
    <x v="0"/>
    <x v="0"/>
    <x v="0"/>
    <x v="0"/>
    <x v="0"/>
    <x v="2"/>
    <x v="0"/>
    <m/>
    <x v="353"/>
  </r>
  <r>
    <s v="USR-101287"/>
    <d v="2025-05-08T00:00:00"/>
    <x v="1"/>
    <x v="3"/>
    <x v="1"/>
    <x v="1"/>
    <x v="2"/>
    <x v="1"/>
    <x v="0"/>
    <x v="0"/>
    <x v="0"/>
    <x v="0"/>
    <x v="1"/>
    <x v="0"/>
    <m/>
    <x v="146"/>
  </r>
  <r>
    <s v="USR-101288"/>
    <d v="2025-03-10T00:00:00"/>
    <x v="1"/>
    <x v="2"/>
    <x v="0"/>
    <x v="1"/>
    <x v="1"/>
    <x v="0"/>
    <x v="0"/>
    <x v="0"/>
    <x v="0"/>
    <x v="0"/>
    <x v="0"/>
    <x v="0"/>
    <m/>
    <x v="301"/>
  </r>
  <r>
    <s v="USR-101289"/>
    <d v="2025-04-16T00:00:00"/>
    <x v="1"/>
    <x v="2"/>
    <x v="0"/>
    <x v="2"/>
    <x v="1"/>
    <x v="1"/>
    <x v="1"/>
    <x v="1"/>
    <x v="0"/>
    <x v="0"/>
    <x v="1"/>
    <x v="0"/>
    <m/>
    <x v="165"/>
  </r>
  <r>
    <s v="USR-101290"/>
    <d v="2025-03-01T00:00:00"/>
    <x v="1"/>
    <x v="1"/>
    <x v="2"/>
    <x v="1"/>
    <x v="0"/>
    <x v="1"/>
    <x v="0"/>
    <x v="0"/>
    <x v="0"/>
    <x v="0"/>
    <x v="0"/>
    <x v="0"/>
    <m/>
    <x v="508"/>
  </r>
  <r>
    <s v="USR-101291"/>
    <d v="2025-01-18T00:00:00"/>
    <x v="1"/>
    <x v="3"/>
    <x v="0"/>
    <x v="1"/>
    <x v="2"/>
    <x v="1"/>
    <x v="0"/>
    <x v="0"/>
    <x v="0"/>
    <x v="0"/>
    <x v="0"/>
    <x v="0"/>
    <m/>
    <x v="366"/>
  </r>
  <r>
    <s v="USR-101292"/>
    <d v="2025-03-30T00:00:00"/>
    <x v="1"/>
    <x v="0"/>
    <x v="1"/>
    <x v="2"/>
    <x v="1"/>
    <x v="0"/>
    <x v="0"/>
    <x v="0"/>
    <x v="0"/>
    <x v="0"/>
    <x v="0"/>
    <x v="0"/>
    <m/>
    <x v="442"/>
  </r>
  <r>
    <s v="USR-101293"/>
    <d v="2025-05-26T00:00:00"/>
    <x v="1"/>
    <x v="1"/>
    <x v="1"/>
    <x v="4"/>
    <x v="2"/>
    <x v="0"/>
    <x v="0"/>
    <x v="0"/>
    <x v="0"/>
    <x v="0"/>
    <x v="0"/>
    <x v="0"/>
    <m/>
    <x v="90"/>
  </r>
  <r>
    <s v="USR-101294"/>
    <d v="2025-03-19T00:00:00"/>
    <x v="1"/>
    <x v="2"/>
    <x v="0"/>
    <x v="4"/>
    <x v="1"/>
    <x v="0"/>
    <x v="0"/>
    <x v="0"/>
    <x v="0"/>
    <x v="0"/>
    <x v="0"/>
    <x v="0"/>
    <m/>
    <x v="494"/>
  </r>
  <r>
    <s v="USR-101295"/>
    <d v="2025-03-28T00:00:00"/>
    <x v="1"/>
    <x v="0"/>
    <x v="0"/>
    <x v="3"/>
    <x v="1"/>
    <x v="1"/>
    <x v="0"/>
    <x v="0"/>
    <x v="0"/>
    <x v="0"/>
    <x v="0"/>
    <x v="0"/>
    <m/>
    <x v="509"/>
  </r>
  <r>
    <s v="USR-101296"/>
    <d v="2025-05-28T00:00:00"/>
    <x v="1"/>
    <x v="3"/>
    <x v="0"/>
    <x v="4"/>
    <x v="1"/>
    <x v="1"/>
    <x v="0"/>
    <x v="0"/>
    <x v="0"/>
    <x v="0"/>
    <x v="0"/>
    <x v="0"/>
    <m/>
    <x v="416"/>
  </r>
  <r>
    <s v="USR-101297"/>
    <d v="2025-05-31T00:00:00"/>
    <x v="1"/>
    <x v="3"/>
    <x v="0"/>
    <x v="3"/>
    <x v="2"/>
    <x v="1"/>
    <x v="1"/>
    <x v="1"/>
    <x v="1"/>
    <x v="66"/>
    <x v="0"/>
    <x v="0"/>
    <n v="7"/>
    <x v="61"/>
  </r>
  <r>
    <s v="USR-101298"/>
    <d v="2025-05-10T00:00:00"/>
    <x v="1"/>
    <x v="0"/>
    <x v="1"/>
    <x v="3"/>
    <x v="1"/>
    <x v="0"/>
    <x v="0"/>
    <x v="0"/>
    <x v="0"/>
    <x v="0"/>
    <x v="1"/>
    <x v="0"/>
    <m/>
    <x v="444"/>
  </r>
  <r>
    <s v="USR-101299"/>
    <d v="2025-05-17T00:00:00"/>
    <x v="1"/>
    <x v="1"/>
    <x v="1"/>
    <x v="1"/>
    <x v="1"/>
    <x v="0"/>
    <x v="0"/>
    <x v="0"/>
    <x v="0"/>
    <x v="0"/>
    <x v="3"/>
    <x v="0"/>
    <m/>
    <x v="128"/>
  </r>
  <r>
    <s v="USR-101300"/>
    <d v="2025-01-18T00:00:00"/>
    <x v="1"/>
    <x v="3"/>
    <x v="1"/>
    <x v="1"/>
    <x v="2"/>
    <x v="1"/>
    <x v="0"/>
    <x v="0"/>
    <x v="0"/>
    <x v="0"/>
    <x v="0"/>
    <x v="0"/>
    <m/>
    <x v="395"/>
  </r>
  <r>
    <s v="USR-101301"/>
    <d v="2025-05-04T00:00:00"/>
    <x v="1"/>
    <x v="1"/>
    <x v="1"/>
    <x v="4"/>
    <x v="1"/>
    <x v="1"/>
    <x v="0"/>
    <x v="0"/>
    <x v="0"/>
    <x v="0"/>
    <x v="0"/>
    <x v="0"/>
    <m/>
    <x v="297"/>
  </r>
  <r>
    <s v="USR-101302"/>
    <d v="2025-03-25T00:00:00"/>
    <x v="1"/>
    <x v="0"/>
    <x v="1"/>
    <x v="1"/>
    <x v="1"/>
    <x v="1"/>
    <x v="0"/>
    <x v="0"/>
    <x v="0"/>
    <x v="0"/>
    <x v="2"/>
    <x v="0"/>
    <m/>
    <x v="226"/>
  </r>
  <r>
    <s v="USR-101303"/>
    <d v="2025-02-27T00:00:00"/>
    <x v="1"/>
    <x v="0"/>
    <x v="1"/>
    <x v="4"/>
    <x v="0"/>
    <x v="1"/>
    <x v="1"/>
    <x v="1"/>
    <x v="0"/>
    <x v="0"/>
    <x v="0"/>
    <x v="0"/>
    <m/>
    <x v="95"/>
  </r>
  <r>
    <s v="USR-101304"/>
    <d v="2025-01-14T00:00:00"/>
    <x v="1"/>
    <x v="1"/>
    <x v="1"/>
    <x v="2"/>
    <x v="0"/>
    <x v="1"/>
    <x v="1"/>
    <x v="1"/>
    <x v="0"/>
    <x v="0"/>
    <x v="0"/>
    <x v="0"/>
    <m/>
    <x v="370"/>
  </r>
  <r>
    <s v="USR-101305"/>
    <d v="2025-04-11T00:00:00"/>
    <x v="1"/>
    <x v="2"/>
    <x v="1"/>
    <x v="4"/>
    <x v="1"/>
    <x v="0"/>
    <x v="0"/>
    <x v="0"/>
    <x v="0"/>
    <x v="0"/>
    <x v="1"/>
    <x v="0"/>
    <m/>
    <x v="331"/>
  </r>
  <r>
    <s v="USR-101306"/>
    <d v="2025-03-26T00:00:00"/>
    <x v="1"/>
    <x v="2"/>
    <x v="0"/>
    <x v="4"/>
    <x v="0"/>
    <x v="0"/>
    <x v="0"/>
    <x v="0"/>
    <x v="0"/>
    <x v="0"/>
    <x v="0"/>
    <x v="0"/>
    <m/>
    <x v="377"/>
  </r>
  <r>
    <s v="USR-101307"/>
    <d v="2025-02-12T00:00:00"/>
    <x v="1"/>
    <x v="1"/>
    <x v="0"/>
    <x v="4"/>
    <x v="1"/>
    <x v="1"/>
    <x v="0"/>
    <x v="0"/>
    <x v="0"/>
    <x v="0"/>
    <x v="0"/>
    <x v="0"/>
    <m/>
    <x v="9"/>
  </r>
  <r>
    <s v="USR-101308"/>
    <d v="2025-02-18T00:00:00"/>
    <x v="1"/>
    <x v="1"/>
    <x v="2"/>
    <x v="2"/>
    <x v="0"/>
    <x v="1"/>
    <x v="0"/>
    <x v="0"/>
    <x v="0"/>
    <x v="0"/>
    <x v="0"/>
    <x v="0"/>
    <m/>
    <x v="226"/>
  </r>
  <r>
    <s v="USR-101309"/>
    <d v="2025-05-25T00:00:00"/>
    <x v="1"/>
    <x v="2"/>
    <x v="0"/>
    <x v="4"/>
    <x v="1"/>
    <x v="1"/>
    <x v="1"/>
    <x v="1"/>
    <x v="0"/>
    <x v="0"/>
    <x v="0"/>
    <x v="0"/>
    <m/>
    <x v="139"/>
  </r>
  <r>
    <s v="USR-101310"/>
    <d v="2025-05-23T00:00:00"/>
    <x v="1"/>
    <x v="2"/>
    <x v="0"/>
    <x v="2"/>
    <x v="0"/>
    <x v="1"/>
    <x v="0"/>
    <x v="0"/>
    <x v="0"/>
    <x v="0"/>
    <x v="0"/>
    <x v="0"/>
    <m/>
    <x v="235"/>
  </r>
  <r>
    <s v="USR-101311"/>
    <d v="2025-01-16T00:00:00"/>
    <x v="1"/>
    <x v="0"/>
    <x v="0"/>
    <x v="1"/>
    <x v="1"/>
    <x v="1"/>
    <x v="1"/>
    <x v="1"/>
    <x v="1"/>
    <x v="67"/>
    <x v="0"/>
    <x v="0"/>
    <n v="9"/>
    <x v="510"/>
  </r>
  <r>
    <s v="USR-101312"/>
    <d v="2025-01-19T00:00:00"/>
    <x v="1"/>
    <x v="1"/>
    <x v="0"/>
    <x v="0"/>
    <x v="0"/>
    <x v="0"/>
    <x v="0"/>
    <x v="0"/>
    <x v="0"/>
    <x v="0"/>
    <x v="0"/>
    <x v="0"/>
    <m/>
    <x v="450"/>
  </r>
  <r>
    <s v="USR-101313"/>
    <d v="2025-05-18T00:00:00"/>
    <x v="1"/>
    <x v="3"/>
    <x v="1"/>
    <x v="3"/>
    <x v="1"/>
    <x v="0"/>
    <x v="0"/>
    <x v="0"/>
    <x v="0"/>
    <x v="0"/>
    <x v="1"/>
    <x v="0"/>
    <m/>
    <x v="511"/>
  </r>
  <r>
    <s v="USR-101314"/>
    <d v="2025-01-23T00:00:00"/>
    <x v="1"/>
    <x v="2"/>
    <x v="2"/>
    <x v="4"/>
    <x v="2"/>
    <x v="1"/>
    <x v="0"/>
    <x v="0"/>
    <x v="0"/>
    <x v="0"/>
    <x v="0"/>
    <x v="0"/>
    <m/>
    <x v="512"/>
  </r>
  <r>
    <s v="USR-101315"/>
    <d v="2025-01-08T00:00:00"/>
    <x v="1"/>
    <x v="2"/>
    <x v="2"/>
    <x v="5"/>
    <x v="2"/>
    <x v="1"/>
    <x v="1"/>
    <x v="1"/>
    <x v="0"/>
    <x v="0"/>
    <x v="1"/>
    <x v="0"/>
    <m/>
    <x v="100"/>
  </r>
  <r>
    <s v="USR-101316"/>
    <d v="2025-02-19T00:00:00"/>
    <x v="1"/>
    <x v="0"/>
    <x v="1"/>
    <x v="1"/>
    <x v="2"/>
    <x v="0"/>
    <x v="0"/>
    <x v="0"/>
    <x v="0"/>
    <x v="0"/>
    <x v="0"/>
    <x v="0"/>
    <m/>
    <x v="128"/>
  </r>
  <r>
    <s v="USR-101317"/>
    <d v="2025-02-10T00:00:00"/>
    <x v="1"/>
    <x v="3"/>
    <x v="1"/>
    <x v="1"/>
    <x v="1"/>
    <x v="1"/>
    <x v="0"/>
    <x v="0"/>
    <x v="0"/>
    <x v="0"/>
    <x v="0"/>
    <x v="0"/>
    <m/>
    <x v="513"/>
  </r>
  <r>
    <s v="USR-101318"/>
    <d v="2025-04-13T00:00:00"/>
    <x v="1"/>
    <x v="3"/>
    <x v="1"/>
    <x v="2"/>
    <x v="1"/>
    <x v="1"/>
    <x v="0"/>
    <x v="0"/>
    <x v="0"/>
    <x v="0"/>
    <x v="0"/>
    <x v="0"/>
    <m/>
    <x v="463"/>
  </r>
  <r>
    <s v="USR-101319"/>
    <d v="2025-05-20T00:00:00"/>
    <x v="1"/>
    <x v="2"/>
    <x v="1"/>
    <x v="1"/>
    <x v="1"/>
    <x v="1"/>
    <x v="1"/>
    <x v="1"/>
    <x v="1"/>
    <x v="68"/>
    <x v="0"/>
    <x v="0"/>
    <n v="9"/>
    <x v="514"/>
  </r>
  <r>
    <s v="USR-101320"/>
    <d v="2025-05-13T00:00:00"/>
    <x v="1"/>
    <x v="3"/>
    <x v="1"/>
    <x v="2"/>
    <x v="0"/>
    <x v="1"/>
    <x v="1"/>
    <x v="0"/>
    <x v="0"/>
    <x v="0"/>
    <x v="1"/>
    <x v="0"/>
    <m/>
    <x v="12"/>
  </r>
  <r>
    <s v="USR-101321"/>
    <d v="2025-05-28T00:00:00"/>
    <x v="1"/>
    <x v="3"/>
    <x v="0"/>
    <x v="2"/>
    <x v="0"/>
    <x v="1"/>
    <x v="0"/>
    <x v="0"/>
    <x v="0"/>
    <x v="0"/>
    <x v="0"/>
    <x v="0"/>
    <m/>
    <x v="160"/>
  </r>
  <r>
    <s v="USR-101322"/>
    <d v="2025-03-19T00:00:00"/>
    <x v="1"/>
    <x v="1"/>
    <x v="1"/>
    <x v="1"/>
    <x v="1"/>
    <x v="1"/>
    <x v="1"/>
    <x v="1"/>
    <x v="1"/>
    <x v="69"/>
    <x v="0"/>
    <x v="0"/>
    <n v="3"/>
    <x v="463"/>
  </r>
  <r>
    <s v="USR-101323"/>
    <d v="2025-02-03T00:00:00"/>
    <x v="1"/>
    <x v="0"/>
    <x v="1"/>
    <x v="0"/>
    <x v="2"/>
    <x v="0"/>
    <x v="0"/>
    <x v="0"/>
    <x v="0"/>
    <x v="0"/>
    <x v="0"/>
    <x v="0"/>
    <m/>
    <x v="515"/>
  </r>
  <r>
    <s v="USR-101324"/>
    <d v="2025-02-26T00:00:00"/>
    <x v="1"/>
    <x v="3"/>
    <x v="1"/>
    <x v="0"/>
    <x v="0"/>
    <x v="1"/>
    <x v="0"/>
    <x v="0"/>
    <x v="0"/>
    <x v="0"/>
    <x v="1"/>
    <x v="0"/>
    <m/>
    <x v="235"/>
  </r>
  <r>
    <s v="USR-101325"/>
    <d v="2025-01-26T00:00:00"/>
    <x v="1"/>
    <x v="1"/>
    <x v="1"/>
    <x v="2"/>
    <x v="1"/>
    <x v="1"/>
    <x v="0"/>
    <x v="0"/>
    <x v="0"/>
    <x v="0"/>
    <x v="0"/>
    <x v="0"/>
    <m/>
    <x v="4"/>
  </r>
  <r>
    <s v="USR-101326"/>
    <d v="2025-05-13T00:00:00"/>
    <x v="1"/>
    <x v="0"/>
    <x v="1"/>
    <x v="1"/>
    <x v="2"/>
    <x v="1"/>
    <x v="0"/>
    <x v="0"/>
    <x v="0"/>
    <x v="0"/>
    <x v="0"/>
    <x v="0"/>
    <m/>
    <x v="447"/>
  </r>
  <r>
    <s v="USR-101327"/>
    <d v="2025-02-02T00:00:00"/>
    <x v="1"/>
    <x v="3"/>
    <x v="1"/>
    <x v="2"/>
    <x v="0"/>
    <x v="0"/>
    <x v="0"/>
    <x v="0"/>
    <x v="0"/>
    <x v="0"/>
    <x v="0"/>
    <x v="0"/>
    <m/>
    <x v="112"/>
  </r>
  <r>
    <s v="USR-101328"/>
    <d v="2025-04-30T00:00:00"/>
    <x v="1"/>
    <x v="1"/>
    <x v="1"/>
    <x v="5"/>
    <x v="0"/>
    <x v="0"/>
    <x v="0"/>
    <x v="0"/>
    <x v="0"/>
    <x v="0"/>
    <x v="0"/>
    <x v="0"/>
    <m/>
    <x v="24"/>
  </r>
  <r>
    <s v="USR-101329"/>
    <d v="2025-03-29T00:00:00"/>
    <x v="1"/>
    <x v="2"/>
    <x v="1"/>
    <x v="1"/>
    <x v="1"/>
    <x v="0"/>
    <x v="0"/>
    <x v="0"/>
    <x v="0"/>
    <x v="0"/>
    <x v="0"/>
    <x v="0"/>
    <m/>
    <x v="160"/>
  </r>
  <r>
    <s v="USR-101330"/>
    <d v="2025-04-09T00:00:00"/>
    <x v="1"/>
    <x v="1"/>
    <x v="0"/>
    <x v="3"/>
    <x v="2"/>
    <x v="1"/>
    <x v="0"/>
    <x v="0"/>
    <x v="0"/>
    <x v="0"/>
    <x v="0"/>
    <x v="0"/>
    <m/>
    <x v="421"/>
  </r>
  <r>
    <s v="USR-101331"/>
    <d v="2025-01-22T00:00:00"/>
    <x v="1"/>
    <x v="3"/>
    <x v="2"/>
    <x v="1"/>
    <x v="1"/>
    <x v="0"/>
    <x v="0"/>
    <x v="0"/>
    <x v="0"/>
    <x v="0"/>
    <x v="0"/>
    <x v="0"/>
    <m/>
    <x v="516"/>
  </r>
  <r>
    <s v="USR-101332"/>
    <d v="2025-01-27T00:00:00"/>
    <x v="1"/>
    <x v="3"/>
    <x v="1"/>
    <x v="1"/>
    <x v="0"/>
    <x v="1"/>
    <x v="0"/>
    <x v="0"/>
    <x v="0"/>
    <x v="0"/>
    <x v="0"/>
    <x v="0"/>
    <m/>
    <x v="180"/>
  </r>
  <r>
    <s v="USR-101333"/>
    <d v="2025-01-22T00:00:00"/>
    <x v="1"/>
    <x v="2"/>
    <x v="1"/>
    <x v="4"/>
    <x v="2"/>
    <x v="1"/>
    <x v="0"/>
    <x v="0"/>
    <x v="0"/>
    <x v="0"/>
    <x v="0"/>
    <x v="0"/>
    <m/>
    <x v="406"/>
  </r>
  <r>
    <s v="USR-101334"/>
    <d v="2025-01-06T00:00:00"/>
    <x v="1"/>
    <x v="1"/>
    <x v="0"/>
    <x v="2"/>
    <x v="1"/>
    <x v="0"/>
    <x v="0"/>
    <x v="0"/>
    <x v="0"/>
    <x v="0"/>
    <x v="0"/>
    <x v="0"/>
    <m/>
    <x v="107"/>
  </r>
  <r>
    <s v="USR-101335"/>
    <d v="2025-04-16T00:00:00"/>
    <x v="1"/>
    <x v="3"/>
    <x v="3"/>
    <x v="1"/>
    <x v="1"/>
    <x v="1"/>
    <x v="0"/>
    <x v="0"/>
    <x v="0"/>
    <x v="0"/>
    <x v="0"/>
    <x v="0"/>
    <m/>
    <x v="517"/>
  </r>
  <r>
    <s v="USR-101336"/>
    <d v="2025-04-14T00:00:00"/>
    <x v="1"/>
    <x v="3"/>
    <x v="1"/>
    <x v="1"/>
    <x v="1"/>
    <x v="1"/>
    <x v="0"/>
    <x v="0"/>
    <x v="0"/>
    <x v="0"/>
    <x v="0"/>
    <x v="0"/>
    <m/>
    <x v="518"/>
  </r>
  <r>
    <s v="USR-101337"/>
    <d v="2025-02-22T00:00:00"/>
    <x v="1"/>
    <x v="1"/>
    <x v="1"/>
    <x v="2"/>
    <x v="0"/>
    <x v="1"/>
    <x v="0"/>
    <x v="0"/>
    <x v="0"/>
    <x v="0"/>
    <x v="0"/>
    <x v="0"/>
    <m/>
    <x v="355"/>
  </r>
  <r>
    <s v="USR-101338"/>
    <d v="2025-03-09T00:00:00"/>
    <x v="1"/>
    <x v="0"/>
    <x v="1"/>
    <x v="1"/>
    <x v="0"/>
    <x v="0"/>
    <x v="0"/>
    <x v="0"/>
    <x v="0"/>
    <x v="0"/>
    <x v="0"/>
    <x v="0"/>
    <m/>
    <x v="495"/>
  </r>
  <r>
    <s v="USR-101339"/>
    <d v="2025-04-20T00:00:00"/>
    <x v="1"/>
    <x v="1"/>
    <x v="0"/>
    <x v="1"/>
    <x v="1"/>
    <x v="1"/>
    <x v="0"/>
    <x v="0"/>
    <x v="0"/>
    <x v="0"/>
    <x v="0"/>
    <x v="0"/>
    <m/>
    <x v="177"/>
  </r>
  <r>
    <s v="USR-101340"/>
    <d v="2025-03-10T00:00:00"/>
    <x v="1"/>
    <x v="3"/>
    <x v="1"/>
    <x v="0"/>
    <x v="1"/>
    <x v="0"/>
    <x v="0"/>
    <x v="0"/>
    <x v="0"/>
    <x v="0"/>
    <x v="0"/>
    <x v="0"/>
    <m/>
    <x v="10"/>
  </r>
  <r>
    <s v="USR-101341"/>
    <d v="2025-02-21T00:00:00"/>
    <x v="1"/>
    <x v="3"/>
    <x v="1"/>
    <x v="0"/>
    <x v="1"/>
    <x v="1"/>
    <x v="1"/>
    <x v="0"/>
    <x v="0"/>
    <x v="0"/>
    <x v="1"/>
    <x v="0"/>
    <m/>
    <x v="222"/>
  </r>
  <r>
    <s v="USR-101342"/>
    <d v="2025-01-06T00:00:00"/>
    <x v="1"/>
    <x v="0"/>
    <x v="0"/>
    <x v="4"/>
    <x v="1"/>
    <x v="1"/>
    <x v="0"/>
    <x v="0"/>
    <x v="0"/>
    <x v="0"/>
    <x v="0"/>
    <x v="0"/>
    <m/>
    <x v="326"/>
  </r>
  <r>
    <s v="USR-101343"/>
    <d v="2025-04-17T00:00:00"/>
    <x v="1"/>
    <x v="3"/>
    <x v="1"/>
    <x v="1"/>
    <x v="2"/>
    <x v="1"/>
    <x v="0"/>
    <x v="0"/>
    <x v="0"/>
    <x v="0"/>
    <x v="0"/>
    <x v="0"/>
    <m/>
    <x v="389"/>
  </r>
  <r>
    <s v="USR-101344"/>
    <d v="2025-05-23T00:00:00"/>
    <x v="1"/>
    <x v="3"/>
    <x v="1"/>
    <x v="0"/>
    <x v="0"/>
    <x v="1"/>
    <x v="1"/>
    <x v="0"/>
    <x v="0"/>
    <x v="0"/>
    <x v="1"/>
    <x v="0"/>
    <m/>
    <x v="223"/>
  </r>
  <r>
    <s v="USR-101345"/>
    <d v="2025-03-14T00:00:00"/>
    <x v="1"/>
    <x v="1"/>
    <x v="0"/>
    <x v="1"/>
    <x v="0"/>
    <x v="1"/>
    <x v="0"/>
    <x v="0"/>
    <x v="0"/>
    <x v="0"/>
    <x v="1"/>
    <x v="0"/>
    <m/>
    <x v="54"/>
  </r>
  <r>
    <s v="USR-101346"/>
    <d v="2025-04-21T00:00:00"/>
    <x v="1"/>
    <x v="0"/>
    <x v="1"/>
    <x v="4"/>
    <x v="2"/>
    <x v="1"/>
    <x v="0"/>
    <x v="0"/>
    <x v="0"/>
    <x v="0"/>
    <x v="0"/>
    <x v="0"/>
    <m/>
    <x v="466"/>
  </r>
  <r>
    <s v="USR-101347"/>
    <d v="2025-01-03T00:00:00"/>
    <x v="1"/>
    <x v="3"/>
    <x v="1"/>
    <x v="4"/>
    <x v="1"/>
    <x v="1"/>
    <x v="1"/>
    <x v="1"/>
    <x v="0"/>
    <x v="0"/>
    <x v="1"/>
    <x v="0"/>
    <m/>
    <x v="414"/>
  </r>
  <r>
    <s v="USR-101348"/>
    <d v="2025-05-09T00:00:00"/>
    <x v="1"/>
    <x v="0"/>
    <x v="0"/>
    <x v="1"/>
    <x v="0"/>
    <x v="1"/>
    <x v="0"/>
    <x v="0"/>
    <x v="0"/>
    <x v="0"/>
    <x v="0"/>
    <x v="0"/>
    <m/>
    <x v="42"/>
  </r>
  <r>
    <s v="USR-101349"/>
    <d v="2025-05-22T00:00:00"/>
    <x v="1"/>
    <x v="3"/>
    <x v="1"/>
    <x v="1"/>
    <x v="0"/>
    <x v="1"/>
    <x v="1"/>
    <x v="1"/>
    <x v="0"/>
    <x v="0"/>
    <x v="1"/>
    <x v="0"/>
    <m/>
    <x v="442"/>
  </r>
  <r>
    <s v="USR-101350"/>
    <d v="2025-05-07T00:00:00"/>
    <x v="1"/>
    <x v="3"/>
    <x v="0"/>
    <x v="2"/>
    <x v="1"/>
    <x v="1"/>
    <x v="1"/>
    <x v="1"/>
    <x v="1"/>
    <x v="70"/>
    <x v="0"/>
    <x v="0"/>
    <n v="6"/>
    <x v="301"/>
  </r>
  <r>
    <s v="USR-101351"/>
    <d v="2025-02-08T00:00:00"/>
    <x v="1"/>
    <x v="2"/>
    <x v="1"/>
    <x v="4"/>
    <x v="1"/>
    <x v="0"/>
    <x v="0"/>
    <x v="0"/>
    <x v="0"/>
    <x v="0"/>
    <x v="1"/>
    <x v="0"/>
    <m/>
    <x v="519"/>
  </r>
  <r>
    <s v="USR-101352"/>
    <d v="2025-04-03T00:00:00"/>
    <x v="1"/>
    <x v="0"/>
    <x v="2"/>
    <x v="4"/>
    <x v="0"/>
    <x v="1"/>
    <x v="0"/>
    <x v="0"/>
    <x v="0"/>
    <x v="0"/>
    <x v="0"/>
    <x v="0"/>
    <m/>
    <x v="213"/>
  </r>
  <r>
    <s v="USR-101353"/>
    <d v="2025-04-17T00:00:00"/>
    <x v="1"/>
    <x v="2"/>
    <x v="0"/>
    <x v="2"/>
    <x v="1"/>
    <x v="1"/>
    <x v="0"/>
    <x v="0"/>
    <x v="0"/>
    <x v="0"/>
    <x v="1"/>
    <x v="0"/>
    <m/>
    <x v="411"/>
  </r>
  <r>
    <s v="USR-101354"/>
    <d v="2025-05-04T00:00:00"/>
    <x v="1"/>
    <x v="2"/>
    <x v="1"/>
    <x v="1"/>
    <x v="1"/>
    <x v="0"/>
    <x v="0"/>
    <x v="0"/>
    <x v="0"/>
    <x v="0"/>
    <x v="0"/>
    <x v="0"/>
    <m/>
    <x v="67"/>
  </r>
  <r>
    <s v="USR-101355"/>
    <d v="2025-05-11T00:00:00"/>
    <x v="1"/>
    <x v="1"/>
    <x v="0"/>
    <x v="1"/>
    <x v="1"/>
    <x v="1"/>
    <x v="0"/>
    <x v="0"/>
    <x v="0"/>
    <x v="0"/>
    <x v="0"/>
    <x v="0"/>
    <m/>
    <x v="99"/>
  </r>
  <r>
    <s v="USR-101356"/>
    <d v="2025-03-01T00:00:00"/>
    <x v="1"/>
    <x v="0"/>
    <x v="0"/>
    <x v="5"/>
    <x v="1"/>
    <x v="1"/>
    <x v="1"/>
    <x v="1"/>
    <x v="0"/>
    <x v="0"/>
    <x v="0"/>
    <x v="0"/>
    <m/>
    <x v="330"/>
  </r>
  <r>
    <s v="USR-101357"/>
    <d v="2025-02-20T00:00:00"/>
    <x v="1"/>
    <x v="1"/>
    <x v="0"/>
    <x v="1"/>
    <x v="1"/>
    <x v="1"/>
    <x v="0"/>
    <x v="0"/>
    <x v="0"/>
    <x v="0"/>
    <x v="1"/>
    <x v="0"/>
    <m/>
    <x v="384"/>
  </r>
  <r>
    <s v="USR-101358"/>
    <d v="2025-05-09T00:00:00"/>
    <x v="1"/>
    <x v="1"/>
    <x v="1"/>
    <x v="4"/>
    <x v="1"/>
    <x v="1"/>
    <x v="0"/>
    <x v="0"/>
    <x v="0"/>
    <x v="0"/>
    <x v="0"/>
    <x v="0"/>
    <m/>
    <x v="10"/>
  </r>
  <r>
    <s v="USR-101359"/>
    <d v="2025-04-30T00:00:00"/>
    <x v="1"/>
    <x v="1"/>
    <x v="1"/>
    <x v="1"/>
    <x v="1"/>
    <x v="1"/>
    <x v="0"/>
    <x v="0"/>
    <x v="0"/>
    <x v="0"/>
    <x v="0"/>
    <x v="0"/>
    <m/>
    <x v="248"/>
  </r>
  <r>
    <s v="USR-101360"/>
    <d v="2025-01-07T00:00:00"/>
    <x v="1"/>
    <x v="3"/>
    <x v="1"/>
    <x v="4"/>
    <x v="0"/>
    <x v="0"/>
    <x v="0"/>
    <x v="0"/>
    <x v="0"/>
    <x v="0"/>
    <x v="0"/>
    <x v="0"/>
    <m/>
    <x v="17"/>
  </r>
  <r>
    <s v="USR-101361"/>
    <d v="2025-04-30T00:00:00"/>
    <x v="1"/>
    <x v="0"/>
    <x v="1"/>
    <x v="4"/>
    <x v="0"/>
    <x v="1"/>
    <x v="0"/>
    <x v="0"/>
    <x v="0"/>
    <x v="0"/>
    <x v="0"/>
    <x v="0"/>
    <m/>
    <x v="336"/>
  </r>
  <r>
    <s v="USR-101362"/>
    <d v="2025-05-23T00:00:00"/>
    <x v="1"/>
    <x v="2"/>
    <x v="1"/>
    <x v="1"/>
    <x v="0"/>
    <x v="1"/>
    <x v="0"/>
    <x v="0"/>
    <x v="0"/>
    <x v="0"/>
    <x v="0"/>
    <x v="0"/>
    <m/>
    <x v="520"/>
  </r>
  <r>
    <s v="USR-101363"/>
    <d v="2025-03-12T00:00:00"/>
    <x v="1"/>
    <x v="3"/>
    <x v="1"/>
    <x v="2"/>
    <x v="2"/>
    <x v="1"/>
    <x v="1"/>
    <x v="1"/>
    <x v="0"/>
    <x v="0"/>
    <x v="0"/>
    <x v="0"/>
    <m/>
    <x v="521"/>
  </r>
  <r>
    <s v="USR-101364"/>
    <d v="2025-02-17T00:00:00"/>
    <x v="1"/>
    <x v="0"/>
    <x v="1"/>
    <x v="1"/>
    <x v="2"/>
    <x v="1"/>
    <x v="0"/>
    <x v="0"/>
    <x v="0"/>
    <x v="0"/>
    <x v="0"/>
    <x v="0"/>
    <m/>
    <x v="361"/>
  </r>
  <r>
    <s v="USR-101365"/>
    <d v="2025-05-27T00:00:00"/>
    <x v="1"/>
    <x v="0"/>
    <x v="0"/>
    <x v="1"/>
    <x v="0"/>
    <x v="0"/>
    <x v="0"/>
    <x v="0"/>
    <x v="0"/>
    <x v="0"/>
    <x v="0"/>
    <x v="0"/>
    <m/>
    <x v="422"/>
  </r>
  <r>
    <s v="USR-101366"/>
    <d v="2025-05-10T00:00:00"/>
    <x v="1"/>
    <x v="3"/>
    <x v="1"/>
    <x v="4"/>
    <x v="2"/>
    <x v="1"/>
    <x v="0"/>
    <x v="0"/>
    <x v="0"/>
    <x v="0"/>
    <x v="2"/>
    <x v="0"/>
    <m/>
    <x v="209"/>
  </r>
  <r>
    <s v="USR-101367"/>
    <d v="2025-01-20T00:00:00"/>
    <x v="1"/>
    <x v="0"/>
    <x v="1"/>
    <x v="1"/>
    <x v="0"/>
    <x v="1"/>
    <x v="1"/>
    <x v="0"/>
    <x v="0"/>
    <x v="0"/>
    <x v="2"/>
    <x v="0"/>
    <m/>
    <x v="68"/>
  </r>
  <r>
    <s v="USR-101368"/>
    <d v="2025-01-19T00:00:00"/>
    <x v="1"/>
    <x v="2"/>
    <x v="1"/>
    <x v="3"/>
    <x v="1"/>
    <x v="1"/>
    <x v="0"/>
    <x v="0"/>
    <x v="0"/>
    <x v="0"/>
    <x v="0"/>
    <x v="0"/>
    <m/>
    <x v="255"/>
  </r>
  <r>
    <s v="USR-101369"/>
    <d v="2025-03-07T00:00:00"/>
    <x v="1"/>
    <x v="1"/>
    <x v="0"/>
    <x v="2"/>
    <x v="0"/>
    <x v="1"/>
    <x v="1"/>
    <x v="0"/>
    <x v="0"/>
    <x v="0"/>
    <x v="0"/>
    <x v="0"/>
    <m/>
    <x v="20"/>
  </r>
  <r>
    <s v="USR-101370"/>
    <d v="2025-02-02T00:00:00"/>
    <x v="1"/>
    <x v="2"/>
    <x v="1"/>
    <x v="1"/>
    <x v="1"/>
    <x v="0"/>
    <x v="0"/>
    <x v="0"/>
    <x v="0"/>
    <x v="0"/>
    <x v="1"/>
    <x v="0"/>
    <m/>
    <x v="76"/>
  </r>
  <r>
    <s v="USR-101371"/>
    <d v="2025-03-07T00:00:00"/>
    <x v="1"/>
    <x v="0"/>
    <x v="1"/>
    <x v="1"/>
    <x v="1"/>
    <x v="0"/>
    <x v="0"/>
    <x v="0"/>
    <x v="0"/>
    <x v="0"/>
    <x v="1"/>
    <x v="0"/>
    <m/>
    <x v="522"/>
  </r>
  <r>
    <s v="USR-101372"/>
    <d v="2025-03-30T00:00:00"/>
    <x v="1"/>
    <x v="2"/>
    <x v="0"/>
    <x v="1"/>
    <x v="1"/>
    <x v="1"/>
    <x v="1"/>
    <x v="1"/>
    <x v="0"/>
    <x v="0"/>
    <x v="0"/>
    <x v="0"/>
    <m/>
    <x v="124"/>
  </r>
  <r>
    <s v="USR-101373"/>
    <d v="2025-05-05T00:00:00"/>
    <x v="1"/>
    <x v="2"/>
    <x v="0"/>
    <x v="2"/>
    <x v="1"/>
    <x v="1"/>
    <x v="1"/>
    <x v="1"/>
    <x v="0"/>
    <x v="0"/>
    <x v="0"/>
    <x v="0"/>
    <m/>
    <x v="115"/>
  </r>
  <r>
    <s v="USR-101374"/>
    <d v="2025-04-11T00:00:00"/>
    <x v="1"/>
    <x v="3"/>
    <x v="1"/>
    <x v="4"/>
    <x v="1"/>
    <x v="1"/>
    <x v="0"/>
    <x v="0"/>
    <x v="0"/>
    <x v="0"/>
    <x v="0"/>
    <x v="0"/>
    <m/>
    <x v="523"/>
  </r>
  <r>
    <s v="USR-101375"/>
    <d v="2025-03-25T00:00:00"/>
    <x v="1"/>
    <x v="1"/>
    <x v="0"/>
    <x v="0"/>
    <x v="2"/>
    <x v="1"/>
    <x v="0"/>
    <x v="0"/>
    <x v="0"/>
    <x v="0"/>
    <x v="0"/>
    <x v="0"/>
    <m/>
    <x v="236"/>
  </r>
  <r>
    <s v="USR-101376"/>
    <d v="2025-03-24T00:00:00"/>
    <x v="1"/>
    <x v="0"/>
    <x v="1"/>
    <x v="1"/>
    <x v="2"/>
    <x v="1"/>
    <x v="0"/>
    <x v="0"/>
    <x v="0"/>
    <x v="0"/>
    <x v="0"/>
    <x v="0"/>
    <m/>
    <x v="206"/>
  </r>
  <r>
    <s v="USR-101377"/>
    <d v="2025-04-27T00:00:00"/>
    <x v="1"/>
    <x v="2"/>
    <x v="1"/>
    <x v="1"/>
    <x v="0"/>
    <x v="0"/>
    <x v="0"/>
    <x v="0"/>
    <x v="0"/>
    <x v="0"/>
    <x v="0"/>
    <x v="0"/>
    <m/>
    <x v="159"/>
  </r>
  <r>
    <s v="USR-101378"/>
    <d v="2025-01-25T00:00:00"/>
    <x v="1"/>
    <x v="0"/>
    <x v="0"/>
    <x v="2"/>
    <x v="1"/>
    <x v="1"/>
    <x v="0"/>
    <x v="0"/>
    <x v="0"/>
    <x v="0"/>
    <x v="0"/>
    <x v="0"/>
    <m/>
    <x v="524"/>
  </r>
  <r>
    <s v="USR-101379"/>
    <d v="2025-02-17T00:00:00"/>
    <x v="1"/>
    <x v="0"/>
    <x v="2"/>
    <x v="4"/>
    <x v="0"/>
    <x v="1"/>
    <x v="1"/>
    <x v="1"/>
    <x v="1"/>
    <x v="71"/>
    <x v="0"/>
    <x v="0"/>
    <n v="9"/>
    <x v="525"/>
  </r>
  <r>
    <s v="USR-101380"/>
    <d v="2025-04-13T00:00:00"/>
    <x v="1"/>
    <x v="3"/>
    <x v="0"/>
    <x v="1"/>
    <x v="1"/>
    <x v="1"/>
    <x v="0"/>
    <x v="0"/>
    <x v="0"/>
    <x v="0"/>
    <x v="0"/>
    <x v="0"/>
    <m/>
    <x v="411"/>
  </r>
  <r>
    <s v="USR-101381"/>
    <d v="2025-05-03T00:00:00"/>
    <x v="1"/>
    <x v="1"/>
    <x v="0"/>
    <x v="2"/>
    <x v="2"/>
    <x v="1"/>
    <x v="0"/>
    <x v="0"/>
    <x v="0"/>
    <x v="0"/>
    <x v="0"/>
    <x v="0"/>
    <m/>
    <x v="498"/>
  </r>
  <r>
    <s v="USR-101382"/>
    <d v="2025-04-29T00:00:00"/>
    <x v="1"/>
    <x v="1"/>
    <x v="1"/>
    <x v="0"/>
    <x v="1"/>
    <x v="1"/>
    <x v="0"/>
    <x v="0"/>
    <x v="0"/>
    <x v="0"/>
    <x v="0"/>
    <x v="0"/>
    <m/>
    <x v="161"/>
  </r>
  <r>
    <s v="USR-101383"/>
    <d v="2025-05-03T00:00:00"/>
    <x v="1"/>
    <x v="2"/>
    <x v="0"/>
    <x v="2"/>
    <x v="1"/>
    <x v="1"/>
    <x v="0"/>
    <x v="0"/>
    <x v="0"/>
    <x v="0"/>
    <x v="0"/>
    <x v="0"/>
    <m/>
    <x v="361"/>
  </r>
  <r>
    <s v="USR-101384"/>
    <d v="2025-04-28T00:00:00"/>
    <x v="1"/>
    <x v="1"/>
    <x v="1"/>
    <x v="2"/>
    <x v="1"/>
    <x v="0"/>
    <x v="0"/>
    <x v="0"/>
    <x v="0"/>
    <x v="0"/>
    <x v="0"/>
    <x v="0"/>
    <m/>
    <x v="287"/>
  </r>
  <r>
    <s v="USR-101385"/>
    <d v="2025-01-21T00:00:00"/>
    <x v="1"/>
    <x v="1"/>
    <x v="1"/>
    <x v="1"/>
    <x v="1"/>
    <x v="1"/>
    <x v="0"/>
    <x v="0"/>
    <x v="0"/>
    <x v="0"/>
    <x v="2"/>
    <x v="0"/>
    <m/>
    <x v="26"/>
  </r>
  <r>
    <s v="USR-101386"/>
    <d v="2025-01-21T00:00:00"/>
    <x v="1"/>
    <x v="0"/>
    <x v="2"/>
    <x v="2"/>
    <x v="0"/>
    <x v="0"/>
    <x v="0"/>
    <x v="0"/>
    <x v="0"/>
    <x v="0"/>
    <x v="1"/>
    <x v="0"/>
    <m/>
    <x v="118"/>
  </r>
  <r>
    <s v="USR-101387"/>
    <d v="2025-05-21T00:00:00"/>
    <x v="1"/>
    <x v="1"/>
    <x v="0"/>
    <x v="2"/>
    <x v="1"/>
    <x v="1"/>
    <x v="0"/>
    <x v="0"/>
    <x v="0"/>
    <x v="0"/>
    <x v="2"/>
    <x v="0"/>
    <m/>
    <x v="51"/>
  </r>
  <r>
    <s v="USR-101388"/>
    <d v="2025-01-05T00:00:00"/>
    <x v="1"/>
    <x v="0"/>
    <x v="1"/>
    <x v="3"/>
    <x v="1"/>
    <x v="0"/>
    <x v="0"/>
    <x v="0"/>
    <x v="0"/>
    <x v="0"/>
    <x v="0"/>
    <x v="0"/>
    <m/>
    <x v="147"/>
  </r>
  <r>
    <s v="USR-101389"/>
    <d v="2025-03-06T00:00:00"/>
    <x v="1"/>
    <x v="3"/>
    <x v="0"/>
    <x v="1"/>
    <x v="1"/>
    <x v="1"/>
    <x v="0"/>
    <x v="0"/>
    <x v="0"/>
    <x v="0"/>
    <x v="0"/>
    <x v="0"/>
    <m/>
    <x v="234"/>
  </r>
  <r>
    <s v="USR-101390"/>
    <d v="2025-04-18T00:00:00"/>
    <x v="1"/>
    <x v="0"/>
    <x v="1"/>
    <x v="2"/>
    <x v="1"/>
    <x v="1"/>
    <x v="0"/>
    <x v="0"/>
    <x v="0"/>
    <x v="0"/>
    <x v="3"/>
    <x v="0"/>
    <m/>
    <x v="126"/>
  </r>
  <r>
    <s v="USR-101391"/>
    <d v="2025-04-15T00:00:00"/>
    <x v="1"/>
    <x v="1"/>
    <x v="1"/>
    <x v="1"/>
    <x v="0"/>
    <x v="1"/>
    <x v="1"/>
    <x v="1"/>
    <x v="0"/>
    <x v="0"/>
    <x v="0"/>
    <x v="0"/>
    <m/>
    <x v="526"/>
  </r>
  <r>
    <s v="USR-101392"/>
    <d v="2025-02-10T00:00:00"/>
    <x v="1"/>
    <x v="2"/>
    <x v="1"/>
    <x v="2"/>
    <x v="1"/>
    <x v="1"/>
    <x v="0"/>
    <x v="0"/>
    <x v="0"/>
    <x v="0"/>
    <x v="0"/>
    <x v="0"/>
    <m/>
    <x v="517"/>
  </r>
  <r>
    <s v="USR-101393"/>
    <d v="2025-05-08T00:00:00"/>
    <x v="1"/>
    <x v="2"/>
    <x v="1"/>
    <x v="1"/>
    <x v="1"/>
    <x v="1"/>
    <x v="0"/>
    <x v="0"/>
    <x v="0"/>
    <x v="0"/>
    <x v="0"/>
    <x v="0"/>
    <m/>
    <x v="22"/>
  </r>
  <r>
    <s v="USR-101394"/>
    <d v="2025-05-28T00:00:00"/>
    <x v="1"/>
    <x v="2"/>
    <x v="2"/>
    <x v="1"/>
    <x v="1"/>
    <x v="1"/>
    <x v="0"/>
    <x v="0"/>
    <x v="0"/>
    <x v="0"/>
    <x v="0"/>
    <x v="0"/>
    <m/>
    <x v="182"/>
  </r>
  <r>
    <s v="USR-101395"/>
    <d v="2025-04-25T00:00:00"/>
    <x v="1"/>
    <x v="0"/>
    <x v="2"/>
    <x v="3"/>
    <x v="2"/>
    <x v="1"/>
    <x v="1"/>
    <x v="1"/>
    <x v="0"/>
    <x v="0"/>
    <x v="1"/>
    <x v="0"/>
    <m/>
    <x v="183"/>
  </r>
  <r>
    <s v="USR-101396"/>
    <d v="2025-02-11T00:00:00"/>
    <x v="1"/>
    <x v="3"/>
    <x v="1"/>
    <x v="5"/>
    <x v="2"/>
    <x v="1"/>
    <x v="1"/>
    <x v="1"/>
    <x v="1"/>
    <x v="72"/>
    <x v="0"/>
    <x v="0"/>
    <n v="6"/>
    <x v="527"/>
  </r>
  <r>
    <s v="USR-101397"/>
    <d v="2025-04-14T00:00:00"/>
    <x v="1"/>
    <x v="1"/>
    <x v="1"/>
    <x v="1"/>
    <x v="1"/>
    <x v="1"/>
    <x v="0"/>
    <x v="0"/>
    <x v="0"/>
    <x v="0"/>
    <x v="0"/>
    <x v="0"/>
    <m/>
    <x v="12"/>
  </r>
  <r>
    <s v="USR-101398"/>
    <d v="2025-02-04T00:00:00"/>
    <x v="1"/>
    <x v="1"/>
    <x v="2"/>
    <x v="1"/>
    <x v="2"/>
    <x v="0"/>
    <x v="0"/>
    <x v="0"/>
    <x v="0"/>
    <x v="0"/>
    <x v="0"/>
    <x v="0"/>
    <m/>
    <x v="400"/>
  </r>
  <r>
    <s v="USR-101399"/>
    <d v="2025-03-22T00:00:00"/>
    <x v="1"/>
    <x v="2"/>
    <x v="1"/>
    <x v="3"/>
    <x v="1"/>
    <x v="1"/>
    <x v="0"/>
    <x v="0"/>
    <x v="0"/>
    <x v="0"/>
    <x v="0"/>
    <x v="0"/>
    <m/>
    <x v="146"/>
  </r>
  <r>
    <s v="USR-101400"/>
    <d v="2025-04-18T00:00:00"/>
    <x v="1"/>
    <x v="2"/>
    <x v="0"/>
    <x v="4"/>
    <x v="1"/>
    <x v="0"/>
    <x v="0"/>
    <x v="0"/>
    <x v="0"/>
    <x v="0"/>
    <x v="0"/>
    <x v="0"/>
    <m/>
    <x v="13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
  <r>
    <s v="USR-100001"/>
    <d v="2025-03-16T00:00:00"/>
    <x v="0"/>
    <s v="North"/>
    <x v="0"/>
    <x v="0"/>
    <x v="0"/>
    <x v="0"/>
    <n v="0"/>
    <n v="0"/>
    <n v="0"/>
    <n v="0"/>
    <n v="0"/>
    <n v="0"/>
    <m/>
    <n v="45.7"/>
  </r>
  <r>
    <s v="USR-100002"/>
    <d v="2025-03-08T00:00:00"/>
    <x v="0"/>
    <s v="West"/>
    <x v="1"/>
    <x v="1"/>
    <x v="1"/>
    <x v="1"/>
    <n v="0"/>
    <n v="0"/>
    <n v="0"/>
    <n v="0"/>
    <n v="0"/>
    <n v="0"/>
    <m/>
    <n v="48.6"/>
  </r>
  <r>
    <s v="USR-100003"/>
    <d v="2025-04-24T00:00:00"/>
    <x v="0"/>
    <s v="East"/>
    <x v="1"/>
    <x v="2"/>
    <x v="2"/>
    <x v="1"/>
    <n v="0"/>
    <n v="0"/>
    <n v="0"/>
    <n v="0"/>
    <n v="1"/>
    <n v="0"/>
    <m/>
    <n v="35.4"/>
  </r>
  <r>
    <s v="USR-100004"/>
    <d v="2025-05-04T00:00:00"/>
    <x v="0"/>
    <s v="South"/>
    <x v="1"/>
    <x v="0"/>
    <x v="0"/>
    <x v="1"/>
    <n v="0"/>
    <n v="0"/>
    <n v="0"/>
    <n v="0"/>
    <n v="0"/>
    <n v="0"/>
    <m/>
    <n v="64.599999999999994"/>
  </r>
  <r>
    <s v="USR-100005"/>
    <d v="2025-02-12T00:00:00"/>
    <x v="0"/>
    <s v="North"/>
    <x v="2"/>
    <x v="1"/>
    <x v="1"/>
    <x v="0"/>
    <n v="0"/>
    <n v="0"/>
    <n v="0"/>
    <n v="0"/>
    <n v="0"/>
    <n v="0"/>
    <m/>
    <n v="66.599999999999994"/>
  </r>
  <r>
    <s v="USR-100006"/>
    <d v="2025-01-28T00:00:00"/>
    <x v="0"/>
    <s v="East"/>
    <x v="1"/>
    <x v="1"/>
    <x v="2"/>
    <x v="1"/>
    <n v="0"/>
    <n v="0"/>
    <n v="0"/>
    <n v="0"/>
    <n v="0"/>
    <n v="0"/>
    <m/>
    <n v="40.799999999999997"/>
  </r>
  <r>
    <s v="USR-100007"/>
    <d v="2025-04-08T00:00:00"/>
    <x v="0"/>
    <s v="East"/>
    <x v="1"/>
    <x v="2"/>
    <x v="0"/>
    <x v="1"/>
    <n v="1"/>
    <n v="0"/>
    <n v="0"/>
    <n v="0"/>
    <n v="0"/>
    <n v="0"/>
    <m/>
    <n v="57.1"/>
  </r>
  <r>
    <s v="USR-100008"/>
    <d v="2025-05-17T00:00:00"/>
    <x v="0"/>
    <s v="South"/>
    <x v="1"/>
    <x v="2"/>
    <x v="1"/>
    <x v="0"/>
    <n v="0"/>
    <n v="0"/>
    <n v="0"/>
    <n v="0"/>
    <n v="0"/>
    <n v="0"/>
    <m/>
    <n v="36.4"/>
  </r>
  <r>
    <s v="USR-100009"/>
    <d v="2025-02-23T00:00:00"/>
    <x v="0"/>
    <s v="South"/>
    <x v="2"/>
    <x v="3"/>
    <x v="0"/>
    <x v="0"/>
    <n v="0"/>
    <n v="0"/>
    <n v="0"/>
    <n v="0"/>
    <n v="0"/>
    <n v="0"/>
    <m/>
    <n v="55.4"/>
  </r>
  <r>
    <s v="USR-100010"/>
    <d v="2025-05-29T00:00:00"/>
    <x v="0"/>
    <s v="West"/>
    <x v="0"/>
    <x v="4"/>
    <x v="1"/>
    <x v="1"/>
    <n v="0"/>
    <n v="0"/>
    <n v="0"/>
    <n v="0"/>
    <n v="0"/>
    <n v="0"/>
    <m/>
    <n v="57.3"/>
  </r>
  <r>
    <s v="USR-100011"/>
    <d v="2025-04-30T00:00:00"/>
    <x v="0"/>
    <s v="East"/>
    <x v="1"/>
    <x v="2"/>
    <x v="0"/>
    <x v="1"/>
    <n v="1"/>
    <n v="1"/>
    <n v="0"/>
    <n v="0"/>
    <n v="0"/>
    <n v="0"/>
    <m/>
    <n v="63.6"/>
  </r>
  <r>
    <s v="USR-100012"/>
    <d v="2025-03-16T00:00:00"/>
    <x v="0"/>
    <s v="East"/>
    <x v="1"/>
    <x v="4"/>
    <x v="2"/>
    <x v="1"/>
    <n v="1"/>
    <n v="1"/>
    <n v="0"/>
    <n v="0"/>
    <n v="1"/>
    <n v="0"/>
    <m/>
    <n v="80.400000000000006"/>
  </r>
  <r>
    <s v="USR-100013"/>
    <d v="2025-02-07T00:00:00"/>
    <x v="0"/>
    <s v="South"/>
    <x v="0"/>
    <x v="0"/>
    <x v="0"/>
    <x v="1"/>
    <n v="0"/>
    <n v="0"/>
    <n v="0"/>
    <n v="0"/>
    <n v="0"/>
    <n v="0"/>
    <m/>
    <n v="62.4"/>
  </r>
  <r>
    <s v="USR-100014"/>
    <d v="2025-03-02T00:00:00"/>
    <x v="0"/>
    <s v="West"/>
    <x v="1"/>
    <x v="4"/>
    <x v="0"/>
    <x v="1"/>
    <n v="0"/>
    <n v="0"/>
    <n v="0"/>
    <n v="0"/>
    <n v="0"/>
    <n v="0"/>
    <m/>
    <n v="82.4"/>
  </r>
  <r>
    <s v="USR-100015"/>
    <d v="2025-05-30T00:00:00"/>
    <x v="0"/>
    <s v="South"/>
    <x v="1"/>
    <x v="1"/>
    <x v="0"/>
    <x v="0"/>
    <n v="0"/>
    <n v="0"/>
    <n v="0"/>
    <n v="0"/>
    <n v="0"/>
    <n v="0"/>
    <m/>
    <n v="61.2"/>
  </r>
  <r>
    <s v="USR-100016"/>
    <d v="2025-03-25T00:00:00"/>
    <x v="0"/>
    <s v="South"/>
    <x v="1"/>
    <x v="4"/>
    <x v="0"/>
    <x v="1"/>
    <n v="0"/>
    <n v="0"/>
    <n v="0"/>
    <n v="0"/>
    <n v="0"/>
    <n v="0"/>
    <m/>
    <n v="68.900000000000006"/>
  </r>
  <r>
    <s v="USR-100017"/>
    <d v="2025-03-27T00:00:00"/>
    <x v="0"/>
    <s v="East"/>
    <x v="0"/>
    <x v="2"/>
    <x v="1"/>
    <x v="1"/>
    <n v="1"/>
    <n v="1"/>
    <n v="0"/>
    <n v="0"/>
    <n v="0"/>
    <n v="0"/>
    <m/>
    <n v="71.900000000000006"/>
  </r>
  <r>
    <s v="USR-100018"/>
    <d v="2025-05-28T00:00:00"/>
    <x v="0"/>
    <s v="South"/>
    <x v="0"/>
    <x v="2"/>
    <x v="1"/>
    <x v="0"/>
    <n v="0"/>
    <n v="0"/>
    <n v="0"/>
    <n v="0"/>
    <n v="0"/>
    <n v="0"/>
    <m/>
    <n v="50.5"/>
  </r>
  <r>
    <s v="USR-100019"/>
    <d v="2025-02-15T00:00:00"/>
    <x v="0"/>
    <s v="North"/>
    <x v="0"/>
    <x v="2"/>
    <x v="0"/>
    <x v="0"/>
    <n v="0"/>
    <n v="0"/>
    <n v="0"/>
    <n v="0"/>
    <n v="0"/>
    <n v="0"/>
    <m/>
    <n v="49.3"/>
  </r>
  <r>
    <s v="USR-100020"/>
    <d v="2025-05-05T00:00:00"/>
    <x v="0"/>
    <s v="West"/>
    <x v="0"/>
    <x v="1"/>
    <x v="0"/>
    <x v="0"/>
    <n v="0"/>
    <n v="0"/>
    <n v="0"/>
    <n v="0"/>
    <n v="2"/>
    <n v="0"/>
    <m/>
    <n v="60.9"/>
  </r>
  <r>
    <s v="USR-100021"/>
    <d v="2025-04-13T00:00:00"/>
    <x v="0"/>
    <s v="East"/>
    <x v="1"/>
    <x v="4"/>
    <x v="1"/>
    <x v="1"/>
    <n v="0"/>
    <n v="0"/>
    <n v="0"/>
    <n v="0"/>
    <n v="0"/>
    <n v="0"/>
    <m/>
    <n v="62.7"/>
  </r>
  <r>
    <s v="USR-100022"/>
    <d v="2025-05-07T00:00:00"/>
    <x v="0"/>
    <s v="North"/>
    <x v="0"/>
    <x v="2"/>
    <x v="1"/>
    <x v="0"/>
    <n v="0"/>
    <n v="0"/>
    <n v="0"/>
    <n v="0"/>
    <n v="0"/>
    <n v="0"/>
    <m/>
    <n v="52.7"/>
  </r>
  <r>
    <s v="USR-100023"/>
    <d v="2025-05-25T00:00:00"/>
    <x v="0"/>
    <s v="North"/>
    <x v="0"/>
    <x v="1"/>
    <x v="1"/>
    <x v="0"/>
    <n v="0"/>
    <n v="0"/>
    <n v="0"/>
    <n v="0"/>
    <n v="0"/>
    <n v="0"/>
    <m/>
    <n v="54"/>
  </r>
  <r>
    <s v="USR-100024"/>
    <d v="2025-04-01T00:00:00"/>
    <x v="0"/>
    <s v="East"/>
    <x v="1"/>
    <x v="2"/>
    <x v="2"/>
    <x v="1"/>
    <n v="1"/>
    <n v="0"/>
    <n v="0"/>
    <n v="0"/>
    <n v="0"/>
    <n v="0"/>
    <m/>
    <n v="51.6"/>
  </r>
  <r>
    <s v="USR-100025"/>
    <d v="2025-02-22T00:00:00"/>
    <x v="0"/>
    <s v="North"/>
    <x v="1"/>
    <x v="2"/>
    <x v="2"/>
    <x v="0"/>
    <n v="0"/>
    <n v="0"/>
    <n v="0"/>
    <n v="0"/>
    <n v="2"/>
    <n v="0"/>
    <m/>
    <n v="66.900000000000006"/>
  </r>
  <r>
    <s v="USR-100026"/>
    <d v="2025-03-24T00:00:00"/>
    <x v="0"/>
    <s v="East"/>
    <x v="1"/>
    <x v="1"/>
    <x v="0"/>
    <x v="0"/>
    <n v="0"/>
    <n v="0"/>
    <n v="0"/>
    <n v="0"/>
    <n v="0"/>
    <n v="0"/>
    <m/>
    <n v="67.400000000000006"/>
  </r>
  <r>
    <s v="USR-100027"/>
    <d v="2025-02-13T00:00:00"/>
    <x v="0"/>
    <s v="North"/>
    <x v="1"/>
    <x v="1"/>
    <x v="1"/>
    <x v="0"/>
    <n v="0"/>
    <n v="0"/>
    <n v="0"/>
    <n v="0"/>
    <n v="0"/>
    <n v="0"/>
    <m/>
    <n v="58.8"/>
  </r>
  <r>
    <s v="USR-100028"/>
    <d v="2025-05-30T00:00:00"/>
    <x v="0"/>
    <s v="South"/>
    <x v="1"/>
    <x v="1"/>
    <x v="1"/>
    <x v="1"/>
    <n v="0"/>
    <n v="0"/>
    <n v="0"/>
    <n v="0"/>
    <n v="0"/>
    <n v="0"/>
    <m/>
    <n v="73.8"/>
  </r>
  <r>
    <s v="USR-100029"/>
    <d v="2025-01-20T00:00:00"/>
    <x v="0"/>
    <s v="East"/>
    <x v="2"/>
    <x v="1"/>
    <x v="0"/>
    <x v="0"/>
    <n v="0"/>
    <n v="0"/>
    <n v="0"/>
    <n v="0"/>
    <n v="0"/>
    <n v="0"/>
    <m/>
    <n v="60.1"/>
  </r>
  <r>
    <s v="USR-100030"/>
    <d v="2025-05-19T00:00:00"/>
    <x v="0"/>
    <s v="East"/>
    <x v="1"/>
    <x v="4"/>
    <x v="0"/>
    <x v="1"/>
    <n v="1"/>
    <n v="1"/>
    <n v="0"/>
    <n v="0"/>
    <n v="0"/>
    <n v="0"/>
    <m/>
    <n v="41"/>
  </r>
  <r>
    <s v="USR-100031"/>
    <d v="2025-02-18T00:00:00"/>
    <x v="0"/>
    <s v="South"/>
    <x v="1"/>
    <x v="1"/>
    <x v="0"/>
    <x v="1"/>
    <n v="0"/>
    <n v="0"/>
    <n v="0"/>
    <n v="0"/>
    <n v="0"/>
    <n v="0"/>
    <m/>
    <n v="80.3"/>
  </r>
  <r>
    <s v="USR-100032"/>
    <d v="2025-02-13T00:00:00"/>
    <x v="0"/>
    <s v="East"/>
    <x v="1"/>
    <x v="1"/>
    <x v="1"/>
    <x v="0"/>
    <n v="0"/>
    <n v="0"/>
    <n v="0"/>
    <n v="0"/>
    <n v="0"/>
    <n v="0"/>
    <m/>
    <n v="67.599999999999994"/>
  </r>
  <r>
    <s v="USR-100033"/>
    <d v="2025-03-08T00:00:00"/>
    <x v="0"/>
    <s v="East"/>
    <x v="0"/>
    <x v="3"/>
    <x v="2"/>
    <x v="0"/>
    <n v="0"/>
    <n v="0"/>
    <n v="0"/>
    <n v="0"/>
    <n v="0"/>
    <n v="0"/>
    <m/>
    <n v="64"/>
  </r>
  <r>
    <s v="USR-100034"/>
    <d v="2025-01-11T00:00:00"/>
    <x v="0"/>
    <s v="North"/>
    <x v="1"/>
    <x v="2"/>
    <x v="1"/>
    <x v="1"/>
    <n v="1"/>
    <n v="0"/>
    <n v="0"/>
    <n v="0"/>
    <n v="0"/>
    <n v="0"/>
    <m/>
    <n v="27.2"/>
  </r>
  <r>
    <s v="USR-100035"/>
    <d v="2025-02-12T00:00:00"/>
    <x v="0"/>
    <s v="North"/>
    <x v="0"/>
    <x v="1"/>
    <x v="1"/>
    <x v="1"/>
    <n v="0"/>
    <n v="0"/>
    <n v="0"/>
    <n v="0"/>
    <n v="0"/>
    <n v="0"/>
    <m/>
    <n v="85.4"/>
  </r>
  <r>
    <s v="USR-100036"/>
    <d v="2025-04-13T00:00:00"/>
    <x v="0"/>
    <s v="East"/>
    <x v="0"/>
    <x v="1"/>
    <x v="0"/>
    <x v="1"/>
    <n v="0"/>
    <n v="0"/>
    <n v="0"/>
    <n v="0"/>
    <n v="0"/>
    <n v="0"/>
    <m/>
    <n v="75.900000000000006"/>
  </r>
  <r>
    <s v="USR-100037"/>
    <d v="2025-05-09T00:00:00"/>
    <x v="0"/>
    <s v="East"/>
    <x v="1"/>
    <x v="1"/>
    <x v="2"/>
    <x v="1"/>
    <n v="0"/>
    <n v="0"/>
    <n v="0"/>
    <n v="0"/>
    <n v="1"/>
    <n v="0"/>
    <m/>
    <n v="34.799999999999997"/>
  </r>
  <r>
    <s v="USR-100038"/>
    <d v="2025-01-20T00:00:00"/>
    <x v="0"/>
    <s v="East"/>
    <x v="1"/>
    <x v="1"/>
    <x v="1"/>
    <x v="1"/>
    <n v="1"/>
    <n v="1"/>
    <n v="0"/>
    <n v="0"/>
    <n v="3"/>
    <n v="0"/>
    <m/>
    <n v="48.9"/>
  </r>
  <r>
    <s v="USR-100039"/>
    <d v="2025-05-13T00:00:00"/>
    <x v="0"/>
    <s v="East"/>
    <x v="1"/>
    <x v="0"/>
    <x v="2"/>
    <x v="1"/>
    <n v="0"/>
    <n v="0"/>
    <n v="0"/>
    <n v="0"/>
    <n v="0"/>
    <n v="0"/>
    <m/>
    <n v="41.5"/>
  </r>
  <r>
    <s v="USR-100040"/>
    <d v="2025-04-07T00:00:00"/>
    <x v="0"/>
    <s v="North"/>
    <x v="0"/>
    <x v="1"/>
    <x v="0"/>
    <x v="1"/>
    <n v="0"/>
    <n v="0"/>
    <n v="0"/>
    <n v="0"/>
    <n v="0"/>
    <n v="0"/>
    <m/>
    <n v="51.5"/>
  </r>
  <r>
    <s v="USR-100041"/>
    <d v="2025-03-31T00:00:00"/>
    <x v="0"/>
    <s v="North"/>
    <x v="0"/>
    <x v="1"/>
    <x v="1"/>
    <x v="0"/>
    <n v="0"/>
    <n v="0"/>
    <n v="0"/>
    <n v="0"/>
    <n v="0"/>
    <n v="0"/>
    <m/>
    <n v="53.2"/>
  </r>
  <r>
    <s v="USR-100042"/>
    <d v="2025-01-25T00:00:00"/>
    <x v="0"/>
    <s v="East"/>
    <x v="1"/>
    <x v="0"/>
    <x v="2"/>
    <x v="0"/>
    <n v="0"/>
    <n v="0"/>
    <n v="0"/>
    <n v="0"/>
    <n v="0"/>
    <n v="0"/>
    <m/>
    <n v="55.6"/>
  </r>
  <r>
    <s v="USR-100043"/>
    <d v="2025-02-14T00:00:00"/>
    <x v="0"/>
    <s v="South"/>
    <x v="0"/>
    <x v="1"/>
    <x v="1"/>
    <x v="0"/>
    <n v="0"/>
    <n v="0"/>
    <n v="0"/>
    <n v="0"/>
    <n v="0"/>
    <n v="0"/>
    <m/>
    <n v="73"/>
  </r>
  <r>
    <s v="USR-100044"/>
    <d v="2025-02-27T00:00:00"/>
    <x v="0"/>
    <s v="East"/>
    <x v="1"/>
    <x v="0"/>
    <x v="1"/>
    <x v="1"/>
    <n v="0"/>
    <n v="0"/>
    <n v="0"/>
    <n v="0"/>
    <n v="0"/>
    <n v="0"/>
    <m/>
    <n v="65"/>
  </r>
  <r>
    <s v="USR-100045"/>
    <d v="2025-03-28T00:00:00"/>
    <x v="0"/>
    <s v="East"/>
    <x v="1"/>
    <x v="4"/>
    <x v="1"/>
    <x v="1"/>
    <n v="0"/>
    <n v="0"/>
    <n v="0"/>
    <n v="0"/>
    <n v="4"/>
    <n v="0"/>
    <m/>
    <n v="56.3"/>
  </r>
  <r>
    <s v="USR-100046"/>
    <d v="2025-05-25T00:00:00"/>
    <x v="0"/>
    <s v="East"/>
    <x v="1"/>
    <x v="3"/>
    <x v="2"/>
    <x v="1"/>
    <n v="0"/>
    <n v="0"/>
    <n v="0"/>
    <n v="0"/>
    <n v="0"/>
    <n v="0"/>
    <m/>
    <n v="62.4"/>
  </r>
  <r>
    <s v="USR-100047"/>
    <d v="2025-05-05T00:00:00"/>
    <x v="0"/>
    <s v="West"/>
    <x v="0"/>
    <x v="1"/>
    <x v="1"/>
    <x v="1"/>
    <n v="1"/>
    <n v="1"/>
    <n v="0"/>
    <n v="0"/>
    <n v="0"/>
    <n v="0"/>
    <m/>
    <n v="58.1"/>
  </r>
  <r>
    <s v="USR-100048"/>
    <d v="2025-05-16T00:00:00"/>
    <x v="0"/>
    <s v="North"/>
    <x v="1"/>
    <x v="1"/>
    <x v="1"/>
    <x v="1"/>
    <n v="1"/>
    <n v="1"/>
    <n v="0"/>
    <n v="0"/>
    <n v="0"/>
    <n v="0"/>
    <m/>
    <n v="80.8"/>
  </r>
  <r>
    <s v="USR-100049"/>
    <d v="2025-01-08T00:00:00"/>
    <x v="0"/>
    <s v="North"/>
    <x v="1"/>
    <x v="4"/>
    <x v="1"/>
    <x v="1"/>
    <n v="1"/>
    <n v="0"/>
    <n v="0"/>
    <n v="0"/>
    <n v="0"/>
    <n v="0"/>
    <m/>
    <n v="42.9"/>
  </r>
  <r>
    <s v="USR-100050"/>
    <d v="2025-01-06T00:00:00"/>
    <x v="0"/>
    <s v="West"/>
    <x v="0"/>
    <x v="2"/>
    <x v="1"/>
    <x v="1"/>
    <n v="0"/>
    <n v="0"/>
    <n v="0"/>
    <n v="0"/>
    <n v="0"/>
    <n v="0"/>
    <m/>
    <n v="52.7"/>
  </r>
  <r>
    <s v="USR-100051"/>
    <d v="2025-01-12T00:00:00"/>
    <x v="0"/>
    <s v="North"/>
    <x v="1"/>
    <x v="4"/>
    <x v="0"/>
    <x v="0"/>
    <n v="0"/>
    <n v="0"/>
    <n v="0"/>
    <n v="0"/>
    <n v="0"/>
    <n v="0"/>
    <m/>
    <n v="46.9"/>
  </r>
  <r>
    <s v="USR-100052"/>
    <d v="2025-02-14T00:00:00"/>
    <x v="0"/>
    <s v="East"/>
    <x v="0"/>
    <x v="0"/>
    <x v="2"/>
    <x v="1"/>
    <n v="0"/>
    <n v="0"/>
    <n v="0"/>
    <n v="0"/>
    <n v="0"/>
    <n v="0"/>
    <m/>
    <n v="63"/>
  </r>
  <r>
    <s v="USR-100053"/>
    <d v="2025-03-10T00:00:00"/>
    <x v="0"/>
    <s v="South"/>
    <x v="2"/>
    <x v="1"/>
    <x v="1"/>
    <x v="0"/>
    <n v="0"/>
    <n v="0"/>
    <n v="0"/>
    <n v="0"/>
    <n v="0"/>
    <n v="0"/>
    <m/>
    <n v="53.6"/>
  </r>
  <r>
    <s v="USR-100054"/>
    <d v="2025-04-20T00:00:00"/>
    <x v="0"/>
    <s v="West"/>
    <x v="0"/>
    <x v="1"/>
    <x v="0"/>
    <x v="0"/>
    <n v="0"/>
    <n v="0"/>
    <n v="0"/>
    <n v="0"/>
    <n v="0"/>
    <n v="0"/>
    <m/>
    <n v="49.6"/>
  </r>
  <r>
    <s v="USR-100055"/>
    <d v="2025-02-19T00:00:00"/>
    <x v="0"/>
    <s v="South"/>
    <x v="1"/>
    <x v="1"/>
    <x v="1"/>
    <x v="0"/>
    <n v="0"/>
    <n v="0"/>
    <n v="0"/>
    <n v="0"/>
    <n v="0"/>
    <n v="0"/>
    <m/>
    <n v="54"/>
  </r>
  <r>
    <s v="USR-100056"/>
    <d v="2025-05-17T00:00:00"/>
    <x v="0"/>
    <s v="South"/>
    <x v="1"/>
    <x v="4"/>
    <x v="0"/>
    <x v="1"/>
    <n v="0"/>
    <n v="0"/>
    <n v="0"/>
    <n v="0"/>
    <n v="2"/>
    <n v="0"/>
    <m/>
    <n v="50"/>
  </r>
  <r>
    <s v="USR-100057"/>
    <d v="2025-04-01T00:00:00"/>
    <x v="0"/>
    <s v="East"/>
    <x v="1"/>
    <x v="4"/>
    <x v="0"/>
    <x v="0"/>
    <n v="0"/>
    <n v="0"/>
    <n v="0"/>
    <n v="0"/>
    <n v="0"/>
    <n v="0"/>
    <m/>
    <n v="48.1"/>
  </r>
  <r>
    <s v="USR-100058"/>
    <d v="2025-02-04T00:00:00"/>
    <x v="0"/>
    <s v="North"/>
    <x v="0"/>
    <x v="1"/>
    <x v="1"/>
    <x v="1"/>
    <n v="0"/>
    <n v="0"/>
    <n v="0"/>
    <n v="0"/>
    <n v="0"/>
    <n v="0"/>
    <m/>
    <n v="49.6"/>
  </r>
  <r>
    <s v="USR-100059"/>
    <d v="2025-04-14T00:00:00"/>
    <x v="0"/>
    <s v="North"/>
    <x v="1"/>
    <x v="4"/>
    <x v="1"/>
    <x v="0"/>
    <n v="0"/>
    <n v="0"/>
    <n v="0"/>
    <n v="0"/>
    <n v="2"/>
    <n v="0"/>
    <m/>
    <n v="48.9"/>
  </r>
  <r>
    <s v="USR-100060"/>
    <d v="2025-01-01T00:00:00"/>
    <x v="0"/>
    <s v="West"/>
    <x v="1"/>
    <x v="4"/>
    <x v="1"/>
    <x v="1"/>
    <n v="1"/>
    <n v="1"/>
    <n v="1"/>
    <n v="240.42"/>
    <n v="0"/>
    <n v="0"/>
    <n v="16"/>
    <n v="56.5"/>
  </r>
  <r>
    <s v="USR-100061"/>
    <d v="2025-04-02T00:00:00"/>
    <x v="0"/>
    <s v="South"/>
    <x v="1"/>
    <x v="3"/>
    <x v="1"/>
    <x v="1"/>
    <n v="0"/>
    <n v="0"/>
    <n v="0"/>
    <n v="0"/>
    <n v="0"/>
    <n v="0"/>
    <m/>
    <n v="53.7"/>
  </r>
  <r>
    <s v="USR-100062"/>
    <d v="2025-03-29T00:00:00"/>
    <x v="0"/>
    <s v="North"/>
    <x v="1"/>
    <x v="4"/>
    <x v="2"/>
    <x v="0"/>
    <n v="0"/>
    <n v="0"/>
    <n v="0"/>
    <n v="0"/>
    <n v="0"/>
    <n v="0"/>
    <m/>
    <n v="62.2"/>
  </r>
  <r>
    <s v="USR-100063"/>
    <d v="2025-05-15T00:00:00"/>
    <x v="0"/>
    <s v="South"/>
    <x v="0"/>
    <x v="1"/>
    <x v="1"/>
    <x v="1"/>
    <n v="0"/>
    <n v="0"/>
    <n v="0"/>
    <n v="0"/>
    <n v="0"/>
    <n v="0"/>
    <m/>
    <n v="50.2"/>
  </r>
  <r>
    <s v="USR-100064"/>
    <d v="2025-04-11T00:00:00"/>
    <x v="0"/>
    <s v="North"/>
    <x v="1"/>
    <x v="1"/>
    <x v="0"/>
    <x v="1"/>
    <n v="0"/>
    <n v="0"/>
    <n v="0"/>
    <n v="0"/>
    <n v="0"/>
    <n v="0"/>
    <m/>
    <n v="74.3"/>
  </r>
  <r>
    <s v="USR-100065"/>
    <d v="2025-03-07T00:00:00"/>
    <x v="0"/>
    <s v="South"/>
    <x v="0"/>
    <x v="2"/>
    <x v="1"/>
    <x v="1"/>
    <n v="0"/>
    <n v="0"/>
    <n v="0"/>
    <n v="0"/>
    <n v="0"/>
    <n v="0"/>
    <m/>
    <n v="58"/>
  </r>
  <r>
    <s v="USR-100066"/>
    <d v="2025-05-30T00:00:00"/>
    <x v="0"/>
    <s v="South"/>
    <x v="1"/>
    <x v="1"/>
    <x v="1"/>
    <x v="0"/>
    <n v="0"/>
    <n v="0"/>
    <n v="0"/>
    <n v="0"/>
    <n v="0"/>
    <n v="0"/>
    <m/>
    <n v="46.7"/>
  </r>
  <r>
    <s v="USR-100067"/>
    <d v="2025-01-07T00:00:00"/>
    <x v="0"/>
    <s v="South"/>
    <x v="0"/>
    <x v="1"/>
    <x v="2"/>
    <x v="1"/>
    <n v="0"/>
    <n v="0"/>
    <n v="0"/>
    <n v="0"/>
    <n v="1"/>
    <n v="0"/>
    <m/>
    <n v="49.6"/>
  </r>
  <r>
    <s v="USR-100068"/>
    <d v="2025-05-08T00:00:00"/>
    <x v="0"/>
    <s v="West"/>
    <x v="1"/>
    <x v="4"/>
    <x v="1"/>
    <x v="0"/>
    <n v="0"/>
    <n v="0"/>
    <n v="0"/>
    <n v="0"/>
    <n v="0"/>
    <n v="0"/>
    <m/>
    <n v="60.4"/>
  </r>
  <r>
    <s v="USR-100069"/>
    <d v="2025-03-19T00:00:00"/>
    <x v="0"/>
    <s v="East"/>
    <x v="0"/>
    <x v="0"/>
    <x v="1"/>
    <x v="1"/>
    <n v="1"/>
    <n v="1"/>
    <n v="0"/>
    <n v="0"/>
    <n v="0"/>
    <n v="0"/>
    <m/>
    <n v="55.3"/>
  </r>
  <r>
    <s v="USR-100070"/>
    <d v="2025-05-16T00:00:00"/>
    <x v="0"/>
    <s v="North"/>
    <x v="0"/>
    <x v="1"/>
    <x v="1"/>
    <x v="0"/>
    <n v="0"/>
    <n v="0"/>
    <n v="0"/>
    <n v="0"/>
    <n v="0"/>
    <n v="0"/>
    <m/>
    <n v="56.2"/>
  </r>
  <r>
    <s v="USR-100071"/>
    <d v="2025-03-08T00:00:00"/>
    <x v="0"/>
    <s v="West"/>
    <x v="1"/>
    <x v="0"/>
    <x v="1"/>
    <x v="0"/>
    <n v="0"/>
    <n v="0"/>
    <n v="0"/>
    <n v="0"/>
    <n v="0"/>
    <n v="0"/>
    <m/>
    <n v="29.4"/>
  </r>
  <r>
    <s v="USR-100072"/>
    <d v="2025-03-08T00:00:00"/>
    <x v="0"/>
    <s v="East"/>
    <x v="1"/>
    <x v="0"/>
    <x v="1"/>
    <x v="1"/>
    <n v="0"/>
    <n v="0"/>
    <n v="0"/>
    <n v="0"/>
    <n v="0"/>
    <n v="0"/>
    <m/>
    <n v="54.2"/>
  </r>
  <r>
    <s v="USR-100073"/>
    <d v="2025-01-14T00:00:00"/>
    <x v="0"/>
    <s v="East"/>
    <x v="0"/>
    <x v="2"/>
    <x v="0"/>
    <x v="0"/>
    <n v="0"/>
    <n v="0"/>
    <n v="0"/>
    <n v="0"/>
    <n v="0"/>
    <n v="0"/>
    <m/>
    <n v="46.4"/>
  </r>
  <r>
    <s v="USR-100074"/>
    <d v="2025-02-10T00:00:00"/>
    <x v="0"/>
    <s v="South"/>
    <x v="1"/>
    <x v="2"/>
    <x v="0"/>
    <x v="0"/>
    <n v="0"/>
    <n v="0"/>
    <n v="0"/>
    <n v="0"/>
    <n v="0"/>
    <n v="0"/>
    <m/>
    <n v="54.5"/>
  </r>
  <r>
    <s v="USR-100075"/>
    <d v="2025-03-17T00:00:00"/>
    <x v="0"/>
    <s v="North"/>
    <x v="1"/>
    <x v="1"/>
    <x v="1"/>
    <x v="0"/>
    <n v="0"/>
    <n v="0"/>
    <n v="0"/>
    <n v="0"/>
    <n v="0"/>
    <n v="0"/>
    <m/>
    <n v="58.5"/>
  </r>
  <r>
    <s v="USR-100076"/>
    <d v="2025-01-09T00:00:00"/>
    <x v="0"/>
    <s v="South"/>
    <x v="1"/>
    <x v="0"/>
    <x v="1"/>
    <x v="0"/>
    <n v="0"/>
    <n v="0"/>
    <n v="0"/>
    <n v="0"/>
    <n v="0"/>
    <n v="0"/>
    <m/>
    <n v="75.900000000000006"/>
  </r>
  <r>
    <s v="USR-100077"/>
    <d v="2025-04-17T00:00:00"/>
    <x v="0"/>
    <s v="North"/>
    <x v="1"/>
    <x v="3"/>
    <x v="1"/>
    <x v="0"/>
    <n v="0"/>
    <n v="0"/>
    <n v="0"/>
    <n v="0"/>
    <n v="1"/>
    <n v="0"/>
    <m/>
    <n v="84.9"/>
  </r>
  <r>
    <s v="USR-100078"/>
    <d v="2025-01-16T00:00:00"/>
    <x v="0"/>
    <s v="North"/>
    <x v="1"/>
    <x v="1"/>
    <x v="1"/>
    <x v="0"/>
    <n v="0"/>
    <n v="0"/>
    <n v="0"/>
    <n v="0"/>
    <n v="2"/>
    <n v="0"/>
    <m/>
    <n v="48.4"/>
  </r>
  <r>
    <s v="USR-100079"/>
    <d v="2025-02-20T00:00:00"/>
    <x v="0"/>
    <s v="West"/>
    <x v="0"/>
    <x v="1"/>
    <x v="1"/>
    <x v="1"/>
    <n v="1"/>
    <n v="1"/>
    <n v="1"/>
    <n v="457.51"/>
    <n v="0"/>
    <n v="0"/>
    <n v="7"/>
    <n v="38"/>
  </r>
  <r>
    <s v="USR-100080"/>
    <d v="2025-05-21T00:00:00"/>
    <x v="0"/>
    <s v="East"/>
    <x v="1"/>
    <x v="4"/>
    <x v="1"/>
    <x v="1"/>
    <n v="0"/>
    <n v="0"/>
    <n v="0"/>
    <n v="0"/>
    <n v="0"/>
    <n v="0"/>
    <m/>
    <n v="44.2"/>
  </r>
  <r>
    <s v="USR-100081"/>
    <d v="2025-05-08T00:00:00"/>
    <x v="0"/>
    <s v="South"/>
    <x v="1"/>
    <x v="1"/>
    <x v="1"/>
    <x v="1"/>
    <n v="1"/>
    <n v="1"/>
    <n v="0"/>
    <n v="0"/>
    <n v="0"/>
    <n v="0"/>
    <m/>
    <n v="81.2"/>
  </r>
  <r>
    <s v="USR-100082"/>
    <d v="2025-03-08T00:00:00"/>
    <x v="0"/>
    <s v="South"/>
    <x v="1"/>
    <x v="3"/>
    <x v="1"/>
    <x v="1"/>
    <n v="1"/>
    <n v="0"/>
    <n v="0"/>
    <n v="0"/>
    <n v="0"/>
    <n v="0"/>
    <m/>
    <n v="63.8"/>
  </r>
  <r>
    <s v="USR-100083"/>
    <d v="2025-04-01T00:00:00"/>
    <x v="0"/>
    <s v="South"/>
    <x v="0"/>
    <x v="0"/>
    <x v="1"/>
    <x v="0"/>
    <n v="0"/>
    <n v="0"/>
    <n v="0"/>
    <n v="0"/>
    <n v="0"/>
    <n v="0"/>
    <m/>
    <n v="64.7"/>
  </r>
  <r>
    <s v="USR-100084"/>
    <d v="2025-03-03T00:00:00"/>
    <x v="0"/>
    <s v="West"/>
    <x v="1"/>
    <x v="4"/>
    <x v="0"/>
    <x v="0"/>
    <n v="0"/>
    <n v="0"/>
    <n v="0"/>
    <n v="0"/>
    <n v="0"/>
    <n v="0"/>
    <m/>
    <n v="60.4"/>
  </r>
  <r>
    <s v="USR-100085"/>
    <d v="2025-04-16T00:00:00"/>
    <x v="0"/>
    <s v="South"/>
    <x v="1"/>
    <x v="2"/>
    <x v="1"/>
    <x v="0"/>
    <n v="0"/>
    <n v="0"/>
    <n v="0"/>
    <n v="0"/>
    <n v="0"/>
    <n v="0"/>
    <m/>
    <n v="66.599999999999994"/>
  </r>
  <r>
    <s v="USR-100086"/>
    <d v="2025-01-09T00:00:00"/>
    <x v="0"/>
    <s v="North"/>
    <x v="0"/>
    <x v="1"/>
    <x v="1"/>
    <x v="1"/>
    <n v="0"/>
    <n v="0"/>
    <n v="0"/>
    <n v="0"/>
    <n v="0"/>
    <n v="0"/>
    <m/>
    <n v="50.9"/>
  </r>
  <r>
    <s v="USR-100087"/>
    <d v="2025-01-22T00:00:00"/>
    <x v="0"/>
    <s v="West"/>
    <x v="0"/>
    <x v="4"/>
    <x v="0"/>
    <x v="0"/>
    <n v="0"/>
    <n v="0"/>
    <n v="0"/>
    <n v="0"/>
    <n v="0"/>
    <n v="0"/>
    <m/>
    <n v="51"/>
  </r>
  <r>
    <s v="USR-100088"/>
    <d v="2025-04-30T00:00:00"/>
    <x v="0"/>
    <s v="South"/>
    <x v="1"/>
    <x v="0"/>
    <x v="2"/>
    <x v="0"/>
    <n v="0"/>
    <n v="0"/>
    <n v="0"/>
    <n v="0"/>
    <n v="0"/>
    <n v="0"/>
    <m/>
    <n v="65.8"/>
  </r>
  <r>
    <s v="USR-100089"/>
    <d v="2025-04-25T00:00:00"/>
    <x v="0"/>
    <s v="North"/>
    <x v="1"/>
    <x v="3"/>
    <x v="0"/>
    <x v="1"/>
    <n v="0"/>
    <n v="0"/>
    <n v="0"/>
    <n v="0"/>
    <n v="0"/>
    <n v="0"/>
    <m/>
    <n v="61.8"/>
  </r>
  <r>
    <s v="USR-100090"/>
    <d v="2025-02-01T00:00:00"/>
    <x v="0"/>
    <s v="North"/>
    <x v="1"/>
    <x v="1"/>
    <x v="0"/>
    <x v="1"/>
    <n v="0"/>
    <n v="0"/>
    <n v="0"/>
    <n v="0"/>
    <n v="0"/>
    <n v="0"/>
    <m/>
    <n v="54.5"/>
  </r>
  <r>
    <s v="USR-100091"/>
    <d v="2025-04-23T00:00:00"/>
    <x v="0"/>
    <s v="South"/>
    <x v="0"/>
    <x v="1"/>
    <x v="1"/>
    <x v="1"/>
    <n v="0"/>
    <n v="0"/>
    <n v="0"/>
    <n v="0"/>
    <n v="0"/>
    <n v="0"/>
    <m/>
    <n v="72.2"/>
  </r>
  <r>
    <s v="USR-100092"/>
    <d v="2025-02-27T00:00:00"/>
    <x v="0"/>
    <s v="South"/>
    <x v="1"/>
    <x v="4"/>
    <x v="1"/>
    <x v="1"/>
    <n v="0"/>
    <n v="0"/>
    <n v="0"/>
    <n v="0"/>
    <n v="0"/>
    <n v="0"/>
    <m/>
    <n v="42.3"/>
  </r>
  <r>
    <s v="USR-100093"/>
    <d v="2025-04-09T00:00:00"/>
    <x v="0"/>
    <s v="East"/>
    <x v="0"/>
    <x v="1"/>
    <x v="0"/>
    <x v="1"/>
    <n v="0"/>
    <n v="0"/>
    <n v="0"/>
    <n v="0"/>
    <n v="0"/>
    <n v="0"/>
    <m/>
    <n v="76.2"/>
  </r>
  <r>
    <s v="USR-100094"/>
    <d v="2025-05-13T00:00:00"/>
    <x v="0"/>
    <s v="South"/>
    <x v="2"/>
    <x v="1"/>
    <x v="2"/>
    <x v="1"/>
    <n v="1"/>
    <n v="1"/>
    <n v="0"/>
    <n v="0"/>
    <n v="1"/>
    <n v="0"/>
    <m/>
    <n v="37.4"/>
  </r>
  <r>
    <s v="USR-100095"/>
    <d v="2025-04-13T00:00:00"/>
    <x v="0"/>
    <s v="East"/>
    <x v="1"/>
    <x v="1"/>
    <x v="1"/>
    <x v="0"/>
    <n v="0"/>
    <n v="0"/>
    <n v="0"/>
    <n v="0"/>
    <n v="0"/>
    <n v="0"/>
    <m/>
    <n v="84.2"/>
  </r>
  <r>
    <s v="USR-100096"/>
    <d v="2025-02-05T00:00:00"/>
    <x v="0"/>
    <s v="East"/>
    <x v="1"/>
    <x v="4"/>
    <x v="1"/>
    <x v="0"/>
    <n v="0"/>
    <n v="0"/>
    <n v="0"/>
    <n v="0"/>
    <n v="0"/>
    <n v="0"/>
    <m/>
    <n v="68"/>
  </r>
  <r>
    <s v="USR-100097"/>
    <d v="2025-02-14T00:00:00"/>
    <x v="0"/>
    <s v="West"/>
    <x v="1"/>
    <x v="1"/>
    <x v="0"/>
    <x v="1"/>
    <n v="0"/>
    <n v="0"/>
    <n v="0"/>
    <n v="0"/>
    <n v="0"/>
    <n v="0"/>
    <m/>
    <n v="53.5"/>
  </r>
  <r>
    <s v="USR-100098"/>
    <d v="2025-02-11T00:00:00"/>
    <x v="0"/>
    <s v="North"/>
    <x v="0"/>
    <x v="1"/>
    <x v="2"/>
    <x v="1"/>
    <n v="0"/>
    <n v="0"/>
    <n v="0"/>
    <n v="0"/>
    <n v="0"/>
    <n v="0"/>
    <m/>
    <n v="63.2"/>
  </r>
  <r>
    <s v="USR-100099"/>
    <d v="2025-02-11T00:00:00"/>
    <x v="0"/>
    <s v="East"/>
    <x v="0"/>
    <x v="4"/>
    <x v="1"/>
    <x v="1"/>
    <n v="1"/>
    <n v="1"/>
    <n v="1"/>
    <n v="363.32"/>
    <n v="0"/>
    <n v="0"/>
    <n v="9"/>
    <n v="55.9"/>
  </r>
  <r>
    <s v="USR-100100"/>
    <d v="2025-05-26T00:00:00"/>
    <x v="0"/>
    <s v="North"/>
    <x v="1"/>
    <x v="1"/>
    <x v="1"/>
    <x v="1"/>
    <n v="0"/>
    <n v="0"/>
    <n v="0"/>
    <n v="0"/>
    <n v="0"/>
    <n v="0"/>
    <m/>
    <n v="63.5"/>
  </r>
  <r>
    <s v="USR-100101"/>
    <d v="2025-03-22T00:00:00"/>
    <x v="0"/>
    <s v="North"/>
    <x v="1"/>
    <x v="2"/>
    <x v="0"/>
    <x v="1"/>
    <n v="0"/>
    <n v="0"/>
    <n v="0"/>
    <n v="0"/>
    <n v="0"/>
    <n v="0"/>
    <m/>
    <n v="51.5"/>
  </r>
  <r>
    <s v="USR-100102"/>
    <d v="2025-04-08T00:00:00"/>
    <x v="0"/>
    <s v="West"/>
    <x v="1"/>
    <x v="2"/>
    <x v="1"/>
    <x v="1"/>
    <n v="0"/>
    <n v="0"/>
    <n v="0"/>
    <n v="0"/>
    <n v="0"/>
    <n v="0"/>
    <m/>
    <n v="74.400000000000006"/>
  </r>
  <r>
    <s v="USR-100103"/>
    <d v="2025-04-14T00:00:00"/>
    <x v="0"/>
    <s v="North"/>
    <x v="0"/>
    <x v="4"/>
    <x v="1"/>
    <x v="1"/>
    <n v="1"/>
    <n v="1"/>
    <n v="1"/>
    <n v="3887.98"/>
    <n v="0"/>
    <n v="0"/>
    <n v="13"/>
    <n v="60.2"/>
  </r>
  <r>
    <s v="USR-100104"/>
    <d v="2025-03-27T00:00:00"/>
    <x v="0"/>
    <s v="South"/>
    <x v="1"/>
    <x v="0"/>
    <x v="1"/>
    <x v="1"/>
    <n v="0"/>
    <n v="0"/>
    <n v="0"/>
    <n v="0"/>
    <n v="1"/>
    <n v="0"/>
    <m/>
    <n v="67.2"/>
  </r>
  <r>
    <s v="USR-100105"/>
    <d v="2025-01-05T00:00:00"/>
    <x v="0"/>
    <s v="South"/>
    <x v="1"/>
    <x v="4"/>
    <x v="1"/>
    <x v="1"/>
    <n v="1"/>
    <n v="1"/>
    <n v="0"/>
    <n v="0"/>
    <n v="0"/>
    <n v="0"/>
    <m/>
    <n v="79.599999999999994"/>
  </r>
  <r>
    <s v="USR-100106"/>
    <d v="2025-01-25T00:00:00"/>
    <x v="0"/>
    <s v="South"/>
    <x v="1"/>
    <x v="4"/>
    <x v="0"/>
    <x v="1"/>
    <n v="1"/>
    <n v="1"/>
    <n v="1"/>
    <n v="8610.7199999999993"/>
    <n v="0"/>
    <n v="0"/>
    <n v="6"/>
    <n v="61"/>
  </r>
  <r>
    <s v="USR-100107"/>
    <d v="2025-01-23T00:00:00"/>
    <x v="0"/>
    <s v="West"/>
    <x v="1"/>
    <x v="0"/>
    <x v="1"/>
    <x v="1"/>
    <n v="1"/>
    <n v="1"/>
    <n v="0"/>
    <n v="0"/>
    <n v="4"/>
    <n v="0"/>
    <m/>
    <n v="51.1"/>
  </r>
  <r>
    <s v="USR-100108"/>
    <d v="2025-05-25T00:00:00"/>
    <x v="0"/>
    <s v="East"/>
    <x v="0"/>
    <x v="3"/>
    <x v="1"/>
    <x v="1"/>
    <n v="0"/>
    <n v="0"/>
    <n v="0"/>
    <n v="0"/>
    <n v="0"/>
    <n v="0"/>
    <m/>
    <n v="92.1"/>
  </r>
  <r>
    <s v="USR-100109"/>
    <d v="2025-03-22T00:00:00"/>
    <x v="0"/>
    <s v="South"/>
    <x v="1"/>
    <x v="3"/>
    <x v="0"/>
    <x v="0"/>
    <n v="0"/>
    <n v="0"/>
    <n v="0"/>
    <n v="0"/>
    <n v="0"/>
    <n v="0"/>
    <m/>
    <n v="82.1"/>
  </r>
  <r>
    <s v="USR-100110"/>
    <d v="2025-02-12T00:00:00"/>
    <x v="0"/>
    <s v="West"/>
    <x v="0"/>
    <x v="2"/>
    <x v="0"/>
    <x v="1"/>
    <n v="0"/>
    <n v="0"/>
    <n v="0"/>
    <n v="0"/>
    <n v="1"/>
    <n v="0"/>
    <m/>
    <n v="74"/>
  </r>
  <r>
    <s v="USR-100111"/>
    <d v="2025-04-28T00:00:00"/>
    <x v="0"/>
    <s v="West"/>
    <x v="0"/>
    <x v="1"/>
    <x v="0"/>
    <x v="1"/>
    <n v="0"/>
    <n v="0"/>
    <n v="0"/>
    <n v="0"/>
    <n v="0"/>
    <n v="0"/>
    <m/>
    <n v="63.4"/>
  </r>
  <r>
    <s v="USR-100112"/>
    <d v="2025-01-30T00:00:00"/>
    <x v="0"/>
    <s v="North"/>
    <x v="1"/>
    <x v="1"/>
    <x v="0"/>
    <x v="1"/>
    <n v="0"/>
    <n v="0"/>
    <n v="0"/>
    <n v="0"/>
    <n v="0"/>
    <n v="0"/>
    <m/>
    <n v="53.2"/>
  </r>
  <r>
    <s v="USR-100113"/>
    <d v="2025-05-19T00:00:00"/>
    <x v="0"/>
    <s v="East"/>
    <x v="2"/>
    <x v="2"/>
    <x v="1"/>
    <x v="0"/>
    <n v="0"/>
    <n v="0"/>
    <n v="0"/>
    <n v="0"/>
    <n v="0"/>
    <n v="0"/>
    <m/>
    <n v="48.1"/>
  </r>
  <r>
    <s v="USR-100114"/>
    <d v="2025-01-23T00:00:00"/>
    <x v="0"/>
    <s v="South"/>
    <x v="1"/>
    <x v="4"/>
    <x v="1"/>
    <x v="1"/>
    <n v="1"/>
    <n v="0"/>
    <n v="0"/>
    <n v="0"/>
    <n v="0"/>
    <n v="0"/>
    <m/>
    <n v="61.5"/>
  </r>
  <r>
    <s v="USR-100115"/>
    <d v="2025-03-28T00:00:00"/>
    <x v="0"/>
    <s v="East"/>
    <x v="0"/>
    <x v="4"/>
    <x v="1"/>
    <x v="1"/>
    <n v="0"/>
    <n v="0"/>
    <n v="0"/>
    <n v="0"/>
    <n v="0"/>
    <n v="0"/>
    <m/>
    <n v="63.2"/>
  </r>
  <r>
    <s v="USR-100116"/>
    <d v="2025-01-11T00:00:00"/>
    <x v="0"/>
    <s v="West"/>
    <x v="1"/>
    <x v="1"/>
    <x v="1"/>
    <x v="0"/>
    <n v="0"/>
    <n v="0"/>
    <n v="0"/>
    <n v="0"/>
    <n v="0"/>
    <n v="0"/>
    <m/>
    <n v="71.900000000000006"/>
  </r>
  <r>
    <s v="USR-100117"/>
    <d v="2025-04-11T00:00:00"/>
    <x v="0"/>
    <s v="North"/>
    <x v="1"/>
    <x v="3"/>
    <x v="1"/>
    <x v="0"/>
    <n v="0"/>
    <n v="0"/>
    <n v="0"/>
    <n v="0"/>
    <n v="0"/>
    <n v="0"/>
    <m/>
    <n v="62.7"/>
  </r>
  <r>
    <s v="USR-100118"/>
    <d v="2025-01-02T00:00:00"/>
    <x v="0"/>
    <s v="West"/>
    <x v="1"/>
    <x v="2"/>
    <x v="1"/>
    <x v="1"/>
    <n v="0"/>
    <n v="0"/>
    <n v="0"/>
    <n v="0"/>
    <n v="0"/>
    <n v="0"/>
    <m/>
    <n v="51.5"/>
  </r>
  <r>
    <s v="USR-100119"/>
    <d v="2025-03-18T00:00:00"/>
    <x v="0"/>
    <s v="East"/>
    <x v="1"/>
    <x v="4"/>
    <x v="1"/>
    <x v="1"/>
    <n v="1"/>
    <n v="1"/>
    <n v="0"/>
    <n v="0"/>
    <n v="0"/>
    <n v="0"/>
    <m/>
    <n v="39.1"/>
  </r>
  <r>
    <s v="USR-100120"/>
    <d v="2025-03-31T00:00:00"/>
    <x v="0"/>
    <s v="North"/>
    <x v="1"/>
    <x v="0"/>
    <x v="1"/>
    <x v="1"/>
    <n v="0"/>
    <n v="0"/>
    <n v="0"/>
    <n v="0"/>
    <n v="0"/>
    <n v="0"/>
    <m/>
    <n v="43.8"/>
  </r>
  <r>
    <s v="USR-100121"/>
    <d v="2025-01-06T00:00:00"/>
    <x v="0"/>
    <s v="North"/>
    <x v="1"/>
    <x v="2"/>
    <x v="0"/>
    <x v="1"/>
    <n v="0"/>
    <n v="0"/>
    <n v="0"/>
    <n v="0"/>
    <n v="0"/>
    <n v="0"/>
    <m/>
    <n v="59.9"/>
  </r>
  <r>
    <s v="USR-100122"/>
    <d v="2025-01-26T00:00:00"/>
    <x v="0"/>
    <s v="North"/>
    <x v="1"/>
    <x v="3"/>
    <x v="1"/>
    <x v="1"/>
    <n v="1"/>
    <n v="0"/>
    <n v="0"/>
    <n v="0"/>
    <n v="0"/>
    <n v="0"/>
    <m/>
    <n v="71.400000000000006"/>
  </r>
  <r>
    <s v="USR-100123"/>
    <d v="2025-04-22T00:00:00"/>
    <x v="0"/>
    <s v="South"/>
    <x v="1"/>
    <x v="3"/>
    <x v="0"/>
    <x v="0"/>
    <n v="0"/>
    <n v="0"/>
    <n v="0"/>
    <n v="0"/>
    <n v="0"/>
    <n v="0"/>
    <m/>
    <n v="36.1"/>
  </r>
  <r>
    <s v="USR-100124"/>
    <d v="2025-05-30T00:00:00"/>
    <x v="0"/>
    <s v="West"/>
    <x v="3"/>
    <x v="0"/>
    <x v="0"/>
    <x v="1"/>
    <n v="1"/>
    <n v="0"/>
    <n v="0"/>
    <n v="0"/>
    <n v="0"/>
    <n v="0"/>
    <m/>
    <n v="47.9"/>
  </r>
  <r>
    <s v="USR-100125"/>
    <d v="2025-05-18T00:00:00"/>
    <x v="0"/>
    <s v="West"/>
    <x v="0"/>
    <x v="1"/>
    <x v="2"/>
    <x v="1"/>
    <n v="0"/>
    <n v="0"/>
    <n v="0"/>
    <n v="0"/>
    <n v="0"/>
    <n v="0"/>
    <m/>
    <n v="62.5"/>
  </r>
  <r>
    <s v="USR-100126"/>
    <d v="2025-01-13T00:00:00"/>
    <x v="0"/>
    <s v="South"/>
    <x v="0"/>
    <x v="2"/>
    <x v="2"/>
    <x v="1"/>
    <n v="0"/>
    <n v="0"/>
    <n v="0"/>
    <n v="0"/>
    <n v="0"/>
    <n v="0"/>
    <m/>
    <n v="56.9"/>
  </r>
  <r>
    <s v="USR-100127"/>
    <d v="2025-03-25T00:00:00"/>
    <x v="0"/>
    <s v="North"/>
    <x v="0"/>
    <x v="0"/>
    <x v="1"/>
    <x v="0"/>
    <n v="0"/>
    <n v="0"/>
    <n v="0"/>
    <n v="0"/>
    <n v="0"/>
    <n v="0"/>
    <m/>
    <n v="64.7"/>
  </r>
  <r>
    <s v="USR-100128"/>
    <d v="2025-04-29T00:00:00"/>
    <x v="0"/>
    <s v="South"/>
    <x v="0"/>
    <x v="1"/>
    <x v="1"/>
    <x v="1"/>
    <n v="1"/>
    <n v="1"/>
    <n v="0"/>
    <n v="0"/>
    <n v="0"/>
    <n v="0"/>
    <m/>
    <n v="64"/>
  </r>
  <r>
    <s v="USR-100129"/>
    <d v="2025-05-17T00:00:00"/>
    <x v="0"/>
    <s v="East"/>
    <x v="1"/>
    <x v="3"/>
    <x v="0"/>
    <x v="1"/>
    <n v="1"/>
    <n v="1"/>
    <n v="0"/>
    <n v="0"/>
    <n v="0"/>
    <n v="0"/>
    <m/>
    <n v="75.2"/>
  </r>
  <r>
    <s v="USR-100130"/>
    <d v="2025-01-02T00:00:00"/>
    <x v="0"/>
    <s v="North"/>
    <x v="1"/>
    <x v="2"/>
    <x v="1"/>
    <x v="1"/>
    <n v="0"/>
    <n v="0"/>
    <n v="0"/>
    <n v="0"/>
    <n v="1"/>
    <n v="0"/>
    <m/>
    <n v="79"/>
  </r>
  <r>
    <s v="USR-100131"/>
    <d v="2025-02-03T00:00:00"/>
    <x v="0"/>
    <s v="South"/>
    <x v="1"/>
    <x v="1"/>
    <x v="1"/>
    <x v="0"/>
    <n v="0"/>
    <n v="0"/>
    <n v="0"/>
    <n v="0"/>
    <n v="0"/>
    <n v="0"/>
    <m/>
    <n v="33"/>
  </r>
  <r>
    <s v="USR-100132"/>
    <d v="2025-03-04T00:00:00"/>
    <x v="0"/>
    <s v="East"/>
    <x v="1"/>
    <x v="1"/>
    <x v="1"/>
    <x v="1"/>
    <n v="0"/>
    <n v="0"/>
    <n v="0"/>
    <n v="0"/>
    <n v="0"/>
    <n v="0"/>
    <m/>
    <n v="67.900000000000006"/>
  </r>
  <r>
    <s v="USR-100133"/>
    <d v="2025-01-26T00:00:00"/>
    <x v="0"/>
    <s v="South"/>
    <x v="1"/>
    <x v="2"/>
    <x v="0"/>
    <x v="0"/>
    <n v="0"/>
    <n v="0"/>
    <n v="0"/>
    <n v="0"/>
    <n v="0"/>
    <n v="0"/>
    <m/>
    <n v="42.2"/>
  </r>
  <r>
    <s v="USR-100134"/>
    <d v="2025-05-12T00:00:00"/>
    <x v="0"/>
    <s v="West"/>
    <x v="1"/>
    <x v="2"/>
    <x v="0"/>
    <x v="1"/>
    <n v="1"/>
    <n v="1"/>
    <n v="0"/>
    <n v="0"/>
    <n v="0"/>
    <n v="0"/>
    <m/>
    <n v="43.4"/>
  </r>
  <r>
    <s v="USR-100135"/>
    <d v="2025-03-06T00:00:00"/>
    <x v="0"/>
    <s v="North"/>
    <x v="1"/>
    <x v="1"/>
    <x v="0"/>
    <x v="0"/>
    <n v="0"/>
    <n v="0"/>
    <n v="0"/>
    <n v="0"/>
    <n v="0"/>
    <n v="0"/>
    <m/>
    <n v="54.4"/>
  </r>
  <r>
    <s v="USR-100136"/>
    <d v="2025-03-10T00:00:00"/>
    <x v="0"/>
    <s v="South"/>
    <x v="0"/>
    <x v="0"/>
    <x v="2"/>
    <x v="0"/>
    <n v="0"/>
    <n v="0"/>
    <n v="0"/>
    <n v="0"/>
    <n v="0"/>
    <n v="0"/>
    <m/>
    <n v="45.7"/>
  </r>
  <r>
    <s v="USR-100137"/>
    <d v="2025-05-06T00:00:00"/>
    <x v="0"/>
    <s v="North"/>
    <x v="1"/>
    <x v="2"/>
    <x v="1"/>
    <x v="0"/>
    <n v="0"/>
    <n v="0"/>
    <n v="0"/>
    <n v="0"/>
    <n v="3"/>
    <n v="0"/>
    <m/>
    <n v="32"/>
  </r>
  <r>
    <s v="USR-100138"/>
    <d v="2025-02-23T00:00:00"/>
    <x v="0"/>
    <s v="South"/>
    <x v="0"/>
    <x v="2"/>
    <x v="1"/>
    <x v="1"/>
    <n v="0"/>
    <n v="0"/>
    <n v="0"/>
    <n v="0"/>
    <n v="0"/>
    <n v="0"/>
    <m/>
    <n v="70.900000000000006"/>
  </r>
  <r>
    <s v="USR-100139"/>
    <d v="2025-01-29T00:00:00"/>
    <x v="0"/>
    <s v="West"/>
    <x v="1"/>
    <x v="4"/>
    <x v="0"/>
    <x v="1"/>
    <n v="1"/>
    <n v="1"/>
    <n v="0"/>
    <n v="0"/>
    <n v="0"/>
    <n v="0"/>
    <m/>
    <n v="59.1"/>
  </r>
  <r>
    <s v="USR-100140"/>
    <d v="2025-01-31T00:00:00"/>
    <x v="0"/>
    <s v="North"/>
    <x v="1"/>
    <x v="1"/>
    <x v="0"/>
    <x v="0"/>
    <n v="0"/>
    <n v="0"/>
    <n v="0"/>
    <n v="0"/>
    <n v="0"/>
    <n v="0"/>
    <m/>
    <n v="62.4"/>
  </r>
  <r>
    <s v="USR-100141"/>
    <d v="2025-01-19T00:00:00"/>
    <x v="0"/>
    <s v="South"/>
    <x v="1"/>
    <x v="1"/>
    <x v="1"/>
    <x v="0"/>
    <n v="0"/>
    <n v="0"/>
    <n v="0"/>
    <n v="0"/>
    <n v="0"/>
    <n v="0"/>
    <m/>
    <n v="49.6"/>
  </r>
  <r>
    <s v="USR-100142"/>
    <d v="2025-04-03T00:00:00"/>
    <x v="0"/>
    <s v="West"/>
    <x v="0"/>
    <x v="4"/>
    <x v="1"/>
    <x v="1"/>
    <n v="1"/>
    <n v="1"/>
    <n v="1"/>
    <n v="404.4"/>
    <n v="0"/>
    <n v="0"/>
    <n v="9"/>
    <n v="80.599999999999994"/>
  </r>
  <r>
    <s v="USR-100143"/>
    <d v="2025-04-07T00:00:00"/>
    <x v="0"/>
    <s v="North"/>
    <x v="1"/>
    <x v="2"/>
    <x v="1"/>
    <x v="1"/>
    <n v="0"/>
    <n v="0"/>
    <n v="0"/>
    <n v="0"/>
    <n v="0"/>
    <n v="0"/>
    <m/>
    <n v="47.9"/>
  </r>
  <r>
    <s v="USR-100144"/>
    <d v="2025-01-06T00:00:00"/>
    <x v="0"/>
    <s v="East"/>
    <x v="1"/>
    <x v="2"/>
    <x v="0"/>
    <x v="1"/>
    <n v="1"/>
    <n v="0"/>
    <n v="0"/>
    <n v="0"/>
    <n v="0"/>
    <n v="0"/>
    <m/>
    <n v="54.8"/>
  </r>
  <r>
    <s v="USR-100145"/>
    <d v="2025-04-11T00:00:00"/>
    <x v="0"/>
    <s v="East"/>
    <x v="1"/>
    <x v="1"/>
    <x v="1"/>
    <x v="1"/>
    <n v="0"/>
    <n v="0"/>
    <n v="0"/>
    <n v="0"/>
    <n v="1"/>
    <n v="0"/>
    <m/>
    <n v="53.9"/>
  </r>
  <r>
    <s v="USR-100146"/>
    <d v="2025-04-23T00:00:00"/>
    <x v="0"/>
    <s v="East"/>
    <x v="1"/>
    <x v="2"/>
    <x v="1"/>
    <x v="1"/>
    <n v="0"/>
    <n v="0"/>
    <n v="0"/>
    <n v="0"/>
    <n v="0"/>
    <n v="0"/>
    <m/>
    <n v="41.3"/>
  </r>
  <r>
    <s v="USR-100147"/>
    <d v="2025-03-25T00:00:00"/>
    <x v="0"/>
    <s v="West"/>
    <x v="1"/>
    <x v="1"/>
    <x v="0"/>
    <x v="1"/>
    <n v="1"/>
    <n v="0"/>
    <n v="0"/>
    <n v="0"/>
    <n v="0"/>
    <n v="0"/>
    <m/>
    <n v="38.9"/>
  </r>
  <r>
    <s v="USR-100148"/>
    <d v="2025-05-25T00:00:00"/>
    <x v="0"/>
    <s v="South"/>
    <x v="0"/>
    <x v="1"/>
    <x v="0"/>
    <x v="1"/>
    <n v="0"/>
    <n v="0"/>
    <n v="0"/>
    <n v="0"/>
    <n v="0"/>
    <n v="0"/>
    <m/>
    <n v="63.6"/>
  </r>
  <r>
    <s v="USR-100149"/>
    <d v="2025-01-28T00:00:00"/>
    <x v="0"/>
    <s v="North"/>
    <x v="1"/>
    <x v="1"/>
    <x v="1"/>
    <x v="1"/>
    <n v="1"/>
    <n v="1"/>
    <n v="1"/>
    <n v="577.94000000000005"/>
    <n v="0"/>
    <n v="0"/>
    <n v="9"/>
    <n v="76.599999999999994"/>
  </r>
  <r>
    <s v="USR-100150"/>
    <d v="2025-02-12T00:00:00"/>
    <x v="0"/>
    <s v="West"/>
    <x v="1"/>
    <x v="2"/>
    <x v="2"/>
    <x v="0"/>
    <n v="0"/>
    <n v="0"/>
    <n v="0"/>
    <n v="0"/>
    <n v="1"/>
    <n v="0"/>
    <m/>
    <n v="67.599999999999994"/>
  </r>
  <r>
    <s v="USR-100151"/>
    <d v="2025-04-29T00:00:00"/>
    <x v="0"/>
    <s v="North"/>
    <x v="1"/>
    <x v="4"/>
    <x v="2"/>
    <x v="1"/>
    <n v="0"/>
    <n v="0"/>
    <n v="0"/>
    <n v="0"/>
    <n v="0"/>
    <n v="0"/>
    <m/>
    <n v="43.1"/>
  </r>
  <r>
    <s v="USR-100152"/>
    <d v="2025-03-13T00:00:00"/>
    <x v="0"/>
    <s v="South"/>
    <x v="1"/>
    <x v="0"/>
    <x v="1"/>
    <x v="1"/>
    <n v="0"/>
    <n v="0"/>
    <n v="0"/>
    <n v="0"/>
    <n v="0"/>
    <n v="0"/>
    <m/>
    <n v="58.3"/>
  </r>
  <r>
    <s v="USR-100153"/>
    <d v="2025-02-04T00:00:00"/>
    <x v="0"/>
    <s v="East"/>
    <x v="0"/>
    <x v="2"/>
    <x v="1"/>
    <x v="1"/>
    <n v="0"/>
    <n v="0"/>
    <n v="0"/>
    <n v="0"/>
    <n v="0"/>
    <n v="0"/>
    <m/>
    <n v="69.8"/>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00">
  <r>
    <s v="USR-100001"/>
    <d v="2025-03-16T00:00:00"/>
    <x v="0"/>
    <s v="North"/>
    <s v="Desktop"/>
    <x v="0"/>
    <s v="Basic"/>
    <n v="0"/>
    <n v="0"/>
    <n v="0"/>
    <n v="0"/>
    <n v="0"/>
    <n v="0"/>
    <n v="0"/>
    <m/>
    <n v="45.7"/>
    <s v="Normal"/>
  </r>
  <r>
    <s v="USR-100002"/>
    <d v="2025-03-08T00:00:00"/>
    <x v="0"/>
    <s v="West"/>
    <s v="Mobile"/>
    <x v="1"/>
    <s v="Free"/>
    <n v="1"/>
    <n v="0"/>
    <n v="0"/>
    <n v="0"/>
    <n v="0"/>
    <n v="0"/>
    <n v="0"/>
    <m/>
    <n v="48.6"/>
    <s v="Normal"/>
  </r>
  <r>
    <s v="USR-100003"/>
    <d v="2025-04-24T00:00:00"/>
    <x v="0"/>
    <s v="East"/>
    <s v="Mobile"/>
    <x v="2"/>
    <s v="Premium"/>
    <n v="1"/>
    <n v="0"/>
    <n v="0"/>
    <n v="0"/>
    <n v="0"/>
    <n v="1"/>
    <n v="0"/>
    <m/>
    <n v="35.4"/>
    <s v="Normal"/>
  </r>
  <r>
    <s v="USR-100004"/>
    <d v="2025-05-04T00:00:00"/>
    <x v="0"/>
    <s v="South"/>
    <s v="Mobile"/>
    <x v="0"/>
    <s v="Basic"/>
    <n v="1"/>
    <n v="0"/>
    <n v="0"/>
    <n v="0"/>
    <n v="0"/>
    <n v="0"/>
    <n v="0"/>
    <m/>
    <n v="64.599999999999994"/>
    <s v="Normal"/>
  </r>
  <r>
    <s v="USR-100005"/>
    <d v="2025-02-12T00:00:00"/>
    <x v="0"/>
    <s v="North"/>
    <s v="Tablet"/>
    <x v="1"/>
    <s v="Free"/>
    <n v="0"/>
    <n v="0"/>
    <n v="0"/>
    <n v="0"/>
    <n v="0"/>
    <n v="0"/>
    <n v="0"/>
    <m/>
    <n v="66.599999999999994"/>
    <s v="Normal"/>
  </r>
  <r>
    <s v="USR-100006"/>
    <d v="2025-01-28T00:00:00"/>
    <x v="0"/>
    <s v="East"/>
    <s v="Mobile"/>
    <x v="1"/>
    <s v="Premium"/>
    <n v="1"/>
    <n v="0"/>
    <n v="0"/>
    <n v="0"/>
    <n v="0"/>
    <n v="0"/>
    <n v="0"/>
    <m/>
    <n v="40.799999999999997"/>
    <s v="Normal"/>
  </r>
  <r>
    <s v="USR-100007"/>
    <d v="2025-04-08T00:00:00"/>
    <x v="0"/>
    <s v="East"/>
    <s v="Mobile"/>
    <x v="2"/>
    <s v="Basic"/>
    <n v="1"/>
    <n v="1"/>
    <n v="0"/>
    <n v="0"/>
    <n v="0"/>
    <n v="0"/>
    <n v="0"/>
    <m/>
    <n v="57.1"/>
    <s v="Normal"/>
  </r>
  <r>
    <s v="USR-100008"/>
    <d v="2025-05-17T00:00:00"/>
    <x v="0"/>
    <s v="South"/>
    <s v="Mobile"/>
    <x v="2"/>
    <s v="Free"/>
    <n v="0"/>
    <n v="0"/>
    <n v="0"/>
    <n v="0"/>
    <n v="0"/>
    <n v="0"/>
    <n v="0"/>
    <m/>
    <n v="36.4"/>
    <s v="Normal"/>
  </r>
  <r>
    <s v="USR-100009"/>
    <d v="2025-02-23T00:00:00"/>
    <x v="0"/>
    <s v="South"/>
    <s v="Tablet"/>
    <x v="3"/>
    <s v="Basic"/>
    <n v="0"/>
    <n v="0"/>
    <n v="0"/>
    <n v="0"/>
    <n v="0"/>
    <n v="0"/>
    <n v="0"/>
    <m/>
    <n v="55.4"/>
    <s v="Normal"/>
  </r>
  <r>
    <s v="USR-100010"/>
    <d v="2025-05-29T00:00:00"/>
    <x v="0"/>
    <s v="West"/>
    <s v="Desktop"/>
    <x v="4"/>
    <s v="Free"/>
    <n v="1"/>
    <n v="0"/>
    <n v="0"/>
    <n v="0"/>
    <n v="0"/>
    <n v="0"/>
    <n v="0"/>
    <m/>
    <n v="57.3"/>
    <s v="Normal"/>
  </r>
  <r>
    <s v="USR-100011"/>
    <d v="2025-04-30T00:00:00"/>
    <x v="0"/>
    <s v="East"/>
    <s v="Mobile"/>
    <x v="2"/>
    <s v="Basic"/>
    <n v="1"/>
    <n v="1"/>
    <n v="1"/>
    <n v="0"/>
    <n v="0"/>
    <n v="0"/>
    <n v="0"/>
    <m/>
    <n v="63.6"/>
    <s v="Normal"/>
  </r>
  <r>
    <s v="USR-100012"/>
    <d v="2025-03-16T00:00:00"/>
    <x v="0"/>
    <s v="East"/>
    <s v="Mobile"/>
    <x v="4"/>
    <s v="Premium"/>
    <n v="1"/>
    <n v="1"/>
    <n v="1"/>
    <n v="0"/>
    <n v="0"/>
    <n v="1"/>
    <n v="0"/>
    <m/>
    <n v="80.400000000000006"/>
    <s v="Normal"/>
  </r>
  <r>
    <s v="USR-100013"/>
    <d v="2025-02-07T00:00:00"/>
    <x v="0"/>
    <s v="South"/>
    <s v="Desktop"/>
    <x v="0"/>
    <s v="Basic"/>
    <n v="1"/>
    <n v="0"/>
    <n v="0"/>
    <n v="0"/>
    <n v="0"/>
    <n v="0"/>
    <n v="0"/>
    <m/>
    <n v="62.4"/>
    <s v="Normal"/>
  </r>
  <r>
    <s v="USR-100014"/>
    <d v="2025-03-02T00:00:00"/>
    <x v="0"/>
    <s v="West"/>
    <s v="Mobile"/>
    <x v="4"/>
    <s v="Basic"/>
    <n v="1"/>
    <n v="0"/>
    <n v="0"/>
    <n v="0"/>
    <n v="0"/>
    <n v="0"/>
    <n v="0"/>
    <m/>
    <n v="82.4"/>
    <s v="Normal"/>
  </r>
  <r>
    <s v="USR-100015"/>
    <d v="2025-05-30T00:00:00"/>
    <x v="0"/>
    <s v="South"/>
    <s v="Mobile"/>
    <x v="1"/>
    <s v="Basic"/>
    <n v="0"/>
    <n v="0"/>
    <n v="0"/>
    <n v="0"/>
    <n v="0"/>
    <n v="0"/>
    <n v="0"/>
    <m/>
    <n v="61.2"/>
    <s v="Normal"/>
  </r>
  <r>
    <s v="USR-100016"/>
    <d v="2025-03-25T00:00:00"/>
    <x v="0"/>
    <s v="South"/>
    <s v="Mobile"/>
    <x v="4"/>
    <s v="Basic"/>
    <n v="1"/>
    <n v="0"/>
    <n v="0"/>
    <n v="0"/>
    <n v="0"/>
    <n v="0"/>
    <n v="0"/>
    <m/>
    <n v="68.900000000000006"/>
    <s v="Normal"/>
  </r>
  <r>
    <s v="USR-100017"/>
    <d v="2025-03-27T00:00:00"/>
    <x v="0"/>
    <s v="East"/>
    <s v="Desktop"/>
    <x v="2"/>
    <s v="Free"/>
    <n v="1"/>
    <n v="1"/>
    <n v="1"/>
    <n v="0"/>
    <n v="0"/>
    <n v="0"/>
    <n v="0"/>
    <m/>
    <n v="71.900000000000006"/>
    <s v="Normal"/>
  </r>
  <r>
    <s v="USR-100018"/>
    <d v="2025-05-28T00:00:00"/>
    <x v="0"/>
    <s v="South"/>
    <s v="Desktop"/>
    <x v="2"/>
    <s v="Free"/>
    <n v="0"/>
    <n v="0"/>
    <n v="0"/>
    <n v="0"/>
    <n v="0"/>
    <n v="0"/>
    <n v="0"/>
    <m/>
    <n v="50.5"/>
    <s v="Normal"/>
  </r>
  <r>
    <s v="USR-100019"/>
    <d v="2025-02-15T00:00:00"/>
    <x v="0"/>
    <s v="North"/>
    <s v="Desktop"/>
    <x v="2"/>
    <s v="Basic"/>
    <n v="0"/>
    <n v="0"/>
    <n v="0"/>
    <n v="0"/>
    <n v="0"/>
    <n v="0"/>
    <n v="0"/>
    <m/>
    <n v="49.3"/>
    <s v="Normal"/>
  </r>
  <r>
    <s v="USR-100020"/>
    <d v="2025-05-05T00:00:00"/>
    <x v="0"/>
    <s v="West"/>
    <s v="Desktop"/>
    <x v="1"/>
    <s v="Basic"/>
    <n v="0"/>
    <n v="0"/>
    <n v="0"/>
    <n v="0"/>
    <n v="0"/>
    <n v="2"/>
    <n v="0"/>
    <m/>
    <n v="60.9"/>
    <s v="Normal"/>
  </r>
  <r>
    <s v="USR-100021"/>
    <d v="2025-04-13T00:00:00"/>
    <x v="0"/>
    <s v="East"/>
    <s v="Mobile"/>
    <x v="4"/>
    <s v="Free"/>
    <n v="1"/>
    <n v="0"/>
    <n v="0"/>
    <n v="0"/>
    <n v="0"/>
    <n v="0"/>
    <n v="0"/>
    <m/>
    <n v="62.7"/>
    <s v="Normal"/>
  </r>
  <r>
    <s v="USR-100022"/>
    <d v="2025-05-07T00:00:00"/>
    <x v="0"/>
    <s v="North"/>
    <s v="Desktop"/>
    <x v="2"/>
    <s v="Free"/>
    <n v="0"/>
    <n v="0"/>
    <n v="0"/>
    <n v="0"/>
    <n v="0"/>
    <n v="0"/>
    <n v="0"/>
    <m/>
    <n v="52.7"/>
    <s v="Normal"/>
  </r>
  <r>
    <s v="USR-100023"/>
    <d v="2025-05-25T00:00:00"/>
    <x v="0"/>
    <s v="North"/>
    <s v="Desktop"/>
    <x v="1"/>
    <s v="Free"/>
    <n v="0"/>
    <n v="0"/>
    <n v="0"/>
    <n v="0"/>
    <n v="0"/>
    <n v="0"/>
    <n v="0"/>
    <m/>
    <n v="54"/>
    <s v="Normal"/>
  </r>
  <r>
    <s v="USR-100024"/>
    <d v="2025-04-01T00:00:00"/>
    <x v="0"/>
    <s v="East"/>
    <s v="Mobile"/>
    <x v="2"/>
    <s v="Premium"/>
    <n v="1"/>
    <n v="1"/>
    <n v="0"/>
    <n v="0"/>
    <n v="0"/>
    <n v="0"/>
    <n v="0"/>
    <m/>
    <n v="51.6"/>
    <s v="Normal"/>
  </r>
  <r>
    <s v="USR-100025"/>
    <d v="2025-02-22T00:00:00"/>
    <x v="0"/>
    <s v="North"/>
    <s v="Mobile"/>
    <x v="2"/>
    <s v="Premium"/>
    <n v="0"/>
    <n v="0"/>
    <n v="0"/>
    <n v="0"/>
    <n v="0"/>
    <n v="2"/>
    <n v="0"/>
    <m/>
    <n v="66.900000000000006"/>
    <s v="Normal"/>
  </r>
  <r>
    <s v="USR-100026"/>
    <d v="2025-03-24T00:00:00"/>
    <x v="0"/>
    <s v="East"/>
    <s v="Mobile"/>
    <x v="1"/>
    <s v="Basic"/>
    <n v="0"/>
    <n v="0"/>
    <n v="0"/>
    <n v="0"/>
    <n v="0"/>
    <n v="0"/>
    <n v="0"/>
    <m/>
    <n v="67.400000000000006"/>
    <s v="Normal"/>
  </r>
  <r>
    <s v="USR-100027"/>
    <d v="2025-02-13T00:00:00"/>
    <x v="0"/>
    <s v="North"/>
    <s v="Mobile"/>
    <x v="1"/>
    <s v="Free"/>
    <n v="0"/>
    <n v="0"/>
    <n v="0"/>
    <n v="0"/>
    <n v="0"/>
    <n v="0"/>
    <n v="0"/>
    <m/>
    <n v="58.8"/>
    <s v="Normal"/>
  </r>
  <r>
    <s v="USR-100028"/>
    <d v="2025-05-30T00:00:00"/>
    <x v="0"/>
    <s v="South"/>
    <s v="Mobile"/>
    <x v="1"/>
    <s v="Free"/>
    <n v="1"/>
    <n v="0"/>
    <n v="0"/>
    <n v="0"/>
    <n v="0"/>
    <n v="0"/>
    <n v="0"/>
    <m/>
    <n v="73.8"/>
    <s v="Normal"/>
  </r>
  <r>
    <s v="USR-100029"/>
    <d v="2025-01-20T00:00:00"/>
    <x v="0"/>
    <s v="East"/>
    <s v="Tablet"/>
    <x v="1"/>
    <s v="Basic"/>
    <n v="0"/>
    <n v="0"/>
    <n v="0"/>
    <n v="0"/>
    <n v="0"/>
    <n v="0"/>
    <n v="0"/>
    <m/>
    <n v="60.1"/>
    <s v="Normal"/>
  </r>
  <r>
    <s v="USR-100030"/>
    <d v="2025-05-19T00:00:00"/>
    <x v="0"/>
    <s v="East"/>
    <s v="Mobile"/>
    <x v="4"/>
    <s v="Basic"/>
    <n v="1"/>
    <n v="1"/>
    <n v="1"/>
    <n v="0"/>
    <n v="0"/>
    <n v="0"/>
    <n v="0"/>
    <m/>
    <n v="41"/>
    <s v="Normal"/>
  </r>
  <r>
    <s v="USR-100031"/>
    <d v="2025-02-18T00:00:00"/>
    <x v="0"/>
    <s v="South"/>
    <s v="Mobile"/>
    <x v="1"/>
    <s v="Basic"/>
    <n v="1"/>
    <n v="0"/>
    <n v="0"/>
    <n v="0"/>
    <n v="0"/>
    <n v="0"/>
    <n v="0"/>
    <m/>
    <n v="80.3"/>
    <s v="Normal"/>
  </r>
  <r>
    <s v="USR-100032"/>
    <d v="2025-02-13T00:00:00"/>
    <x v="0"/>
    <s v="East"/>
    <s v="Mobile"/>
    <x v="1"/>
    <s v="Free"/>
    <n v="0"/>
    <n v="0"/>
    <n v="0"/>
    <n v="0"/>
    <n v="0"/>
    <n v="0"/>
    <n v="0"/>
    <m/>
    <n v="67.599999999999994"/>
    <s v="Normal"/>
  </r>
  <r>
    <s v="USR-100033"/>
    <d v="2025-03-08T00:00:00"/>
    <x v="0"/>
    <s v="East"/>
    <s v="Desktop"/>
    <x v="3"/>
    <s v="Premium"/>
    <n v="0"/>
    <n v="0"/>
    <n v="0"/>
    <n v="0"/>
    <n v="0"/>
    <n v="0"/>
    <n v="0"/>
    <m/>
    <n v="64"/>
    <s v="Normal"/>
  </r>
  <r>
    <s v="USR-100034"/>
    <d v="2025-01-11T00:00:00"/>
    <x v="0"/>
    <s v="North"/>
    <s v="Mobile"/>
    <x v="2"/>
    <s v="Free"/>
    <n v="1"/>
    <n v="1"/>
    <n v="0"/>
    <n v="0"/>
    <n v="0"/>
    <n v="0"/>
    <n v="0"/>
    <m/>
    <n v="27.2"/>
    <s v="Normal"/>
  </r>
  <r>
    <s v="USR-100035"/>
    <d v="2025-02-12T00:00:00"/>
    <x v="0"/>
    <s v="North"/>
    <s v="Desktop"/>
    <x v="1"/>
    <s v="Free"/>
    <n v="1"/>
    <n v="0"/>
    <n v="0"/>
    <n v="0"/>
    <n v="0"/>
    <n v="0"/>
    <n v="0"/>
    <m/>
    <n v="85.4"/>
    <s v="Normal"/>
  </r>
  <r>
    <s v="USR-100036"/>
    <d v="2025-04-13T00:00:00"/>
    <x v="0"/>
    <s v="East"/>
    <s v="Desktop"/>
    <x v="1"/>
    <s v="Basic"/>
    <n v="1"/>
    <n v="0"/>
    <n v="0"/>
    <n v="0"/>
    <n v="0"/>
    <n v="0"/>
    <n v="0"/>
    <m/>
    <n v="75.900000000000006"/>
    <s v="Normal"/>
  </r>
  <r>
    <s v="USR-100037"/>
    <d v="2025-05-09T00:00:00"/>
    <x v="0"/>
    <s v="East"/>
    <s v="Mobile"/>
    <x v="1"/>
    <s v="Premium"/>
    <n v="1"/>
    <n v="0"/>
    <n v="0"/>
    <n v="0"/>
    <n v="0"/>
    <n v="1"/>
    <n v="0"/>
    <m/>
    <n v="34.799999999999997"/>
    <s v="Normal"/>
  </r>
  <r>
    <s v="USR-100038"/>
    <d v="2025-01-20T00:00:00"/>
    <x v="0"/>
    <s v="East"/>
    <s v="Mobile"/>
    <x v="1"/>
    <s v="Free"/>
    <n v="1"/>
    <n v="1"/>
    <n v="1"/>
    <n v="0"/>
    <n v="0"/>
    <n v="3"/>
    <n v="0"/>
    <m/>
    <n v="48.9"/>
    <s v="Normal"/>
  </r>
  <r>
    <s v="USR-100039"/>
    <d v="2025-05-13T00:00:00"/>
    <x v="0"/>
    <s v="East"/>
    <s v="Mobile"/>
    <x v="0"/>
    <s v="Premium"/>
    <n v="1"/>
    <n v="0"/>
    <n v="0"/>
    <n v="0"/>
    <n v="0"/>
    <n v="0"/>
    <n v="0"/>
    <m/>
    <n v="41.5"/>
    <s v="Normal"/>
  </r>
  <r>
    <s v="USR-100040"/>
    <d v="2025-04-07T00:00:00"/>
    <x v="0"/>
    <s v="North"/>
    <s v="Desktop"/>
    <x v="1"/>
    <s v="Basic"/>
    <n v="1"/>
    <n v="0"/>
    <n v="0"/>
    <n v="0"/>
    <n v="0"/>
    <n v="0"/>
    <n v="0"/>
    <m/>
    <n v="51.5"/>
    <s v="Normal"/>
  </r>
  <r>
    <s v="USR-100041"/>
    <d v="2025-03-31T00:00:00"/>
    <x v="0"/>
    <s v="North"/>
    <s v="Desktop"/>
    <x v="1"/>
    <s v="Free"/>
    <n v="0"/>
    <n v="0"/>
    <n v="0"/>
    <n v="0"/>
    <n v="0"/>
    <n v="0"/>
    <n v="0"/>
    <m/>
    <n v="53.2"/>
    <s v="Normal"/>
  </r>
  <r>
    <s v="USR-100042"/>
    <d v="2025-01-25T00:00:00"/>
    <x v="0"/>
    <s v="East"/>
    <s v="Mobile"/>
    <x v="0"/>
    <s v="Premium"/>
    <n v="0"/>
    <n v="0"/>
    <n v="0"/>
    <n v="0"/>
    <n v="0"/>
    <n v="0"/>
    <n v="0"/>
    <m/>
    <n v="55.6"/>
    <s v="Normal"/>
  </r>
  <r>
    <s v="USR-100043"/>
    <d v="2025-02-14T00:00:00"/>
    <x v="0"/>
    <s v="South"/>
    <s v="Desktop"/>
    <x v="1"/>
    <s v="Free"/>
    <n v="0"/>
    <n v="0"/>
    <n v="0"/>
    <n v="0"/>
    <n v="0"/>
    <n v="0"/>
    <n v="0"/>
    <m/>
    <n v="73"/>
    <s v="Normal"/>
  </r>
  <r>
    <s v="USR-100044"/>
    <d v="2025-02-27T00:00:00"/>
    <x v="0"/>
    <s v="East"/>
    <s v="Mobile"/>
    <x v="0"/>
    <s v="Free"/>
    <n v="1"/>
    <n v="0"/>
    <n v="0"/>
    <n v="0"/>
    <n v="0"/>
    <n v="0"/>
    <n v="0"/>
    <m/>
    <n v="65"/>
    <s v="Normal"/>
  </r>
  <r>
    <s v="USR-100045"/>
    <d v="2025-03-28T00:00:00"/>
    <x v="0"/>
    <s v="East"/>
    <s v="Mobile"/>
    <x v="4"/>
    <s v="Free"/>
    <n v="1"/>
    <n v="0"/>
    <n v="0"/>
    <n v="0"/>
    <n v="0"/>
    <n v="4"/>
    <n v="0"/>
    <m/>
    <n v="56.3"/>
    <s v="Normal"/>
  </r>
  <r>
    <s v="USR-100046"/>
    <d v="2025-05-25T00:00:00"/>
    <x v="0"/>
    <s v="East"/>
    <s v="Mobile"/>
    <x v="3"/>
    <s v="Premium"/>
    <n v="1"/>
    <n v="0"/>
    <n v="0"/>
    <n v="0"/>
    <n v="0"/>
    <n v="0"/>
    <n v="0"/>
    <m/>
    <n v="62.4"/>
    <s v="Normal"/>
  </r>
  <r>
    <s v="USR-100047"/>
    <d v="2025-05-05T00:00:00"/>
    <x v="0"/>
    <s v="West"/>
    <s v="Desktop"/>
    <x v="1"/>
    <s v="Free"/>
    <n v="1"/>
    <n v="1"/>
    <n v="1"/>
    <n v="0"/>
    <n v="0"/>
    <n v="0"/>
    <n v="0"/>
    <m/>
    <n v="58.1"/>
    <s v="Normal"/>
  </r>
  <r>
    <s v="USR-100048"/>
    <d v="2025-05-16T00:00:00"/>
    <x v="0"/>
    <s v="North"/>
    <s v="Mobile"/>
    <x v="1"/>
    <s v="Free"/>
    <n v="1"/>
    <n v="1"/>
    <n v="1"/>
    <n v="0"/>
    <n v="0"/>
    <n v="0"/>
    <n v="0"/>
    <m/>
    <n v="80.8"/>
    <s v="Normal"/>
  </r>
  <r>
    <s v="USR-100049"/>
    <d v="2025-01-08T00:00:00"/>
    <x v="0"/>
    <s v="North"/>
    <s v="Mobile"/>
    <x v="4"/>
    <s v="Free"/>
    <n v="1"/>
    <n v="1"/>
    <n v="0"/>
    <n v="0"/>
    <n v="0"/>
    <n v="0"/>
    <n v="0"/>
    <m/>
    <n v="42.9"/>
    <s v="Normal"/>
  </r>
  <r>
    <s v="USR-100050"/>
    <d v="2025-01-06T00:00:00"/>
    <x v="0"/>
    <s v="West"/>
    <s v="Desktop"/>
    <x v="2"/>
    <s v="Free"/>
    <n v="1"/>
    <n v="0"/>
    <n v="0"/>
    <n v="0"/>
    <n v="0"/>
    <n v="0"/>
    <n v="0"/>
    <m/>
    <n v="52.7"/>
    <s v="Normal"/>
  </r>
  <r>
    <s v="USR-100051"/>
    <d v="2025-01-12T00:00:00"/>
    <x v="0"/>
    <s v="North"/>
    <s v="Mobile"/>
    <x v="4"/>
    <s v="Basic"/>
    <n v="0"/>
    <n v="0"/>
    <n v="0"/>
    <n v="0"/>
    <n v="0"/>
    <n v="0"/>
    <n v="0"/>
    <m/>
    <n v="46.9"/>
    <s v="Normal"/>
  </r>
  <r>
    <s v="USR-100052"/>
    <d v="2025-02-14T00:00:00"/>
    <x v="0"/>
    <s v="East"/>
    <s v="Desktop"/>
    <x v="0"/>
    <s v="Premium"/>
    <n v="1"/>
    <n v="0"/>
    <n v="0"/>
    <n v="0"/>
    <n v="0"/>
    <n v="0"/>
    <n v="0"/>
    <m/>
    <n v="63"/>
    <s v="Normal"/>
  </r>
  <r>
    <s v="USR-100053"/>
    <d v="2025-03-10T00:00:00"/>
    <x v="0"/>
    <s v="South"/>
    <s v="Tablet"/>
    <x v="1"/>
    <s v="Free"/>
    <n v="0"/>
    <n v="0"/>
    <n v="0"/>
    <n v="0"/>
    <n v="0"/>
    <n v="0"/>
    <n v="0"/>
    <m/>
    <n v="53.6"/>
    <s v="Normal"/>
  </r>
  <r>
    <s v="USR-100054"/>
    <d v="2025-04-20T00:00:00"/>
    <x v="0"/>
    <s v="West"/>
    <s v="Desktop"/>
    <x v="1"/>
    <s v="Basic"/>
    <n v="0"/>
    <n v="0"/>
    <n v="0"/>
    <n v="0"/>
    <n v="0"/>
    <n v="0"/>
    <n v="0"/>
    <m/>
    <n v="49.6"/>
    <s v="Normal"/>
  </r>
  <r>
    <s v="USR-100055"/>
    <d v="2025-02-19T00:00:00"/>
    <x v="0"/>
    <s v="South"/>
    <s v="Mobile"/>
    <x v="1"/>
    <s v="Free"/>
    <n v="0"/>
    <n v="0"/>
    <n v="0"/>
    <n v="0"/>
    <n v="0"/>
    <n v="0"/>
    <n v="0"/>
    <m/>
    <n v="54"/>
    <s v="Normal"/>
  </r>
  <r>
    <s v="USR-100056"/>
    <d v="2025-05-17T00:00:00"/>
    <x v="0"/>
    <s v="South"/>
    <s v="Mobile"/>
    <x v="4"/>
    <s v="Basic"/>
    <n v="1"/>
    <n v="0"/>
    <n v="0"/>
    <n v="0"/>
    <n v="0"/>
    <n v="2"/>
    <n v="0"/>
    <m/>
    <n v="50"/>
    <s v="Normal"/>
  </r>
  <r>
    <s v="USR-100057"/>
    <d v="2025-04-01T00:00:00"/>
    <x v="0"/>
    <s v="East"/>
    <s v="Mobile"/>
    <x v="4"/>
    <s v="Basic"/>
    <n v="0"/>
    <n v="0"/>
    <n v="0"/>
    <n v="0"/>
    <n v="0"/>
    <n v="0"/>
    <n v="0"/>
    <m/>
    <n v="48.1"/>
    <s v="Normal"/>
  </r>
  <r>
    <s v="USR-100058"/>
    <d v="2025-02-04T00:00:00"/>
    <x v="0"/>
    <s v="North"/>
    <s v="Desktop"/>
    <x v="1"/>
    <s v="Free"/>
    <n v="1"/>
    <n v="0"/>
    <n v="0"/>
    <n v="0"/>
    <n v="0"/>
    <n v="0"/>
    <n v="0"/>
    <m/>
    <n v="49.6"/>
    <s v="Normal"/>
  </r>
  <r>
    <s v="USR-100059"/>
    <d v="2025-04-14T00:00:00"/>
    <x v="0"/>
    <s v="North"/>
    <s v="Mobile"/>
    <x v="4"/>
    <s v="Free"/>
    <n v="0"/>
    <n v="0"/>
    <n v="0"/>
    <n v="0"/>
    <n v="0"/>
    <n v="2"/>
    <n v="0"/>
    <m/>
    <n v="48.9"/>
    <s v="Normal"/>
  </r>
  <r>
    <s v="USR-100060"/>
    <d v="2025-01-01T00:00:00"/>
    <x v="0"/>
    <s v="West"/>
    <s v="Mobile"/>
    <x v="4"/>
    <s v="Free"/>
    <n v="1"/>
    <n v="1"/>
    <n v="1"/>
    <n v="1"/>
    <n v="240.42"/>
    <n v="0"/>
    <n v="0"/>
    <n v="16"/>
    <n v="56.5"/>
    <s v="Normal"/>
  </r>
  <r>
    <s v="USR-100061"/>
    <d v="2025-04-02T00:00:00"/>
    <x v="0"/>
    <s v="South"/>
    <s v="Mobile"/>
    <x v="3"/>
    <s v="Free"/>
    <n v="1"/>
    <n v="0"/>
    <n v="0"/>
    <n v="0"/>
    <n v="0"/>
    <n v="0"/>
    <n v="0"/>
    <m/>
    <n v="53.7"/>
    <s v="Normal"/>
  </r>
  <r>
    <s v="USR-100062"/>
    <d v="2025-03-29T00:00:00"/>
    <x v="0"/>
    <s v="North"/>
    <s v="Mobile"/>
    <x v="4"/>
    <s v="Premium"/>
    <n v="0"/>
    <n v="0"/>
    <n v="0"/>
    <n v="0"/>
    <n v="0"/>
    <n v="0"/>
    <n v="0"/>
    <m/>
    <n v="62.2"/>
    <s v="Normal"/>
  </r>
  <r>
    <s v="USR-100063"/>
    <d v="2025-05-15T00:00:00"/>
    <x v="0"/>
    <s v="South"/>
    <s v="Desktop"/>
    <x v="1"/>
    <s v="Free"/>
    <n v="1"/>
    <n v="0"/>
    <n v="0"/>
    <n v="0"/>
    <n v="0"/>
    <n v="0"/>
    <n v="0"/>
    <m/>
    <n v="50.2"/>
    <s v="Normal"/>
  </r>
  <r>
    <s v="USR-100064"/>
    <d v="2025-04-11T00:00:00"/>
    <x v="0"/>
    <s v="North"/>
    <s v="Mobile"/>
    <x v="1"/>
    <s v="Basic"/>
    <n v="1"/>
    <n v="0"/>
    <n v="0"/>
    <n v="0"/>
    <n v="0"/>
    <n v="0"/>
    <n v="0"/>
    <m/>
    <n v="74.3"/>
    <s v="Normal"/>
  </r>
  <r>
    <s v="USR-100065"/>
    <d v="2025-03-07T00:00:00"/>
    <x v="0"/>
    <s v="South"/>
    <s v="Desktop"/>
    <x v="2"/>
    <s v="Free"/>
    <n v="1"/>
    <n v="0"/>
    <n v="0"/>
    <n v="0"/>
    <n v="0"/>
    <n v="0"/>
    <n v="0"/>
    <m/>
    <n v="58"/>
    <s v="Normal"/>
  </r>
  <r>
    <s v="USR-100066"/>
    <d v="2025-05-30T00:00:00"/>
    <x v="0"/>
    <s v="South"/>
    <s v="Mobile"/>
    <x v="1"/>
    <s v="Free"/>
    <n v="0"/>
    <n v="0"/>
    <n v="0"/>
    <n v="0"/>
    <n v="0"/>
    <n v="0"/>
    <n v="0"/>
    <m/>
    <n v="46.7"/>
    <s v="Normal"/>
  </r>
  <r>
    <s v="USR-100067"/>
    <d v="2025-01-07T00:00:00"/>
    <x v="0"/>
    <s v="South"/>
    <s v="Desktop"/>
    <x v="1"/>
    <s v="Premium"/>
    <n v="1"/>
    <n v="0"/>
    <n v="0"/>
    <n v="0"/>
    <n v="0"/>
    <n v="1"/>
    <n v="0"/>
    <m/>
    <n v="49.6"/>
    <s v="Normal"/>
  </r>
  <r>
    <s v="USR-100068"/>
    <d v="2025-05-08T00:00:00"/>
    <x v="0"/>
    <s v="West"/>
    <s v="Mobile"/>
    <x v="4"/>
    <s v="Free"/>
    <n v="0"/>
    <n v="0"/>
    <n v="0"/>
    <n v="0"/>
    <n v="0"/>
    <n v="0"/>
    <n v="0"/>
    <m/>
    <n v="60.4"/>
    <s v="Normal"/>
  </r>
  <r>
    <s v="USR-100069"/>
    <d v="2025-03-19T00:00:00"/>
    <x v="0"/>
    <s v="East"/>
    <s v="Desktop"/>
    <x v="0"/>
    <s v="Free"/>
    <n v="1"/>
    <n v="1"/>
    <n v="1"/>
    <n v="0"/>
    <n v="0"/>
    <n v="0"/>
    <n v="0"/>
    <m/>
    <n v="55.3"/>
    <s v="Normal"/>
  </r>
  <r>
    <s v="USR-100070"/>
    <d v="2025-05-16T00:00:00"/>
    <x v="0"/>
    <s v="North"/>
    <s v="Desktop"/>
    <x v="1"/>
    <s v="Free"/>
    <n v="0"/>
    <n v="0"/>
    <n v="0"/>
    <n v="0"/>
    <n v="0"/>
    <n v="0"/>
    <n v="0"/>
    <m/>
    <n v="56.2"/>
    <s v="Normal"/>
  </r>
  <r>
    <s v="USR-100071"/>
    <d v="2025-03-08T00:00:00"/>
    <x v="0"/>
    <s v="West"/>
    <s v="Mobile"/>
    <x v="0"/>
    <s v="Free"/>
    <n v="0"/>
    <n v="0"/>
    <n v="0"/>
    <n v="0"/>
    <n v="0"/>
    <n v="0"/>
    <n v="0"/>
    <m/>
    <n v="29.4"/>
    <s v="Normal"/>
  </r>
  <r>
    <s v="USR-100072"/>
    <d v="2025-03-08T00:00:00"/>
    <x v="0"/>
    <s v="East"/>
    <s v="Mobile"/>
    <x v="0"/>
    <s v="Free"/>
    <n v="1"/>
    <n v="0"/>
    <n v="0"/>
    <n v="0"/>
    <n v="0"/>
    <n v="0"/>
    <n v="0"/>
    <m/>
    <n v="54.2"/>
    <s v="Normal"/>
  </r>
  <r>
    <s v="USR-100073"/>
    <d v="2025-01-14T00:00:00"/>
    <x v="0"/>
    <s v="East"/>
    <s v="Desktop"/>
    <x v="2"/>
    <s v="Basic"/>
    <n v="0"/>
    <n v="0"/>
    <n v="0"/>
    <n v="0"/>
    <n v="0"/>
    <n v="0"/>
    <n v="0"/>
    <m/>
    <n v="46.4"/>
    <s v="Normal"/>
  </r>
  <r>
    <s v="USR-100074"/>
    <d v="2025-02-10T00:00:00"/>
    <x v="0"/>
    <s v="South"/>
    <s v="Mobile"/>
    <x v="2"/>
    <s v="Basic"/>
    <n v="0"/>
    <n v="0"/>
    <n v="0"/>
    <n v="0"/>
    <n v="0"/>
    <n v="0"/>
    <n v="0"/>
    <m/>
    <n v="54.5"/>
    <s v="Normal"/>
  </r>
  <r>
    <s v="USR-100075"/>
    <d v="2025-03-17T00:00:00"/>
    <x v="0"/>
    <s v="North"/>
    <s v="Mobile"/>
    <x v="1"/>
    <s v="Free"/>
    <n v="0"/>
    <n v="0"/>
    <n v="0"/>
    <n v="0"/>
    <n v="0"/>
    <n v="0"/>
    <n v="0"/>
    <m/>
    <n v="58.5"/>
    <s v="Normal"/>
  </r>
  <r>
    <s v="USR-100076"/>
    <d v="2025-01-09T00:00:00"/>
    <x v="0"/>
    <s v="South"/>
    <s v="Mobile"/>
    <x v="0"/>
    <s v="Free"/>
    <n v="0"/>
    <n v="0"/>
    <n v="0"/>
    <n v="0"/>
    <n v="0"/>
    <n v="0"/>
    <n v="0"/>
    <m/>
    <n v="75.900000000000006"/>
    <s v="Normal"/>
  </r>
  <r>
    <s v="USR-100077"/>
    <d v="2025-04-17T00:00:00"/>
    <x v="0"/>
    <s v="North"/>
    <s v="Mobile"/>
    <x v="3"/>
    <s v="Free"/>
    <n v="0"/>
    <n v="0"/>
    <n v="0"/>
    <n v="0"/>
    <n v="0"/>
    <n v="1"/>
    <n v="0"/>
    <m/>
    <n v="84.9"/>
    <s v="Normal"/>
  </r>
  <r>
    <s v="USR-100078"/>
    <d v="2025-01-16T00:00:00"/>
    <x v="0"/>
    <s v="North"/>
    <s v="Mobile"/>
    <x v="1"/>
    <s v="Free"/>
    <n v="0"/>
    <n v="0"/>
    <n v="0"/>
    <n v="0"/>
    <n v="0"/>
    <n v="2"/>
    <n v="0"/>
    <m/>
    <n v="48.4"/>
    <s v="Normal"/>
  </r>
  <r>
    <s v="USR-100079"/>
    <d v="2025-02-20T00:00:00"/>
    <x v="0"/>
    <s v="West"/>
    <s v="Desktop"/>
    <x v="1"/>
    <s v="Free"/>
    <n v="1"/>
    <n v="1"/>
    <n v="1"/>
    <n v="1"/>
    <n v="457.51"/>
    <n v="0"/>
    <n v="0"/>
    <n v="7"/>
    <n v="38"/>
    <s v="Normal"/>
  </r>
  <r>
    <s v="USR-100080"/>
    <d v="2025-05-21T00:00:00"/>
    <x v="0"/>
    <s v="East"/>
    <s v="Mobile"/>
    <x v="4"/>
    <s v="Free"/>
    <n v="1"/>
    <n v="0"/>
    <n v="0"/>
    <n v="0"/>
    <n v="0"/>
    <n v="0"/>
    <n v="0"/>
    <m/>
    <n v="44.2"/>
    <s v="Normal"/>
  </r>
  <r>
    <s v="USR-100081"/>
    <d v="2025-05-08T00:00:00"/>
    <x v="0"/>
    <s v="South"/>
    <s v="Mobile"/>
    <x v="1"/>
    <s v="Free"/>
    <n v="1"/>
    <n v="1"/>
    <n v="1"/>
    <n v="0"/>
    <n v="0"/>
    <n v="0"/>
    <n v="0"/>
    <m/>
    <n v="81.2"/>
    <s v="Normal"/>
  </r>
  <r>
    <s v="USR-100082"/>
    <d v="2025-03-08T00:00:00"/>
    <x v="0"/>
    <s v="South"/>
    <s v="Mobile"/>
    <x v="3"/>
    <s v="Free"/>
    <n v="1"/>
    <n v="1"/>
    <n v="0"/>
    <n v="0"/>
    <n v="0"/>
    <n v="0"/>
    <n v="0"/>
    <m/>
    <n v="63.8"/>
    <s v="Normal"/>
  </r>
  <r>
    <s v="USR-100083"/>
    <d v="2025-04-01T00:00:00"/>
    <x v="0"/>
    <s v="South"/>
    <s v="Desktop"/>
    <x v="0"/>
    <s v="Free"/>
    <n v="0"/>
    <n v="0"/>
    <n v="0"/>
    <n v="0"/>
    <n v="0"/>
    <n v="0"/>
    <n v="0"/>
    <m/>
    <n v="64.7"/>
    <s v="Normal"/>
  </r>
  <r>
    <s v="USR-100084"/>
    <d v="2025-03-03T00:00:00"/>
    <x v="0"/>
    <s v="West"/>
    <s v="Mobile"/>
    <x v="4"/>
    <s v="Basic"/>
    <n v="0"/>
    <n v="0"/>
    <n v="0"/>
    <n v="0"/>
    <n v="0"/>
    <n v="0"/>
    <n v="0"/>
    <m/>
    <n v="60.4"/>
    <s v="Normal"/>
  </r>
  <r>
    <s v="USR-100085"/>
    <d v="2025-04-16T00:00:00"/>
    <x v="0"/>
    <s v="South"/>
    <s v="Mobile"/>
    <x v="2"/>
    <s v="Free"/>
    <n v="0"/>
    <n v="0"/>
    <n v="0"/>
    <n v="0"/>
    <n v="0"/>
    <n v="0"/>
    <n v="0"/>
    <m/>
    <n v="66.599999999999994"/>
    <s v="Normal"/>
  </r>
  <r>
    <s v="USR-100086"/>
    <d v="2025-01-09T00:00:00"/>
    <x v="0"/>
    <s v="North"/>
    <s v="Desktop"/>
    <x v="1"/>
    <s v="Free"/>
    <n v="1"/>
    <n v="0"/>
    <n v="0"/>
    <n v="0"/>
    <n v="0"/>
    <n v="0"/>
    <n v="0"/>
    <m/>
    <n v="50.9"/>
    <s v="Normal"/>
  </r>
  <r>
    <s v="USR-100087"/>
    <d v="2025-01-22T00:00:00"/>
    <x v="0"/>
    <s v="West"/>
    <s v="Desktop"/>
    <x v="4"/>
    <s v="Basic"/>
    <n v="0"/>
    <n v="0"/>
    <n v="0"/>
    <n v="0"/>
    <n v="0"/>
    <n v="0"/>
    <n v="0"/>
    <m/>
    <n v="51"/>
    <s v="Normal"/>
  </r>
  <r>
    <s v="USR-100088"/>
    <d v="2025-04-30T00:00:00"/>
    <x v="0"/>
    <s v="South"/>
    <s v="Mobile"/>
    <x v="0"/>
    <s v="Premium"/>
    <n v="0"/>
    <n v="0"/>
    <n v="0"/>
    <n v="0"/>
    <n v="0"/>
    <n v="0"/>
    <n v="0"/>
    <m/>
    <n v="65.8"/>
    <s v="Normal"/>
  </r>
  <r>
    <s v="USR-100089"/>
    <d v="2025-04-25T00:00:00"/>
    <x v="0"/>
    <s v="North"/>
    <s v="Mobile"/>
    <x v="3"/>
    <s v="Basic"/>
    <n v="1"/>
    <n v="0"/>
    <n v="0"/>
    <n v="0"/>
    <n v="0"/>
    <n v="0"/>
    <n v="0"/>
    <m/>
    <n v="61.8"/>
    <s v="Normal"/>
  </r>
  <r>
    <s v="USR-100090"/>
    <d v="2025-02-01T00:00:00"/>
    <x v="0"/>
    <s v="North"/>
    <s v="Mobile"/>
    <x v="1"/>
    <s v="Basic"/>
    <n v="1"/>
    <n v="0"/>
    <n v="0"/>
    <n v="0"/>
    <n v="0"/>
    <n v="0"/>
    <n v="0"/>
    <m/>
    <n v="54.5"/>
    <s v="Normal"/>
  </r>
  <r>
    <s v="USR-100091"/>
    <d v="2025-04-23T00:00:00"/>
    <x v="0"/>
    <s v="South"/>
    <s v="Desktop"/>
    <x v="1"/>
    <s v="Free"/>
    <n v="1"/>
    <n v="0"/>
    <n v="0"/>
    <n v="0"/>
    <n v="0"/>
    <n v="0"/>
    <n v="0"/>
    <m/>
    <n v="72.2"/>
    <s v="Normal"/>
  </r>
  <r>
    <s v="USR-100092"/>
    <d v="2025-02-27T00:00:00"/>
    <x v="0"/>
    <s v="South"/>
    <s v="Mobile"/>
    <x v="4"/>
    <s v="Free"/>
    <n v="1"/>
    <n v="0"/>
    <n v="0"/>
    <n v="0"/>
    <n v="0"/>
    <n v="0"/>
    <n v="0"/>
    <m/>
    <n v="42.3"/>
    <s v="Normal"/>
  </r>
  <r>
    <s v="USR-100093"/>
    <d v="2025-04-09T00:00:00"/>
    <x v="0"/>
    <s v="East"/>
    <s v="Desktop"/>
    <x v="1"/>
    <s v="Basic"/>
    <n v="1"/>
    <n v="0"/>
    <n v="0"/>
    <n v="0"/>
    <n v="0"/>
    <n v="0"/>
    <n v="0"/>
    <m/>
    <n v="76.2"/>
    <s v="Normal"/>
  </r>
  <r>
    <s v="USR-100094"/>
    <d v="2025-05-13T00:00:00"/>
    <x v="0"/>
    <s v="South"/>
    <s v="Tablet"/>
    <x v="1"/>
    <s v="Premium"/>
    <n v="1"/>
    <n v="1"/>
    <n v="1"/>
    <n v="0"/>
    <n v="0"/>
    <n v="1"/>
    <n v="0"/>
    <m/>
    <n v="37.4"/>
    <s v="Normal"/>
  </r>
  <r>
    <s v="USR-100095"/>
    <d v="2025-04-13T00:00:00"/>
    <x v="0"/>
    <s v="East"/>
    <s v="Mobile"/>
    <x v="1"/>
    <s v="Free"/>
    <n v="0"/>
    <n v="0"/>
    <n v="0"/>
    <n v="0"/>
    <n v="0"/>
    <n v="0"/>
    <n v="0"/>
    <m/>
    <n v="84.2"/>
    <s v="Normal"/>
  </r>
  <r>
    <s v="USR-100096"/>
    <d v="2025-02-05T00:00:00"/>
    <x v="0"/>
    <s v="East"/>
    <s v="Mobile"/>
    <x v="4"/>
    <s v="Free"/>
    <n v="0"/>
    <n v="0"/>
    <n v="0"/>
    <n v="0"/>
    <n v="0"/>
    <n v="0"/>
    <n v="0"/>
    <m/>
    <n v="68"/>
    <s v="Normal"/>
  </r>
  <r>
    <s v="USR-100097"/>
    <d v="2025-02-14T00:00:00"/>
    <x v="0"/>
    <s v="West"/>
    <s v="Mobile"/>
    <x v="1"/>
    <s v="Basic"/>
    <n v="1"/>
    <n v="0"/>
    <n v="0"/>
    <n v="0"/>
    <n v="0"/>
    <n v="0"/>
    <n v="0"/>
    <m/>
    <n v="53.5"/>
    <s v="Normal"/>
  </r>
  <r>
    <s v="USR-100098"/>
    <d v="2025-02-11T00:00:00"/>
    <x v="0"/>
    <s v="North"/>
    <s v="Desktop"/>
    <x v="1"/>
    <s v="Premium"/>
    <n v="1"/>
    <n v="0"/>
    <n v="0"/>
    <n v="0"/>
    <n v="0"/>
    <n v="0"/>
    <n v="0"/>
    <m/>
    <n v="63.2"/>
    <s v="Normal"/>
  </r>
  <r>
    <s v="USR-100099"/>
    <d v="2025-02-11T00:00:00"/>
    <x v="0"/>
    <s v="East"/>
    <s v="Desktop"/>
    <x v="4"/>
    <s v="Free"/>
    <n v="1"/>
    <n v="1"/>
    <n v="1"/>
    <n v="1"/>
    <n v="363.32"/>
    <n v="0"/>
    <n v="0"/>
    <n v="9"/>
    <n v="55.9"/>
    <s v="Normal"/>
  </r>
  <r>
    <s v="USR-100100"/>
    <d v="2025-05-26T00:00:00"/>
    <x v="0"/>
    <s v="North"/>
    <s v="Mobile"/>
    <x v="1"/>
    <s v="Free"/>
    <n v="1"/>
    <n v="0"/>
    <n v="0"/>
    <n v="0"/>
    <n v="0"/>
    <n v="0"/>
    <n v="0"/>
    <m/>
    <n v="63.5"/>
    <s v="Normal"/>
  </r>
  <r>
    <s v="USR-100101"/>
    <d v="2025-03-22T00:00:00"/>
    <x v="0"/>
    <s v="North"/>
    <s v="Mobile"/>
    <x v="2"/>
    <s v="Basic"/>
    <n v="1"/>
    <n v="0"/>
    <n v="0"/>
    <n v="0"/>
    <n v="0"/>
    <n v="0"/>
    <n v="0"/>
    <m/>
    <n v="51.5"/>
    <s v="Normal"/>
  </r>
  <r>
    <s v="USR-100102"/>
    <d v="2025-04-08T00:00:00"/>
    <x v="0"/>
    <s v="West"/>
    <s v="Mobile"/>
    <x v="2"/>
    <s v="Free"/>
    <n v="1"/>
    <n v="0"/>
    <n v="0"/>
    <n v="0"/>
    <n v="0"/>
    <n v="0"/>
    <n v="0"/>
    <m/>
    <n v="74.400000000000006"/>
    <s v="Normal"/>
  </r>
  <r>
    <s v="USR-100103"/>
    <d v="2025-04-14T00:00:00"/>
    <x v="0"/>
    <s v="North"/>
    <s v="Desktop"/>
    <x v="4"/>
    <s v="Free"/>
    <n v="1"/>
    <n v="1"/>
    <n v="1"/>
    <n v="1"/>
    <n v="3887.98"/>
    <n v="0"/>
    <n v="0"/>
    <n v="13"/>
    <n v="60.2"/>
    <s v="Outlier"/>
  </r>
  <r>
    <s v="USR-100104"/>
    <d v="2025-03-27T00:00:00"/>
    <x v="0"/>
    <s v="South"/>
    <s v="Mobile"/>
    <x v="0"/>
    <s v="Free"/>
    <n v="1"/>
    <n v="0"/>
    <n v="0"/>
    <n v="0"/>
    <n v="0"/>
    <n v="1"/>
    <n v="0"/>
    <m/>
    <n v="67.2"/>
    <s v="Normal"/>
  </r>
  <r>
    <s v="USR-100105"/>
    <d v="2025-01-05T00:00:00"/>
    <x v="0"/>
    <s v="South"/>
    <s v="Mobile"/>
    <x v="4"/>
    <s v="Free"/>
    <n v="1"/>
    <n v="1"/>
    <n v="1"/>
    <n v="0"/>
    <n v="0"/>
    <n v="0"/>
    <n v="0"/>
    <m/>
    <n v="79.599999999999994"/>
    <s v="Normal"/>
  </r>
  <r>
    <s v="USR-100106"/>
    <d v="2025-01-25T00:00:00"/>
    <x v="0"/>
    <s v="South"/>
    <s v="Mobile"/>
    <x v="4"/>
    <s v="Basic"/>
    <n v="1"/>
    <n v="1"/>
    <n v="1"/>
    <n v="1"/>
    <n v="8610.7199999999993"/>
    <n v="0"/>
    <n v="0"/>
    <n v="6"/>
    <n v="61"/>
    <s v="Outlier"/>
  </r>
  <r>
    <s v="USR-100107"/>
    <d v="2025-01-23T00:00:00"/>
    <x v="0"/>
    <s v="West"/>
    <s v="Mobile"/>
    <x v="0"/>
    <s v="Free"/>
    <n v="1"/>
    <n v="1"/>
    <n v="1"/>
    <n v="0"/>
    <n v="0"/>
    <n v="4"/>
    <n v="0"/>
    <m/>
    <n v="51.1"/>
    <s v="Normal"/>
  </r>
  <r>
    <s v="USR-100108"/>
    <d v="2025-05-25T00:00:00"/>
    <x v="0"/>
    <s v="East"/>
    <s v="Desktop"/>
    <x v="3"/>
    <s v="Free"/>
    <n v="1"/>
    <n v="0"/>
    <n v="0"/>
    <n v="0"/>
    <n v="0"/>
    <n v="0"/>
    <n v="0"/>
    <m/>
    <n v="92.1"/>
    <s v="Normal"/>
  </r>
  <r>
    <s v="USR-100109"/>
    <d v="2025-03-22T00:00:00"/>
    <x v="0"/>
    <s v="South"/>
    <s v="Mobile"/>
    <x v="3"/>
    <s v="Basic"/>
    <n v="0"/>
    <n v="0"/>
    <n v="0"/>
    <n v="0"/>
    <n v="0"/>
    <n v="0"/>
    <n v="0"/>
    <m/>
    <n v="82.1"/>
    <s v="Normal"/>
  </r>
  <r>
    <s v="USR-100110"/>
    <d v="2025-02-12T00:00:00"/>
    <x v="0"/>
    <s v="West"/>
    <s v="Desktop"/>
    <x v="2"/>
    <s v="Basic"/>
    <n v="1"/>
    <n v="0"/>
    <n v="0"/>
    <n v="0"/>
    <n v="0"/>
    <n v="1"/>
    <n v="0"/>
    <m/>
    <n v="74"/>
    <s v="Normal"/>
  </r>
  <r>
    <s v="USR-100111"/>
    <d v="2025-04-28T00:00:00"/>
    <x v="0"/>
    <s v="West"/>
    <s v="Desktop"/>
    <x v="1"/>
    <s v="Basic"/>
    <n v="1"/>
    <n v="0"/>
    <n v="0"/>
    <n v="0"/>
    <n v="0"/>
    <n v="0"/>
    <n v="0"/>
    <m/>
    <n v="63.4"/>
    <s v="Normal"/>
  </r>
  <r>
    <s v="USR-100112"/>
    <d v="2025-01-30T00:00:00"/>
    <x v="0"/>
    <s v="North"/>
    <s v="Mobile"/>
    <x v="1"/>
    <s v="Basic"/>
    <n v="1"/>
    <n v="0"/>
    <n v="0"/>
    <n v="0"/>
    <n v="0"/>
    <n v="0"/>
    <n v="0"/>
    <m/>
    <n v="53.2"/>
    <s v="Normal"/>
  </r>
  <r>
    <s v="USR-100113"/>
    <d v="2025-05-19T00:00:00"/>
    <x v="0"/>
    <s v="East"/>
    <s v="Tablet"/>
    <x v="2"/>
    <s v="Free"/>
    <n v="0"/>
    <n v="0"/>
    <n v="0"/>
    <n v="0"/>
    <n v="0"/>
    <n v="0"/>
    <n v="0"/>
    <m/>
    <n v="48.1"/>
    <s v="Normal"/>
  </r>
  <r>
    <s v="USR-100114"/>
    <d v="2025-01-23T00:00:00"/>
    <x v="0"/>
    <s v="South"/>
    <s v="Mobile"/>
    <x v="4"/>
    <s v="Free"/>
    <n v="1"/>
    <n v="1"/>
    <n v="0"/>
    <n v="0"/>
    <n v="0"/>
    <n v="0"/>
    <n v="0"/>
    <m/>
    <n v="61.5"/>
    <s v="Normal"/>
  </r>
  <r>
    <s v="USR-100115"/>
    <d v="2025-03-28T00:00:00"/>
    <x v="0"/>
    <s v="East"/>
    <s v="Desktop"/>
    <x v="4"/>
    <s v="Free"/>
    <n v="1"/>
    <n v="0"/>
    <n v="0"/>
    <n v="0"/>
    <n v="0"/>
    <n v="0"/>
    <n v="0"/>
    <m/>
    <n v="63.2"/>
    <s v="Normal"/>
  </r>
  <r>
    <s v="USR-100116"/>
    <d v="2025-01-11T00:00:00"/>
    <x v="0"/>
    <s v="West"/>
    <s v="Mobile"/>
    <x v="1"/>
    <s v="Free"/>
    <n v="0"/>
    <n v="0"/>
    <n v="0"/>
    <n v="0"/>
    <n v="0"/>
    <n v="0"/>
    <n v="0"/>
    <m/>
    <n v="71.900000000000006"/>
    <s v="Normal"/>
  </r>
  <r>
    <s v="USR-100117"/>
    <d v="2025-04-11T00:00:00"/>
    <x v="0"/>
    <s v="North"/>
    <s v="Mobile"/>
    <x v="3"/>
    <s v="Free"/>
    <n v="0"/>
    <n v="0"/>
    <n v="0"/>
    <n v="0"/>
    <n v="0"/>
    <n v="0"/>
    <n v="0"/>
    <m/>
    <n v="62.7"/>
    <s v="Normal"/>
  </r>
  <r>
    <s v="USR-100118"/>
    <d v="2025-01-02T00:00:00"/>
    <x v="0"/>
    <s v="West"/>
    <s v="Mobile"/>
    <x v="2"/>
    <s v="Free"/>
    <n v="1"/>
    <n v="0"/>
    <n v="0"/>
    <n v="0"/>
    <n v="0"/>
    <n v="0"/>
    <n v="0"/>
    <m/>
    <n v="51.5"/>
    <s v="Normal"/>
  </r>
  <r>
    <s v="USR-100119"/>
    <d v="2025-03-18T00:00:00"/>
    <x v="0"/>
    <s v="East"/>
    <s v="Mobile"/>
    <x v="4"/>
    <s v="Free"/>
    <n v="1"/>
    <n v="1"/>
    <n v="1"/>
    <n v="0"/>
    <n v="0"/>
    <n v="0"/>
    <n v="0"/>
    <m/>
    <n v="39.1"/>
    <s v="Normal"/>
  </r>
  <r>
    <s v="USR-100120"/>
    <d v="2025-03-31T00:00:00"/>
    <x v="0"/>
    <s v="North"/>
    <s v="Mobile"/>
    <x v="0"/>
    <s v="Free"/>
    <n v="1"/>
    <n v="0"/>
    <n v="0"/>
    <n v="0"/>
    <n v="0"/>
    <n v="0"/>
    <n v="0"/>
    <m/>
    <n v="43.8"/>
    <s v="Normal"/>
  </r>
  <r>
    <s v="USR-100121"/>
    <d v="2025-01-06T00:00:00"/>
    <x v="0"/>
    <s v="North"/>
    <s v="Mobile"/>
    <x v="2"/>
    <s v="Basic"/>
    <n v="1"/>
    <n v="0"/>
    <n v="0"/>
    <n v="0"/>
    <n v="0"/>
    <n v="0"/>
    <n v="0"/>
    <m/>
    <n v="59.9"/>
    <s v="Normal"/>
  </r>
  <r>
    <s v="USR-100122"/>
    <d v="2025-01-26T00:00:00"/>
    <x v="0"/>
    <s v="North"/>
    <s v="Mobile"/>
    <x v="3"/>
    <s v="Free"/>
    <n v="1"/>
    <n v="1"/>
    <n v="0"/>
    <n v="0"/>
    <n v="0"/>
    <n v="0"/>
    <n v="0"/>
    <m/>
    <n v="71.400000000000006"/>
    <s v="Normal"/>
  </r>
  <r>
    <s v="USR-100123"/>
    <d v="2025-04-22T00:00:00"/>
    <x v="0"/>
    <s v="South"/>
    <s v="Mobile"/>
    <x v="3"/>
    <s v="Basic"/>
    <n v="0"/>
    <n v="0"/>
    <n v="0"/>
    <n v="0"/>
    <n v="0"/>
    <n v="0"/>
    <n v="0"/>
    <m/>
    <n v="36.1"/>
    <s v="Normal"/>
  </r>
  <r>
    <s v="USR-100124"/>
    <d v="2025-05-30T00:00:00"/>
    <x v="0"/>
    <s v="West"/>
    <s v="Unknown"/>
    <x v="0"/>
    <s v="Basic"/>
    <n v="1"/>
    <n v="1"/>
    <n v="0"/>
    <n v="0"/>
    <n v="0"/>
    <n v="0"/>
    <n v="0"/>
    <m/>
    <n v="47.9"/>
    <s v="Normal"/>
  </r>
  <r>
    <s v="USR-100125"/>
    <d v="2025-05-18T00:00:00"/>
    <x v="0"/>
    <s v="West"/>
    <s v="Desktop"/>
    <x v="1"/>
    <s v="Premium"/>
    <n v="1"/>
    <n v="0"/>
    <n v="0"/>
    <n v="0"/>
    <n v="0"/>
    <n v="0"/>
    <n v="0"/>
    <m/>
    <n v="62.5"/>
    <s v="Normal"/>
  </r>
  <r>
    <s v="USR-100126"/>
    <d v="2025-01-13T00:00:00"/>
    <x v="0"/>
    <s v="South"/>
    <s v="Desktop"/>
    <x v="2"/>
    <s v="Premium"/>
    <n v="1"/>
    <n v="0"/>
    <n v="0"/>
    <n v="0"/>
    <n v="0"/>
    <n v="0"/>
    <n v="0"/>
    <m/>
    <n v="56.9"/>
    <s v="Normal"/>
  </r>
  <r>
    <s v="USR-100127"/>
    <d v="2025-03-25T00:00:00"/>
    <x v="0"/>
    <s v="North"/>
    <s v="Desktop"/>
    <x v="0"/>
    <s v="Free"/>
    <n v="0"/>
    <n v="0"/>
    <n v="0"/>
    <n v="0"/>
    <n v="0"/>
    <n v="0"/>
    <n v="0"/>
    <m/>
    <n v="64.7"/>
    <s v="Normal"/>
  </r>
  <r>
    <s v="USR-100128"/>
    <d v="2025-04-29T00:00:00"/>
    <x v="0"/>
    <s v="South"/>
    <s v="Desktop"/>
    <x v="1"/>
    <s v="Free"/>
    <n v="1"/>
    <n v="1"/>
    <n v="1"/>
    <n v="0"/>
    <n v="0"/>
    <n v="0"/>
    <n v="0"/>
    <m/>
    <n v="64"/>
    <s v="Normal"/>
  </r>
  <r>
    <s v="USR-100129"/>
    <d v="2025-05-17T00:00:00"/>
    <x v="0"/>
    <s v="East"/>
    <s v="Mobile"/>
    <x v="3"/>
    <s v="Basic"/>
    <n v="1"/>
    <n v="1"/>
    <n v="1"/>
    <n v="0"/>
    <n v="0"/>
    <n v="0"/>
    <n v="0"/>
    <m/>
    <n v="75.2"/>
    <s v="Normal"/>
  </r>
  <r>
    <s v="USR-100130"/>
    <d v="2025-01-02T00:00:00"/>
    <x v="0"/>
    <s v="North"/>
    <s v="Mobile"/>
    <x v="2"/>
    <s v="Free"/>
    <n v="1"/>
    <n v="0"/>
    <n v="0"/>
    <n v="0"/>
    <n v="0"/>
    <n v="1"/>
    <n v="0"/>
    <m/>
    <n v="79"/>
    <s v="Normal"/>
  </r>
  <r>
    <s v="USR-100131"/>
    <d v="2025-02-03T00:00:00"/>
    <x v="0"/>
    <s v="South"/>
    <s v="Mobile"/>
    <x v="1"/>
    <s v="Free"/>
    <n v="0"/>
    <n v="0"/>
    <n v="0"/>
    <n v="0"/>
    <n v="0"/>
    <n v="0"/>
    <n v="0"/>
    <m/>
    <n v="33"/>
    <s v="Normal"/>
  </r>
  <r>
    <s v="USR-100132"/>
    <d v="2025-03-04T00:00:00"/>
    <x v="0"/>
    <s v="East"/>
    <s v="Mobile"/>
    <x v="1"/>
    <s v="Free"/>
    <n v="1"/>
    <n v="0"/>
    <n v="0"/>
    <n v="0"/>
    <n v="0"/>
    <n v="0"/>
    <n v="0"/>
    <m/>
    <n v="67.900000000000006"/>
    <s v="Normal"/>
  </r>
  <r>
    <s v="USR-100133"/>
    <d v="2025-01-26T00:00:00"/>
    <x v="0"/>
    <s v="South"/>
    <s v="Mobile"/>
    <x v="2"/>
    <s v="Basic"/>
    <n v="0"/>
    <n v="0"/>
    <n v="0"/>
    <n v="0"/>
    <n v="0"/>
    <n v="0"/>
    <n v="0"/>
    <m/>
    <n v="42.2"/>
    <s v="Normal"/>
  </r>
  <r>
    <s v="USR-100134"/>
    <d v="2025-05-12T00:00:00"/>
    <x v="0"/>
    <s v="West"/>
    <s v="Mobile"/>
    <x v="2"/>
    <s v="Basic"/>
    <n v="1"/>
    <n v="1"/>
    <n v="1"/>
    <n v="0"/>
    <n v="0"/>
    <n v="0"/>
    <n v="0"/>
    <m/>
    <n v="43.4"/>
    <s v="Normal"/>
  </r>
  <r>
    <s v="USR-100135"/>
    <d v="2025-03-06T00:00:00"/>
    <x v="0"/>
    <s v="North"/>
    <s v="Mobile"/>
    <x v="1"/>
    <s v="Basic"/>
    <n v="0"/>
    <n v="0"/>
    <n v="0"/>
    <n v="0"/>
    <n v="0"/>
    <n v="0"/>
    <n v="0"/>
    <m/>
    <n v="54.4"/>
    <s v="Normal"/>
  </r>
  <r>
    <s v="USR-100136"/>
    <d v="2025-03-10T00:00:00"/>
    <x v="0"/>
    <s v="South"/>
    <s v="Desktop"/>
    <x v="0"/>
    <s v="Premium"/>
    <n v="0"/>
    <n v="0"/>
    <n v="0"/>
    <n v="0"/>
    <n v="0"/>
    <n v="0"/>
    <n v="0"/>
    <m/>
    <n v="45.7"/>
    <s v="Normal"/>
  </r>
  <r>
    <s v="USR-100137"/>
    <d v="2025-05-06T00:00:00"/>
    <x v="0"/>
    <s v="North"/>
    <s v="Mobile"/>
    <x v="2"/>
    <s v="Free"/>
    <n v="0"/>
    <n v="0"/>
    <n v="0"/>
    <n v="0"/>
    <n v="0"/>
    <n v="3"/>
    <n v="0"/>
    <m/>
    <n v="32"/>
    <s v="Normal"/>
  </r>
  <r>
    <s v="USR-100138"/>
    <d v="2025-02-23T00:00:00"/>
    <x v="0"/>
    <s v="South"/>
    <s v="Desktop"/>
    <x v="2"/>
    <s v="Free"/>
    <n v="1"/>
    <n v="0"/>
    <n v="0"/>
    <n v="0"/>
    <n v="0"/>
    <n v="0"/>
    <n v="0"/>
    <m/>
    <n v="70.900000000000006"/>
    <s v="Normal"/>
  </r>
  <r>
    <s v="USR-100139"/>
    <d v="2025-01-29T00:00:00"/>
    <x v="0"/>
    <s v="West"/>
    <s v="Mobile"/>
    <x v="4"/>
    <s v="Basic"/>
    <n v="1"/>
    <n v="1"/>
    <n v="1"/>
    <n v="0"/>
    <n v="0"/>
    <n v="0"/>
    <n v="0"/>
    <m/>
    <n v="59.1"/>
    <s v="Normal"/>
  </r>
  <r>
    <s v="USR-100140"/>
    <d v="2025-01-31T00:00:00"/>
    <x v="0"/>
    <s v="North"/>
    <s v="Mobile"/>
    <x v="1"/>
    <s v="Basic"/>
    <n v="0"/>
    <n v="0"/>
    <n v="0"/>
    <n v="0"/>
    <n v="0"/>
    <n v="0"/>
    <n v="0"/>
    <m/>
    <n v="62.4"/>
    <s v="Normal"/>
  </r>
  <r>
    <s v="USR-100141"/>
    <d v="2025-01-19T00:00:00"/>
    <x v="0"/>
    <s v="South"/>
    <s v="Mobile"/>
    <x v="1"/>
    <s v="Free"/>
    <n v="0"/>
    <n v="0"/>
    <n v="0"/>
    <n v="0"/>
    <n v="0"/>
    <n v="0"/>
    <n v="0"/>
    <m/>
    <n v="49.6"/>
    <s v="Normal"/>
  </r>
  <r>
    <s v="USR-100142"/>
    <d v="2025-04-03T00:00:00"/>
    <x v="0"/>
    <s v="West"/>
    <s v="Desktop"/>
    <x v="4"/>
    <s v="Free"/>
    <n v="1"/>
    <n v="1"/>
    <n v="1"/>
    <n v="1"/>
    <n v="404.4"/>
    <n v="0"/>
    <n v="0"/>
    <n v="9"/>
    <n v="80.599999999999994"/>
    <s v="Normal"/>
  </r>
  <r>
    <s v="USR-100143"/>
    <d v="2025-04-07T00:00:00"/>
    <x v="0"/>
    <s v="North"/>
    <s v="Mobile"/>
    <x v="2"/>
    <s v="Free"/>
    <n v="1"/>
    <n v="0"/>
    <n v="0"/>
    <n v="0"/>
    <n v="0"/>
    <n v="0"/>
    <n v="0"/>
    <m/>
    <n v="47.9"/>
    <s v="Normal"/>
  </r>
  <r>
    <s v="USR-100144"/>
    <d v="2025-01-06T00:00:00"/>
    <x v="0"/>
    <s v="East"/>
    <s v="Mobile"/>
    <x v="2"/>
    <s v="Basic"/>
    <n v="1"/>
    <n v="1"/>
    <n v="0"/>
    <n v="0"/>
    <n v="0"/>
    <n v="0"/>
    <n v="0"/>
    <m/>
    <n v="54.8"/>
    <s v="Normal"/>
  </r>
  <r>
    <s v="USR-100145"/>
    <d v="2025-04-11T00:00:00"/>
    <x v="0"/>
    <s v="East"/>
    <s v="Mobile"/>
    <x v="1"/>
    <s v="Free"/>
    <n v="1"/>
    <n v="0"/>
    <n v="0"/>
    <n v="0"/>
    <n v="0"/>
    <n v="1"/>
    <n v="0"/>
    <m/>
    <n v="53.9"/>
    <s v="Normal"/>
  </r>
  <r>
    <s v="USR-100146"/>
    <d v="2025-04-23T00:00:00"/>
    <x v="0"/>
    <s v="East"/>
    <s v="Mobile"/>
    <x v="2"/>
    <s v="Free"/>
    <n v="1"/>
    <n v="0"/>
    <n v="0"/>
    <n v="0"/>
    <n v="0"/>
    <n v="0"/>
    <n v="0"/>
    <m/>
    <n v="41.3"/>
    <s v="Normal"/>
  </r>
  <r>
    <s v="USR-100147"/>
    <d v="2025-03-25T00:00:00"/>
    <x v="0"/>
    <s v="West"/>
    <s v="Mobile"/>
    <x v="1"/>
    <s v="Basic"/>
    <n v="1"/>
    <n v="1"/>
    <n v="0"/>
    <n v="0"/>
    <n v="0"/>
    <n v="0"/>
    <n v="0"/>
    <m/>
    <n v="38.9"/>
    <s v="Normal"/>
  </r>
  <r>
    <s v="USR-100148"/>
    <d v="2025-05-25T00:00:00"/>
    <x v="0"/>
    <s v="South"/>
    <s v="Desktop"/>
    <x v="1"/>
    <s v="Basic"/>
    <n v="1"/>
    <n v="0"/>
    <n v="0"/>
    <n v="0"/>
    <n v="0"/>
    <n v="0"/>
    <n v="0"/>
    <m/>
    <n v="63.6"/>
    <s v="Normal"/>
  </r>
  <r>
    <s v="USR-100149"/>
    <d v="2025-01-28T00:00:00"/>
    <x v="0"/>
    <s v="North"/>
    <s v="Mobile"/>
    <x v="1"/>
    <s v="Free"/>
    <n v="1"/>
    <n v="1"/>
    <n v="1"/>
    <n v="1"/>
    <n v="577.94000000000005"/>
    <n v="0"/>
    <n v="0"/>
    <n v="9"/>
    <n v="76.599999999999994"/>
    <s v="Normal"/>
  </r>
  <r>
    <s v="USR-100150"/>
    <d v="2025-02-12T00:00:00"/>
    <x v="0"/>
    <s v="West"/>
    <s v="Mobile"/>
    <x v="2"/>
    <s v="Premium"/>
    <n v="0"/>
    <n v="0"/>
    <n v="0"/>
    <n v="0"/>
    <n v="0"/>
    <n v="1"/>
    <n v="0"/>
    <m/>
    <n v="67.599999999999994"/>
    <s v="Normal"/>
  </r>
  <r>
    <s v="USR-100151"/>
    <d v="2025-04-29T00:00:00"/>
    <x v="0"/>
    <s v="North"/>
    <s v="Mobile"/>
    <x v="4"/>
    <s v="Premium"/>
    <n v="1"/>
    <n v="0"/>
    <n v="0"/>
    <n v="0"/>
    <n v="0"/>
    <n v="0"/>
    <n v="0"/>
    <m/>
    <n v="43.1"/>
    <s v="Normal"/>
  </r>
  <r>
    <s v="USR-100152"/>
    <d v="2025-03-13T00:00:00"/>
    <x v="0"/>
    <s v="South"/>
    <s v="Mobile"/>
    <x v="0"/>
    <s v="Free"/>
    <n v="1"/>
    <n v="0"/>
    <n v="0"/>
    <n v="0"/>
    <n v="0"/>
    <n v="0"/>
    <n v="0"/>
    <m/>
    <n v="58.3"/>
    <s v="Normal"/>
  </r>
  <r>
    <s v="USR-100153"/>
    <d v="2025-02-04T00:00:00"/>
    <x v="0"/>
    <s v="East"/>
    <s v="Desktop"/>
    <x v="2"/>
    <s v="Free"/>
    <n v="1"/>
    <n v="0"/>
    <n v="0"/>
    <n v="0"/>
    <n v="0"/>
    <n v="0"/>
    <n v="0"/>
    <m/>
    <n v="69.8"/>
    <s v="Normal"/>
  </r>
  <r>
    <s v="USR-100154"/>
    <d v="2025-03-04T00:00:00"/>
    <x v="0"/>
    <s v="South"/>
    <s v="Mobile"/>
    <x v="3"/>
    <s v="Free"/>
    <n v="1"/>
    <n v="1"/>
    <n v="0"/>
    <n v="0"/>
    <n v="0"/>
    <n v="0"/>
    <n v="0"/>
    <m/>
    <m/>
    <s v="Normal"/>
  </r>
  <r>
    <s v="USR-100155"/>
    <d v="2025-02-04T00:00:00"/>
    <x v="0"/>
    <s v="West"/>
    <s v="Mobile"/>
    <x v="2"/>
    <s v="Basic"/>
    <n v="1"/>
    <n v="1"/>
    <n v="0"/>
    <n v="0"/>
    <n v="0"/>
    <n v="0"/>
    <n v="0"/>
    <m/>
    <n v="41.9"/>
    <s v="Normal"/>
  </r>
  <r>
    <s v="USR-100156"/>
    <d v="2025-03-11T00:00:00"/>
    <x v="0"/>
    <s v="North"/>
    <s v="Desktop"/>
    <x v="1"/>
    <s v="Free"/>
    <n v="0"/>
    <n v="0"/>
    <n v="0"/>
    <n v="0"/>
    <n v="0"/>
    <n v="0"/>
    <n v="0"/>
    <m/>
    <n v="33.1"/>
    <s v="Normal"/>
  </r>
  <r>
    <s v="USR-100157"/>
    <d v="2025-04-22T00:00:00"/>
    <x v="0"/>
    <s v="West"/>
    <s v="Mobile"/>
    <x v="1"/>
    <s v="Free"/>
    <n v="0"/>
    <n v="0"/>
    <n v="0"/>
    <n v="0"/>
    <n v="0"/>
    <n v="0"/>
    <n v="0"/>
    <m/>
    <n v="58.6"/>
    <s v="Normal"/>
  </r>
  <r>
    <s v="USR-100158"/>
    <d v="2025-03-08T00:00:00"/>
    <x v="0"/>
    <s v="North"/>
    <s v="Desktop"/>
    <x v="2"/>
    <s v="Free"/>
    <n v="0"/>
    <n v="0"/>
    <n v="0"/>
    <n v="0"/>
    <n v="0"/>
    <n v="0"/>
    <n v="0"/>
    <m/>
    <n v="55.7"/>
    <s v="Normal"/>
  </r>
  <r>
    <s v="USR-100159"/>
    <d v="2025-03-10T00:00:00"/>
    <x v="0"/>
    <s v="East"/>
    <s v="Mobile"/>
    <x v="1"/>
    <s v="Free"/>
    <n v="0"/>
    <n v="0"/>
    <n v="0"/>
    <n v="0"/>
    <n v="0"/>
    <n v="2"/>
    <n v="0"/>
    <m/>
    <n v="64.900000000000006"/>
    <s v="Normal"/>
  </r>
  <r>
    <s v="USR-100160"/>
    <d v="2025-05-18T00:00:00"/>
    <x v="0"/>
    <s v="North"/>
    <s v="Desktop"/>
    <x v="2"/>
    <s v="Basic"/>
    <n v="0"/>
    <n v="0"/>
    <n v="0"/>
    <n v="0"/>
    <n v="0"/>
    <n v="0"/>
    <n v="0"/>
    <m/>
    <n v="72.3"/>
    <s v="Normal"/>
  </r>
  <r>
    <s v="USR-100161"/>
    <d v="2025-05-14T00:00:00"/>
    <x v="0"/>
    <s v="North"/>
    <s v="Mobile"/>
    <x v="4"/>
    <s v="Basic"/>
    <n v="0"/>
    <n v="0"/>
    <n v="0"/>
    <n v="0"/>
    <n v="0"/>
    <n v="0"/>
    <n v="0"/>
    <m/>
    <n v="42.1"/>
    <s v="Normal"/>
  </r>
  <r>
    <s v="USR-100162"/>
    <d v="2025-02-01T00:00:00"/>
    <x v="0"/>
    <s v="North"/>
    <s v="Mobile"/>
    <x v="1"/>
    <s v="Free"/>
    <n v="0"/>
    <n v="0"/>
    <n v="0"/>
    <n v="0"/>
    <n v="0"/>
    <n v="0"/>
    <n v="0"/>
    <m/>
    <m/>
    <s v="Normal"/>
  </r>
  <r>
    <s v="USR-100163"/>
    <d v="2025-04-11T00:00:00"/>
    <x v="0"/>
    <s v="South"/>
    <s v="Mobile"/>
    <x v="1"/>
    <s v="Basic"/>
    <n v="0"/>
    <n v="0"/>
    <n v="0"/>
    <n v="0"/>
    <n v="0"/>
    <n v="1"/>
    <n v="0"/>
    <m/>
    <n v="64.8"/>
    <s v="Normal"/>
  </r>
  <r>
    <s v="USR-100164"/>
    <d v="2025-02-14T00:00:00"/>
    <x v="0"/>
    <s v="East"/>
    <s v="Mobile"/>
    <x v="1"/>
    <s v="Free"/>
    <n v="0"/>
    <n v="0"/>
    <n v="0"/>
    <n v="0"/>
    <n v="0"/>
    <n v="0"/>
    <n v="0"/>
    <m/>
    <n v="72.099999999999994"/>
    <s v="Normal"/>
  </r>
  <r>
    <s v="USR-100165"/>
    <d v="2025-05-19T00:00:00"/>
    <x v="0"/>
    <s v="East"/>
    <s v="Mobile"/>
    <x v="4"/>
    <s v="Free"/>
    <n v="1"/>
    <n v="0"/>
    <n v="0"/>
    <n v="0"/>
    <n v="0"/>
    <n v="0"/>
    <n v="0"/>
    <m/>
    <n v="50.6"/>
    <s v="Normal"/>
  </r>
  <r>
    <s v="USR-100166"/>
    <d v="2025-04-26T00:00:00"/>
    <x v="0"/>
    <s v="North"/>
    <s v="Desktop"/>
    <x v="2"/>
    <s v="Basic"/>
    <n v="1"/>
    <n v="1"/>
    <n v="1"/>
    <n v="1"/>
    <n v="1281.25"/>
    <n v="1"/>
    <n v="0"/>
    <n v="9"/>
    <n v="43.4"/>
    <s v="Normal"/>
  </r>
  <r>
    <s v="USR-100167"/>
    <d v="2025-04-06T00:00:00"/>
    <x v="0"/>
    <s v="South"/>
    <s v="Mobile"/>
    <x v="4"/>
    <s v="Free"/>
    <n v="1"/>
    <n v="0"/>
    <n v="0"/>
    <n v="0"/>
    <n v="0"/>
    <n v="0"/>
    <n v="0"/>
    <m/>
    <n v="59.7"/>
    <s v="Normal"/>
  </r>
  <r>
    <s v="USR-100168"/>
    <d v="2025-03-06T00:00:00"/>
    <x v="0"/>
    <s v="South"/>
    <s v="Mobile"/>
    <x v="2"/>
    <s v="Free"/>
    <n v="1"/>
    <n v="0"/>
    <n v="0"/>
    <n v="0"/>
    <n v="0"/>
    <n v="1"/>
    <n v="0"/>
    <m/>
    <m/>
    <s v="Normal"/>
  </r>
  <r>
    <s v="USR-100169"/>
    <d v="2025-03-10T00:00:00"/>
    <x v="0"/>
    <s v="West"/>
    <s v="Mobile"/>
    <x v="4"/>
    <s v="Basic"/>
    <n v="0"/>
    <n v="0"/>
    <n v="0"/>
    <n v="0"/>
    <n v="0"/>
    <n v="0"/>
    <n v="0"/>
    <m/>
    <n v="54.5"/>
    <s v="Normal"/>
  </r>
  <r>
    <s v="USR-100170"/>
    <d v="2025-03-30T00:00:00"/>
    <x v="0"/>
    <s v="North"/>
    <s v="Mobile"/>
    <x v="1"/>
    <s v="Free"/>
    <n v="1"/>
    <n v="0"/>
    <n v="0"/>
    <n v="0"/>
    <n v="0"/>
    <n v="0"/>
    <n v="0"/>
    <m/>
    <n v="71.099999999999994"/>
    <s v="Normal"/>
  </r>
  <r>
    <s v="USR-100171"/>
    <d v="2025-05-29T00:00:00"/>
    <x v="0"/>
    <s v="East"/>
    <s v="Unknown"/>
    <x v="2"/>
    <s v="Free"/>
    <n v="1"/>
    <n v="1"/>
    <n v="1"/>
    <n v="0"/>
    <n v="0"/>
    <n v="0"/>
    <n v="0"/>
    <m/>
    <n v="44.4"/>
    <s v="Normal"/>
  </r>
  <r>
    <s v="USR-100172"/>
    <d v="2025-03-23T00:00:00"/>
    <x v="0"/>
    <s v="North"/>
    <s v="Mobile"/>
    <x v="1"/>
    <s v="Free"/>
    <n v="1"/>
    <n v="0"/>
    <n v="0"/>
    <n v="0"/>
    <n v="0"/>
    <n v="0"/>
    <n v="0"/>
    <m/>
    <n v="61.7"/>
    <s v="Normal"/>
  </r>
  <r>
    <s v="USR-100173"/>
    <d v="2025-02-18T00:00:00"/>
    <x v="0"/>
    <s v="North"/>
    <s v="Tablet"/>
    <x v="1"/>
    <s v="Basic"/>
    <n v="0"/>
    <n v="0"/>
    <n v="0"/>
    <n v="0"/>
    <n v="0"/>
    <n v="1"/>
    <n v="0"/>
    <m/>
    <n v="81.3"/>
    <s v="Normal"/>
  </r>
  <r>
    <s v="USR-100174"/>
    <d v="2025-01-26T00:00:00"/>
    <x v="0"/>
    <s v="North"/>
    <s v="Desktop"/>
    <x v="0"/>
    <s v="Free"/>
    <n v="1"/>
    <n v="0"/>
    <n v="0"/>
    <n v="0"/>
    <n v="0"/>
    <n v="2"/>
    <n v="0"/>
    <m/>
    <n v="28.7"/>
    <s v="Normal"/>
  </r>
  <r>
    <s v="USR-100175"/>
    <d v="2025-04-23T00:00:00"/>
    <x v="0"/>
    <s v="East"/>
    <s v="Mobile"/>
    <x v="4"/>
    <s v="Basic"/>
    <n v="0"/>
    <n v="0"/>
    <n v="0"/>
    <n v="0"/>
    <n v="0"/>
    <n v="0"/>
    <n v="0"/>
    <m/>
    <n v="53"/>
    <s v="Normal"/>
  </r>
  <r>
    <s v="USR-100176"/>
    <d v="2025-03-16T00:00:00"/>
    <x v="0"/>
    <s v="South"/>
    <s v="Tablet"/>
    <x v="3"/>
    <s v="Basic"/>
    <n v="1"/>
    <n v="0"/>
    <n v="0"/>
    <n v="0"/>
    <n v="0"/>
    <n v="0"/>
    <n v="0"/>
    <m/>
    <n v="54.9"/>
    <s v="Normal"/>
  </r>
  <r>
    <s v="USR-100177"/>
    <d v="2025-04-29T00:00:00"/>
    <x v="0"/>
    <s v="West"/>
    <s v="Mobile"/>
    <x v="1"/>
    <s v="Basic"/>
    <n v="1"/>
    <n v="0"/>
    <n v="0"/>
    <n v="0"/>
    <n v="0"/>
    <n v="0"/>
    <n v="0"/>
    <m/>
    <n v="58.2"/>
    <s v="Normal"/>
  </r>
  <r>
    <s v="USR-100178"/>
    <d v="2025-04-06T00:00:00"/>
    <x v="0"/>
    <s v="North"/>
    <s v="Mobile"/>
    <x v="1"/>
    <s v="Free"/>
    <n v="0"/>
    <n v="0"/>
    <n v="0"/>
    <n v="0"/>
    <n v="0"/>
    <n v="0"/>
    <n v="0"/>
    <m/>
    <n v="80.599999999999994"/>
    <s v="Normal"/>
  </r>
  <r>
    <s v="USR-100179"/>
    <d v="2025-04-17T00:00:00"/>
    <x v="0"/>
    <s v="North"/>
    <s v="Desktop"/>
    <x v="3"/>
    <s v="Premium"/>
    <n v="1"/>
    <n v="1"/>
    <n v="1"/>
    <n v="0"/>
    <n v="0"/>
    <n v="0"/>
    <n v="0"/>
    <m/>
    <n v="38.4"/>
    <s v="Normal"/>
  </r>
  <r>
    <s v="USR-100180"/>
    <d v="2025-04-03T00:00:00"/>
    <x v="0"/>
    <s v="South"/>
    <s v="Mobile"/>
    <x v="2"/>
    <s v="Free"/>
    <n v="1"/>
    <n v="0"/>
    <n v="0"/>
    <n v="0"/>
    <n v="0"/>
    <n v="0"/>
    <n v="0"/>
    <m/>
    <n v="56.1"/>
    <s v="Normal"/>
  </r>
  <r>
    <s v="USR-100181"/>
    <d v="2025-04-25T00:00:00"/>
    <x v="0"/>
    <s v="West"/>
    <s v="Mobile"/>
    <x v="2"/>
    <s v="Free"/>
    <n v="0"/>
    <n v="0"/>
    <n v="0"/>
    <n v="0"/>
    <n v="0"/>
    <n v="0"/>
    <n v="0"/>
    <m/>
    <n v="62.6"/>
    <s v="Normal"/>
  </r>
  <r>
    <s v="USR-100182"/>
    <d v="2025-04-30T00:00:00"/>
    <x v="0"/>
    <s v="South"/>
    <s v="Mobile"/>
    <x v="1"/>
    <s v="Premium"/>
    <n v="0"/>
    <n v="0"/>
    <n v="0"/>
    <n v="0"/>
    <n v="0"/>
    <n v="0"/>
    <n v="0"/>
    <m/>
    <n v="36.299999999999997"/>
    <s v="Normal"/>
  </r>
  <r>
    <s v="USR-100183"/>
    <d v="2025-03-12T00:00:00"/>
    <x v="0"/>
    <s v="South"/>
    <s v="Mobile"/>
    <x v="2"/>
    <s v="Free"/>
    <n v="1"/>
    <n v="0"/>
    <n v="0"/>
    <n v="0"/>
    <n v="0"/>
    <n v="0"/>
    <n v="0"/>
    <m/>
    <n v="52.1"/>
    <s v="Normal"/>
  </r>
  <r>
    <s v="USR-100184"/>
    <d v="2025-05-04T00:00:00"/>
    <x v="0"/>
    <s v="South"/>
    <s v="Mobile"/>
    <x v="1"/>
    <s v="Free"/>
    <n v="1"/>
    <n v="0"/>
    <n v="0"/>
    <n v="0"/>
    <n v="0"/>
    <n v="0"/>
    <n v="0"/>
    <m/>
    <n v="45.1"/>
    <s v="Normal"/>
  </r>
  <r>
    <s v="USR-100185"/>
    <d v="2025-02-07T00:00:00"/>
    <x v="0"/>
    <s v="South"/>
    <s v="Tablet"/>
    <x v="2"/>
    <s v="Premium"/>
    <n v="0"/>
    <n v="0"/>
    <n v="0"/>
    <n v="0"/>
    <n v="0"/>
    <n v="0"/>
    <n v="0"/>
    <m/>
    <n v="67.5"/>
    <s v="Normal"/>
  </r>
  <r>
    <s v="USR-100186"/>
    <d v="2025-04-28T00:00:00"/>
    <x v="0"/>
    <s v="East"/>
    <s v="Tablet"/>
    <x v="0"/>
    <s v="Basic"/>
    <n v="1"/>
    <n v="1"/>
    <n v="1"/>
    <n v="0"/>
    <n v="0"/>
    <n v="0"/>
    <n v="0"/>
    <m/>
    <n v="80"/>
    <s v="Normal"/>
  </r>
  <r>
    <s v="USR-100187"/>
    <d v="2025-05-15T00:00:00"/>
    <x v="0"/>
    <s v="East"/>
    <s v="Desktop"/>
    <x v="3"/>
    <s v="Free"/>
    <n v="0"/>
    <n v="0"/>
    <n v="0"/>
    <n v="0"/>
    <n v="0"/>
    <n v="0"/>
    <n v="0"/>
    <m/>
    <n v="56.4"/>
    <s v="Normal"/>
  </r>
  <r>
    <s v="USR-100188"/>
    <d v="2025-01-18T00:00:00"/>
    <x v="0"/>
    <s v="West"/>
    <s v="Mobile"/>
    <x v="2"/>
    <s v="Basic"/>
    <n v="0"/>
    <n v="0"/>
    <n v="0"/>
    <n v="0"/>
    <n v="0"/>
    <n v="0"/>
    <n v="0"/>
    <m/>
    <n v="55.4"/>
    <s v="Normal"/>
  </r>
  <r>
    <s v="USR-100189"/>
    <d v="2025-02-15T00:00:00"/>
    <x v="0"/>
    <s v="South"/>
    <s v="Mobile"/>
    <x v="4"/>
    <s v="Basic"/>
    <n v="1"/>
    <n v="0"/>
    <n v="0"/>
    <n v="0"/>
    <n v="0"/>
    <n v="0"/>
    <n v="0"/>
    <m/>
    <n v="67.900000000000006"/>
    <s v="Normal"/>
  </r>
  <r>
    <s v="USR-100190"/>
    <d v="2025-02-18T00:00:00"/>
    <x v="0"/>
    <s v="North"/>
    <s v="Tablet"/>
    <x v="0"/>
    <s v="Free"/>
    <n v="1"/>
    <n v="0"/>
    <n v="0"/>
    <n v="0"/>
    <n v="0"/>
    <n v="0"/>
    <n v="0"/>
    <m/>
    <n v="62.5"/>
    <s v="Normal"/>
  </r>
  <r>
    <s v="USR-100191"/>
    <d v="2025-01-30T00:00:00"/>
    <x v="0"/>
    <s v="South"/>
    <s v="Desktop"/>
    <x v="0"/>
    <s v="Basic"/>
    <n v="1"/>
    <n v="1"/>
    <n v="1"/>
    <n v="0"/>
    <n v="0"/>
    <n v="0"/>
    <n v="0"/>
    <m/>
    <n v="54.3"/>
    <s v="Normal"/>
  </r>
  <r>
    <s v="USR-100192"/>
    <d v="2025-02-09T00:00:00"/>
    <x v="0"/>
    <s v="South"/>
    <s v="Desktop"/>
    <x v="1"/>
    <s v="Basic"/>
    <n v="1"/>
    <n v="0"/>
    <n v="0"/>
    <n v="0"/>
    <n v="0"/>
    <n v="0"/>
    <n v="0"/>
    <m/>
    <n v="37.5"/>
    <s v="Normal"/>
  </r>
  <r>
    <s v="USR-100193"/>
    <d v="2025-03-16T00:00:00"/>
    <x v="0"/>
    <s v="West"/>
    <s v="Mobile"/>
    <x v="2"/>
    <s v="Basic"/>
    <n v="1"/>
    <n v="0"/>
    <n v="0"/>
    <n v="0"/>
    <n v="0"/>
    <n v="0"/>
    <n v="0"/>
    <m/>
    <n v="52.6"/>
    <s v="Normal"/>
  </r>
  <r>
    <s v="USR-100194"/>
    <d v="2025-05-19T00:00:00"/>
    <x v="0"/>
    <s v="North"/>
    <s v="Mobile"/>
    <x v="2"/>
    <s v="Free"/>
    <n v="1"/>
    <n v="0"/>
    <n v="0"/>
    <n v="0"/>
    <n v="0"/>
    <n v="0"/>
    <n v="0"/>
    <m/>
    <n v="46.1"/>
    <s v="Normal"/>
  </r>
  <r>
    <s v="USR-100195"/>
    <d v="2025-05-16T00:00:00"/>
    <x v="0"/>
    <s v="South"/>
    <s v="Desktop"/>
    <x v="1"/>
    <s v="Basic"/>
    <n v="1"/>
    <n v="0"/>
    <n v="0"/>
    <n v="0"/>
    <n v="0"/>
    <n v="0"/>
    <n v="0"/>
    <m/>
    <n v="54.7"/>
    <s v="Normal"/>
  </r>
  <r>
    <s v="USR-100196"/>
    <d v="2025-04-25T00:00:00"/>
    <x v="0"/>
    <s v="West"/>
    <s v="Desktop"/>
    <x v="3"/>
    <s v="Basic"/>
    <n v="0"/>
    <n v="0"/>
    <n v="0"/>
    <n v="0"/>
    <n v="0"/>
    <n v="0"/>
    <n v="0"/>
    <m/>
    <n v="74.2"/>
    <s v="Normal"/>
  </r>
  <r>
    <s v="USR-100197"/>
    <d v="2025-02-27T00:00:00"/>
    <x v="0"/>
    <s v="North"/>
    <s v="Mobile"/>
    <x v="4"/>
    <s v="Basic"/>
    <n v="1"/>
    <n v="1"/>
    <n v="1"/>
    <n v="1"/>
    <n v="1052.8"/>
    <n v="2"/>
    <n v="0"/>
    <n v="6"/>
    <n v="64.7"/>
    <s v="Normal"/>
  </r>
  <r>
    <s v="USR-100198"/>
    <d v="2025-04-26T00:00:00"/>
    <x v="0"/>
    <s v="South"/>
    <s v="Mobile"/>
    <x v="2"/>
    <s v="Basic"/>
    <n v="0"/>
    <n v="0"/>
    <n v="0"/>
    <n v="0"/>
    <n v="0"/>
    <n v="0"/>
    <n v="0"/>
    <m/>
    <n v="65.900000000000006"/>
    <s v="Normal"/>
  </r>
  <r>
    <s v="USR-100199"/>
    <d v="2025-05-14T00:00:00"/>
    <x v="0"/>
    <s v="North"/>
    <s v="Mobile"/>
    <x v="1"/>
    <s v="Basic"/>
    <n v="1"/>
    <n v="0"/>
    <n v="0"/>
    <n v="0"/>
    <n v="0"/>
    <n v="0"/>
    <n v="0"/>
    <m/>
    <n v="64"/>
    <s v="Normal"/>
  </r>
  <r>
    <s v="USR-100200"/>
    <d v="2025-03-05T00:00:00"/>
    <x v="0"/>
    <s v="North"/>
    <s v="Mobile"/>
    <x v="1"/>
    <s v="Premium"/>
    <n v="1"/>
    <n v="0"/>
    <n v="0"/>
    <n v="0"/>
    <n v="0"/>
    <n v="0"/>
    <n v="0"/>
    <m/>
    <n v="57.2"/>
    <s v="Normal"/>
  </r>
  <r>
    <s v="USR-100201"/>
    <d v="2025-04-02T00:00:00"/>
    <x v="0"/>
    <s v="West"/>
    <s v="Desktop"/>
    <x v="1"/>
    <s v="Free"/>
    <n v="1"/>
    <n v="0"/>
    <n v="0"/>
    <n v="0"/>
    <n v="0"/>
    <n v="0"/>
    <n v="0"/>
    <m/>
    <n v="80.5"/>
    <s v="Normal"/>
  </r>
  <r>
    <s v="USR-100202"/>
    <d v="2025-05-14T00:00:00"/>
    <x v="0"/>
    <s v="South"/>
    <s v="Tablet"/>
    <x v="1"/>
    <s v="Free"/>
    <n v="0"/>
    <n v="0"/>
    <n v="0"/>
    <n v="0"/>
    <n v="0"/>
    <n v="0"/>
    <n v="0"/>
    <m/>
    <n v="53.9"/>
    <s v="Normal"/>
  </r>
  <r>
    <s v="USR-100203"/>
    <d v="2025-05-21T00:00:00"/>
    <x v="0"/>
    <s v="North"/>
    <s v="Mobile"/>
    <x v="2"/>
    <s v="Free"/>
    <n v="1"/>
    <n v="1"/>
    <n v="0"/>
    <n v="0"/>
    <n v="0"/>
    <n v="0"/>
    <n v="0"/>
    <m/>
    <n v="77.5"/>
    <s v="Normal"/>
  </r>
  <r>
    <s v="USR-100204"/>
    <d v="2025-01-27T00:00:00"/>
    <x v="0"/>
    <s v="East"/>
    <s v="Mobile"/>
    <x v="4"/>
    <s v="Basic"/>
    <n v="0"/>
    <n v="0"/>
    <n v="0"/>
    <n v="0"/>
    <n v="0"/>
    <n v="0"/>
    <n v="0"/>
    <m/>
    <n v="84.2"/>
    <s v="Normal"/>
  </r>
  <r>
    <s v="USR-100205"/>
    <d v="2025-05-22T00:00:00"/>
    <x v="0"/>
    <s v="West"/>
    <s v="Desktop"/>
    <x v="1"/>
    <s v="Free"/>
    <n v="1"/>
    <n v="1"/>
    <n v="0"/>
    <n v="0"/>
    <n v="0"/>
    <n v="0"/>
    <n v="0"/>
    <m/>
    <n v="54.9"/>
    <s v="Normal"/>
  </r>
  <r>
    <s v="USR-100206"/>
    <d v="2025-05-19T00:00:00"/>
    <x v="0"/>
    <s v="South"/>
    <s v="Mobile"/>
    <x v="2"/>
    <s v="Free"/>
    <n v="0"/>
    <n v="0"/>
    <n v="0"/>
    <n v="0"/>
    <n v="0"/>
    <n v="0"/>
    <n v="0"/>
    <m/>
    <n v="69.3"/>
    <s v="Normal"/>
  </r>
  <r>
    <s v="USR-100207"/>
    <d v="2025-01-14T00:00:00"/>
    <x v="0"/>
    <s v="South"/>
    <s v="Desktop"/>
    <x v="2"/>
    <s v="Free"/>
    <n v="1"/>
    <n v="0"/>
    <n v="0"/>
    <n v="0"/>
    <n v="0"/>
    <n v="2"/>
    <n v="0"/>
    <m/>
    <n v="42.3"/>
    <s v="Normal"/>
  </r>
  <r>
    <s v="USR-100208"/>
    <d v="2025-01-21T00:00:00"/>
    <x v="0"/>
    <s v="North"/>
    <s v="Desktop"/>
    <x v="3"/>
    <s v="Premium"/>
    <n v="1"/>
    <n v="0"/>
    <n v="0"/>
    <n v="0"/>
    <n v="0"/>
    <n v="1"/>
    <n v="0"/>
    <m/>
    <n v="69.599999999999994"/>
    <s v="Normal"/>
  </r>
  <r>
    <s v="USR-100209"/>
    <d v="2025-05-16T00:00:00"/>
    <x v="0"/>
    <s v="East"/>
    <s v="Mobile"/>
    <x v="1"/>
    <s v="Free"/>
    <n v="0"/>
    <n v="0"/>
    <n v="0"/>
    <n v="0"/>
    <n v="0"/>
    <n v="0"/>
    <n v="0"/>
    <m/>
    <n v="40.700000000000003"/>
    <s v="Normal"/>
  </r>
  <r>
    <s v="USR-100210"/>
    <d v="2025-02-02T00:00:00"/>
    <x v="0"/>
    <s v="North"/>
    <s v="Mobile"/>
    <x v="0"/>
    <s v="Free"/>
    <n v="1"/>
    <n v="0"/>
    <n v="0"/>
    <n v="0"/>
    <n v="0"/>
    <n v="0"/>
    <n v="0"/>
    <m/>
    <n v="54"/>
    <s v="Normal"/>
  </r>
  <r>
    <s v="USR-100211"/>
    <d v="2025-03-23T00:00:00"/>
    <x v="0"/>
    <s v="East"/>
    <s v="Unknown"/>
    <x v="3"/>
    <s v="Free"/>
    <n v="1"/>
    <n v="1"/>
    <n v="1"/>
    <n v="1"/>
    <n v="553.37"/>
    <n v="0"/>
    <n v="0"/>
    <n v="5"/>
    <n v="46.3"/>
    <s v="Normal"/>
  </r>
  <r>
    <s v="USR-100212"/>
    <d v="2025-01-24T00:00:00"/>
    <x v="0"/>
    <s v="East"/>
    <s v="Mobile"/>
    <x v="1"/>
    <s v="Free"/>
    <n v="1"/>
    <n v="0"/>
    <n v="0"/>
    <n v="0"/>
    <n v="0"/>
    <n v="0"/>
    <n v="0"/>
    <m/>
    <n v="64.2"/>
    <s v="Normal"/>
  </r>
  <r>
    <s v="USR-100213"/>
    <d v="2025-04-12T00:00:00"/>
    <x v="0"/>
    <s v="North"/>
    <s v="Desktop"/>
    <x v="1"/>
    <s v="Free"/>
    <n v="1"/>
    <n v="0"/>
    <n v="0"/>
    <n v="0"/>
    <n v="0"/>
    <n v="0"/>
    <n v="0"/>
    <m/>
    <n v="75.2"/>
    <s v="Normal"/>
  </r>
  <r>
    <s v="USR-100214"/>
    <d v="2025-02-18T00:00:00"/>
    <x v="0"/>
    <s v="East"/>
    <s v="Desktop"/>
    <x v="2"/>
    <s v="Free"/>
    <n v="1"/>
    <n v="1"/>
    <n v="0"/>
    <n v="0"/>
    <n v="0"/>
    <n v="0"/>
    <n v="0"/>
    <m/>
    <n v="60.9"/>
    <s v="Normal"/>
  </r>
  <r>
    <s v="USR-100215"/>
    <d v="2025-05-28T00:00:00"/>
    <x v="0"/>
    <s v="South"/>
    <s v="Mobile"/>
    <x v="0"/>
    <s v="Basic"/>
    <n v="1"/>
    <n v="1"/>
    <n v="1"/>
    <n v="0"/>
    <n v="0"/>
    <n v="0"/>
    <n v="0"/>
    <m/>
    <n v="62.1"/>
    <s v="Normal"/>
  </r>
  <r>
    <s v="USR-100216"/>
    <d v="2025-04-18T00:00:00"/>
    <x v="0"/>
    <s v="South"/>
    <s v="Mobile"/>
    <x v="4"/>
    <s v="Basic"/>
    <n v="0"/>
    <n v="0"/>
    <n v="0"/>
    <n v="0"/>
    <n v="0"/>
    <n v="0"/>
    <n v="0"/>
    <m/>
    <n v="45.4"/>
    <s v="Normal"/>
  </r>
  <r>
    <s v="USR-100217"/>
    <d v="2025-03-27T00:00:00"/>
    <x v="0"/>
    <s v="North"/>
    <s v="Mobile"/>
    <x v="2"/>
    <s v="Basic"/>
    <n v="1"/>
    <n v="0"/>
    <n v="0"/>
    <n v="0"/>
    <n v="0"/>
    <n v="0"/>
    <n v="0"/>
    <m/>
    <n v="53.3"/>
    <s v="Normal"/>
  </r>
  <r>
    <s v="USR-100218"/>
    <d v="2025-02-25T00:00:00"/>
    <x v="0"/>
    <s v="North"/>
    <s v="Tablet"/>
    <x v="4"/>
    <s v="Free"/>
    <n v="1"/>
    <n v="0"/>
    <n v="0"/>
    <n v="0"/>
    <n v="0"/>
    <n v="0"/>
    <n v="0"/>
    <m/>
    <m/>
    <s v="Normal"/>
  </r>
  <r>
    <s v="USR-100219"/>
    <d v="2025-02-19T00:00:00"/>
    <x v="0"/>
    <s v="East"/>
    <s v="Mobile"/>
    <x v="2"/>
    <s v="Free"/>
    <n v="0"/>
    <n v="0"/>
    <n v="0"/>
    <n v="0"/>
    <n v="0"/>
    <n v="1"/>
    <n v="0"/>
    <m/>
    <n v="38.200000000000003"/>
    <s v="Normal"/>
  </r>
  <r>
    <s v="USR-100220"/>
    <d v="2025-04-11T00:00:00"/>
    <x v="0"/>
    <s v="West"/>
    <s v="Mobile"/>
    <x v="2"/>
    <s v="Free"/>
    <n v="1"/>
    <n v="1"/>
    <n v="0"/>
    <n v="0"/>
    <n v="0"/>
    <n v="3"/>
    <n v="0"/>
    <m/>
    <n v="59"/>
    <s v="Normal"/>
  </r>
  <r>
    <s v="USR-100221"/>
    <d v="2025-01-22T00:00:00"/>
    <x v="0"/>
    <s v="East"/>
    <s v="Tablet"/>
    <x v="3"/>
    <s v="Premium"/>
    <n v="1"/>
    <n v="1"/>
    <n v="1"/>
    <n v="0"/>
    <n v="0"/>
    <n v="0"/>
    <n v="0"/>
    <m/>
    <n v="80.599999999999994"/>
    <s v="Normal"/>
  </r>
  <r>
    <s v="USR-100222"/>
    <d v="2025-01-12T00:00:00"/>
    <x v="0"/>
    <s v="South"/>
    <s v="Mobile"/>
    <x v="4"/>
    <s v="Free"/>
    <n v="1"/>
    <n v="0"/>
    <n v="0"/>
    <n v="0"/>
    <n v="0"/>
    <n v="0"/>
    <n v="0"/>
    <m/>
    <n v="67"/>
    <s v="Normal"/>
  </r>
  <r>
    <s v="USR-100223"/>
    <d v="2025-02-17T00:00:00"/>
    <x v="0"/>
    <s v="West"/>
    <s v="Mobile"/>
    <x v="0"/>
    <s v="Free"/>
    <n v="1"/>
    <n v="0"/>
    <n v="0"/>
    <n v="0"/>
    <n v="0"/>
    <n v="1"/>
    <n v="0"/>
    <m/>
    <n v="72.099999999999994"/>
    <s v="Normal"/>
  </r>
  <r>
    <s v="USR-100224"/>
    <d v="2025-04-11T00:00:00"/>
    <x v="0"/>
    <s v="West"/>
    <s v="Desktop"/>
    <x v="1"/>
    <s v="Free"/>
    <n v="0"/>
    <n v="0"/>
    <n v="0"/>
    <n v="0"/>
    <n v="0"/>
    <n v="0"/>
    <n v="0"/>
    <m/>
    <n v="74.099999999999994"/>
    <s v="Normal"/>
  </r>
  <r>
    <s v="USR-100225"/>
    <d v="2025-05-25T00:00:00"/>
    <x v="0"/>
    <s v="South"/>
    <s v="Mobile"/>
    <x v="3"/>
    <s v="Premium"/>
    <n v="0"/>
    <n v="0"/>
    <n v="0"/>
    <n v="0"/>
    <n v="0"/>
    <n v="0"/>
    <n v="0"/>
    <m/>
    <n v="84.8"/>
    <s v="Normal"/>
  </r>
  <r>
    <s v="USR-100226"/>
    <d v="2025-03-12T00:00:00"/>
    <x v="0"/>
    <s v="South"/>
    <s v="Mobile"/>
    <x v="1"/>
    <s v="Basic"/>
    <n v="1"/>
    <n v="0"/>
    <n v="0"/>
    <n v="0"/>
    <n v="0"/>
    <n v="0"/>
    <n v="0"/>
    <m/>
    <n v="33"/>
    <s v="Normal"/>
  </r>
  <r>
    <s v="USR-100227"/>
    <d v="2025-04-20T00:00:00"/>
    <x v="0"/>
    <s v="North"/>
    <s v="Tablet"/>
    <x v="0"/>
    <s v="Free"/>
    <n v="0"/>
    <n v="0"/>
    <n v="0"/>
    <n v="0"/>
    <n v="0"/>
    <n v="0"/>
    <n v="0"/>
    <m/>
    <n v="52.5"/>
    <s v="Normal"/>
  </r>
  <r>
    <s v="USR-100228"/>
    <d v="2025-02-23T00:00:00"/>
    <x v="0"/>
    <s v="North"/>
    <s v="Tablet"/>
    <x v="1"/>
    <s v="Free"/>
    <n v="0"/>
    <n v="0"/>
    <n v="0"/>
    <n v="0"/>
    <n v="0"/>
    <n v="0"/>
    <n v="0"/>
    <m/>
    <n v="66.900000000000006"/>
    <s v="Normal"/>
  </r>
  <r>
    <s v="USR-100229"/>
    <d v="2025-01-24T00:00:00"/>
    <x v="0"/>
    <s v="North"/>
    <s v="Mobile"/>
    <x v="1"/>
    <s v="Basic"/>
    <n v="1"/>
    <n v="1"/>
    <n v="1"/>
    <n v="0"/>
    <n v="0"/>
    <n v="1"/>
    <n v="0"/>
    <m/>
    <n v="32.700000000000003"/>
    <s v="Normal"/>
  </r>
  <r>
    <s v="USR-100230"/>
    <d v="2025-01-16T00:00:00"/>
    <x v="0"/>
    <s v="West"/>
    <s v="Mobile"/>
    <x v="1"/>
    <s v="Premium"/>
    <n v="1"/>
    <n v="1"/>
    <n v="1"/>
    <n v="0"/>
    <n v="0"/>
    <n v="1"/>
    <n v="0"/>
    <m/>
    <n v="70.599999999999994"/>
    <s v="Normal"/>
  </r>
  <r>
    <s v="USR-100231"/>
    <d v="2025-02-17T00:00:00"/>
    <x v="0"/>
    <s v="North"/>
    <s v="Mobile"/>
    <x v="4"/>
    <s v="Free"/>
    <n v="0"/>
    <n v="0"/>
    <n v="0"/>
    <n v="0"/>
    <n v="0"/>
    <n v="0"/>
    <n v="0"/>
    <m/>
    <n v="69.400000000000006"/>
    <s v="Normal"/>
  </r>
  <r>
    <s v="USR-100232"/>
    <d v="2025-05-04T00:00:00"/>
    <x v="0"/>
    <s v="North"/>
    <s v="Desktop"/>
    <x v="1"/>
    <s v="Basic"/>
    <n v="1"/>
    <n v="0"/>
    <n v="0"/>
    <n v="0"/>
    <n v="0"/>
    <n v="0"/>
    <n v="0"/>
    <m/>
    <n v="56.1"/>
    <s v="Normal"/>
  </r>
  <r>
    <s v="USR-100233"/>
    <d v="2025-01-12T00:00:00"/>
    <x v="0"/>
    <s v="West"/>
    <s v="Mobile"/>
    <x v="1"/>
    <s v="Basic"/>
    <n v="0"/>
    <n v="0"/>
    <n v="0"/>
    <n v="0"/>
    <n v="0"/>
    <n v="0"/>
    <n v="0"/>
    <m/>
    <n v="55.8"/>
    <s v="Normal"/>
  </r>
  <r>
    <s v="USR-100234"/>
    <d v="2025-04-28T00:00:00"/>
    <x v="0"/>
    <s v="North"/>
    <s v="Tablet"/>
    <x v="1"/>
    <s v="Free"/>
    <n v="0"/>
    <n v="0"/>
    <n v="0"/>
    <n v="0"/>
    <n v="0"/>
    <n v="0"/>
    <n v="0"/>
    <m/>
    <n v="49.3"/>
    <s v="Normal"/>
  </r>
  <r>
    <s v="USR-100235"/>
    <d v="2025-02-26T00:00:00"/>
    <x v="0"/>
    <s v="North"/>
    <s v="Mobile"/>
    <x v="1"/>
    <s v="Free"/>
    <n v="0"/>
    <n v="0"/>
    <n v="0"/>
    <n v="0"/>
    <n v="0"/>
    <n v="0"/>
    <n v="0"/>
    <m/>
    <n v="71.8"/>
    <s v="Normal"/>
  </r>
  <r>
    <s v="USR-100236"/>
    <d v="2025-03-18T00:00:00"/>
    <x v="0"/>
    <s v="West"/>
    <s v="Mobile"/>
    <x v="4"/>
    <s v="Free"/>
    <n v="1"/>
    <n v="0"/>
    <n v="0"/>
    <n v="0"/>
    <n v="0"/>
    <n v="3"/>
    <n v="0"/>
    <m/>
    <n v="39.700000000000003"/>
    <s v="Normal"/>
  </r>
  <r>
    <s v="USR-100237"/>
    <d v="2025-03-01T00:00:00"/>
    <x v="0"/>
    <s v="South"/>
    <s v="Desktop"/>
    <x v="1"/>
    <s v="Premium"/>
    <n v="1"/>
    <n v="0"/>
    <n v="0"/>
    <n v="0"/>
    <n v="0"/>
    <n v="0"/>
    <n v="0"/>
    <m/>
    <n v="45.4"/>
    <s v="Normal"/>
  </r>
  <r>
    <s v="USR-100238"/>
    <d v="2025-04-05T00:00:00"/>
    <x v="0"/>
    <s v="North"/>
    <s v="Desktop"/>
    <x v="4"/>
    <s v="Premium"/>
    <n v="1"/>
    <n v="0"/>
    <n v="0"/>
    <n v="0"/>
    <n v="0"/>
    <n v="0"/>
    <n v="0"/>
    <m/>
    <n v="69.900000000000006"/>
    <s v="Normal"/>
  </r>
  <r>
    <s v="USR-100239"/>
    <d v="2025-03-12T00:00:00"/>
    <x v="0"/>
    <s v="North"/>
    <s v="Desktop"/>
    <x v="4"/>
    <s v="Free"/>
    <n v="1"/>
    <n v="1"/>
    <n v="1"/>
    <n v="0"/>
    <n v="0"/>
    <n v="0"/>
    <n v="0"/>
    <m/>
    <n v="56.1"/>
    <s v="Normal"/>
  </r>
  <r>
    <s v="USR-100240"/>
    <d v="2025-03-15T00:00:00"/>
    <x v="0"/>
    <s v="West"/>
    <s v="Mobile"/>
    <x v="3"/>
    <s v="Basic"/>
    <n v="1"/>
    <n v="1"/>
    <n v="0"/>
    <n v="0"/>
    <n v="0"/>
    <n v="0"/>
    <n v="0"/>
    <m/>
    <n v="45.9"/>
    <s v="Normal"/>
  </r>
  <r>
    <s v="USR-100241"/>
    <d v="2025-02-23T00:00:00"/>
    <x v="0"/>
    <s v="West"/>
    <s v="Mobile"/>
    <x v="0"/>
    <s v="Free"/>
    <n v="0"/>
    <n v="0"/>
    <n v="0"/>
    <n v="0"/>
    <n v="0"/>
    <n v="0"/>
    <n v="0"/>
    <m/>
    <n v="65.8"/>
    <s v="Normal"/>
  </r>
  <r>
    <s v="USR-100242"/>
    <d v="2025-04-22T00:00:00"/>
    <x v="0"/>
    <s v="North"/>
    <s v="Mobile"/>
    <x v="1"/>
    <s v="Basic"/>
    <n v="1"/>
    <n v="0"/>
    <n v="0"/>
    <n v="0"/>
    <n v="0"/>
    <n v="0"/>
    <n v="0"/>
    <m/>
    <n v="48.2"/>
    <s v="Normal"/>
  </r>
  <r>
    <s v="USR-100243"/>
    <d v="2025-01-09T00:00:00"/>
    <x v="0"/>
    <s v="East"/>
    <s v="Mobile"/>
    <x v="1"/>
    <s v="Basic"/>
    <n v="1"/>
    <n v="1"/>
    <n v="1"/>
    <n v="0"/>
    <n v="0"/>
    <n v="0"/>
    <n v="0"/>
    <m/>
    <n v="81.099999999999994"/>
    <s v="Normal"/>
  </r>
  <r>
    <s v="USR-100244"/>
    <d v="2025-03-05T00:00:00"/>
    <x v="0"/>
    <s v="East"/>
    <s v="Tablet"/>
    <x v="4"/>
    <s v="Premium"/>
    <n v="1"/>
    <n v="1"/>
    <n v="0"/>
    <n v="0"/>
    <n v="0"/>
    <n v="0"/>
    <n v="0"/>
    <m/>
    <n v="53.2"/>
    <s v="Normal"/>
  </r>
  <r>
    <s v="USR-100245"/>
    <d v="2025-01-28T00:00:00"/>
    <x v="0"/>
    <s v="North"/>
    <s v="Mobile"/>
    <x v="4"/>
    <s v="Free"/>
    <n v="1"/>
    <n v="1"/>
    <n v="1"/>
    <n v="0"/>
    <n v="0"/>
    <n v="0"/>
    <n v="0"/>
    <m/>
    <n v="57.7"/>
    <s v="Normal"/>
  </r>
  <r>
    <s v="USR-100246"/>
    <d v="2025-01-21T00:00:00"/>
    <x v="0"/>
    <s v="West"/>
    <s v="Mobile"/>
    <x v="2"/>
    <s v="Premium"/>
    <n v="1"/>
    <n v="1"/>
    <n v="0"/>
    <n v="0"/>
    <n v="0"/>
    <n v="0"/>
    <n v="0"/>
    <m/>
    <n v="78.900000000000006"/>
    <s v="Normal"/>
  </r>
  <r>
    <s v="USR-100247"/>
    <d v="2025-03-14T00:00:00"/>
    <x v="0"/>
    <s v="South"/>
    <s v="Mobile"/>
    <x v="3"/>
    <s v="Basic"/>
    <n v="0"/>
    <n v="0"/>
    <n v="0"/>
    <n v="0"/>
    <n v="0"/>
    <n v="0"/>
    <n v="0"/>
    <m/>
    <n v="55.7"/>
    <s v="Normal"/>
  </r>
  <r>
    <s v="USR-100248"/>
    <d v="2025-02-03T00:00:00"/>
    <x v="0"/>
    <s v="West"/>
    <s v="Mobile"/>
    <x v="2"/>
    <s v="Free"/>
    <n v="0"/>
    <n v="0"/>
    <n v="0"/>
    <n v="0"/>
    <n v="0"/>
    <n v="0"/>
    <n v="0"/>
    <m/>
    <n v="52.3"/>
    <s v="Normal"/>
  </r>
  <r>
    <s v="USR-100249"/>
    <d v="2025-05-22T00:00:00"/>
    <x v="0"/>
    <s v="North"/>
    <s v="Mobile"/>
    <x v="4"/>
    <s v="Free"/>
    <n v="1"/>
    <n v="0"/>
    <n v="0"/>
    <n v="0"/>
    <n v="0"/>
    <n v="0"/>
    <n v="0"/>
    <m/>
    <n v="51.5"/>
    <s v="Normal"/>
  </r>
  <r>
    <s v="USR-100250"/>
    <d v="2025-04-25T00:00:00"/>
    <x v="0"/>
    <s v="North"/>
    <s v="Desktop"/>
    <x v="0"/>
    <s v="Free"/>
    <n v="1"/>
    <n v="0"/>
    <n v="0"/>
    <n v="0"/>
    <n v="0"/>
    <n v="0"/>
    <n v="0"/>
    <m/>
    <n v="70.8"/>
    <s v="Normal"/>
  </r>
  <r>
    <s v="USR-100251"/>
    <d v="2025-01-30T00:00:00"/>
    <x v="0"/>
    <s v="North"/>
    <s v="Desktop"/>
    <x v="0"/>
    <s v="Basic"/>
    <n v="1"/>
    <n v="1"/>
    <n v="1"/>
    <n v="1"/>
    <n v="1250.78"/>
    <n v="0"/>
    <n v="0"/>
    <n v="10"/>
    <n v="39"/>
    <s v="Normal"/>
  </r>
  <r>
    <s v="USR-100252"/>
    <d v="2025-05-23T00:00:00"/>
    <x v="0"/>
    <s v="West"/>
    <s v="Mobile"/>
    <x v="1"/>
    <s v="Free"/>
    <n v="1"/>
    <n v="0"/>
    <n v="0"/>
    <n v="0"/>
    <n v="0"/>
    <n v="0"/>
    <n v="0"/>
    <m/>
    <n v="61.6"/>
    <s v="Normal"/>
  </r>
  <r>
    <s v="USR-100253"/>
    <d v="2025-02-14T00:00:00"/>
    <x v="0"/>
    <s v="East"/>
    <s v="Desktop"/>
    <x v="1"/>
    <s v="Free"/>
    <n v="1"/>
    <n v="1"/>
    <n v="1"/>
    <n v="0"/>
    <n v="0"/>
    <n v="0"/>
    <n v="0"/>
    <m/>
    <n v="46.8"/>
    <s v="Normal"/>
  </r>
  <r>
    <s v="USR-100254"/>
    <d v="2025-03-05T00:00:00"/>
    <x v="0"/>
    <s v="North"/>
    <s v="Mobile"/>
    <x v="2"/>
    <s v="Premium"/>
    <n v="0"/>
    <n v="0"/>
    <n v="0"/>
    <n v="0"/>
    <n v="0"/>
    <n v="1"/>
    <n v="0"/>
    <m/>
    <n v="58.5"/>
    <s v="Normal"/>
  </r>
  <r>
    <s v="USR-100255"/>
    <d v="2025-05-27T00:00:00"/>
    <x v="0"/>
    <s v="North"/>
    <s v="Mobile"/>
    <x v="2"/>
    <s v="Basic"/>
    <n v="0"/>
    <n v="0"/>
    <n v="0"/>
    <n v="0"/>
    <n v="0"/>
    <n v="0"/>
    <n v="0"/>
    <m/>
    <n v="70.900000000000006"/>
    <s v="Normal"/>
  </r>
  <r>
    <s v="USR-100256"/>
    <d v="2025-01-07T00:00:00"/>
    <x v="0"/>
    <s v="South"/>
    <s v="Mobile"/>
    <x v="2"/>
    <s v="Free"/>
    <n v="1"/>
    <n v="0"/>
    <n v="0"/>
    <n v="0"/>
    <n v="0"/>
    <n v="0"/>
    <n v="0"/>
    <m/>
    <n v="48.4"/>
    <s v="Normal"/>
  </r>
  <r>
    <s v="USR-100257"/>
    <d v="2025-04-21T00:00:00"/>
    <x v="0"/>
    <s v="North"/>
    <s v="Mobile"/>
    <x v="0"/>
    <s v="Free"/>
    <n v="1"/>
    <n v="0"/>
    <n v="0"/>
    <n v="0"/>
    <n v="0"/>
    <n v="0"/>
    <n v="0"/>
    <m/>
    <n v="58"/>
    <s v="Normal"/>
  </r>
  <r>
    <s v="USR-100258"/>
    <d v="2025-05-13T00:00:00"/>
    <x v="0"/>
    <s v="North"/>
    <s v="Mobile"/>
    <x v="2"/>
    <s v="Free"/>
    <n v="0"/>
    <n v="0"/>
    <n v="0"/>
    <n v="0"/>
    <n v="0"/>
    <n v="0"/>
    <n v="0"/>
    <m/>
    <n v="61.6"/>
    <s v="Normal"/>
  </r>
  <r>
    <s v="USR-100259"/>
    <d v="2025-01-28T00:00:00"/>
    <x v="0"/>
    <s v="East"/>
    <s v="Desktop"/>
    <x v="1"/>
    <s v="Free"/>
    <n v="1"/>
    <n v="0"/>
    <n v="0"/>
    <n v="0"/>
    <n v="0"/>
    <n v="0"/>
    <n v="0"/>
    <m/>
    <n v="43.2"/>
    <s v="Normal"/>
  </r>
  <r>
    <s v="USR-100260"/>
    <d v="2025-03-16T00:00:00"/>
    <x v="0"/>
    <s v="East"/>
    <s v="Desktop"/>
    <x v="2"/>
    <s v="Basic"/>
    <n v="1"/>
    <n v="0"/>
    <n v="0"/>
    <n v="0"/>
    <n v="0"/>
    <n v="1"/>
    <n v="0"/>
    <m/>
    <n v="53.3"/>
    <s v="Normal"/>
  </r>
  <r>
    <s v="USR-100261"/>
    <d v="2025-04-10T00:00:00"/>
    <x v="0"/>
    <s v="East"/>
    <s v="Desktop"/>
    <x v="4"/>
    <s v="Basic"/>
    <n v="0"/>
    <n v="0"/>
    <n v="0"/>
    <n v="0"/>
    <n v="0"/>
    <n v="0"/>
    <n v="0"/>
    <m/>
    <n v="33.9"/>
    <s v="Normal"/>
  </r>
  <r>
    <s v="USR-100262"/>
    <d v="2025-03-15T00:00:00"/>
    <x v="0"/>
    <s v="East"/>
    <s v="Desktop"/>
    <x v="3"/>
    <s v="Free"/>
    <n v="1"/>
    <n v="1"/>
    <n v="1"/>
    <n v="0"/>
    <n v="0"/>
    <n v="0"/>
    <n v="0"/>
    <m/>
    <n v="35.4"/>
    <s v="Normal"/>
  </r>
  <r>
    <s v="USR-100263"/>
    <d v="2025-04-07T00:00:00"/>
    <x v="0"/>
    <s v="West"/>
    <s v="Desktop"/>
    <x v="1"/>
    <s v="Basic"/>
    <n v="1"/>
    <n v="0"/>
    <n v="0"/>
    <n v="0"/>
    <n v="0"/>
    <n v="0"/>
    <n v="0"/>
    <m/>
    <n v="45"/>
    <s v="Normal"/>
  </r>
  <r>
    <s v="USR-100264"/>
    <d v="2025-02-12T00:00:00"/>
    <x v="0"/>
    <s v="South"/>
    <s v="Mobile"/>
    <x v="1"/>
    <s v="Free"/>
    <n v="1"/>
    <n v="1"/>
    <n v="0"/>
    <n v="0"/>
    <n v="0"/>
    <n v="0"/>
    <n v="0"/>
    <m/>
    <n v="86.5"/>
    <s v="Normal"/>
  </r>
  <r>
    <s v="USR-100265"/>
    <d v="2025-05-05T00:00:00"/>
    <x v="0"/>
    <s v="West"/>
    <s v="Mobile"/>
    <x v="4"/>
    <s v="Free"/>
    <n v="0"/>
    <n v="0"/>
    <n v="0"/>
    <n v="0"/>
    <n v="0"/>
    <n v="0"/>
    <n v="0"/>
    <m/>
    <n v="58.1"/>
    <s v="Normal"/>
  </r>
  <r>
    <s v="USR-100266"/>
    <d v="2025-03-11T00:00:00"/>
    <x v="0"/>
    <s v="West"/>
    <s v="Mobile"/>
    <x v="3"/>
    <s v="Free"/>
    <n v="1"/>
    <n v="0"/>
    <n v="0"/>
    <n v="0"/>
    <n v="0"/>
    <n v="0"/>
    <n v="0"/>
    <m/>
    <n v="36.1"/>
    <s v="Normal"/>
  </r>
  <r>
    <s v="USR-100267"/>
    <d v="2025-02-10T00:00:00"/>
    <x v="0"/>
    <s v="East"/>
    <s v="Mobile"/>
    <x v="4"/>
    <s v="Free"/>
    <n v="0"/>
    <n v="0"/>
    <n v="0"/>
    <n v="0"/>
    <n v="0"/>
    <n v="0"/>
    <n v="0"/>
    <m/>
    <n v="62.8"/>
    <s v="Normal"/>
  </r>
  <r>
    <s v="USR-100268"/>
    <d v="2025-04-06T00:00:00"/>
    <x v="0"/>
    <s v="South"/>
    <s v="Mobile"/>
    <x v="1"/>
    <s v="Free"/>
    <n v="0"/>
    <n v="0"/>
    <n v="0"/>
    <n v="0"/>
    <n v="0"/>
    <n v="0"/>
    <n v="0"/>
    <m/>
    <n v="54.2"/>
    <s v="Normal"/>
  </r>
  <r>
    <s v="USR-100269"/>
    <d v="2025-01-06T00:00:00"/>
    <x v="0"/>
    <s v="East"/>
    <s v="Mobile"/>
    <x v="3"/>
    <s v="Free"/>
    <n v="0"/>
    <n v="0"/>
    <n v="0"/>
    <n v="0"/>
    <n v="0"/>
    <n v="0"/>
    <n v="0"/>
    <m/>
    <n v="50"/>
    <s v="Normal"/>
  </r>
  <r>
    <s v="USR-100270"/>
    <d v="2025-03-25T00:00:00"/>
    <x v="0"/>
    <s v="East"/>
    <s v="Tablet"/>
    <x v="2"/>
    <s v="Basic"/>
    <n v="1"/>
    <n v="0"/>
    <n v="0"/>
    <n v="0"/>
    <n v="0"/>
    <n v="0"/>
    <n v="0"/>
    <m/>
    <n v="62"/>
    <s v="Normal"/>
  </r>
  <r>
    <s v="USR-100271"/>
    <d v="2025-02-13T00:00:00"/>
    <x v="0"/>
    <s v="East"/>
    <s v="Desktop"/>
    <x v="3"/>
    <s v="Free"/>
    <n v="1"/>
    <n v="0"/>
    <n v="0"/>
    <n v="0"/>
    <n v="0"/>
    <n v="0"/>
    <n v="0"/>
    <m/>
    <n v="29.3"/>
    <s v="Normal"/>
  </r>
  <r>
    <s v="USR-100272"/>
    <d v="2025-03-17T00:00:00"/>
    <x v="0"/>
    <s v="West"/>
    <s v="Desktop"/>
    <x v="1"/>
    <s v="Free"/>
    <n v="1"/>
    <n v="0"/>
    <n v="0"/>
    <n v="0"/>
    <n v="0"/>
    <n v="0"/>
    <n v="0"/>
    <m/>
    <n v="67.900000000000006"/>
    <s v="Normal"/>
  </r>
  <r>
    <s v="USR-100273"/>
    <d v="2025-05-10T00:00:00"/>
    <x v="0"/>
    <s v="North"/>
    <s v="Mobile"/>
    <x v="3"/>
    <s v="Free"/>
    <n v="1"/>
    <n v="1"/>
    <n v="1"/>
    <n v="0"/>
    <n v="0"/>
    <n v="0"/>
    <n v="0"/>
    <m/>
    <n v="67.599999999999994"/>
    <s v="Normal"/>
  </r>
  <r>
    <s v="USR-100274"/>
    <d v="2025-05-07T00:00:00"/>
    <x v="0"/>
    <s v="South"/>
    <s v="Mobile"/>
    <x v="2"/>
    <s v="Basic"/>
    <n v="0"/>
    <n v="0"/>
    <n v="0"/>
    <n v="0"/>
    <n v="0"/>
    <n v="0"/>
    <n v="0"/>
    <m/>
    <n v="67.400000000000006"/>
    <s v="Normal"/>
  </r>
  <r>
    <s v="USR-100275"/>
    <d v="2025-02-26T00:00:00"/>
    <x v="0"/>
    <s v="West"/>
    <s v="Desktop"/>
    <x v="2"/>
    <s v="Premium"/>
    <n v="0"/>
    <n v="0"/>
    <n v="0"/>
    <n v="0"/>
    <n v="0"/>
    <n v="2"/>
    <n v="0"/>
    <m/>
    <n v="53"/>
    <s v="Normal"/>
  </r>
  <r>
    <s v="USR-100276"/>
    <d v="2025-05-11T00:00:00"/>
    <x v="0"/>
    <s v="North"/>
    <s v="Mobile"/>
    <x v="1"/>
    <s v="Basic"/>
    <n v="0"/>
    <n v="0"/>
    <n v="0"/>
    <n v="0"/>
    <n v="0"/>
    <n v="0"/>
    <n v="0"/>
    <m/>
    <n v="65.5"/>
    <s v="Normal"/>
  </r>
  <r>
    <s v="USR-100277"/>
    <d v="2025-03-20T00:00:00"/>
    <x v="0"/>
    <s v="South"/>
    <s v="Mobile"/>
    <x v="1"/>
    <s v="Basic"/>
    <n v="1"/>
    <n v="1"/>
    <n v="0"/>
    <n v="0"/>
    <n v="0"/>
    <n v="0"/>
    <n v="0"/>
    <m/>
    <n v="49.6"/>
    <s v="Normal"/>
  </r>
  <r>
    <s v="USR-100278"/>
    <d v="2025-01-19T00:00:00"/>
    <x v="0"/>
    <s v="North"/>
    <s v="Mobile"/>
    <x v="0"/>
    <s v="Free"/>
    <n v="1"/>
    <n v="1"/>
    <n v="0"/>
    <n v="0"/>
    <n v="0"/>
    <n v="0"/>
    <n v="0"/>
    <m/>
    <n v="74.5"/>
    <s v="Normal"/>
  </r>
  <r>
    <s v="USR-100279"/>
    <d v="2025-03-08T00:00:00"/>
    <x v="0"/>
    <s v="North"/>
    <s v="Tablet"/>
    <x v="2"/>
    <s v="Premium"/>
    <n v="1"/>
    <n v="0"/>
    <n v="0"/>
    <n v="0"/>
    <n v="0"/>
    <n v="1"/>
    <n v="0"/>
    <m/>
    <n v="46.9"/>
    <s v="Normal"/>
  </r>
  <r>
    <s v="USR-100280"/>
    <d v="2025-04-25T00:00:00"/>
    <x v="0"/>
    <s v="North"/>
    <s v="Mobile"/>
    <x v="1"/>
    <s v="Free"/>
    <n v="0"/>
    <n v="0"/>
    <n v="0"/>
    <n v="0"/>
    <n v="0"/>
    <n v="0"/>
    <n v="0"/>
    <m/>
    <n v="87.1"/>
    <s v="Normal"/>
  </r>
  <r>
    <s v="USR-100281"/>
    <d v="2025-04-04T00:00:00"/>
    <x v="0"/>
    <s v="North"/>
    <s v="Desktop"/>
    <x v="1"/>
    <s v="Free"/>
    <n v="1"/>
    <n v="0"/>
    <n v="0"/>
    <n v="0"/>
    <n v="0"/>
    <n v="0"/>
    <n v="0"/>
    <m/>
    <n v="56"/>
    <s v="Normal"/>
  </r>
  <r>
    <s v="USR-100282"/>
    <d v="2025-05-01T00:00:00"/>
    <x v="0"/>
    <s v="East"/>
    <s v="Mobile"/>
    <x v="2"/>
    <s v="Premium"/>
    <n v="1"/>
    <n v="0"/>
    <n v="0"/>
    <n v="0"/>
    <n v="0"/>
    <n v="1"/>
    <n v="0"/>
    <m/>
    <n v="61.7"/>
    <s v="Normal"/>
  </r>
  <r>
    <s v="USR-100283"/>
    <d v="2025-01-21T00:00:00"/>
    <x v="0"/>
    <s v="South"/>
    <s v="Mobile"/>
    <x v="4"/>
    <s v="Free"/>
    <n v="1"/>
    <n v="0"/>
    <n v="0"/>
    <n v="0"/>
    <n v="0"/>
    <n v="1"/>
    <n v="0"/>
    <m/>
    <n v="70.5"/>
    <s v="Normal"/>
  </r>
  <r>
    <s v="USR-100284"/>
    <d v="2025-02-10T00:00:00"/>
    <x v="0"/>
    <s v="North"/>
    <s v="Desktop"/>
    <x v="3"/>
    <s v="Basic"/>
    <n v="1"/>
    <n v="0"/>
    <n v="0"/>
    <n v="0"/>
    <n v="0"/>
    <n v="0"/>
    <n v="0"/>
    <m/>
    <n v="33.4"/>
    <s v="Normal"/>
  </r>
  <r>
    <s v="USR-100285"/>
    <d v="2025-05-06T00:00:00"/>
    <x v="0"/>
    <s v="South"/>
    <s v="Desktop"/>
    <x v="1"/>
    <s v="Free"/>
    <n v="1"/>
    <n v="0"/>
    <n v="0"/>
    <n v="0"/>
    <n v="0"/>
    <n v="0"/>
    <n v="0"/>
    <m/>
    <n v="57.5"/>
    <s v="Normal"/>
  </r>
  <r>
    <s v="USR-100286"/>
    <d v="2025-02-08T00:00:00"/>
    <x v="0"/>
    <s v="North"/>
    <s v="Desktop"/>
    <x v="2"/>
    <s v="Basic"/>
    <n v="1"/>
    <n v="1"/>
    <n v="0"/>
    <n v="0"/>
    <n v="0"/>
    <n v="0"/>
    <n v="0"/>
    <m/>
    <n v="85.7"/>
    <s v="Normal"/>
  </r>
  <r>
    <s v="USR-100287"/>
    <d v="2025-05-31T00:00:00"/>
    <x v="0"/>
    <s v="East"/>
    <s v="Mobile"/>
    <x v="4"/>
    <s v="Free"/>
    <n v="1"/>
    <n v="0"/>
    <n v="0"/>
    <n v="0"/>
    <n v="0"/>
    <n v="0"/>
    <n v="0"/>
    <m/>
    <n v="41.9"/>
    <s v="Normal"/>
  </r>
  <r>
    <s v="USR-100288"/>
    <d v="2025-02-07T00:00:00"/>
    <x v="0"/>
    <s v="West"/>
    <s v="Mobile"/>
    <x v="0"/>
    <s v="Basic"/>
    <n v="1"/>
    <n v="0"/>
    <n v="0"/>
    <n v="0"/>
    <n v="0"/>
    <n v="0"/>
    <n v="0"/>
    <m/>
    <n v="70.2"/>
    <s v="Normal"/>
  </r>
  <r>
    <s v="USR-100289"/>
    <d v="2025-02-10T00:00:00"/>
    <x v="0"/>
    <s v="North"/>
    <s v="Mobile"/>
    <x v="4"/>
    <s v="Free"/>
    <n v="1"/>
    <n v="0"/>
    <n v="0"/>
    <n v="0"/>
    <n v="0"/>
    <n v="0"/>
    <n v="0"/>
    <m/>
    <n v="42.6"/>
    <s v="Normal"/>
  </r>
  <r>
    <s v="USR-100290"/>
    <d v="2025-01-31T00:00:00"/>
    <x v="0"/>
    <s v="West"/>
    <s v="Mobile"/>
    <x v="4"/>
    <s v="Basic"/>
    <n v="0"/>
    <n v="0"/>
    <n v="0"/>
    <n v="0"/>
    <n v="0"/>
    <n v="2"/>
    <n v="0"/>
    <m/>
    <n v="30.4"/>
    <s v="Normal"/>
  </r>
  <r>
    <s v="USR-100291"/>
    <d v="2025-03-16T00:00:00"/>
    <x v="0"/>
    <s v="East"/>
    <s v="Mobile"/>
    <x v="2"/>
    <s v="Basic"/>
    <n v="1"/>
    <n v="0"/>
    <n v="0"/>
    <n v="0"/>
    <n v="0"/>
    <n v="0"/>
    <n v="0"/>
    <m/>
    <n v="63.7"/>
    <s v="Normal"/>
  </r>
  <r>
    <s v="USR-100292"/>
    <d v="2025-04-24T00:00:00"/>
    <x v="0"/>
    <s v="South"/>
    <s v="Mobile"/>
    <x v="4"/>
    <s v="Basic"/>
    <n v="0"/>
    <n v="0"/>
    <n v="0"/>
    <n v="0"/>
    <n v="0"/>
    <n v="0"/>
    <n v="0"/>
    <m/>
    <n v="42.7"/>
    <s v="Normal"/>
  </r>
  <r>
    <s v="USR-100293"/>
    <d v="2025-01-28T00:00:00"/>
    <x v="0"/>
    <s v="North"/>
    <s v="Mobile"/>
    <x v="1"/>
    <s v="Free"/>
    <n v="0"/>
    <n v="0"/>
    <n v="0"/>
    <n v="0"/>
    <n v="0"/>
    <n v="0"/>
    <n v="0"/>
    <m/>
    <n v="74.3"/>
    <s v="Normal"/>
  </r>
  <r>
    <s v="USR-100294"/>
    <d v="2025-02-16T00:00:00"/>
    <x v="0"/>
    <s v="West"/>
    <s v="Desktop"/>
    <x v="0"/>
    <s v="Free"/>
    <n v="1"/>
    <n v="0"/>
    <n v="0"/>
    <n v="0"/>
    <n v="0"/>
    <n v="0"/>
    <n v="0"/>
    <m/>
    <n v="40.6"/>
    <s v="Normal"/>
  </r>
  <r>
    <s v="USR-100295"/>
    <d v="2025-03-23T00:00:00"/>
    <x v="0"/>
    <s v="East"/>
    <s v="Mobile"/>
    <x v="1"/>
    <s v="Premium"/>
    <n v="0"/>
    <n v="0"/>
    <n v="0"/>
    <n v="0"/>
    <n v="0"/>
    <n v="0"/>
    <n v="0"/>
    <m/>
    <n v="67"/>
    <s v="Normal"/>
  </r>
  <r>
    <s v="USR-100296"/>
    <d v="2025-05-31T00:00:00"/>
    <x v="0"/>
    <s v="East"/>
    <s v="Mobile"/>
    <x v="2"/>
    <s v="Premium"/>
    <n v="0"/>
    <n v="0"/>
    <n v="0"/>
    <n v="0"/>
    <n v="0"/>
    <n v="0"/>
    <n v="0"/>
    <m/>
    <n v="51"/>
    <s v="Normal"/>
  </r>
  <r>
    <s v="USR-100297"/>
    <d v="2025-04-13T00:00:00"/>
    <x v="0"/>
    <s v="West"/>
    <s v="Mobile"/>
    <x v="4"/>
    <s v="Basic"/>
    <n v="1"/>
    <n v="1"/>
    <n v="0"/>
    <n v="0"/>
    <n v="0"/>
    <n v="1"/>
    <n v="0"/>
    <m/>
    <n v="54.8"/>
    <s v="Normal"/>
  </r>
  <r>
    <s v="USR-100298"/>
    <d v="2025-05-14T00:00:00"/>
    <x v="0"/>
    <s v="North"/>
    <s v="Tablet"/>
    <x v="0"/>
    <s v="Basic"/>
    <n v="0"/>
    <n v="0"/>
    <n v="0"/>
    <n v="0"/>
    <n v="0"/>
    <n v="0"/>
    <n v="0"/>
    <m/>
    <n v="40.799999999999997"/>
    <s v="Normal"/>
  </r>
  <r>
    <s v="USR-100299"/>
    <d v="2025-02-19T00:00:00"/>
    <x v="0"/>
    <s v="East"/>
    <s v="Mobile"/>
    <x v="2"/>
    <s v="Free"/>
    <n v="0"/>
    <n v="0"/>
    <n v="0"/>
    <n v="0"/>
    <n v="0"/>
    <n v="0"/>
    <n v="0"/>
    <m/>
    <n v="48.8"/>
    <s v="Normal"/>
  </r>
  <r>
    <s v="USR-100300"/>
    <d v="2025-01-24T00:00:00"/>
    <x v="0"/>
    <s v="South"/>
    <s v="Mobile"/>
    <x v="5"/>
    <s v="Basic"/>
    <n v="1"/>
    <n v="1"/>
    <n v="1"/>
    <n v="1"/>
    <n v="1198.69"/>
    <n v="1"/>
    <n v="0"/>
    <n v="6"/>
    <n v="88.9"/>
    <s v="Normal"/>
  </r>
  <r>
    <s v="USR-100301"/>
    <d v="2025-05-09T00:00:00"/>
    <x v="0"/>
    <s v="North"/>
    <s v="Mobile"/>
    <x v="0"/>
    <s v="Basic"/>
    <n v="1"/>
    <n v="1"/>
    <n v="1"/>
    <n v="0"/>
    <n v="0"/>
    <n v="1"/>
    <n v="0"/>
    <m/>
    <n v="60.5"/>
    <s v="Normal"/>
  </r>
  <r>
    <s v="USR-100302"/>
    <d v="2025-02-11T00:00:00"/>
    <x v="0"/>
    <s v="North"/>
    <s v="Mobile"/>
    <x v="1"/>
    <s v="Basic"/>
    <n v="1"/>
    <n v="0"/>
    <n v="0"/>
    <n v="0"/>
    <n v="0"/>
    <n v="0"/>
    <n v="0"/>
    <m/>
    <n v="63.6"/>
    <s v="Normal"/>
  </r>
  <r>
    <s v="USR-100303"/>
    <d v="2025-02-26T00:00:00"/>
    <x v="0"/>
    <s v="North"/>
    <s v="Desktop"/>
    <x v="1"/>
    <s v="Basic"/>
    <n v="1"/>
    <n v="1"/>
    <n v="1"/>
    <n v="1"/>
    <n v="6788.95"/>
    <n v="0"/>
    <n v="0"/>
    <n v="17"/>
    <n v="58.4"/>
    <s v="Outlier"/>
  </r>
  <r>
    <s v="USR-100304"/>
    <d v="2025-02-12T00:00:00"/>
    <x v="0"/>
    <s v="South"/>
    <s v="Mobile"/>
    <x v="4"/>
    <s v="Premium"/>
    <n v="0"/>
    <n v="0"/>
    <n v="0"/>
    <n v="0"/>
    <n v="0"/>
    <n v="0"/>
    <n v="0"/>
    <m/>
    <n v="52.7"/>
    <s v="Normal"/>
  </r>
  <r>
    <s v="USR-100305"/>
    <d v="2025-01-05T00:00:00"/>
    <x v="0"/>
    <s v="South"/>
    <s v="Tablet"/>
    <x v="4"/>
    <s v="Premium"/>
    <n v="1"/>
    <n v="1"/>
    <n v="1"/>
    <n v="0"/>
    <n v="0"/>
    <n v="2"/>
    <n v="0"/>
    <m/>
    <n v="48.9"/>
    <s v="Normal"/>
  </r>
  <r>
    <s v="USR-100306"/>
    <d v="2025-05-19T00:00:00"/>
    <x v="0"/>
    <s v="West"/>
    <s v="Mobile"/>
    <x v="1"/>
    <s v="Premium"/>
    <n v="0"/>
    <n v="0"/>
    <n v="0"/>
    <n v="0"/>
    <n v="0"/>
    <n v="0"/>
    <n v="0"/>
    <m/>
    <n v="79.7"/>
    <s v="Normal"/>
  </r>
  <r>
    <s v="USR-100307"/>
    <d v="2025-02-02T00:00:00"/>
    <x v="0"/>
    <s v="North"/>
    <s v="Mobile"/>
    <x v="4"/>
    <s v="Free"/>
    <n v="1"/>
    <n v="0"/>
    <n v="0"/>
    <n v="0"/>
    <n v="0"/>
    <n v="0"/>
    <n v="0"/>
    <m/>
    <n v="44.9"/>
    <s v="Normal"/>
  </r>
  <r>
    <s v="USR-100308"/>
    <d v="2025-01-30T00:00:00"/>
    <x v="0"/>
    <s v="West"/>
    <s v="Tablet"/>
    <x v="2"/>
    <s v="Free"/>
    <n v="1"/>
    <n v="1"/>
    <n v="1"/>
    <n v="1"/>
    <n v="409.39"/>
    <n v="0"/>
    <n v="0"/>
    <n v="10"/>
    <n v="38.799999999999997"/>
    <s v="Normal"/>
  </r>
  <r>
    <s v="USR-100309"/>
    <d v="2025-05-01T00:00:00"/>
    <x v="0"/>
    <s v="South"/>
    <s v="Desktop"/>
    <x v="0"/>
    <s v="Free"/>
    <n v="0"/>
    <n v="0"/>
    <n v="0"/>
    <n v="0"/>
    <n v="0"/>
    <n v="0"/>
    <n v="0"/>
    <m/>
    <n v="70"/>
    <s v="Normal"/>
  </r>
  <r>
    <s v="USR-100310"/>
    <d v="2025-05-16T00:00:00"/>
    <x v="0"/>
    <s v="South"/>
    <s v="Desktop"/>
    <x v="3"/>
    <s v="Basic"/>
    <n v="1"/>
    <n v="0"/>
    <n v="0"/>
    <n v="0"/>
    <n v="0"/>
    <n v="0"/>
    <n v="0"/>
    <m/>
    <n v="77.7"/>
    <s v="Normal"/>
  </r>
  <r>
    <s v="USR-100311"/>
    <d v="2025-03-08T00:00:00"/>
    <x v="0"/>
    <s v="West"/>
    <s v="Mobile"/>
    <x v="1"/>
    <s v="Free"/>
    <n v="0"/>
    <n v="0"/>
    <n v="0"/>
    <n v="0"/>
    <n v="0"/>
    <n v="0"/>
    <n v="0"/>
    <m/>
    <n v="71.2"/>
    <s v="Normal"/>
  </r>
  <r>
    <s v="USR-100312"/>
    <d v="2025-04-04T00:00:00"/>
    <x v="0"/>
    <s v="North"/>
    <s v="Mobile"/>
    <x v="1"/>
    <s v="Basic"/>
    <n v="1"/>
    <n v="0"/>
    <n v="0"/>
    <n v="0"/>
    <n v="0"/>
    <n v="0"/>
    <n v="0"/>
    <m/>
    <n v="43.8"/>
    <s v="Normal"/>
  </r>
  <r>
    <s v="USR-100313"/>
    <d v="2025-05-30T00:00:00"/>
    <x v="0"/>
    <s v="South"/>
    <s v="Tablet"/>
    <x v="1"/>
    <s v="Free"/>
    <n v="1"/>
    <n v="0"/>
    <n v="0"/>
    <n v="0"/>
    <n v="0"/>
    <n v="0"/>
    <n v="0"/>
    <m/>
    <n v="50.9"/>
    <s v="Normal"/>
  </r>
  <r>
    <s v="USR-100314"/>
    <d v="2025-01-05T00:00:00"/>
    <x v="0"/>
    <s v="West"/>
    <s v="Mobile"/>
    <x v="1"/>
    <s v="Premium"/>
    <n v="0"/>
    <n v="0"/>
    <n v="0"/>
    <n v="0"/>
    <n v="0"/>
    <n v="0"/>
    <n v="0"/>
    <m/>
    <n v="58.5"/>
    <s v="Normal"/>
  </r>
  <r>
    <s v="USR-100315"/>
    <d v="2025-01-20T00:00:00"/>
    <x v="0"/>
    <s v="East"/>
    <s v="Mobile"/>
    <x v="1"/>
    <s v="Free"/>
    <n v="1"/>
    <n v="1"/>
    <n v="1"/>
    <n v="0"/>
    <n v="0"/>
    <n v="0"/>
    <n v="0"/>
    <m/>
    <n v="53.6"/>
    <s v="Normal"/>
  </r>
  <r>
    <s v="USR-100316"/>
    <d v="2025-05-01T00:00:00"/>
    <x v="0"/>
    <s v="East"/>
    <s v="Mobile"/>
    <x v="0"/>
    <s v="Free"/>
    <n v="0"/>
    <n v="0"/>
    <n v="0"/>
    <n v="0"/>
    <n v="0"/>
    <n v="0"/>
    <n v="0"/>
    <m/>
    <n v="54.9"/>
    <s v="Normal"/>
  </r>
  <r>
    <s v="USR-100317"/>
    <d v="2025-03-05T00:00:00"/>
    <x v="0"/>
    <s v="North"/>
    <s v="Desktop"/>
    <x v="1"/>
    <s v="Premium"/>
    <n v="0"/>
    <n v="0"/>
    <n v="0"/>
    <n v="0"/>
    <n v="0"/>
    <n v="0"/>
    <n v="0"/>
    <m/>
    <n v="57.3"/>
    <s v="Normal"/>
  </r>
  <r>
    <s v="USR-100318"/>
    <d v="2025-04-01T00:00:00"/>
    <x v="0"/>
    <s v="East"/>
    <s v="Desktop"/>
    <x v="3"/>
    <s v="Free"/>
    <n v="1"/>
    <n v="0"/>
    <n v="0"/>
    <n v="0"/>
    <n v="0"/>
    <n v="0"/>
    <n v="0"/>
    <m/>
    <n v="52.1"/>
    <s v="Normal"/>
  </r>
  <r>
    <s v="USR-100319"/>
    <d v="2025-05-03T00:00:00"/>
    <x v="0"/>
    <s v="North"/>
    <s v="Mobile"/>
    <x v="1"/>
    <s v="Free"/>
    <n v="1"/>
    <n v="0"/>
    <n v="0"/>
    <n v="0"/>
    <n v="0"/>
    <n v="0"/>
    <n v="0"/>
    <m/>
    <n v="80"/>
    <s v="Normal"/>
  </r>
  <r>
    <s v="USR-100320"/>
    <d v="2025-03-06T00:00:00"/>
    <x v="0"/>
    <s v="South"/>
    <s v="Desktop"/>
    <x v="2"/>
    <s v="Premium"/>
    <n v="1"/>
    <n v="0"/>
    <n v="0"/>
    <n v="0"/>
    <n v="0"/>
    <n v="0"/>
    <n v="0"/>
    <m/>
    <n v="39.299999999999997"/>
    <s v="Normal"/>
  </r>
  <r>
    <s v="USR-100321"/>
    <d v="2025-04-01T00:00:00"/>
    <x v="0"/>
    <s v="North"/>
    <s v="Desktop"/>
    <x v="3"/>
    <s v="Premium"/>
    <n v="0"/>
    <n v="0"/>
    <n v="0"/>
    <n v="0"/>
    <n v="0"/>
    <n v="0"/>
    <n v="0"/>
    <m/>
    <n v="45.7"/>
    <s v="Normal"/>
  </r>
  <r>
    <s v="USR-100322"/>
    <d v="2025-02-09T00:00:00"/>
    <x v="0"/>
    <s v="North"/>
    <s v="Desktop"/>
    <x v="4"/>
    <s v="Basic"/>
    <n v="1"/>
    <n v="0"/>
    <n v="0"/>
    <n v="0"/>
    <n v="0"/>
    <n v="2"/>
    <n v="0"/>
    <m/>
    <n v="61.2"/>
    <s v="Normal"/>
  </r>
  <r>
    <s v="USR-100323"/>
    <d v="2025-04-12T00:00:00"/>
    <x v="0"/>
    <s v="West"/>
    <s v="Mobile"/>
    <x v="1"/>
    <s v="Basic"/>
    <n v="1"/>
    <n v="1"/>
    <n v="0"/>
    <n v="0"/>
    <n v="0"/>
    <n v="0"/>
    <n v="0"/>
    <m/>
    <n v="66.2"/>
    <s v="Normal"/>
  </r>
  <r>
    <s v="USR-100324"/>
    <d v="2025-03-18T00:00:00"/>
    <x v="0"/>
    <s v="East"/>
    <s v="Mobile"/>
    <x v="4"/>
    <s v="Free"/>
    <n v="1"/>
    <n v="1"/>
    <n v="1"/>
    <n v="0"/>
    <n v="0"/>
    <n v="0"/>
    <n v="0"/>
    <m/>
    <n v="61.3"/>
    <s v="Normal"/>
  </r>
  <r>
    <s v="USR-100325"/>
    <d v="2025-04-03T00:00:00"/>
    <x v="0"/>
    <s v="East"/>
    <s v="Mobile"/>
    <x v="2"/>
    <s v="Free"/>
    <n v="1"/>
    <n v="0"/>
    <n v="0"/>
    <n v="0"/>
    <n v="0"/>
    <n v="0"/>
    <n v="0"/>
    <m/>
    <n v="72.2"/>
    <s v="Normal"/>
  </r>
  <r>
    <s v="USR-100326"/>
    <d v="2025-04-02T00:00:00"/>
    <x v="0"/>
    <s v="West"/>
    <s v="Mobile"/>
    <x v="0"/>
    <s v="Premium"/>
    <n v="1"/>
    <n v="1"/>
    <n v="1"/>
    <n v="0"/>
    <n v="0"/>
    <n v="0"/>
    <n v="0"/>
    <m/>
    <n v="84"/>
    <s v="Normal"/>
  </r>
  <r>
    <s v="USR-100327"/>
    <d v="2025-05-10T00:00:00"/>
    <x v="0"/>
    <s v="West"/>
    <s v="Desktop"/>
    <x v="0"/>
    <s v="Basic"/>
    <n v="0"/>
    <n v="0"/>
    <n v="0"/>
    <n v="0"/>
    <n v="0"/>
    <n v="0"/>
    <n v="0"/>
    <m/>
    <n v="59.8"/>
    <s v="Normal"/>
  </r>
  <r>
    <s v="USR-100328"/>
    <d v="2025-04-29T00:00:00"/>
    <x v="0"/>
    <s v="West"/>
    <s v="Desktop"/>
    <x v="2"/>
    <s v="Free"/>
    <n v="1"/>
    <n v="0"/>
    <n v="0"/>
    <n v="0"/>
    <n v="0"/>
    <n v="0"/>
    <n v="0"/>
    <m/>
    <n v="64.900000000000006"/>
    <s v="Normal"/>
  </r>
  <r>
    <s v="USR-100329"/>
    <d v="2025-02-27T00:00:00"/>
    <x v="0"/>
    <s v="South"/>
    <s v="Mobile"/>
    <x v="2"/>
    <s v="Free"/>
    <n v="1"/>
    <n v="0"/>
    <n v="0"/>
    <n v="0"/>
    <n v="0"/>
    <n v="0"/>
    <n v="0"/>
    <m/>
    <n v="66.8"/>
    <s v="Normal"/>
  </r>
  <r>
    <s v="USR-100330"/>
    <d v="2025-04-10T00:00:00"/>
    <x v="0"/>
    <s v="North"/>
    <s v="Desktop"/>
    <x v="1"/>
    <s v="Premium"/>
    <n v="0"/>
    <n v="0"/>
    <n v="0"/>
    <n v="0"/>
    <n v="0"/>
    <n v="0"/>
    <n v="0"/>
    <m/>
    <n v="70.900000000000006"/>
    <s v="Normal"/>
  </r>
  <r>
    <s v="USR-100331"/>
    <d v="2025-02-13T00:00:00"/>
    <x v="0"/>
    <s v="East"/>
    <s v="Mobile"/>
    <x v="1"/>
    <s v="Free"/>
    <n v="1"/>
    <n v="1"/>
    <n v="1"/>
    <n v="1"/>
    <n v="426.82"/>
    <n v="1"/>
    <n v="0"/>
    <n v="14"/>
    <n v="68.8"/>
    <s v="Normal"/>
  </r>
  <r>
    <s v="USR-100332"/>
    <d v="2025-05-03T00:00:00"/>
    <x v="0"/>
    <s v="North"/>
    <s v="Mobile"/>
    <x v="1"/>
    <s v="Basic"/>
    <n v="1"/>
    <n v="0"/>
    <n v="0"/>
    <n v="0"/>
    <n v="0"/>
    <n v="0"/>
    <n v="0"/>
    <m/>
    <n v="72.400000000000006"/>
    <s v="Normal"/>
  </r>
  <r>
    <s v="USR-100333"/>
    <d v="2025-03-10T00:00:00"/>
    <x v="0"/>
    <s v="East"/>
    <s v="Mobile"/>
    <x v="1"/>
    <s v="Basic"/>
    <n v="0"/>
    <n v="0"/>
    <n v="0"/>
    <n v="0"/>
    <n v="0"/>
    <n v="0"/>
    <n v="0"/>
    <m/>
    <n v="63.3"/>
    <s v="Normal"/>
  </r>
  <r>
    <s v="USR-100334"/>
    <d v="2025-01-10T00:00:00"/>
    <x v="0"/>
    <s v="West"/>
    <s v="Tablet"/>
    <x v="4"/>
    <s v="Free"/>
    <n v="1"/>
    <n v="0"/>
    <n v="0"/>
    <n v="0"/>
    <n v="0"/>
    <n v="0"/>
    <n v="0"/>
    <m/>
    <n v="30.8"/>
    <s v="Normal"/>
  </r>
  <r>
    <s v="USR-100335"/>
    <d v="2025-01-16T00:00:00"/>
    <x v="0"/>
    <s v="South"/>
    <s v="Mobile"/>
    <x v="0"/>
    <s v="Basic"/>
    <n v="1"/>
    <n v="1"/>
    <n v="1"/>
    <n v="1"/>
    <n v="874.55"/>
    <n v="0"/>
    <n v="0"/>
    <n v="9"/>
    <n v="44.2"/>
    <s v="Normal"/>
  </r>
  <r>
    <s v="USR-100336"/>
    <d v="2025-02-11T00:00:00"/>
    <x v="0"/>
    <s v="South"/>
    <s v="Desktop"/>
    <x v="1"/>
    <s v="Premium"/>
    <n v="1"/>
    <n v="1"/>
    <n v="1"/>
    <n v="1"/>
    <n v="2206.88"/>
    <n v="0"/>
    <n v="0"/>
    <n v="10"/>
    <n v="56.2"/>
    <s v="Normal"/>
  </r>
  <r>
    <s v="USR-100337"/>
    <d v="2025-04-13T00:00:00"/>
    <x v="0"/>
    <s v="West"/>
    <s v="Mobile"/>
    <x v="1"/>
    <s v="Free"/>
    <n v="0"/>
    <n v="0"/>
    <n v="0"/>
    <n v="0"/>
    <n v="0"/>
    <n v="0"/>
    <n v="0"/>
    <m/>
    <n v="40.4"/>
    <s v="Normal"/>
  </r>
  <r>
    <s v="USR-100338"/>
    <d v="2025-02-08T00:00:00"/>
    <x v="0"/>
    <s v="East"/>
    <s v="Mobile"/>
    <x v="2"/>
    <s v="Free"/>
    <n v="1"/>
    <n v="1"/>
    <n v="1"/>
    <n v="0"/>
    <n v="0"/>
    <n v="0"/>
    <n v="0"/>
    <m/>
    <n v="68.099999999999994"/>
    <s v="Normal"/>
  </r>
  <r>
    <s v="USR-100339"/>
    <d v="2025-03-31T00:00:00"/>
    <x v="0"/>
    <s v="West"/>
    <s v="Desktop"/>
    <x v="3"/>
    <s v="Free"/>
    <n v="1"/>
    <n v="0"/>
    <n v="0"/>
    <n v="0"/>
    <n v="0"/>
    <n v="0"/>
    <n v="0"/>
    <m/>
    <n v="86.3"/>
    <s v="Normal"/>
  </r>
  <r>
    <s v="USR-100340"/>
    <d v="2025-01-31T00:00:00"/>
    <x v="0"/>
    <s v="West"/>
    <s v="Desktop"/>
    <x v="3"/>
    <s v="Free"/>
    <n v="1"/>
    <n v="1"/>
    <n v="0"/>
    <n v="0"/>
    <n v="0"/>
    <n v="0"/>
    <n v="0"/>
    <m/>
    <n v="42.9"/>
    <s v="Normal"/>
  </r>
  <r>
    <s v="USR-100341"/>
    <d v="2025-05-08T00:00:00"/>
    <x v="0"/>
    <s v="West"/>
    <s v="Tablet"/>
    <x v="1"/>
    <s v="Free"/>
    <n v="0"/>
    <n v="0"/>
    <n v="0"/>
    <n v="0"/>
    <n v="0"/>
    <n v="0"/>
    <n v="0"/>
    <m/>
    <n v="61.4"/>
    <s v="Normal"/>
  </r>
  <r>
    <s v="USR-100342"/>
    <d v="2025-03-15T00:00:00"/>
    <x v="0"/>
    <s v="North"/>
    <s v="Mobile"/>
    <x v="2"/>
    <s v="Free"/>
    <n v="1"/>
    <n v="0"/>
    <n v="0"/>
    <n v="0"/>
    <n v="0"/>
    <n v="1"/>
    <n v="0"/>
    <m/>
    <n v="73.3"/>
    <s v="Normal"/>
  </r>
  <r>
    <s v="USR-100343"/>
    <d v="2025-01-13T00:00:00"/>
    <x v="0"/>
    <s v="South"/>
    <s v="Mobile"/>
    <x v="3"/>
    <s v="Basic"/>
    <n v="1"/>
    <n v="0"/>
    <n v="0"/>
    <n v="0"/>
    <n v="0"/>
    <n v="0"/>
    <n v="0"/>
    <m/>
    <n v="59.4"/>
    <s v="Normal"/>
  </r>
  <r>
    <s v="USR-100344"/>
    <d v="2025-03-07T00:00:00"/>
    <x v="0"/>
    <s v="South"/>
    <s v="Tablet"/>
    <x v="1"/>
    <s v="Basic"/>
    <n v="1"/>
    <n v="0"/>
    <n v="0"/>
    <n v="0"/>
    <n v="0"/>
    <n v="0"/>
    <n v="0"/>
    <m/>
    <n v="35.200000000000003"/>
    <s v="Normal"/>
  </r>
  <r>
    <s v="USR-100345"/>
    <d v="2025-02-10T00:00:00"/>
    <x v="0"/>
    <s v="South"/>
    <s v="Mobile"/>
    <x v="4"/>
    <s v="Premium"/>
    <n v="1"/>
    <n v="1"/>
    <n v="0"/>
    <n v="0"/>
    <n v="0"/>
    <n v="0"/>
    <n v="0"/>
    <m/>
    <n v="55.3"/>
    <s v="Normal"/>
  </r>
  <r>
    <s v="USR-100346"/>
    <d v="2025-03-12T00:00:00"/>
    <x v="0"/>
    <s v="East"/>
    <s v="Mobile"/>
    <x v="2"/>
    <s v="Free"/>
    <n v="0"/>
    <n v="0"/>
    <n v="0"/>
    <n v="0"/>
    <n v="0"/>
    <n v="0"/>
    <n v="0"/>
    <m/>
    <n v="37.5"/>
    <s v="Normal"/>
  </r>
  <r>
    <s v="USR-100347"/>
    <d v="2025-01-03T00:00:00"/>
    <x v="0"/>
    <s v="South"/>
    <s v="Desktop"/>
    <x v="2"/>
    <s v="Free"/>
    <n v="0"/>
    <n v="0"/>
    <n v="0"/>
    <n v="0"/>
    <n v="0"/>
    <n v="1"/>
    <n v="0"/>
    <m/>
    <n v="66.400000000000006"/>
    <s v="Normal"/>
  </r>
  <r>
    <s v="USR-100348"/>
    <d v="2025-04-28T00:00:00"/>
    <x v="0"/>
    <s v="North"/>
    <s v="Tablet"/>
    <x v="4"/>
    <s v="Basic"/>
    <n v="1"/>
    <n v="0"/>
    <n v="0"/>
    <n v="0"/>
    <n v="0"/>
    <n v="0"/>
    <n v="0"/>
    <m/>
    <n v="61.9"/>
    <s v="Normal"/>
  </r>
  <r>
    <s v="USR-100349"/>
    <d v="2025-04-17T00:00:00"/>
    <x v="0"/>
    <s v="East"/>
    <s v="Mobile"/>
    <x v="1"/>
    <s v="Free"/>
    <n v="0"/>
    <n v="0"/>
    <n v="0"/>
    <n v="0"/>
    <n v="0"/>
    <n v="0"/>
    <n v="0"/>
    <m/>
    <n v="56"/>
    <s v="Normal"/>
  </r>
  <r>
    <s v="USR-100350"/>
    <d v="2025-05-23T00:00:00"/>
    <x v="0"/>
    <s v="South"/>
    <s v="Desktop"/>
    <x v="4"/>
    <s v="Basic"/>
    <n v="1"/>
    <n v="0"/>
    <n v="0"/>
    <n v="0"/>
    <n v="0"/>
    <n v="0"/>
    <n v="0"/>
    <m/>
    <n v="55.5"/>
    <s v="Normal"/>
  </r>
  <r>
    <s v="USR-100351"/>
    <d v="2025-02-19T00:00:00"/>
    <x v="0"/>
    <s v="West"/>
    <s v="Tablet"/>
    <x v="3"/>
    <s v="Basic"/>
    <n v="1"/>
    <n v="0"/>
    <n v="0"/>
    <n v="0"/>
    <n v="0"/>
    <n v="0"/>
    <n v="0"/>
    <m/>
    <n v="37.200000000000003"/>
    <s v="Normal"/>
  </r>
  <r>
    <s v="USR-100352"/>
    <d v="2025-01-18T00:00:00"/>
    <x v="0"/>
    <s v="South"/>
    <s v="Desktop"/>
    <x v="1"/>
    <s v="Free"/>
    <n v="1"/>
    <n v="1"/>
    <n v="0"/>
    <n v="0"/>
    <n v="0"/>
    <n v="1"/>
    <n v="0"/>
    <m/>
    <n v="70.5"/>
    <s v="Normal"/>
  </r>
  <r>
    <s v="USR-100353"/>
    <d v="2025-04-17T00:00:00"/>
    <x v="0"/>
    <s v="North"/>
    <s v="Mobile"/>
    <x v="1"/>
    <s v="Free"/>
    <n v="0"/>
    <n v="0"/>
    <n v="0"/>
    <n v="0"/>
    <n v="0"/>
    <n v="0"/>
    <n v="0"/>
    <m/>
    <n v="61.2"/>
    <s v="Normal"/>
  </r>
  <r>
    <s v="USR-100354"/>
    <d v="2025-04-12T00:00:00"/>
    <x v="0"/>
    <s v="East"/>
    <s v="Tablet"/>
    <x v="4"/>
    <s v="Free"/>
    <n v="1"/>
    <n v="1"/>
    <n v="1"/>
    <n v="0"/>
    <n v="0"/>
    <n v="0"/>
    <n v="0"/>
    <m/>
    <n v="64.599999999999994"/>
    <s v="Normal"/>
  </r>
  <r>
    <s v="USR-100355"/>
    <d v="2025-05-16T00:00:00"/>
    <x v="0"/>
    <s v="East"/>
    <s v="Mobile"/>
    <x v="0"/>
    <s v="Free"/>
    <n v="1"/>
    <n v="1"/>
    <n v="0"/>
    <n v="0"/>
    <n v="0"/>
    <n v="0"/>
    <n v="0"/>
    <m/>
    <n v="91.7"/>
    <s v="Normal"/>
  </r>
  <r>
    <s v="USR-100356"/>
    <d v="2025-03-24T00:00:00"/>
    <x v="0"/>
    <s v="West"/>
    <s v="Mobile"/>
    <x v="4"/>
    <s v="Free"/>
    <n v="0"/>
    <n v="0"/>
    <n v="0"/>
    <n v="0"/>
    <n v="0"/>
    <n v="0"/>
    <n v="0"/>
    <m/>
    <n v="46"/>
    <s v="Normal"/>
  </r>
  <r>
    <s v="USR-100357"/>
    <d v="2025-02-16T00:00:00"/>
    <x v="0"/>
    <s v="West"/>
    <s v="Mobile"/>
    <x v="1"/>
    <s v="Basic"/>
    <n v="0"/>
    <n v="0"/>
    <n v="0"/>
    <n v="0"/>
    <n v="0"/>
    <n v="0"/>
    <n v="0"/>
    <m/>
    <n v="50.8"/>
    <s v="Normal"/>
  </r>
  <r>
    <s v="USR-100358"/>
    <d v="2025-03-19T00:00:00"/>
    <x v="0"/>
    <s v="North"/>
    <s v="Tablet"/>
    <x v="1"/>
    <s v="Free"/>
    <n v="1"/>
    <n v="1"/>
    <n v="1"/>
    <n v="0"/>
    <n v="0"/>
    <n v="0"/>
    <n v="0"/>
    <m/>
    <n v="52.8"/>
    <s v="Normal"/>
  </r>
  <r>
    <s v="USR-100359"/>
    <d v="2025-04-21T00:00:00"/>
    <x v="0"/>
    <s v="South"/>
    <s v="Mobile"/>
    <x v="1"/>
    <s v="Basic"/>
    <n v="1"/>
    <n v="1"/>
    <n v="1"/>
    <n v="0"/>
    <n v="0"/>
    <n v="0"/>
    <n v="0"/>
    <m/>
    <n v="63"/>
    <s v="Normal"/>
  </r>
  <r>
    <s v="USR-100360"/>
    <d v="2025-01-11T00:00:00"/>
    <x v="0"/>
    <s v="West"/>
    <s v="Mobile"/>
    <x v="1"/>
    <s v="Free"/>
    <n v="0"/>
    <n v="0"/>
    <n v="0"/>
    <n v="0"/>
    <n v="0"/>
    <n v="0"/>
    <n v="0"/>
    <m/>
    <n v="28.4"/>
    <s v="Normal"/>
  </r>
  <r>
    <s v="USR-100361"/>
    <d v="2025-04-24T00:00:00"/>
    <x v="0"/>
    <s v="West"/>
    <s v="Desktop"/>
    <x v="1"/>
    <s v="Free"/>
    <n v="1"/>
    <n v="1"/>
    <n v="0"/>
    <n v="0"/>
    <n v="0"/>
    <n v="0"/>
    <n v="0"/>
    <m/>
    <n v="65.599999999999994"/>
    <s v="Normal"/>
  </r>
  <r>
    <s v="USR-100362"/>
    <d v="2025-03-13T00:00:00"/>
    <x v="0"/>
    <s v="North"/>
    <s v="Mobile"/>
    <x v="4"/>
    <s v="Premium"/>
    <n v="1"/>
    <n v="1"/>
    <n v="1"/>
    <n v="0"/>
    <n v="0"/>
    <n v="0"/>
    <n v="0"/>
    <m/>
    <n v="54.7"/>
    <s v="Normal"/>
  </r>
  <r>
    <s v="USR-100363"/>
    <d v="2025-01-30T00:00:00"/>
    <x v="0"/>
    <s v="North"/>
    <s v="Mobile"/>
    <x v="4"/>
    <s v="Basic"/>
    <n v="0"/>
    <n v="0"/>
    <n v="0"/>
    <n v="0"/>
    <n v="0"/>
    <n v="0"/>
    <n v="0"/>
    <m/>
    <n v="36.1"/>
    <s v="Normal"/>
  </r>
  <r>
    <s v="USR-100364"/>
    <d v="2025-05-08T00:00:00"/>
    <x v="0"/>
    <s v="South"/>
    <s v="Mobile"/>
    <x v="4"/>
    <s v="Basic"/>
    <n v="1"/>
    <n v="1"/>
    <n v="1"/>
    <n v="0"/>
    <n v="0"/>
    <n v="0"/>
    <n v="0"/>
    <m/>
    <n v="70.400000000000006"/>
    <s v="Normal"/>
  </r>
  <r>
    <s v="USR-100365"/>
    <d v="2025-01-08T00:00:00"/>
    <x v="0"/>
    <s v="East"/>
    <s v="Desktop"/>
    <x v="4"/>
    <s v="Free"/>
    <n v="1"/>
    <n v="0"/>
    <n v="0"/>
    <n v="0"/>
    <n v="0"/>
    <n v="0"/>
    <n v="0"/>
    <m/>
    <n v="56.4"/>
    <s v="Normal"/>
  </r>
  <r>
    <s v="USR-100366"/>
    <d v="2025-05-03T00:00:00"/>
    <x v="0"/>
    <s v="South"/>
    <s v="Mobile"/>
    <x v="1"/>
    <s v="Free"/>
    <n v="1"/>
    <n v="0"/>
    <n v="0"/>
    <n v="0"/>
    <n v="0"/>
    <n v="0"/>
    <n v="0"/>
    <m/>
    <n v="79.2"/>
    <s v="Normal"/>
  </r>
  <r>
    <s v="USR-100367"/>
    <d v="2025-02-12T00:00:00"/>
    <x v="0"/>
    <s v="East"/>
    <s v="Mobile"/>
    <x v="2"/>
    <s v="Free"/>
    <n v="1"/>
    <n v="1"/>
    <n v="1"/>
    <n v="0"/>
    <n v="0"/>
    <n v="0"/>
    <n v="0"/>
    <m/>
    <n v="60.1"/>
    <s v="Normal"/>
  </r>
  <r>
    <s v="USR-100368"/>
    <d v="2025-02-25T00:00:00"/>
    <x v="0"/>
    <s v="South"/>
    <s v="Tablet"/>
    <x v="1"/>
    <s v="Free"/>
    <n v="0"/>
    <n v="0"/>
    <n v="0"/>
    <n v="0"/>
    <n v="0"/>
    <n v="0"/>
    <n v="0"/>
    <m/>
    <n v="58"/>
    <s v="Normal"/>
  </r>
  <r>
    <s v="USR-100369"/>
    <d v="2025-04-14T00:00:00"/>
    <x v="0"/>
    <s v="South"/>
    <s v="Mobile"/>
    <x v="3"/>
    <s v="Free"/>
    <n v="1"/>
    <n v="1"/>
    <n v="1"/>
    <n v="0"/>
    <n v="0"/>
    <n v="0"/>
    <n v="0"/>
    <m/>
    <n v="69"/>
    <s v="Normal"/>
  </r>
  <r>
    <s v="USR-100370"/>
    <d v="2025-01-08T00:00:00"/>
    <x v="0"/>
    <s v="North"/>
    <s v="Mobile"/>
    <x v="3"/>
    <s v="Premium"/>
    <n v="1"/>
    <n v="1"/>
    <n v="1"/>
    <n v="0"/>
    <n v="0"/>
    <n v="1"/>
    <n v="0"/>
    <m/>
    <n v="80.8"/>
    <s v="Normal"/>
  </r>
  <r>
    <s v="USR-100371"/>
    <d v="2025-03-14T00:00:00"/>
    <x v="0"/>
    <s v="East"/>
    <s v="Mobile"/>
    <x v="0"/>
    <s v="Free"/>
    <n v="0"/>
    <n v="0"/>
    <n v="0"/>
    <n v="0"/>
    <n v="0"/>
    <n v="0"/>
    <n v="0"/>
    <m/>
    <n v="32.799999999999997"/>
    <s v="Normal"/>
  </r>
  <r>
    <s v="USR-100372"/>
    <d v="2025-04-29T00:00:00"/>
    <x v="0"/>
    <s v="North"/>
    <s v="Desktop"/>
    <x v="2"/>
    <s v="Premium"/>
    <n v="1"/>
    <n v="0"/>
    <n v="0"/>
    <n v="0"/>
    <n v="0"/>
    <n v="0"/>
    <n v="0"/>
    <m/>
    <n v="56"/>
    <s v="Normal"/>
  </r>
  <r>
    <s v="USR-100373"/>
    <d v="2025-05-01T00:00:00"/>
    <x v="0"/>
    <s v="East"/>
    <s v="Desktop"/>
    <x v="4"/>
    <s v="Free"/>
    <n v="1"/>
    <n v="0"/>
    <n v="0"/>
    <n v="0"/>
    <n v="0"/>
    <n v="0"/>
    <n v="0"/>
    <m/>
    <n v="76.400000000000006"/>
    <s v="Normal"/>
  </r>
  <r>
    <s v="USR-100374"/>
    <d v="2025-03-19T00:00:00"/>
    <x v="0"/>
    <s v="North"/>
    <s v="Mobile"/>
    <x v="3"/>
    <s v="Free"/>
    <n v="1"/>
    <n v="0"/>
    <n v="0"/>
    <n v="0"/>
    <n v="0"/>
    <n v="0"/>
    <n v="0"/>
    <m/>
    <n v="28.5"/>
    <s v="Normal"/>
  </r>
  <r>
    <s v="USR-100375"/>
    <d v="2025-05-01T00:00:00"/>
    <x v="0"/>
    <s v="South"/>
    <s v="Desktop"/>
    <x v="4"/>
    <s v="Basic"/>
    <n v="1"/>
    <n v="1"/>
    <n v="1"/>
    <n v="0"/>
    <n v="0"/>
    <n v="0"/>
    <n v="0"/>
    <m/>
    <n v="48.3"/>
    <s v="Normal"/>
  </r>
  <r>
    <s v="USR-100376"/>
    <d v="2025-03-14T00:00:00"/>
    <x v="0"/>
    <s v="West"/>
    <s v="Mobile"/>
    <x v="1"/>
    <s v="Free"/>
    <n v="1"/>
    <n v="1"/>
    <n v="0"/>
    <n v="0"/>
    <n v="0"/>
    <n v="0"/>
    <n v="0"/>
    <m/>
    <n v="43.4"/>
    <s v="Normal"/>
  </r>
  <r>
    <s v="USR-100377"/>
    <d v="2025-03-23T00:00:00"/>
    <x v="0"/>
    <s v="North"/>
    <s v="Mobile"/>
    <x v="2"/>
    <s v="Free"/>
    <n v="0"/>
    <n v="0"/>
    <n v="0"/>
    <n v="0"/>
    <n v="0"/>
    <n v="0"/>
    <n v="0"/>
    <m/>
    <n v="43"/>
    <s v="Normal"/>
  </r>
  <r>
    <s v="USR-100378"/>
    <d v="2025-02-08T00:00:00"/>
    <x v="0"/>
    <s v="East"/>
    <s v="Mobile"/>
    <x v="3"/>
    <s v="Basic"/>
    <n v="1"/>
    <n v="1"/>
    <n v="1"/>
    <n v="0"/>
    <n v="0"/>
    <n v="0"/>
    <n v="0"/>
    <m/>
    <n v="91.8"/>
    <s v="Normal"/>
  </r>
  <r>
    <s v="USR-100379"/>
    <d v="2025-04-15T00:00:00"/>
    <x v="0"/>
    <s v="West"/>
    <s v="Tablet"/>
    <x v="2"/>
    <s v="Basic"/>
    <n v="1"/>
    <n v="0"/>
    <n v="0"/>
    <n v="0"/>
    <n v="0"/>
    <n v="1"/>
    <n v="0"/>
    <m/>
    <n v="69.3"/>
    <s v="Normal"/>
  </r>
  <r>
    <s v="USR-100380"/>
    <d v="2025-01-03T00:00:00"/>
    <x v="0"/>
    <s v="South"/>
    <s v="Desktop"/>
    <x v="2"/>
    <s v="Basic"/>
    <n v="1"/>
    <n v="0"/>
    <n v="0"/>
    <n v="0"/>
    <n v="0"/>
    <n v="0"/>
    <n v="0"/>
    <m/>
    <n v="58.9"/>
    <s v="Normal"/>
  </r>
  <r>
    <s v="USR-100381"/>
    <d v="2025-03-23T00:00:00"/>
    <x v="0"/>
    <s v="West"/>
    <s v="Mobile"/>
    <x v="4"/>
    <s v="Free"/>
    <n v="1"/>
    <n v="1"/>
    <n v="1"/>
    <n v="0"/>
    <n v="0"/>
    <n v="0"/>
    <n v="0"/>
    <m/>
    <n v="76"/>
    <s v="Normal"/>
  </r>
  <r>
    <s v="USR-100382"/>
    <d v="2025-05-27T00:00:00"/>
    <x v="0"/>
    <s v="South"/>
    <s v="Mobile"/>
    <x v="3"/>
    <s v="Premium"/>
    <n v="1"/>
    <n v="0"/>
    <n v="0"/>
    <n v="0"/>
    <n v="0"/>
    <n v="0"/>
    <n v="0"/>
    <m/>
    <n v="46"/>
    <s v="Normal"/>
  </r>
  <r>
    <s v="USR-100383"/>
    <d v="2025-04-30T00:00:00"/>
    <x v="0"/>
    <s v="East"/>
    <s v="Mobile"/>
    <x v="1"/>
    <s v="Free"/>
    <n v="1"/>
    <n v="0"/>
    <n v="0"/>
    <n v="0"/>
    <n v="0"/>
    <n v="0"/>
    <n v="0"/>
    <m/>
    <n v="54.1"/>
    <s v="Normal"/>
  </r>
  <r>
    <s v="USR-100384"/>
    <d v="2025-03-07T00:00:00"/>
    <x v="0"/>
    <s v="West"/>
    <s v="Mobile"/>
    <x v="4"/>
    <s v="Basic"/>
    <n v="1"/>
    <n v="0"/>
    <n v="0"/>
    <n v="0"/>
    <n v="0"/>
    <n v="0"/>
    <n v="0"/>
    <m/>
    <n v="82.4"/>
    <s v="Normal"/>
  </r>
  <r>
    <s v="USR-100385"/>
    <d v="2025-05-10T00:00:00"/>
    <x v="0"/>
    <s v="South"/>
    <s v="Mobile"/>
    <x v="1"/>
    <s v="Basic"/>
    <n v="1"/>
    <n v="1"/>
    <n v="1"/>
    <n v="0"/>
    <n v="0"/>
    <n v="0"/>
    <n v="0"/>
    <m/>
    <n v="71.900000000000006"/>
    <s v="Normal"/>
  </r>
  <r>
    <s v="USR-100386"/>
    <d v="2025-05-22T00:00:00"/>
    <x v="0"/>
    <s v="East"/>
    <s v="Mobile"/>
    <x v="1"/>
    <s v="Free"/>
    <n v="0"/>
    <n v="0"/>
    <n v="0"/>
    <n v="0"/>
    <n v="0"/>
    <n v="2"/>
    <n v="0"/>
    <m/>
    <n v="38"/>
    <s v="Normal"/>
  </r>
  <r>
    <s v="USR-100387"/>
    <d v="2025-02-09T00:00:00"/>
    <x v="0"/>
    <s v="East"/>
    <s v="Mobile"/>
    <x v="2"/>
    <s v="Free"/>
    <n v="1"/>
    <n v="1"/>
    <n v="0"/>
    <n v="0"/>
    <n v="0"/>
    <n v="0"/>
    <n v="0"/>
    <m/>
    <n v="43.7"/>
    <s v="Normal"/>
  </r>
  <r>
    <s v="USR-100388"/>
    <d v="2025-05-30T00:00:00"/>
    <x v="0"/>
    <s v="West"/>
    <s v="Desktop"/>
    <x v="1"/>
    <s v="Premium"/>
    <n v="1"/>
    <n v="0"/>
    <n v="0"/>
    <n v="0"/>
    <n v="0"/>
    <n v="1"/>
    <n v="0"/>
    <m/>
    <n v="32.200000000000003"/>
    <s v="Normal"/>
  </r>
  <r>
    <s v="USR-100389"/>
    <d v="2025-05-01T00:00:00"/>
    <x v="0"/>
    <s v="South"/>
    <s v="Mobile"/>
    <x v="1"/>
    <s v="Premium"/>
    <n v="1"/>
    <n v="0"/>
    <n v="0"/>
    <n v="0"/>
    <n v="0"/>
    <n v="0"/>
    <n v="0"/>
    <m/>
    <n v="61"/>
    <s v="Normal"/>
  </r>
  <r>
    <s v="USR-100390"/>
    <d v="2025-01-03T00:00:00"/>
    <x v="0"/>
    <s v="South"/>
    <s v="Mobile"/>
    <x v="2"/>
    <s v="Free"/>
    <n v="1"/>
    <n v="0"/>
    <n v="0"/>
    <n v="0"/>
    <n v="0"/>
    <n v="0"/>
    <n v="0"/>
    <m/>
    <n v="49"/>
    <s v="Normal"/>
  </r>
  <r>
    <s v="USR-100391"/>
    <d v="2025-02-13T00:00:00"/>
    <x v="0"/>
    <s v="East"/>
    <s v="Mobile"/>
    <x v="1"/>
    <s v="Free"/>
    <n v="0"/>
    <n v="0"/>
    <n v="0"/>
    <n v="0"/>
    <n v="0"/>
    <n v="0"/>
    <n v="0"/>
    <m/>
    <n v="48.1"/>
    <s v="Normal"/>
  </r>
  <r>
    <s v="USR-100392"/>
    <d v="2025-01-14T00:00:00"/>
    <x v="0"/>
    <s v="South"/>
    <s v="Desktop"/>
    <x v="1"/>
    <s v="Free"/>
    <n v="0"/>
    <n v="0"/>
    <n v="0"/>
    <n v="0"/>
    <n v="0"/>
    <n v="2"/>
    <n v="0"/>
    <m/>
    <n v="46.3"/>
    <s v="Normal"/>
  </r>
  <r>
    <s v="USR-100393"/>
    <d v="2025-02-24T00:00:00"/>
    <x v="0"/>
    <s v="North"/>
    <s v="Mobile"/>
    <x v="3"/>
    <s v="Free"/>
    <n v="0"/>
    <n v="0"/>
    <n v="0"/>
    <n v="0"/>
    <n v="0"/>
    <n v="0"/>
    <n v="0"/>
    <m/>
    <n v="64"/>
    <s v="Normal"/>
  </r>
  <r>
    <s v="USR-100394"/>
    <d v="2025-05-16T00:00:00"/>
    <x v="0"/>
    <s v="West"/>
    <s v="Desktop"/>
    <x v="1"/>
    <s v="Basic"/>
    <n v="1"/>
    <n v="1"/>
    <n v="0"/>
    <n v="0"/>
    <n v="0"/>
    <n v="0"/>
    <n v="0"/>
    <m/>
    <n v="56.2"/>
    <s v="Normal"/>
  </r>
  <r>
    <s v="USR-100395"/>
    <d v="2025-04-29T00:00:00"/>
    <x v="0"/>
    <s v="North"/>
    <s v="Mobile"/>
    <x v="2"/>
    <s v="Free"/>
    <n v="1"/>
    <n v="1"/>
    <n v="1"/>
    <n v="0"/>
    <n v="0"/>
    <n v="0"/>
    <n v="0"/>
    <m/>
    <n v="77.5"/>
    <s v="Normal"/>
  </r>
  <r>
    <s v="USR-100396"/>
    <d v="2025-04-30T00:00:00"/>
    <x v="0"/>
    <s v="South"/>
    <s v="Desktop"/>
    <x v="0"/>
    <s v="Basic"/>
    <n v="1"/>
    <n v="0"/>
    <n v="0"/>
    <n v="0"/>
    <n v="0"/>
    <n v="0"/>
    <n v="0"/>
    <m/>
    <n v="59.9"/>
    <s v="Normal"/>
  </r>
  <r>
    <s v="USR-100397"/>
    <d v="2025-01-09T00:00:00"/>
    <x v="0"/>
    <s v="South"/>
    <s v="Desktop"/>
    <x v="1"/>
    <s v="Free"/>
    <n v="1"/>
    <n v="1"/>
    <n v="0"/>
    <n v="0"/>
    <n v="0"/>
    <n v="0"/>
    <n v="0"/>
    <m/>
    <n v="63"/>
    <s v="Normal"/>
  </r>
  <r>
    <s v="USR-100398"/>
    <d v="2025-04-25T00:00:00"/>
    <x v="0"/>
    <s v="South"/>
    <s v="Mobile"/>
    <x v="1"/>
    <s v="Free"/>
    <n v="1"/>
    <n v="1"/>
    <n v="0"/>
    <n v="0"/>
    <n v="0"/>
    <n v="0"/>
    <n v="0"/>
    <m/>
    <n v="76.5"/>
    <s v="Normal"/>
  </r>
  <r>
    <s v="USR-100399"/>
    <d v="2025-03-12T00:00:00"/>
    <x v="0"/>
    <s v="North"/>
    <s v="Desktop"/>
    <x v="2"/>
    <s v="Free"/>
    <n v="1"/>
    <n v="0"/>
    <n v="0"/>
    <n v="0"/>
    <n v="0"/>
    <n v="0"/>
    <n v="0"/>
    <m/>
    <n v="39.700000000000003"/>
    <s v="Normal"/>
  </r>
  <r>
    <s v="USR-100400"/>
    <d v="2025-03-20T00:00:00"/>
    <x v="0"/>
    <s v="North"/>
    <s v="Mobile"/>
    <x v="1"/>
    <s v="Free"/>
    <n v="1"/>
    <n v="1"/>
    <n v="0"/>
    <n v="0"/>
    <n v="0"/>
    <n v="0"/>
    <n v="0"/>
    <m/>
    <n v="80.2"/>
    <s v="Normal"/>
  </r>
  <r>
    <s v="USR-100401"/>
    <d v="2025-02-18T00:00:00"/>
    <x v="0"/>
    <s v="West"/>
    <s v="Mobile"/>
    <x v="2"/>
    <s v="Free"/>
    <n v="1"/>
    <n v="0"/>
    <n v="0"/>
    <n v="0"/>
    <n v="0"/>
    <n v="0"/>
    <n v="0"/>
    <m/>
    <n v="72.2"/>
    <s v="Normal"/>
  </r>
  <r>
    <s v="USR-100402"/>
    <d v="2025-01-22T00:00:00"/>
    <x v="0"/>
    <s v="North"/>
    <s v="Mobile"/>
    <x v="4"/>
    <s v="Basic"/>
    <n v="0"/>
    <n v="0"/>
    <n v="0"/>
    <n v="0"/>
    <n v="0"/>
    <n v="0"/>
    <n v="0"/>
    <m/>
    <n v="56"/>
    <s v="Normal"/>
  </r>
  <r>
    <s v="USR-100403"/>
    <d v="2025-02-08T00:00:00"/>
    <x v="0"/>
    <s v="West"/>
    <s v="Mobile"/>
    <x v="0"/>
    <s v="Basic"/>
    <n v="1"/>
    <n v="1"/>
    <n v="1"/>
    <n v="0"/>
    <n v="0"/>
    <n v="0"/>
    <n v="0"/>
    <m/>
    <n v="69.099999999999994"/>
    <s v="Normal"/>
  </r>
  <r>
    <s v="USR-100404"/>
    <d v="2025-01-20T00:00:00"/>
    <x v="0"/>
    <s v="North"/>
    <s v="Mobile"/>
    <x v="0"/>
    <s v="Premium"/>
    <n v="0"/>
    <n v="0"/>
    <n v="0"/>
    <n v="0"/>
    <n v="0"/>
    <n v="1"/>
    <n v="0"/>
    <m/>
    <n v="70.599999999999994"/>
    <s v="Normal"/>
  </r>
  <r>
    <s v="USR-100405"/>
    <d v="2025-04-22T00:00:00"/>
    <x v="0"/>
    <s v="West"/>
    <s v="Desktop"/>
    <x v="3"/>
    <s v="Free"/>
    <n v="1"/>
    <n v="0"/>
    <n v="0"/>
    <n v="0"/>
    <n v="0"/>
    <n v="0"/>
    <n v="0"/>
    <m/>
    <n v="57.9"/>
    <s v="Normal"/>
  </r>
  <r>
    <s v="USR-100406"/>
    <d v="2025-01-22T00:00:00"/>
    <x v="0"/>
    <s v="East"/>
    <s v="Mobile"/>
    <x v="1"/>
    <s v="Basic"/>
    <n v="1"/>
    <n v="1"/>
    <n v="0"/>
    <n v="0"/>
    <n v="0"/>
    <n v="0"/>
    <n v="0"/>
    <m/>
    <n v="41.4"/>
    <s v="Normal"/>
  </r>
  <r>
    <s v="USR-100407"/>
    <d v="2025-05-11T00:00:00"/>
    <x v="0"/>
    <s v="West"/>
    <s v="Mobile"/>
    <x v="1"/>
    <s v="Basic"/>
    <n v="1"/>
    <n v="0"/>
    <n v="0"/>
    <n v="0"/>
    <n v="0"/>
    <n v="0"/>
    <n v="0"/>
    <m/>
    <n v="60.9"/>
    <s v="Normal"/>
  </r>
  <r>
    <s v="USR-100408"/>
    <d v="2025-02-06T00:00:00"/>
    <x v="0"/>
    <s v="South"/>
    <s v="Mobile"/>
    <x v="1"/>
    <s v="Basic"/>
    <n v="0"/>
    <n v="0"/>
    <n v="0"/>
    <n v="0"/>
    <n v="0"/>
    <n v="1"/>
    <n v="0"/>
    <m/>
    <n v="63.8"/>
    <s v="Normal"/>
  </r>
  <r>
    <s v="USR-100409"/>
    <d v="2025-02-21T00:00:00"/>
    <x v="0"/>
    <s v="North"/>
    <s v="Desktop"/>
    <x v="1"/>
    <s v="Premium"/>
    <n v="1"/>
    <n v="0"/>
    <n v="0"/>
    <n v="0"/>
    <n v="0"/>
    <n v="0"/>
    <n v="0"/>
    <m/>
    <n v="79.2"/>
    <s v="Normal"/>
  </r>
  <r>
    <s v="USR-100410"/>
    <d v="2025-01-13T00:00:00"/>
    <x v="0"/>
    <s v="West"/>
    <s v="Mobile"/>
    <x v="0"/>
    <s v="Premium"/>
    <n v="1"/>
    <n v="1"/>
    <n v="1"/>
    <n v="0"/>
    <n v="0"/>
    <n v="0"/>
    <n v="0"/>
    <m/>
    <n v="53.3"/>
    <s v="Normal"/>
  </r>
  <r>
    <s v="USR-100411"/>
    <d v="2025-03-07T00:00:00"/>
    <x v="0"/>
    <s v="North"/>
    <s v="Mobile"/>
    <x v="3"/>
    <s v="Premium"/>
    <n v="1"/>
    <n v="1"/>
    <n v="1"/>
    <n v="1"/>
    <n v="2144.8200000000002"/>
    <n v="0"/>
    <n v="0"/>
    <n v="6"/>
    <n v="52.3"/>
    <s v="Normal"/>
  </r>
  <r>
    <s v="USR-100412"/>
    <d v="2025-02-26T00:00:00"/>
    <x v="0"/>
    <s v="West"/>
    <s v="Desktop"/>
    <x v="1"/>
    <s v="Basic"/>
    <n v="1"/>
    <n v="1"/>
    <n v="0"/>
    <n v="0"/>
    <n v="0"/>
    <n v="0"/>
    <n v="0"/>
    <m/>
    <n v="62.4"/>
    <s v="Normal"/>
  </r>
  <r>
    <s v="USR-100413"/>
    <d v="2025-05-05T00:00:00"/>
    <x v="0"/>
    <s v="North"/>
    <s v="Mobile"/>
    <x v="3"/>
    <s v="Premium"/>
    <n v="1"/>
    <n v="0"/>
    <n v="0"/>
    <n v="0"/>
    <n v="0"/>
    <n v="0"/>
    <n v="0"/>
    <m/>
    <n v="45.5"/>
    <s v="Normal"/>
  </r>
  <r>
    <s v="USR-100414"/>
    <d v="2025-01-08T00:00:00"/>
    <x v="0"/>
    <s v="East"/>
    <s v="Desktop"/>
    <x v="1"/>
    <s v="Basic"/>
    <n v="0"/>
    <n v="0"/>
    <n v="0"/>
    <n v="0"/>
    <n v="0"/>
    <n v="1"/>
    <n v="0"/>
    <m/>
    <n v="72.599999999999994"/>
    <s v="Normal"/>
  </r>
  <r>
    <s v="USR-100415"/>
    <d v="2025-03-19T00:00:00"/>
    <x v="0"/>
    <s v="South"/>
    <s v="Mobile"/>
    <x v="0"/>
    <s v="Premium"/>
    <n v="1"/>
    <n v="1"/>
    <n v="1"/>
    <n v="0"/>
    <n v="0"/>
    <n v="0"/>
    <n v="0"/>
    <m/>
    <n v="50.1"/>
    <s v="Normal"/>
  </r>
  <r>
    <s v="USR-100416"/>
    <d v="2025-01-30T00:00:00"/>
    <x v="0"/>
    <s v="East"/>
    <s v="Desktop"/>
    <x v="2"/>
    <s v="Free"/>
    <n v="1"/>
    <n v="1"/>
    <n v="1"/>
    <n v="0"/>
    <n v="0"/>
    <n v="2"/>
    <n v="0"/>
    <m/>
    <n v="58.1"/>
    <s v="Normal"/>
  </r>
  <r>
    <s v="USR-100417"/>
    <d v="2025-04-28T00:00:00"/>
    <x v="0"/>
    <s v="East"/>
    <s v="Mobile"/>
    <x v="1"/>
    <s v="Basic"/>
    <n v="1"/>
    <n v="0"/>
    <n v="0"/>
    <n v="0"/>
    <n v="0"/>
    <n v="0"/>
    <n v="0"/>
    <m/>
    <n v="42.9"/>
    <s v="Normal"/>
  </r>
  <r>
    <s v="USR-100418"/>
    <d v="2025-03-07T00:00:00"/>
    <x v="0"/>
    <s v="North"/>
    <s v="Mobile"/>
    <x v="3"/>
    <s v="Basic"/>
    <n v="0"/>
    <n v="0"/>
    <n v="0"/>
    <n v="0"/>
    <n v="0"/>
    <n v="0"/>
    <n v="0"/>
    <m/>
    <n v="69.7"/>
    <s v="Normal"/>
  </r>
  <r>
    <s v="USR-100419"/>
    <d v="2025-04-07T00:00:00"/>
    <x v="0"/>
    <s v="North"/>
    <s v="Desktop"/>
    <x v="1"/>
    <s v="Free"/>
    <n v="0"/>
    <n v="0"/>
    <n v="0"/>
    <n v="0"/>
    <n v="0"/>
    <n v="0"/>
    <n v="0"/>
    <m/>
    <n v="63.3"/>
    <s v="Normal"/>
  </r>
  <r>
    <s v="USR-100420"/>
    <d v="2025-05-08T00:00:00"/>
    <x v="0"/>
    <s v="North"/>
    <s v="Desktop"/>
    <x v="1"/>
    <s v="Premium"/>
    <n v="1"/>
    <n v="0"/>
    <n v="0"/>
    <n v="0"/>
    <n v="0"/>
    <n v="0"/>
    <n v="0"/>
    <m/>
    <n v="71.2"/>
    <s v="Normal"/>
  </r>
  <r>
    <s v="USR-100421"/>
    <d v="2025-04-15T00:00:00"/>
    <x v="0"/>
    <s v="South"/>
    <s v="Mobile"/>
    <x v="0"/>
    <s v="Free"/>
    <n v="1"/>
    <n v="0"/>
    <n v="0"/>
    <n v="0"/>
    <n v="0"/>
    <n v="0"/>
    <n v="0"/>
    <m/>
    <n v="39.1"/>
    <s v="Normal"/>
  </r>
  <r>
    <s v="USR-100422"/>
    <d v="2025-04-20T00:00:00"/>
    <x v="0"/>
    <s v="East"/>
    <s v="Desktop"/>
    <x v="4"/>
    <s v="Free"/>
    <n v="1"/>
    <n v="0"/>
    <n v="0"/>
    <n v="0"/>
    <n v="0"/>
    <n v="0"/>
    <n v="0"/>
    <m/>
    <n v="42.6"/>
    <s v="Normal"/>
  </r>
  <r>
    <s v="USR-100423"/>
    <d v="2025-05-30T00:00:00"/>
    <x v="0"/>
    <s v="South"/>
    <s v="Tablet"/>
    <x v="1"/>
    <s v="Free"/>
    <n v="0"/>
    <n v="0"/>
    <n v="0"/>
    <n v="0"/>
    <n v="0"/>
    <n v="0"/>
    <n v="0"/>
    <m/>
    <n v="74.400000000000006"/>
    <s v="Normal"/>
  </r>
  <r>
    <s v="USR-100424"/>
    <d v="2025-02-13T00:00:00"/>
    <x v="0"/>
    <s v="West"/>
    <s v="Mobile"/>
    <x v="3"/>
    <s v="Free"/>
    <n v="0"/>
    <n v="0"/>
    <n v="0"/>
    <n v="0"/>
    <n v="0"/>
    <n v="0"/>
    <n v="0"/>
    <m/>
    <n v="55.6"/>
    <s v="Normal"/>
  </r>
  <r>
    <s v="USR-100425"/>
    <d v="2025-04-28T00:00:00"/>
    <x v="0"/>
    <s v="West"/>
    <s v="Mobile"/>
    <x v="4"/>
    <s v="Free"/>
    <n v="1"/>
    <n v="0"/>
    <n v="0"/>
    <n v="0"/>
    <n v="0"/>
    <n v="0"/>
    <n v="0"/>
    <m/>
    <n v="35.799999999999997"/>
    <s v="Normal"/>
  </r>
  <r>
    <s v="USR-100426"/>
    <d v="2025-02-12T00:00:00"/>
    <x v="0"/>
    <s v="North"/>
    <s v="Mobile"/>
    <x v="2"/>
    <s v="Basic"/>
    <n v="1"/>
    <n v="0"/>
    <n v="0"/>
    <n v="0"/>
    <n v="0"/>
    <n v="1"/>
    <n v="0"/>
    <m/>
    <n v="28.2"/>
    <s v="Normal"/>
  </r>
  <r>
    <s v="USR-100427"/>
    <d v="2025-02-12T00:00:00"/>
    <x v="0"/>
    <s v="East"/>
    <s v="Mobile"/>
    <x v="1"/>
    <s v="Free"/>
    <n v="0"/>
    <n v="0"/>
    <n v="0"/>
    <n v="0"/>
    <n v="0"/>
    <n v="2"/>
    <n v="0"/>
    <m/>
    <n v="44.4"/>
    <s v="Normal"/>
  </r>
  <r>
    <s v="USR-100428"/>
    <d v="2025-03-27T00:00:00"/>
    <x v="0"/>
    <s v="North"/>
    <s v="Mobile"/>
    <x v="0"/>
    <s v="Premium"/>
    <n v="1"/>
    <n v="0"/>
    <n v="0"/>
    <n v="0"/>
    <n v="0"/>
    <n v="0"/>
    <n v="0"/>
    <m/>
    <n v="49.9"/>
    <s v="Normal"/>
  </r>
  <r>
    <s v="USR-100429"/>
    <d v="2025-04-12T00:00:00"/>
    <x v="0"/>
    <s v="South"/>
    <s v="Desktop"/>
    <x v="1"/>
    <s v="Free"/>
    <n v="0"/>
    <n v="0"/>
    <n v="0"/>
    <n v="0"/>
    <n v="0"/>
    <n v="0"/>
    <n v="0"/>
    <m/>
    <n v="40.4"/>
    <s v="Normal"/>
  </r>
  <r>
    <s v="USR-100430"/>
    <d v="2025-01-30T00:00:00"/>
    <x v="0"/>
    <s v="West"/>
    <s v="Mobile"/>
    <x v="4"/>
    <s v="Free"/>
    <n v="0"/>
    <n v="0"/>
    <n v="0"/>
    <n v="0"/>
    <n v="0"/>
    <n v="0"/>
    <n v="0"/>
    <m/>
    <n v="60.4"/>
    <s v="Normal"/>
  </r>
  <r>
    <s v="USR-100431"/>
    <d v="2025-05-28T00:00:00"/>
    <x v="0"/>
    <s v="West"/>
    <s v="Mobile"/>
    <x v="4"/>
    <s v="Premium"/>
    <n v="0"/>
    <n v="0"/>
    <n v="0"/>
    <n v="0"/>
    <n v="0"/>
    <n v="1"/>
    <n v="0"/>
    <m/>
    <n v="52.4"/>
    <s v="Normal"/>
  </r>
  <r>
    <s v="USR-100432"/>
    <d v="2025-05-01T00:00:00"/>
    <x v="0"/>
    <s v="South"/>
    <s v="Mobile"/>
    <x v="1"/>
    <s v="Basic"/>
    <n v="1"/>
    <n v="1"/>
    <n v="0"/>
    <n v="0"/>
    <n v="0"/>
    <n v="0"/>
    <n v="0"/>
    <m/>
    <n v="48.8"/>
    <s v="Normal"/>
  </r>
  <r>
    <s v="USR-100433"/>
    <d v="2025-02-03T00:00:00"/>
    <x v="0"/>
    <s v="North"/>
    <s v="Tablet"/>
    <x v="0"/>
    <s v="Basic"/>
    <n v="1"/>
    <n v="0"/>
    <n v="0"/>
    <n v="0"/>
    <n v="0"/>
    <n v="0"/>
    <n v="0"/>
    <m/>
    <n v="60.9"/>
    <s v="Normal"/>
  </r>
  <r>
    <s v="USR-100434"/>
    <d v="2025-01-10T00:00:00"/>
    <x v="0"/>
    <s v="South"/>
    <s v="Desktop"/>
    <x v="4"/>
    <s v="Basic"/>
    <n v="0"/>
    <n v="0"/>
    <n v="0"/>
    <n v="0"/>
    <n v="0"/>
    <n v="0"/>
    <n v="0"/>
    <m/>
    <n v="68.2"/>
    <s v="Normal"/>
  </r>
  <r>
    <s v="USR-100435"/>
    <d v="2025-05-02T00:00:00"/>
    <x v="0"/>
    <s v="North"/>
    <s v="Desktop"/>
    <x v="1"/>
    <s v="Basic"/>
    <n v="1"/>
    <n v="0"/>
    <n v="0"/>
    <n v="0"/>
    <n v="0"/>
    <n v="0"/>
    <n v="0"/>
    <m/>
    <n v="65.599999999999994"/>
    <s v="Normal"/>
  </r>
  <r>
    <s v="USR-100436"/>
    <d v="2025-05-26T00:00:00"/>
    <x v="0"/>
    <s v="North"/>
    <s v="Desktop"/>
    <x v="1"/>
    <s v="Basic"/>
    <n v="1"/>
    <n v="0"/>
    <n v="0"/>
    <n v="0"/>
    <n v="0"/>
    <n v="0"/>
    <n v="0"/>
    <m/>
    <n v="65.400000000000006"/>
    <s v="Normal"/>
  </r>
  <r>
    <s v="USR-100437"/>
    <d v="2025-01-12T00:00:00"/>
    <x v="0"/>
    <s v="West"/>
    <s v="Mobile"/>
    <x v="1"/>
    <s v="Basic"/>
    <n v="1"/>
    <n v="0"/>
    <n v="0"/>
    <n v="0"/>
    <n v="0"/>
    <n v="0"/>
    <n v="0"/>
    <m/>
    <n v="78.900000000000006"/>
    <s v="Normal"/>
  </r>
  <r>
    <s v="USR-100438"/>
    <d v="2025-05-27T00:00:00"/>
    <x v="0"/>
    <s v="East"/>
    <s v="Mobile"/>
    <x v="2"/>
    <s v="Basic"/>
    <n v="1"/>
    <n v="1"/>
    <n v="1"/>
    <n v="0"/>
    <n v="0"/>
    <n v="0"/>
    <n v="0"/>
    <m/>
    <n v="78.3"/>
    <s v="Normal"/>
  </r>
  <r>
    <s v="USR-100439"/>
    <d v="2025-05-22T00:00:00"/>
    <x v="0"/>
    <s v="West"/>
    <s v="Desktop"/>
    <x v="0"/>
    <s v="Basic"/>
    <n v="0"/>
    <n v="0"/>
    <n v="0"/>
    <n v="0"/>
    <n v="0"/>
    <n v="0"/>
    <n v="0"/>
    <m/>
    <n v="49.2"/>
    <s v="Normal"/>
  </r>
  <r>
    <s v="USR-100440"/>
    <d v="2025-04-01T00:00:00"/>
    <x v="0"/>
    <s v="East"/>
    <s v="Mobile"/>
    <x v="4"/>
    <s v="Premium"/>
    <n v="1"/>
    <n v="1"/>
    <n v="1"/>
    <n v="1"/>
    <n v="1518.83"/>
    <n v="0"/>
    <n v="0"/>
    <n v="9"/>
    <n v="32.200000000000003"/>
    <s v="Normal"/>
  </r>
  <r>
    <s v="USR-100441"/>
    <d v="2025-01-22T00:00:00"/>
    <x v="0"/>
    <s v="North"/>
    <s v="Mobile"/>
    <x v="2"/>
    <s v="Basic"/>
    <n v="1"/>
    <n v="1"/>
    <n v="1"/>
    <n v="0"/>
    <n v="0"/>
    <n v="0"/>
    <n v="0"/>
    <m/>
    <n v="46.3"/>
    <s v="Normal"/>
  </r>
  <r>
    <s v="USR-100442"/>
    <d v="2025-05-24T00:00:00"/>
    <x v="0"/>
    <s v="East"/>
    <s v="Mobile"/>
    <x v="2"/>
    <s v="Basic"/>
    <n v="1"/>
    <n v="0"/>
    <n v="0"/>
    <n v="0"/>
    <n v="0"/>
    <n v="0"/>
    <n v="0"/>
    <m/>
    <n v="55.7"/>
    <s v="Normal"/>
  </r>
  <r>
    <s v="USR-100443"/>
    <d v="2025-04-25T00:00:00"/>
    <x v="0"/>
    <s v="South"/>
    <s v="Mobile"/>
    <x v="4"/>
    <s v="Free"/>
    <n v="1"/>
    <n v="0"/>
    <n v="0"/>
    <n v="0"/>
    <n v="0"/>
    <n v="0"/>
    <n v="0"/>
    <m/>
    <n v="44.5"/>
    <s v="Normal"/>
  </r>
  <r>
    <s v="USR-100444"/>
    <d v="2025-04-12T00:00:00"/>
    <x v="0"/>
    <s v="West"/>
    <s v="Desktop"/>
    <x v="3"/>
    <s v="Free"/>
    <n v="1"/>
    <n v="1"/>
    <n v="1"/>
    <n v="0"/>
    <n v="0"/>
    <n v="1"/>
    <n v="0"/>
    <m/>
    <n v="47.9"/>
    <s v="Normal"/>
  </r>
  <r>
    <s v="USR-100445"/>
    <d v="2025-04-23T00:00:00"/>
    <x v="0"/>
    <s v="South"/>
    <s v="Mobile"/>
    <x v="1"/>
    <s v="Premium"/>
    <n v="1"/>
    <n v="0"/>
    <n v="0"/>
    <n v="0"/>
    <n v="0"/>
    <n v="0"/>
    <n v="0"/>
    <m/>
    <n v="43.9"/>
    <s v="Normal"/>
  </r>
  <r>
    <s v="USR-100446"/>
    <d v="2025-03-30T00:00:00"/>
    <x v="0"/>
    <s v="North"/>
    <s v="Desktop"/>
    <x v="3"/>
    <s v="Free"/>
    <n v="1"/>
    <n v="1"/>
    <n v="1"/>
    <n v="0"/>
    <n v="0"/>
    <n v="1"/>
    <n v="0"/>
    <m/>
    <n v="67.7"/>
    <s v="Normal"/>
  </r>
  <r>
    <s v="USR-100447"/>
    <d v="2025-01-18T00:00:00"/>
    <x v="0"/>
    <s v="East"/>
    <s v="Mobile"/>
    <x v="3"/>
    <s v="Basic"/>
    <n v="0"/>
    <n v="0"/>
    <n v="0"/>
    <n v="0"/>
    <n v="0"/>
    <n v="0"/>
    <n v="0"/>
    <m/>
    <n v="43.7"/>
    <s v="Normal"/>
  </r>
  <r>
    <s v="USR-100448"/>
    <d v="2025-04-09T00:00:00"/>
    <x v="0"/>
    <s v="East"/>
    <s v="Mobile"/>
    <x v="1"/>
    <s v="Free"/>
    <n v="1"/>
    <n v="0"/>
    <n v="0"/>
    <n v="0"/>
    <n v="0"/>
    <n v="0"/>
    <n v="0"/>
    <m/>
    <n v="68.8"/>
    <s v="Normal"/>
  </r>
  <r>
    <s v="USR-100449"/>
    <d v="2025-01-11T00:00:00"/>
    <x v="0"/>
    <s v="West"/>
    <s v="Mobile"/>
    <x v="1"/>
    <s v="Free"/>
    <n v="1"/>
    <n v="1"/>
    <n v="1"/>
    <n v="0"/>
    <n v="0"/>
    <n v="0"/>
    <n v="0"/>
    <m/>
    <n v="59.2"/>
    <s v="Normal"/>
  </r>
  <r>
    <s v="USR-100450"/>
    <d v="2025-03-05T00:00:00"/>
    <x v="0"/>
    <s v="East"/>
    <s v="Mobile"/>
    <x v="2"/>
    <s v="Free"/>
    <n v="1"/>
    <n v="0"/>
    <n v="0"/>
    <n v="0"/>
    <n v="0"/>
    <n v="0"/>
    <n v="0"/>
    <m/>
    <n v="48.6"/>
    <s v="Normal"/>
  </r>
  <r>
    <s v="USR-100451"/>
    <d v="2025-02-17T00:00:00"/>
    <x v="0"/>
    <s v="North"/>
    <s v="Tablet"/>
    <x v="4"/>
    <s v="Free"/>
    <n v="1"/>
    <n v="1"/>
    <n v="1"/>
    <n v="0"/>
    <n v="0"/>
    <n v="0"/>
    <n v="0"/>
    <m/>
    <n v="56.9"/>
    <s v="Normal"/>
  </r>
  <r>
    <s v="USR-100452"/>
    <d v="2025-05-07T00:00:00"/>
    <x v="0"/>
    <s v="North"/>
    <s v="Desktop"/>
    <x v="2"/>
    <s v="Free"/>
    <n v="0"/>
    <n v="0"/>
    <n v="0"/>
    <n v="0"/>
    <n v="0"/>
    <n v="0"/>
    <n v="0"/>
    <m/>
    <n v="55.8"/>
    <s v="Normal"/>
  </r>
  <r>
    <s v="USR-100453"/>
    <d v="2025-04-10T00:00:00"/>
    <x v="0"/>
    <s v="East"/>
    <s v="Mobile"/>
    <x v="2"/>
    <s v="Premium"/>
    <n v="0"/>
    <n v="0"/>
    <n v="0"/>
    <n v="0"/>
    <n v="0"/>
    <n v="0"/>
    <n v="0"/>
    <m/>
    <n v="63.3"/>
    <s v="Normal"/>
  </r>
  <r>
    <s v="USR-100454"/>
    <d v="2025-04-21T00:00:00"/>
    <x v="0"/>
    <s v="North"/>
    <s v="Mobile"/>
    <x v="4"/>
    <s v="Free"/>
    <n v="1"/>
    <n v="0"/>
    <n v="0"/>
    <n v="0"/>
    <n v="0"/>
    <n v="0"/>
    <n v="0"/>
    <m/>
    <n v="52.2"/>
    <s v="Normal"/>
  </r>
  <r>
    <s v="USR-100455"/>
    <d v="2025-02-25T00:00:00"/>
    <x v="0"/>
    <s v="South"/>
    <s v="Tablet"/>
    <x v="5"/>
    <s v="Free"/>
    <n v="0"/>
    <n v="0"/>
    <n v="0"/>
    <n v="0"/>
    <n v="0"/>
    <n v="0"/>
    <n v="0"/>
    <m/>
    <n v="51.5"/>
    <s v="Normal"/>
  </r>
  <r>
    <s v="USR-100456"/>
    <d v="2025-05-14T00:00:00"/>
    <x v="0"/>
    <s v="East"/>
    <s v="Desktop"/>
    <x v="1"/>
    <s v="Free"/>
    <n v="0"/>
    <n v="0"/>
    <n v="0"/>
    <n v="0"/>
    <n v="0"/>
    <n v="0"/>
    <n v="0"/>
    <m/>
    <n v="50.3"/>
    <s v="Normal"/>
  </r>
  <r>
    <s v="USR-100457"/>
    <d v="2025-03-10T00:00:00"/>
    <x v="0"/>
    <s v="North"/>
    <s v="Mobile"/>
    <x v="0"/>
    <s v="Basic"/>
    <n v="1"/>
    <n v="0"/>
    <n v="0"/>
    <n v="0"/>
    <n v="0"/>
    <n v="1"/>
    <n v="0"/>
    <m/>
    <n v="35.4"/>
    <s v="Normal"/>
  </r>
  <r>
    <s v="USR-100458"/>
    <d v="2025-01-31T00:00:00"/>
    <x v="0"/>
    <s v="West"/>
    <s v="Desktop"/>
    <x v="1"/>
    <s v="Premium"/>
    <n v="1"/>
    <n v="0"/>
    <n v="0"/>
    <n v="0"/>
    <n v="0"/>
    <n v="1"/>
    <n v="0"/>
    <m/>
    <n v="54.1"/>
    <s v="Normal"/>
  </r>
  <r>
    <s v="USR-100459"/>
    <d v="2025-01-17T00:00:00"/>
    <x v="0"/>
    <s v="South"/>
    <s v="Mobile"/>
    <x v="1"/>
    <s v="Premium"/>
    <n v="1"/>
    <n v="0"/>
    <n v="0"/>
    <n v="0"/>
    <n v="0"/>
    <n v="0"/>
    <n v="0"/>
    <m/>
    <n v="56.2"/>
    <s v="Normal"/>
  </r>
  <r>
    <s v="USR-100460"/>
    <d v="2025-03-12T00:00:00"/>
    <x v="0"/>
    <s v="South"/>
    <s v="Mobile"/>
    <x v="2"/>
    <s v="Free"/>
    <n v="0"/>
    <n v="0"/>
    <n v="0"/>
    <n v="0"/>
    <n v="0"/>
    <n v="3"/>
    <n v="0"/>
    <m/>
    <n v="43.7"/>
    <s v="Normal"/>
  </r>
  <r>
    <s v="USR-100461"/>
    <d v="2025-02-28T00:00:00"/>
    <x v="0"/>
    <s v="West"/>
    <s v="Desktop"/>
    <x v="1"/>
    <s v="Premium"/>
    <n v="1"/>
    <n v="1"/>
    <n v="0"/>
    <n v="0"/>
    <n v="0"/>
    <n v="0"/>
    <n v="0"/>
    <m/>
    <n v="51.3"/>
    <s v="Normal"/>
  </r>
  <r>
    <s v="USR-100462"/>
    <d v="2025-05-19T00:00:00"/>
    <x v="0"/>
    <s v="North"/>
    <s v="Unknown"/>
    <x v="1"/>
    <s v="Basic"/>
    <n v="1"/>
    <n v="0"/>
    <n v="0"/>
    <n v="0"/>
    <n v="0"/>
    <n v="0"/>
    <n v="0"/>
    <m/>
    <n v="50.5"/>
    <s v="Normal"/>
  </r>
  <r>
    <s v="USR-100463"/>
    <d v="2025-02-23T00:00:00"/>
    <x v="0"/>
    <s v="North"/>
    <s v="Mobile"/>
    <x v="3"/>
    <s v="Basic"/>
    <n v="1"/>
    <n v="0"/>
    <n v="0"/>
    <n v="0"/>
    <n v="0"/>
    <n v="0"/>
    <n v="0"/>
    <m/>
    <n v="57.3"/>
    <s v="Normal"/>
  </r>
  <r>
    <s v="USR-100464"/>
    <d v="2025-02-20T00:00:00"/>
    <x v="0"/>
    <s v="West"/>
    <s v="Desktop"/>
    <x v="1"/>
    <s v="Free"/>
    <n v="1"/>
    <n v="1"/>
    <n v="1"/>
    <n v="0"/>
    <n v="0"/>
    <n v="0"/>
    <n v="0"/>
    <m/>
    <n v="58.4"/>
    <s v="Normal"/>
  </r>
  <r>
    <s v="USR-100465"/>
    <d v="2025-04-12T00:00:00"/>
    <x v="0"/>
    <s v="North"/>
    <s v="Mobile"/>
    <x v="5"/>
    <s v="Free"/>
    <n v="0"/>
    <n v="0"/>
    <n v="0"/>
    <n v="0"/>
    <n v="0"/>
    <n v="0"/>
    <n v="0"/>
    <m/>
    <n v="56.5"/>
    <s v="Normal"/>
  </r>
  <r>
    <s v="USR-100466"/>
    <d v="2025-01-08T00:00:00"/>
    <x v="0"/>
    <s v="West"/>
    <s v="Mobile"/>
    <x v="0"/>
    <s v="Free"/>
    <n v="0"/>
    <n v="0"/>
    <n v="0"/>
    <n v="0"/>
    <n v="0"/>
    <n v="0"/>
    <n v="0"/>
    <m/>
    <n v="69.599999999999994"/>
    <s v="Normal"/>
  </r>
  <r>
    <s v="USR-100467"/>
    <d v="2025-02-13T00:00:00"/>
    <x v="0"/>
    <s v="West"/>
    <s v="Mobile"/>
    <x v="1"/>
    <s v="Basic"/>
    <n v="0"/>
    <n v="0"/>
    <n v="0"/>
    <n v="0"/>
    <n v="0"/>
    <n v="0"/>
    <n v="0"/>
    <m/>
    <n v="6.2"/>
    <s v="Normal"/>
  </r>
  <r>
    <s v="USR-100468"/>
    <d v="2025-05-21T00:00:00"/>
    <x v="0"/>
    <s v="East"/>
    <s v="Desktop"/>
    <x v="0"/>
    <s v="Free"/>
    <n v="1"/>
    <n v="1"/>
    <n v="1"/>
    <n v="0"/>
    <n v="0"/>
    <n v="0"/>
    <n v="0"/>
    <m/>
    <n v="54.3"/>
    <s v="Normal"/>
  </r>
  <r>
    <s v="USR-100469"/>
    <d v="2025-05-30T00:00:00"/>
    <x v="0"/>
    <s v="North"/>
    <s v="Mobile"/>
    <x v="1"/>
    <s v="Basic"/>
    <n v="0"/>
    <n v="0"/>
    <n v="0"/>
    <n v="0"/>
    <n v="0"/>
    <n v="0"/>
    <n v="0"/>
    <m/>
    <n v="59.8"/>
    <s v="Normal"/>
  </r>
  <r>
    <s v="USR-100470"/>
    <d v="2025-05-20T00:00:00"/>
    <x v="0"/>
    <s v="West"/>
    <s v="Mobile"/>
    <x v="2"/>
    <s v="Free"/>
    <n v="0"/>
    <n v="0"/>
    <n v="0"/>
    <n v="0"/>
    <n v="0"/>
    <n v="0"/>
    <n v="0"/>
    <m/>
    <n v="58.9"/>
    <s v="Normal"/>
  </r>
  <r>
    <s v="USR-100471"/>
    <d v="2025-01-09T00:00:00"/>
    <x v="0"/>
    <s v="East"/>
    <s v="Desktop"/>
    <x v="1"/>
    <s v="Free"/>
    <n v="0"/>
    <n v="0"/>
    <n v="0"/>
    <n v="0"/>
    <n v="0"/>
    <n v="1"/>
    <n v="0"/>
    <m/>
    <n v="52.9"/>
    <s v="Normal"/>
  </r>
  <r>
    <s v="USR-100472"/>
    <d v="2025-03-07T00:00:00"/>
    <x v="0"/>
    <s v="West"/>
    <s v="Mobile"/>
    <x v="1"/>
    <s v="Free"/>
    <n v="0"/>
    <n v="0"/>
    <n v="0"/>
    <n v="0"/>
    <n v="0"/>
    <n v="0"/>
    <n v="0"/>
    <m/>
    <n v="67.8"/>
    <s v="Normal"/>
  </r>
  <r>
    <s v="USR-100473"/>
    <d v="2025-04-23T00:00:00"/>
    <x v="0"/>
    <s v="South"/>
    <s v="Mobile"/>
    <x v="4"/>
    <s v="Free"/>
    <n v="0"/>
    <n v="0"/>
    <n v="0"/>
    <n v="0"/>
    <n v="0"/>
    <n v="0"/>
    <n v="0"/>
    <m/>
    <n v="48.7"/>
    <s v="Normal"/>
  </r>
  <r>
    <s v="USR-100474"/>
    <d v="2025-03-08T00:00:00"/>
    <x v="0"/>
    <s v="East"/>
    <s v="Mobile"/>
    <x v="1"/>
    <s v="Basic"/>
    <n v="0"/>
    <n v="0"/>
    <n v="0"/>
    <n v="0"/>
    <n v="0"/>
    <n v="0"/>
    <n v="0"/>
    <m/>
    <n v="59"/>
    <s v="Normal"/>
  </r>
  <r>
    <s v="USR-100475"/>
    <d v="2025-02-14T00:00:00"/>
    <x v="0"/>
    <s v="South"/>
    <s v="Mobile"/>
    <x v="3"/>
    <s v="Free"/>
    <n v="0"/>
    <n v="0"/>
    <n v="0"/>
    <n v="0"/>
    <n v="0"/>
    <n v="0"/>
    <n v="0"/>
    <m/>
    <n v="63.2"/>
    <s v="Normal"/>
  </r>
  <r>
    <s v="USR-100476"/>
    <d v="2025-05-17T00:00:00"/>
    <x v="0"/>
    <s v="West"/>
    <s v="Mobile"/>
    <x v="3"/>
    <s v="Basic"/>
    <n v="1"/>
    <n v="0"/>
    <n v="0"/>
    <n v="0"/>
    <n v="0"/>
    <n v="0"/>
    <n v="0"/>
    <m/>
    <n v="68.7"/>
    <s v="Normal"/>
  </r>
  <r>
    <s v="USR-100477"/>
    <d v="2025-04-25T00:00:00"/>
    <x v="0"/>
    <s v="South"/>
    <s v="Mobile"/>
    <x v="3"/>
    <s v="Free"/>
    <n v="0"/>
    <n v="0"/>
    <n v="0"/>
    <n v="0"/>
    <n v="0"/>
    <n v="0"/>
    <n v="0"/>
    <m/>
    <n v="52.1"/>
    <s v="Normal"/>
  </r>
  <r>
    <s v="USR-100478"/>
    <d v="2025-03-04T00:00:00"/>
    <x v="0"/>
    <s v="South"/>
    <s v="Desktop"/>
    <x v="4"/>
    <s v="Basic"/>
    <n v="0"/>
    <n v="0"/>
    <n v="0"/>
    <n v="0"/>
    <n v="0"/>
    <n v="0"/>
    <n v="0"/>
    <m/>
    <n v="56.5"/>
    <s v="Normal"/>
  </r>
  <r>
    <s v="USR-100479"/>
    <d v="2025-03-18T00:00:00"/>
    <x v="0"/>
    <s v="South"/>
    <s v="Mobile"/>
    <x v="1"/>
    <s v="Free"/>
    <n v="1"/>
    <n v="0"/>
    <n v="0"/>
    <n v="0"/>
    <n v="0"/>
    <n v="0"/>
    <n v="0"/>
    <m/>
    <n v="64.400000000000006"/>
    <s v="Normal"/>
  </r>
  <r>
    <s v="USR-100480"/>
    <d v="2025-01-30T00:00:00"/>
    <x v="0"/>
    <s v="West"/>
    <s v="Mobile"/>
    <x v="2"/>
    <s v="Premium"/>
    <n v="1"/>
    <n v="0"/>
    <n v="0"/>
    <n v="0"/>
    <n v="0"/>
    <n v="0"/>
    <n v="0"/>
    <m/>
    <n v="65.900000000000006"/>
    <s v="Normal"/>
  </r>
  <r>
    <s v="USR-100481"/>
    <d v="2025-05-20T00:00:00"/>
    <x v="0"/>
    <s v="West"/>
    <s v="Tablet"/>
    <x v="3"/>
    <s v="Free"/>
    <n v="1"/>
    <n v="1"/>
    <n v="1"/>
    <n v="0"/>
    <n v="0"/>
    <n v="0"/>
    <n v="0"/>
    <m/>
    <n v="100"/>
    <s v="Normal"/>
  </r>
  <r>
    <s v="USR-100482"/>
    <d v="2025-02-13T00:00:00"/>
    <x v="0"/>
    <s v="North"/>
    <s v="Unknown"/>
    <x v="1"/>
    <s v="Basic"/>
    <n v="1"/>
    <n v="1"/>
    <n v="1"/>
    <n v="0"/>
    <n v="0"/>
    <n v="0"/>
    <n v="0"/>
    <m/>
    <n v="50.4"/>
    <s v="Normal"/>
  </r>
  <r>
    <s v="USR-100483"/>
    <d v="2025-04-12T00:00:00"/>
    <x v="0"/>
    <s v="West"/>
    <s v="Desktop"/>
    <x v="1"/>
    <s v="Basic"/>
    <n v="0"/>
    <n v="0"/>
    <n v="0"/>
    <n v="0"/>
    <n v="0"/>
    <n v="0"/>
    <n v="0"/>
    <m/>
    <n v="41.5"/>
    <s v="Normal"/>
  </r>
  <r>
    <s v="USR-100484"/>
    <d v="2025-04-07T00:00:00"/>
    <x v="0"/>
    <s v="North"/>
    <s v="Mobile"/>
    <x v="0"/>
    <s v="Free"/>
    <n v="0"/>
    <n v="0"/>
    <n v="0"/>
    <n v="0"/>
    <n v="0"/>
    <n v="0"/>
    <n v="0"/>
    <m/>
    <n v="86.2"/>
    <s v="Normal"/>
  </r>
  <r>
    <s v="USR-100485"/>
    <d v="2025-03-12T00:00:00"/>
    <x v="0"/>
    <s v="North"/>
    <s v="Desktop"/>
    <x v="4"/>
    <s v="Free"/>
    <n v="1"/>
    <n v="1"/>
    <n v="1"/>
    <n v="0"/>
    <n v="0"/>
    <n v="2"/>
    <n v="0"/>
    <m/>
    <n v="50.8"/>
    <s v="Normal"/>
  </r>
  <r>
    <s v="USR-100486"/>
    <d v="2025-02-07T00:00:00"/>
    <x v="0"/>
    <s v="West"/>
    <s v="Mobile"/>
    <x v="1"/>
    <s v="Free"/>
    <n v="1"/>
    <n v="0"/>
    <n v="0"/>
    <n v="0"/>
    <n v="0"/>
    <n v="0"/>
    <n v="0"/>
    <m/>
    <n v="50.9"/>
    <s v="Normal"/>
  </r>
  <r>
    <s v="USR-100487"/>
    <d v="2025-05-05T00:00:00"/>
    <x v="0"/>
    <s v="North"/>
    <s v="Mobile"/>
    <x v="1"/>
    <s v="Premium"/>
    <n v="1"/>
    <n v="1"/>
    <n v="0"/>
    <n v="0"/>
    <n v="0"/>
    <n v="0"/>
    <n v="0"/>
    <m/>
    <n v="87.5"/>
    <s v="Normal"/>
  </r>
  <r>
    <s v="USR-100488"/>
    <d v="2025-03-18T00:00:00"/>
    <x v="0"/>
    <s v="South"/>
    <s v="Mobile"/>
    <x v="3"/>
    <s v="Free"/>
    <n v="0"/>
    <n v="0"/>
    <n v="0"/>
    <n v="0"/>
    <n v="0"/>
    <n v="0"/>
    <n v="0"/>
    <m/>
    <n v="43.6"/>
    <s v="Normal"/>
  </r>
  <r>
    <s v="USR-100489"/>
    <d v="2025-01-05T00:00:00"/>
    <x v="0"/>
    <s v="South"/>
    <s v="Mobile"/>
    <x v="2"/>
    <s v="Basic"/>
    <n v="1"/>
    <n v="0"/>
    <n v="0"/>
    <n v="0"/>
    <n v="0"/>
    <n v="0"/>
    <n v="0"/>
    <m/>
    <n v="55.5"/>
    <s v="Normal"/>
  </r>
  <r>
    <s v="USR-100490"/>
    <d v="2025-05-10T00:00:00"/>
    <x v="0"/>
    <s v="South"/>
    <s v="Desktop"/>
    <x v="3"/>
    <s v="Basic"/>
    <n v="0"/>
    <n v="0"/>
    <n v="0"/>
    <n v="0"/>
    <n v="0"/>
    <n v="0"/>
    <n v="0"/>
    <m/>
    <n v="78.599999999999994"/>
    <s v="Normal"/>
  </r>
  <r>
    <s v="USR-100491"/>
    <d v="2025-01-03T00:00:00"/>
    <x v="0"/>
    <s v="South"/>
    <s v="Mobile"/>
    <x v="4"/>
    <s v="Basic"/>
    <n v="1"/>
    <n v="1"/>
    <n v="0"/>
    <n v="0"/>
    <n v="0"/>
    <n v="1"/>
    <n v="0"/>
    <m/>
    <n v="44.3"/>
    <s v="Normal"/>
  </r>
  <r>
    <s v="USR-100492"/>
    <d v="2025-05-08T00:00:00"/>
    <x v="0"/>
    <s v="South"/>
    <s v="Mobile"/>
    <x v="2"/>
    <s v="Free"/>
    <n v="1"/>
    <n v="1"/>
    <n v="0"/>
    <n v="0"/>
    <n v="0"/>
    <n v="0"/>
    <n v="0"/>
    <m/>
    <n v="45.2"/>
    <s v="Normal"/>
  </r>
  <r>
    <s v="USR-100493"/>
    <d v="2025-03-05T00:00:00"/>
    <x v="0"/>
    <s v="South"/>
    <s v="Desktop"/>
    <x v="0"/>
    <s v="Basic"/>
    <n v="1"/>
    <n v="0"/>
    <n v="0"/>
    <n v="0"/>
    <n v="0"/>
    <n v="2"/>
    <n v="0"/>
    <m/>
    <n v="46.1"/>
    <s v="Normal"/>
  </r>
  <r>
    <s v="USR-100494"/>
    <d v="2025-02-17T00:00:00"/>
    <x v="0"/>
    <s v="North"/>
    <s v="Mobile"/>
    <x v="1"/>
    <s v="Premium"/>
    <n v="1"/>
    <n v="0"/>
    <n v="0"/>
    <n v="0"/>
    <n v="0"/>
    <n v="0"/>
    <n v="0"/>
    <m/>
    <n v="49.6"/>
    <s v="Normal"/>
  </r>
  <r>
    <s v="USR-100495"/>
    <d v="2025-01-09T00:00:00"/>
    <x v="0"/>
    <s v="South"/>
    <s v="Mobile"/>
    <x v="3"/>
    <s v="Basic"/>
    <n v="0"/>
    <n v="0"/>
    <n v="0"/>
    <n v="0"/>
    <n v="0"/>
    <n v="0"/>
    <n v="0"/>
    <m/>
    <n v="70.5"/>
    <s v="Normal"/>
  </r>
  <r>
    <s v="USR-100496"/>
    <d v="2025-05-05T00:00:00"/>
    <x v="0"/>
    <s v="South"/>
    <s v="Mobile"/>
    <x v="0"/>
    <s v="Basic"/>
    <n v="0"/>
    <n v="0"/>
    <n v="0"/>
    <n v="0"/>
    <n v="0"/>
    <n v="1"/>
    <n v="0"/>
    <m/>
    <n v="60.8"/>
    <s v="Normal"/>
  </r>
  <r>
    <s v="USR-100497"/>
    <d v="2025-04-16T00:00:00"/>
    <x v="0"/>
    <s v="East"/>
    <s v="Mobile"/>
    <x v="0"/>
    <s v="Basic"/>
    <n v="0"/>
    <n v="0"/>
    <n v="0"/>
    <n v="0"/>
    <n v="0"/>
    <n v="1"/>
    <n v="0"/>
    <m/>
    <n v="50.5"/>
    <s v="Normal"/>
  </r>
  <r>
    <s v="USR-100498"/>
    <d v="2025-03-02T00:00:00"/>
    <x v="0"/>
    <s v="South"/>
    <s v="Desktop"/>
    <x v="1"/>
    <s v="Free"/>
    <n v="1"/>
    <n v="0"/>
    <n v="0"/>
    <n v="0"/>
    <n v="0"/>
    <n v="0"/>
    <n v="0"/>
    <m/>
    <n v="54.9"/>
    <s v="Normal"/>
  </r>
  <r>
    <s v="USR-100499"/>
    <d v="2025-04-14T00:00:00"/>
    <x v="0"/>
    <s v="South"/>
    <s v="Mobile"/>
    <x v="4"/>
    <s v="Premium"/>
    <n v="0"/>
    <n v="0"/>
    <n v="0"/>
    <n v="0"/>
    <n v="0"/>
    <n v="0"/>
    <n v="0"/>
    <m/>
    <n v="29.9"/>
    <s v="Normal"/>
  </r>
  <r>
    <s v="USR-100500"/>
    <d v="2025-02-15T00:00:00"/>
    <x v="0"/>
    <s v="East"/>
    <s v="Desktop"/>
    <x v="2"/>
    <s v="Basic"/>
    <n v="0"/>
    <n v="0"/>
    <n v="0"/>
    <n v="0"/>
    <n v="0"/>
    <n v="0"/>
    <n v="0"/>
    <m/>
    <n v="48.3"/>
    <s v="Normal"/>
  </r>
  <r>
    <s v="USR-100501"/>
    <d v="2025-02-13T00:00:00"/>
    <x v="0"/>
    <s v="West"/>
    <s v="Mobile"/>
    <x v="4"/>
    <s v="Free"/>
    <n v="1"/>
    <n v="1"/>
    <n v="1"/>
    <n v="1"/>
    <n v="513.61"/>
    <n v="0"/>
    <n v="0"/>
    <n v="7"/>
    <n v="41.3"/>
    <s v="Normal"/>
  </r>
  <r>
    <s v="USR-100502"/>
    <d v="2025-03-06T00:00:00"/>
    <x v="0"/>
    <s v="North"/>
    <s v="Mobile"/>
    <x v="0"/>
    <s v="Free"/>
    <n v="0"/>
    <n v="0"/>
    <n v="0"/>
    <n v="0"/>
    <n v="0"/>
    <n v="0"/>
    <n v="0"/>
    <m/>
    <n v="61.4"/>
    <s v="Normal"/>
  </r>
  <r>
    <s v="USR-100503"/>
    <d v="2025-02-18T00:00:00"/>
    <x v="0"/>
    <s v="South"/>
    <s v="Desktop"/>
    <x v="4"/>
    <s v="Free"/>
    <n v="0"/>
    <n v="0"/>
    <n v="0"/>
    <n v="0"/>
    <n v="0"/>
    <n v="0"/>
    <n v="0"/>
    <m/>
    <n v="57.8"/>
    <s v="Normal"/>
  </r>
  <r>
    <s v="USR-100504"/>
    <d v="2025-04-07T00:00:00"/>
    <x v="0"/>
    <s v="North"/>
    <s v="Desktop"/>
    <x v="1"/>
    <s v="Free"/>
    <n v="0"/>
    <n v="0"/>
    <n v="0"/>
    <n v="0"/>
    <n v="0"/>
    <n v="0"/>
    <n v="0"/>
    <m/>
    <n v="78.2"/>
    <s v="Normal"/>
  </r>
  <r>
    <s v="USR-100505"/>
    <d v="2025-04-06T00:00:00"/>
    <x v="0"/>
    <s v="North"/>
    <s v="Mobile"/>
    <x v="3"/>
    <s v="Free"/>
    <n v="0"/>
    <n v="0"/>
    <n v="0"/>
    <n v="0"/>
    <n v="0"/>
    <n v="0"/>
    <n v="0"/>
    <m/>
    <n v="63.8"/>
    <s v="Normal"/>
  </r>
  <r>
    <s v="USR-100506"/>
    <d v="2025-01-30T00:00:00"/>
    <x v="0"/>
    <s v="North"/>
    <s v="Desktop"/>
    <x v="4"/>
    <s v="Free"/>
    <n v="1"/>
    <n v="0"/>
    <n v="0"/>
    <n v="0"/>
    <n v="0"/>
    <n v="0"/>
    <n v="0"/>
    <m/>
    <n v="56.8"/>
    <s v="Normal"/>
  </r>
  <r>
    <s v="USR-100507"/>
    <d v="2025-05-13T00:00:00"/>
    <x v="0"/>
    <s v="South"/>
    <s v="Desktop"/>
    <x v="1"/>
    <s v="Basic"/>
    <n v="1"/>
    <n v="1"/>
    <n v="0"/>
    <n v="0"/>
    <n v="0"/>
    <n v="0"/>
    <n v="0"/>
    <m/>
    <n v="59.6"/>
    <s v="Normal"/>
  </r>
  <r>
    <s v="USR-100508"/>
    <d v="2025-01-20T00:00:00"/>
    <x v="0"/>
    <s v="West"/>
    <s v="Mobile"/>
    <x v="2"/>
    <s v="Premium"/>
    <n v="1"/>
    <n v="1"/>
    <n v="0"/>
    <n v="0"/>
    <n v="0"/>
    <n v="0"/>
    <n v="0"/>
    <m/>
    <n v="50"/>
    <s v="Normal"/>
  </r>
  <r>
    <s v="USR-100509"/>
    <d v="2025-01-30T00:00:00"/>
    <x v="0"/>
    <s v="North"/>
    <s v="Tablet"/>
    <x v="1"/>
    <s v="Free"/>
    <n v="1"/>
    <n v="0"/>
    <n v="0"/>
    <n v="0"/>
    <n v="0"/>
    <n v="0"/>
    <n v="0"/>
    <m/>
    <n v="35.700000000000003"/>
    <s v="Normal"/>
  </r>
  <r>
    <s v="USR-100510"/>
    <d v="2025-01-13T00:00:00"/>
    <x v="0"/>
    <s v="South"/>
    <s v="Mobile"/>
    <x v="1"/>
    <s v="Free"/>
    <n v="0"/>
    <n v="0"/>
    <n v="0"/>
    <n v="0"/>
    <n v="0"/>
    <n v="2"/>
    <n v="0"/>
    <m/>
    <n v="47.2"/>
    <s v="Normal"/>
  </r>
  <r>
    <s v="USR-100511"/>
    <d v="2025-02-11T00:00:00"/>
    <x v="0"/>
    <s v="North"/>
    <s v="Mobile"/>
    <x v="4"/>
    <s v="Free"/>
    <n v="1"/>
    <n v="1"/>
    <n v="0"/>
    <n v="0"/>
    <n v="0"/>
    <n v="0"/>
    <n v="0"/>
    <m/>
    <n v="56.9"/>
    <s v="Normal"/>
  </r>
  <r>
    <s v="USR-100512"/>
    <d v="2025-04-15T00:00:00"/>
    <x v="0"/>
    <s v="South"/>
    <s v="Mobile"/>
    <x v="1"/>
    <s v="Free"/>
    <n v="0"/>
    <n v="0"/>
    <n v="0"/>
    <n v="0"/>
    <n v="0"/>
    <n v="1"/>
    <n v="0"/>
    <m/>
    <n v="57.2"/>
    <s v="Normal"/>
  </r>
  <r>
    <s v="USR-100513"/>
    <d v="2025-02-13T00:00:00"/>
    <x v="0"/>
    <s v="South"/>
    <s v="Mobile"/>
    <x v="5"/>
    <s v="Free"/>
    <n v="1"/>
    <n v="1"/>
    <n v="0"/>
    <n v="0"/>
    <n v="0"/>
    <n v="0"/>
    <n v="0"/>
    <m/>
    <n v="31.4"/>
    <s v="Normal"/>
  </r>
  <r>
    <s v="USR-100514"/>
    <d v="2025-05-09T00:00:00"/>
    <x v="0"/>
    <s v="South"/>
    <s v="Desktop"/>
    <x v="1"/>
    <s v="Free"/>
    <n v="0"/>
    <n v="0"/>
    <n v="0"/>
    <n v="0"/>
    <n v="0"/>
    <n v="0"/>
    <n v="0"/>
    <m/>
    <n v="71.2"/>
    <s v="Normal"/>
  </r>
  <r>
    <s v="USR-100515"/>
    <d v="2025-03-10T00:00:00"/>
    <x v="0"/>
    <s v="North"/>
    <s v="Mobile"/>
    <x v="2"/>
    <s v="Free"/>
    <n v="1"/>
    <n v="1"/>
    <n v="1"/>
    <n v="0"/>
    <n v="0"/>
    <n v="1"/>
    <n v="0"/>
    <m/>
    <n v="38.299999999999997"/>
    <s v="Normal"/>
  </r>
  <r>
    <s v="USR-100516"/>
    <d v="2025-04-01T00:00:00"/>
    <x v="0"/>
    <s v="North"/>
    <s v="Mobile"/>
    <x v="1"/>
    <s v="Free"/>
    <n v="1"/>
    <n v="1"/>
    <n v="0"/>
    <n v="0"/>
    <n v="0"/>
    <n v="0"/>
    <n v="0"/>
    <m/>
    <n v="63.1"/>
    <s v="Normal"/>
  </r>
  <r>
    <s v="USR-100517"/>
    <d v="2025-05-15T00:00:00"/>
    <x v="0"/>
    <s v="East"/>
    <s v="Mobile"/>
    <x v="3"/>
    <s v="Basic"/>
    <n v="1"/>
    <n v="0"/>
    <n v="0"/>
    <n v="0"/>
    <n v="0"/>
    <n v="0"/>
    <n v="0"/>
    <m/>
    <n v="59.7"/>
    <s v="Normal"/>
  </r>
  <r>
    <s v="USR-100518"/>
    <d v="2025-05-04T00:00:00"/>
    <x v="0"/>
    <s v="South"/>
    <s v="Desktop"/>
    <x v="4"/>
    <s v="Premium"/>
    <n v="1"/>
    <n v="1"/>
    <n v="1"/>
    <n v="0"/>
    <n v="0"/>
    <n v="0"/>
    <n v="0"/>
    <m/>
    <n v="59.5"/>
    <s v="Normal"/>
  </r>
  <r>
    <s v="USR-100519"/>
    <d v="2025-05-20T00:00:00"/>
    <x v="0"/>
    <s v="East"/>
    <s v="Mobile"/>
    <x v="2"/>
    <s v="Free"/>
    <n v="0"/>
    <n v="0"/>
    <n v="0"/>
    <n v="0"/>
    <n v="0"/>
    <n v="0"/>
    <n v="0"/>
    <m/>
    <n v="78.8"/>
    <s v="Normal"/>
  </r>
  <r>
    <s v="USR-100520"/>
    <d v="2025-05-16T00:00:00"/>
    <x v="0"/>
    <s v="West"/>
    <s v="Desktop"/>
    <x v="3"/>
    <s v="Free"/>
    <n v="0"/>
    <n v="0"/>
    <n v="0"/>
    <n v="0"/>
    <n v="0"/>
    <n v="0"/>
    <n v="0"/>
    <m/>
    <n v="54"/>
    <s v="Normal"/>
  </r>
  <r>
    <s v="USR-100521"/>
    <d v="2025-03-17T00:00:00"/>
    <x v="0"/>
    <s v="West"/>
    <s v="Mobile"/>
    <x v="1"/>
    <s v="Free"/>
    <n v="1"/>
    <n v="0"/>
    <n v="0"/>
    <n v="0"/>
    <n v="0"/>
    <n v="0"/>
    <n v="0"/>
    <m/>
    <n v="66.3"/>
    <s v="Normal"/>
  </r>
  <r>
    <s v="USR-100522"/>
    <d v="2025-01-27T00:00:00"/>
    <x v="0"/>
    <s v="East"/>
    <s v="Tablet"/>
    <x v="2"/>
    <s v="Free"/>
    <n v="1"/>
    <n v="1"/>
    <n v="0"/>
    <n v="0"/>
    <n v="0"/>
    <n v="0"/>
    <n v="0"/>
    <m/>
    <n v="54.7"/>
    <s v="Normal"/>
  </r>
  <r>
    <s v="USR-100523"/>
    <d v="2025-04-13T00:00:00"/>
    <x v="0"/>
    <s v="South"/>
    <s v="Mobile"/>
    <x v="1"/>
    <s v="Basic"/>
    <n v="1"/>
    <n v="0"/>
    <n v="0"/>
    <n v="0"/>
    <n v="0"/>
    <n v="0"/>
    <n v="0"/>
    <m/>
    <n v="76.7"/>
    <s v="Normal"/>
  </r>
  <r>
    <s v="USR-100524"/>
    <d v="2025-05-03T00:00:00"/>
    <x v="0"/>
    <s v="South"/>
    <s v="Desktop"/>
    <x v="0"/>
    <s v="Basic"/>
    <n v="1"/>
    <n v="0"/>
    <n v="0"/>
    <n v="0"/>
    <n v="0"/>
    <n v="2"/>
    <n v="0"/>
    <m/>
    <n v="47.4"/>
    <s v="Normal"/>
  </r>
  <r>
    <s v="USR-100525"/>
    <d v="2025-03-30T00:00:00"/>
    <x v="0"/>
    <s v="North"/>
    <s v="Mobile"/>
    <x v="1"/>
    <s v="Free"/>
    <n v="1"/>
    <n v="1"/>
    <n v="1"/>
    <n v="0"/>
    <n v="0"/>
    <n v="0"/>
    <n v="0"/>
    <m/>
    <n v="81.7"/>
    <s v="Normal"/>
  </r>
  <r>
    <s v="USR-100526"/>
    <d v="2025-01-01T00:00:00"/>
    <x v="0"/>
    <s v="West"/>
    <s v="Mobile"/>
    <x v="2"/>
    <s v="Basic"/>
    <n v="1"/>
    <n v="1"/>
    <n v="1"/>
    <n v="0"/>
    <n v="0"/>
    <n v="0"/>
    <n v="0"/>
    <m/>
    <n v="67.5"/>
    <s v="Normal"/>
  </r>
  <r>
    <s v="USR-100527"/>
    <d v="2025-02-06T00:00:00"/>
    <x v="0"/>
    <s v="West"/>
    <s v="Mobile"/>
    <x v="2"/>
    <s v="Basic"/>
    <n v="1"/>
    <n v="0"/>
    <n v="0"/>
    <n v="0"/>
    <n v="0"/>
    <n v="0"/>
    <n v="0"/>
    <m/>
    <n v="36.799999999999997"/>
    <s v="Normal"/>
  </r>
  <r>
    <s v="USR-100528"/>
    <d v="2025-02-25T00:00:00"/>
    <x v="0"/>
    <s v="North"/>
    <s v="Desktop"/>
    <x v="1"/>
    <s v="Free"/>
    <n v="0"/>
    <n v="0"/>
    <n v="0"/>
    <n v="0"/>
    <n v="0"/>
    <n v="0"/>
    <n v="0"/>
    <m/>
    <n v="66.5"/>
    <s v="Normal"/>
  </r>
  <r>
    <s v="USR-100529"/>
    <d v="2025-05-14T00:00:00"/>
    <x v="0"/>
    <s v="East"/>
    <s v="Tablet"/>
    <x v="4"/>
    <s v="Free"/>
    <n v="1"/>
    <n v="0"/>
    <n v="0"/>
    <n v="0"/>
    <n v="0"/>
    <n v="0"/>
    <n v="0"/>
    <m/>
    <n v="35.4"/>
    <s v="Normal"/>
  </r>
  <r>
    <s v="USR-100530"/>
    <d v="2025-05-20T00:00:00"/>
    <x v="0"/>
    <s v="South"/>
    <s v="Mobile"/>
    <x v="1"/>
    <s v="Basic"/>
    <n v="0"/>
    <n v="0"/>
    <n v="0"/>
    <n v="0"/>
    <n v="0"/>
    <n v="0"/>
    <n v="0"/>
    <m/>
    <n v="64.3"/>
    <s v="Normal"/>
  </r>
  <r>
    <s v="USR-100531"/>
    <d v="2025-02-11T00:00:00"/>
    <x v="0"/>
    <s v="South"/>
    <s v="Mobile"/>
    <x v="1"/>
    <s v="Free"/>
    <n v="0"/>
    <n v="0"/>
    <n v="0"/>
    <n v="0"/>
    <n v="0"/>
    <n v="0"/>
    <n v="0"/>
    <m/>
    <n v="49.1"/>
    <s v="Normal"/>
  </r>
  <r>
    <s v="USR-100532"/>
    <d v="2025-02-13T00:00:00"/>
    <x v="0"/>
    <s v="West"/>
    <s v="Mobile"/>
    <x v="1"/>
    <s v="Free"/>
    <n v="1"/>
    <n v="0"/>
    <n v="0"/>
    <n v="0"/>
    <n v="0"/>
    <n v="0"/>
    <n v="0"/>
    <m/>
    <n v="84.3"/>
    <s v="Normal"/>
  </r>
  <r>
    <s v="USR-100533"/>
    <d v="2025-04-07T00:00:00"/>
    <x v="0"/>
    <s v="South"/>
    <s v="Mobile"/>
    <x v="2"/>
    <s v="Premium"/>
    <n v="1"/>
    <n v="0"/>
    <n v="0"/>
    <n v="0"/>
    <n v="0"/>
    <n v="0"/>
    <n v="0"/>
    <m/>
    <n v="65.599999999999994"/>
    <s v="Normal"/>
  </r>
  <r>
    <s v="USR-100534"/>
    <d v="2025-03-08T00:00:00"/>
    <x v="0"/>
    <s v="East"/>
    <s v="Mobile"/>
    <x v="0"/>
    <s v="Free"/>
    <n v="1"/>
    <n v="0"/>
    <n v="0"/>
    <n v="0"/>
    <n v="0"/>
    <n v="0"/>
    <n v="0"/>
    <m/>
    <n v="47.1"/>
    <s v="Normal"/>
  </r>
  <r>
    <s v="USR-100535"/>
    <d v="2025-02-16T00:00:00"/>
    <x v="0"/>
    <s v="North"/>
    <s v="Desktop"/>
    <x v="2"/>
    <s v="Free"/>
    <n v="1"/>
    <n v="1"/>
    <n v="1"/>
    <n v="0"/>
    <n v="0"/>
    <n v="0"/>
    <n v="0"/>
    <m/>
    <n v="70"/>
    <s v="Normal"/>
  </r>
  <r>
    <s v="USR-100536"/>
    <d v="2025-04-28T00:00:00"/>
    <x v="0"/>
    <s v="South"/>
    <s v="Mobile"/>
    <x v="2"/>
    <s v="Premium"/>
    <n v="1"/>
    <n v="0"/>
    <n v="0"/>
    <n v="0"/>
    <n v="0"/>
    <n v="0"/>
    <n v="0"/>
    <m/>
    <n v="54.6"/>
    <s v="Normal"/>
  </r>
  <r>
    <s v="USR-100537"/>
    <d v="2025-03-10T00:00:00"/>
    <x v="0"/>
    <s v="West"/>
    <s v="Tablet"/>
    <x v="4"/>
    <s v="Basic"/>
    <n v="1"/>
    <n v="1"/>
    <n v="0"/>
    <n v="0"/>
    <n v="0"/>
    <n v="1"/>
    <n v="0"/>
    <m/>
    <n v="65.2"/>
    <s v="Normal"/>
  </r>
  <r>
    <s v="USR-100538"/>
    <d v="2025-01-25T00:00:00"/>
    <x v="0"/>
    <s v="East"/>
    <s v="Mobile"/>
    <x v="4"/>
    <s v="Free"/>
    <n v="1"/>
    <n v="0"/>
    <n v="0"/>
    <n v="0"/>
    <n v="0"/>
    <n v="0"/>
    <n v="0"/>
    <m/>
    <n v="65"/>
    <s v="Normal"/>
  </r>
  <r>
    <s v="USR-100539"/>
    <d v="2025-01-11T00:00:00"/>
    <x v="0"/>
    <s v="West"/>
    <s v="Mobile"/>
    <x v="2"/>
    <s v="Premium"/>
    <n v="1"/>
    <n v="1"/>
    <n v="1"/>
    <n v="0"/>
    <n v="0"/>
    <n v="1"/>
    <n v="0"/>
    <m/>
    <n v="42.1"/>
    <s v="Normal"/>
  </r>
  <r>
    <s v="USR-100540"/>
    <d v="2025-03-31T00:00:00"/>
    <x v="0"/>
    <s v="West"/>
    <s v="Tablet"/>
    <x v="2"/>
    <s v="Free"/>
    <n v="1"/>
    <n v="0"/>
    <n v="0"/>
    <n v="0"/>
    <n v="0"/>
    <n v="0"/>
    <n v="0"/>
    <m/>
    <n v="43.4"/>
    <s v="Normal"/>
  </r>
  <r>
    <s v="USR-100541"/>
    <d v="2025-05-22T00:00:00"/>
    <x v="0"/>
    <s v="North"/>
    <s v="Mobile"/>
    <x v="2"/>
    <s v="Basic"/>
    <n v="1"/>
    <n v="1"/>
    <n v="0"/>
    <n v="0"/>
    <n v="0"/>
    <n v="0"/>
    <n v="0"/>
    <m/>
    <n v="39.9"/>
    <s v="Normal"/>
  </r>
  <r>
    <s v="USR-100542"/>
    <d v="2025-05-16T00:00:00"/>
    <x v="0"/>
    <s v="North"/>
    <s v="Mobile"/>
    <x v="3"/>
    <s v="Basic"/>
    <n v="0"/>
    <n v="0"/>
    <n v="0"/>
    <n v="0"/>
    <n v="0"/>
    <n v="0"/>
    <n v="0"/>
    <m/>
    <n v="74.099999999999994"/>
    <s v="Normal"/>
  </r>
  <r>
    <s v="USR-100543"/>
    <d v="2025-04-25T00:00:00"/>
    <x v="0"/>
    <s v="East"/>
    <s v="Desktop"/>
    <x v="2"/>
    <s v="Free"/>
    <n v="1"/>
    <n v="0"/>
    <n v="0"/>
    <n v="0"/>
    <n v="0"/>
    <n v="0"/>
    <n v="0"/>
    <m/>
    <n v="61.4"/>
    <s v="Normal"/>
  </r>
  <r>
    <s v="USR-100544"/>
    <d v="2025-04-17T00:00:00"/>
    <x v="0"/>
    <s v="East"/>
    <s v="Mobile"/>
    <x v="4"/>
    <s v="Premium"/>
    <n v="1"/>
    <n v="1"/>
    <n v="1"/>
    <n v="0"/>
    <n v="0"/>
    <n v="0"/>
    <n v="0"/>
    <m/>
    <n v="76.8"/>
    <s v="Normal"/>
  </r>
  <r>
    <s v="USR-100545"/>
    <d v="2025-01-01T00:00:00"/>
    <x v="0"/>
    <s v="South"/>
    <s v="Desktop"/>
    <x v="4"/>
    <s v="Basic"/>
    <n v="0"/>
    <n v="0"/>
    <n v="0"/>
    <n v="0"/>
    <n v="0"/>
    <n v="0"/>
    <n v="0"/>
    <m/>
    <m/>
    <s v="Normal"/>
  </r>
  <r>
    <s v="USR-100546"/>
    <d v="2025-03-18T00:00:00"/>
    <x v="0"/>
    <s v="East"/>
    <s v="Mobile"/>
    <x v="2"/>
    <s v="Basic"/>
    <n v="1"/>
    <n v="1"/>
    <n v="1"/>
    <n v="0"/>
    <n v="0"/>
    <n v="0"/>
    <n v="0"/>
    <m/>
    <n v="45.3"/>
    <s v="Normal"/>
  </r>
  <r>
    <s v="USR-100547"/>
    <d v="2025-05-20T00:00:00"/>
    <x v="0"/>
    <s v="North"/>
    <s v="Tablet"/>
    <x v="2"/>
    <s v="Free"/>
    <n v="1"/>
    <n v="0"/>
    <n v="0"/>
    <n v="0"/>
    <n v="0"/>
    <n v="0"/>
    <n v="0"/>
    <m/>
    <n v="41.4"/>
    <s v="Normal"/>
  </r>
  <r>
    <s v="USR-100548"/>
    <d v="2025-03-16T00:00:00"/>
    <x v="0"/>
    <s v="North"/>
    <s v="Mobile"/>
    <x v="1"/>
    <s v="Basic"/>
    <n v="1"/>
    <n v="0"/>
    <n v="0"/>
    <n v="0"/>
    <n v="0"/>
    <n v="0"/>
    <n v="0"/>
    <m/>
    <n v="37.1"/>
    <s v="Normal"/>
  </r>
  <r>
    <s v="USR-100549"/>
    <d v="2025-05-30T00:00:00"/>
    <x v="0"/>
    <s v="East"/>
    <s v="Desktop"/>
    <x v="4"/>
    <s v="Free"/>
    <n v="1"/>
    <n v="0"/>
    <n v="0"/>
    <n v="0"/>
    <n v="0"/>
    <n v="0"/>
    <n v="0"/>
    <m/>
    <n v="40.700000000000003"/>
    <s v="Normal"/>
  </r>
  <r>
    <s v="USR-100550"/>
    <d v="2025-02-20T00:00:00"/>
    <x v="0"/>
    <s v="North"/>
    <s v="Mobile"/>
    <x v="4"/>
    <s v="Premium"/>
    <n v="0"/>
    <n v="0"/>
    <n v="0"/>
    <n v="0"/>
    <n v="0"/>
    <n v="2"/>
    <n v="0"/>
    <m/>
    <n v="55.9"/>
    <s v="Normal"/>
  </r>
  <r>
    <s v="USR-100551"/>
    <d v="2025-02-11T00:00:00"/>
    <x v="0"/>
    <s v="East"/>
    <s v="Unknown"/>
    <x v="4"/>
    <s v="Free"/>
    <n v="1"/>
    <n v="1"/>
    <n v="0"/>
    <n v="0"/>
    <n v="0"/>
    <n v="0"/>
    <n v="0"/>
    <m/>
    <n v="55.8"/>
    <s v="Normal"/>
  </r>
  <r>
    <s v="USR-100552"/>
    <d v="2025-01-02T00:00:00"/>
    <x v="0"/>
    <s v="South"/>
    <s v="Tablet"/>
    <x v="3"/>
    <s v="Basic"/>
    <n v="1"/>
    <n v="0"/>
    <n v="0"/>
    <n v="0"/>
    <n v="0"/>
    <n v="0"/>
    <n v="0"/>
    <m/>
    <n v="64.3"/>
    <s v="Normal"/>
  </r>
  <r>
    <s v="USR-100553"/>
    <d v="2025-05-03T00:00:00"/>
    <x v="0"/>
    <s v="North"/>
    <s v="Mobile"/>
    <x v="1"/>
    <s v="Free"/>
    <n v="0"/>
    <n v="0"/>
    <n v="0"/>
    <n v="0"/>
    <n v="0"/>
    <n v="0"/>
    <n v="0"/>
    <m/>
    <n v="65.400000000000006"/>
    <s v="Normal"/>
  </r>
  <r>
    <s v="USR-100554"/>
    <d v="2025-02-24T00:00:00"/>
    <x v="0"/>
    <s v="West"/>
    <s v="Mobile"/>
    <x v="1"/>
    <s v="Free"/>
    <n v="1"/>
    <n v="0"/>
    <n v="0"/>
    <n v="0"/>
    <n v="0"/>
    <n v="0"/>
    <n v="0"/>
    <m/>
    <n v="89.8"/>
    <s v="Normal"/>
  </r>
  <r>
    <s v="USR-100555"/>
    <d v="2025-02-11T00:00:00"/>
    <x v="0"/>
    <s v="South"/>
    <s v="Unknown"/>
    <x v="1"/>
    <s v="Free"/>
    <n v="1"/>
    <n v="1"/>
    <n v="1"/>
    <n v="0"/>
    <n v="0"/>
    <n v="0"/>
    <n v="0"/>
    <m/>
    <n v="58.3"/>
    <s v="Normal"/>
  </r>
  <r>
    <s v="USR-100556"/>
    <d v="2025-05-06T00:00:00"/>
    <x v="0"/>
    <s v="South"/>
    <s v="Mobile"/>
    <x v="4"/>
    <s v="Basic"/>
    <n v="1"/>
    <n v="0"/>
    <n v="0"/>
    <n v="0"/>
    <n v="0"/>
    <n v="0"/>
    <n v="0"/>
    <m/>
    <n v="64.400000000000006"/>
    <s v="Normal"/>
  </r>
  <r>
    <s v="USR-100557"/>
    <d v="2025-05-23T00:00:00"/>
    <x v="0"/>
    <s v="North"/>
    <s v="Mobile"/>
    <x v="2"/>
    <s v="Premium"/>
    <n v="0"/>
    <n v="0"/>
    <n v="0"/>
    <n v="0"/>
    <n v="0"/>
    <n v="0"/>
    <n v="0"/>
    <m/>
    <n v="46.2"/>
    <s v="Normal"/>
  </r>
  <r>
    <s v="USR-100558"/>
    <d v="2025-01-09T00:00:00"/>
    <x v="0"/>
    <s v="North"/>
    <s v="Desktop"/>
    <x v="2"/>
    <s v="Free"/>
    <n v="0"/>
    <n v="0"/>
    <n v="0"/>
    <n v="0"/>
    <n v="0"/>
    <n v="0"/>
    <n v="0"/>
    <m/>
    <n v="78"/>
    <s v="Normal"/>
  </r>
  <r>
    <s v="USR-100559"/>
    <d v="2025-04-01T00:00:00"/>
    <x v="0"/>
    <s v="North"/>
    <s v="Desktop"/>
    <x v="1"/>
    <s v="Premium"/>
    <n v="1"/>
    <n v="0"/>
    <n v="0"/>
    <n v="0"/>
    <n v="0"/>
    <n v="0"/>
    <n v="0"/>
    <m/>
    <n v="62.3"/>
    <s v="Normal"/>
  </r>
  <r>
    <s v="USR-100560"/>
    <d v="2025-03-08T00:00:00"/>
    <x v="0"/>
    <s v="North"/>
    <s v="Mobile"/>
    <x v="1"/>
    <s v="Free"/>
    <n v="1"/>
    <n v="0"/>
    <n v="0"/>
    <n v="0"/>
    <n v="0"/>
    <n v="0"/>
    <n v="0"/>
    <m/>
    <n v="78.8"/>
    <s v="Normal"/>
  </r>
  <r>
    <s v="USR-100561"/>
    <d v="2025-02-20T00:00:00"/>
    <x v="0"/>
    <s v="North"/>
    <s v="Mobile"/>
    <x v="4"/>
    <s v="Basic"/>
    <n v="1"/>
    <n v="0"/>
    <n v="0"/>
    <n v="0"/>
    <n v="0"/>
    <n v="0"/>
    <n v="0"/>
    <m/>
    <n v="25"/>
    <s v="Normal"/>
  </r>
  <r>
    <s v="USR-100562"/>
    <d v="2025-03-30T00:00:00"/>
    <x v="0"/>
    <s v="East"/>
    <s v="Mobile"/>
    <x v="4"/>
    <s v="Basic"/>
    <n v="0"/>
    <n v="0"/>
    <n v="0"/>
    <n v="0"/>
    <n v="0"/>
    <n v="0"/>
    <n v="0"/>
    <m/>
    <n v="53.4"/>
    <s v="Normal"/>
  </r>
  <r>
    <s v="USR-100563"/>
    <d v="2025-04-10T00:00:00"/>
    <x v="0"/>
    <s v="East"/>
    <s v="Desktop"/>
    <x v="1"/>
    <s v="Basic"/>
    <n v="0"/>
    <n v="0"/>
    <n v="0"/>
    <n v="0"/>
    <n v="0"/>
    <n v="0"/>
    <n v="0"/>
    <m/>
    <n v="40.700000000000003"/>
    <s v="Normal"/>
  </r>
  <r>
    <s v="USR-100564"/>
    <d v="2025-03-24T00:00:00"/>
    <x v="0"/>
    <s v="East"/>
    <s v="Mobile"/>
    <x v="1"/>
    <s v="Premium"/>
    <n v="1"/>
    <n v="1"/>
    <n v="0"/>
    <n v="0"/>
    <n v="0"/>
    <n v="0"/>
    <n v="0"/>
    <m/>
    <n v="36.700000000000003"/>
    <s v="Normal"/>
  </r>
  <r>
    <s v="USR-100565"/>
    <d v="2025-05-21T00:00:00"/>
    <x v="0"/>
    <s v="West"/>
    <s v="Mobile"/>
    <x v="1"/>
    <s v="Basic"/>
    <n v="1"/>
    <n v="0"/>
    <n v="0"/>
    <n v="0"/>
    <n v="0"/>
    <n v="1"/>
    <n v="0"/>
    <m/>
    <n v="67.5"/>
    <s v="Normal"/>
  </r>
  <r>
    <s v="USR-100566"/>
    <d v="2025-03-29T00:00:00"/>
    <x v="0"/>
    <s v="East"/>
    <s v="Mobile"/>
    <x v="4"/>
    <s v="Premium"/>
    <n v="1"/>
    <n v="1"/>
    <n v="1"/>
    <n v="0"/>
    <n v="0"/>
    <n v="0"/>
    <n v="0"/>
    <m/>
    <n v="69.900000000000006"/>
    <s v="Normal"/>
  </r>
  <r>
    <s v="USR-100567"/>
    <d v="2025-02-23T00:00:00"/>
    <x v="0"/>
    <s v="North"/>
    <s v="Tablet"/>
    <x v="3"/>
    <s v="Basic"/>
    <n v="1"/>
    <n v="0"/>
    <n v="0"/>
    <n v="0"/>
    <n v="0"/>
    <n v="0"/>
    <n v="0"/>
    <m/>
    <n v="65.099999999999994"/>
    <s v="Normal"/>
  </r>
  <r>
    <s v="USR-100568"/>
    <d v="2025-02-16T00:00:00"/>
    <x v="0"/>
    <s v="West"/>
    <s v="Mobile"/>
    <x v="2"/>
    <s v="Premium"/>
    <n v="1"/>
    <n v="0"/>
    <n v="0"/>
    <n v="0"/>
    <n v="0"/>
    <n v="0"/>
    <n v="0"/>
    <m/>
    <n v="48.7"/>
    <s v="Normal"/>
  </r>
  <r>
    <s v="USR-100569"/>
    <d v="2025-02-21T00:00:00"/>
    <x v="0"/>
    <s v="West"/>
    <s v="Desktop"/>
    <x v="1"/>
    <s v="Basic"/>
    <n v="1"/>
    <n v="1"/>
    <n v="0"/>
    <n v="0"/>
    <n v="0"/>
    <n v="0"/>
    <n v="0"/>
    <m/>
    <n v="47.2"/>
    <s v="Normal"/>
  </r>
  <r>
    <s v="USR-100570"/>
    <d v="2025-01-07T00:00:00"/>
    <x v="0"/>
    <s v="North"/>
    <s v="Mobile"/>
    <x v="3"/>
    <s v="Free"/>
    <n v="1"/>
    <n v="0"/>
    <n v="0"/>
    <n v="0"/>
    <n v="0"/>
    <n v="2"/>
    <n v="0"/>
    <m/>
    <n v="20.3"/>
    <s v="Normal"/>
  </r>
  <r>
    <s v="USR-100571"/>
    <d v="2025-03-06T00:00:00"/>
    <x v="0"/>
    <s v="West"/>
    <s v="Mobile"/>
    <x v="2"/>
    <s v="Free"/>
    <n v="0"/>
    <n v="0"/>
    <n v="0"/>
    <n v="0"/>
    <n v="0"/>
    <n v="1"/>
    <n v="0"/>
    <m/>
    <n v="57.8"/>
    <s v="Normal"/>
  </r>
  <r>
    <s v="USR-100572"/>
    <d v="2025-03-30T00:00:00"/>
    <x v="0"/>
    <s v="East"/>
    <s v="Mobile"/>
    <x v="0"/>
    <s v="Basic"/>
    <n v="1"/>
    <n v="0"/>
    <n v="0"/>
    <n v="0"/>
    <n v="0"/>
    <n v="0"/>
    <n v="0"/>
    <m/>
    <n v="78.7"/>
    <s v="Normal"/>
  </r>
  <r>
    <s v="USR-100573"/>
    <d v="2025-05-31T00:00:00"/>
    <x v="0"/>
    <s v="South"/>
    <s v="Desktop"/>
    <x v="1"/>
    <s v="Free"/>
    <n v="1"/>
    <n v="0"/>
    <n v="0"/>
    <n v="0"/>
    <n v="0"/>
    <n v="0"/>
    <n v="0"/>
    <m/>
    <n v="63.6"/>
    <s v="Normal"/>
  </r>
  <r>
    <s v="USR-100574"/>
    <d v="2025-02-20T00:00:00"/>
    <x v="0"/>
    <s v="South"/>
    <s v="Mobile"/>
    <x v="0"/>
    <s v="Free"/>
    <n v="0"/>
    <n v="0"/>
    <n v="0"/>
    <n v="0"/>
    <n v="0"/>
    <n v="2"/>
    <n v="0"/>
    <m/>
    <n v="45.1"/>
    <s v="Normal"/>
  </r>
  <r>
    <s v="USR-100575"/>
    <d v="2025-01-13T00:00:00"/>
    <x v="0"/>
    <s v="West"/>
    <s v="Mobile"/>
    <x v="4"/>
    <s v="Free"/>
    <n v="0"/>
    <n v="0"/>
    <n v="0"/>
    <n v="0"/>
    <n v="0"/>
    <n v="0"/>
    <n v="0"/>
    <m/>
    <n v="77.5"/>
    <s v="Normal"/>
  </r>
  <r>
    <s v="USR-100576"/>
    <d v="2025-05-13T00:00:00"/>
    <x v="0"/>
    <s v="East"/>
    <s v="Desktop"/>
    <x v="2"/>
    <s v="Basic"/>
    <n v="1"/>
    <n v="1"/>
    <n v="0"/>
    <n v="0"/>
    <n v="0"/>
    <n v="0"/>
    <n v="0"/>
    <m/>
    <n v="58"/>
    <s v="Normal"/>
  </r>
  <r>
    <s v="USR-100577"/>
    <d v="2025-04-21T00:00:00"/>
    <x v="0"/>
    <s v="South"/>
    <s v="Tablet"/>
    <x v="1"/>
    <s v="Free"/>
    <n v="1"/>
    <n v="0"/>
    <n v="0"/>
    <n v="0"/>
    <n v="0"/>
    <n v="0"/>
    <n v="0"/>
    <m/>
    <n v="68.099999999999994"/>
    <s v="Normal"/>
  </r>
  <r>
    <s v="USR-100578"/>
    <d v="2025-03-01T00:00:00"/>
    <x v="0"/>
    <s v="East"/>
    <s v="Tablet"/>
    <x v="1"/>
    <s v="Premium"/>
    <n v="1"/>
    <n v="0"/>
    <n v="0"/>
    <n v="0"/>
    <n v="0"/>
    <n v="0"/>
    <n v="0"/>
    <m/>
    <n v="35.4"/>
    <s v="Normal"/>
  </r>
  <r>
    <s v="USR-100579"/>
    <d v="2025-03-10T00:00:00"/>
    <x v="0"/>
    <s v="West"/>
    <s v="Tablet"/>
    <x v="1"/>
    <s v="Free"/>
    <n v="0"/>
    <n v="0"/>
    <n v="0"/>
    <n v="0"/>
    <n v="0"/>
    <n v="0"/>
    <n v="0"/>
    <m/>
    <n v="47"/>
    <s v="Normal"/>
  </r>
  <r>
    <s v="USR-100580"/>
    <d v="2025-03-08T00:00:00"/>
    <x v="0"/>
    <s v="East"/>
    <s v="Desktop"/>
    <x v="2"/>
    <s v="Free"/>
    <n v="0"/>
    <n v="0"/>
    <n v="0"/>
    <n v="0"/>
    <n v="0"/>
    <n v="0"/>
    <n v="0"/>
    <m/>
    <n v="75"/>
    <s v="Normal"/>
  </r>
  <r>
    <s v="USR-100581"/>
    <d v="2025-05-26T00:00:00"/>
    <x v="0"/>
    <s v="South"/>
    <s v="Desktop"/>
    <x v="2"/>
    <s v="Free"/>
    <n v="1"/>
    <n v="1"/>
    <n v="1"/>
    <n v="0"/>
    <n v="0"/>
    <n v="3"/>
    <n v="0"/>
    <m/>
    <n v="50.2"/>
    <s v="Normal"/>
  </r>
  <r>
    <s v="USR-100582"/>
    <d v="2025-05-20T00:00:00"/>
    <x v="0"/>
    <s v="East"/>
    <s v="Desktop"/>
    <x v="2"/>
    <s v="Free"/>
    <n v="1"/>
    <n v="0"/>
    <n v="0"/>
    <n v="0"/>
    <n v="0"/>
    <n v="0"/>
    <n v="0"/>
    <m/>
    <n v="40.1"/>
    <s v="Normal"/>
  </r>
  <r>
    <s v="USR-100583"/>
    <d v="2025-03-22T00:00:00"/>
    <x v="0"/>
    <s v="West"/>
    <s v="Desktop"/>
    <x v="2"/>
    <s v="Free"/>
    <n v="0"/>
    <n v="0"/>
    <n v="0"/>
    <n v="0"/>
    <n v="0"/>
    <n v="0"/>
    <n v="0"/>
    <m/>
    <n v="61.1"/>
    <s v="Normal"/>
  </r>
  <r>
    <s v="USR-100584"/>
    <d v="2025-02-15T00:00:00"/>
    <x v="0"/>
    <s v="South"/>
    <s v="Desktop"/>
    <x v="2"/>
    <s v="Free"/>
    <n v="0"/>
    <n v="0"/>
    <n v="0"/>
    <n v="0"/>
    <n v="0"/>
    <n v="0"/>
    <n v="0"/>
    <m/>
    <n v="42.4"/>
    <s v="Normal"/>
  </r>
  <r>
    <s v="USR-100585"/>
    <d v="2025-01-08T00:00:00"/>
    <x v="0"/>
    <s v="North"/>
    <s v="Mobile"/>
    <x v="4"/>
    <s v="Free"/>
    <n v="0"/>
    <n v="0"/>
    <n v="0"/>
    <n v="0"/>
    <n v="0"/>
    <n v="1"/>
    <n v="0"/>
    <m/>
    <n v="46.6"/>
    <s v="Normal"/>
  </r>
  <r>
    <s v="USR-100586"/>
    <d v="2025-01-29T00:00:00"/>
    <x v="0"/>
    <s v="South"/>
    <s v="Mobile"/>
    <x v="1"/>
    <s v="Premium"/>
    <n v="1"/>
    <n v="1"/>
    <n v="0"/>
    <n v="0"/>
    <n v="0"/>
    <n v="0"/>
    <n v="0"/>
    <m/>
    <n v="72.099999999999994"/>
    <s v="Normal"/>
  </r>
  <r>
    <s v="USR-100587"/>
    <d v="2025-05-07T00:00:00"/>
    <x v="0"/>
    <s v="East"/>
    <s v="Tablet"/>
    <x v="1"/>
    <s v="Free"/>
    <n v="0"/>
    <n v="0"/>
    <n v="0"/>
    <n v="0"/>
    <n v="0"/>
    <n v="0"/>
    <n v="0"/>
    <m/>
    <n v="21.5"/>
    <s v="Normal"/>
  </r>
  <r>
    <s v="USR-100588"/>
    <d v="2025-03-01T00:00:00"/>
    <x v="0"/>
    <s v="North"/>
    <s v="Mobile"/>
    <x v="4"/>
    <s v="Basic"/>
    <n v="1"/>
    <n v="0"/>
    <n v="0"/>
    <n v="0"/>
    <n v="0"/>
    <n v="1"/>
    <n v="0"/>
    <m/>
    <n v="65.400000000000006"/>
    <s v="Normal"/>
  </r>
  <r>
    <s v="USR-100589"/>
    <d v="2025-04-20T00:00:00"/>
    <x v="0"/>
    <s v="East"/>
    <s v="Mobile"/>
    <x v="1"/>
    <s v="Free"/>
    <n v="1"/>
    <n v="1"/>
    <n v="0"/>
    <n v="0"/>
    <n v="0"/>
    <n v="0"/>
    <n v="0"/>
    <m/>
    <n v="53.3"/>
    <s v="Normal"/>
  </r>
  <r>
    <s v="USR-100590"/>
    <d v="2025-01-16T00:00:00"/>
    <x v="0"/>
    <s v="East"/>
    <s v="Mobile"/>
    <x v="1"/>
    <s v="Premium"/>
    <n v="0"/>
    <n v="0"/>
    <n v="0"/>
    <n v="0"/>
    <n v="0"/>
    <n v="2"/>
    <n v="0"/>
    <m/>
    <n v="52.3"/>
    <s v="Normal"/>
  </r>
  <r>
    <s v="USR-100591"/>
    <d v="2025-04-04T00:00:00"/>
    <x v="0"/>
    <s v="East"/>
    <s v="Mobile"/>
    <x v="2"/>
    <s v="Free"/>
    <n v="1"/>
    <n v="0"/>
    <n v="0"/>
    <n v="0"/>
    <n v="0"/>
    <n v="0"/>
    <n v="0"/>
    <m/>
    <n v="62.5"/>
    <s v="Normal"/>
  </r>
  <r>
    <s v="USR-100592"/>
    <d v="2025-01-29T00:00:00"/>
    <x v="0"/>
    <s v="North"/>
    <s v="Tablet"/>
    <x v="4"/>
    <s v="Free"/>
    <n v="1"/>
    <n v="0"/>
    <n v="0"/>
    <n v="0"/>
    <n v="0"/>
    <n v="0"/>
    <n v="0"/>
    <m/>
    <n v="69.8"/>
    <s v="Normal"/>
  </r>
  <r>
    <s v="USR-100593"/>
    <d v="2025-04-19T00:00:00"/>
    <x v="0"/>
    <s v="East"/>
    <s v="Mobile"/>
    <x v="0"/>
    <s v="Free"/>
    <n v="1"/>
    <n v="0"/>
    <n v="0"/>
    <n v="0"/>
    <n v="0"/>
    <n v="0"/>
    <n v="0"/>
    <m/>
    <n v="68.2"/>
    <s v="Normal"/>
  </r>
  <r>
    <s v="USR-100594"/>
    <d v="2025-03-10T00:00:00"/>
    <x v="0"/>
    <s v="South"/>
    <s v="Mobile"/>
    <x v="4"/>
    <s v="Basic"/>
    <n v="1"/>
    <n v="1"/>
    <n v="1"/>
    <n v="1"/>
    <n v="751.73"/>
    <n v="0"/>
    <n v="0"/>
    <n v="6"/>
    <n v="35.200000000000003"/>
    <s v="Normal"/>
  </r>
  <r>
    <s v="USR-100595"/>
    <d v="2025-05-10T00:00:00"/>
    <x v="0"/>
    <s v="South"/>
    <s v="Mobile"/>
    <x v="4"/>
    <s v="Basic"/>
    <n v="0"/>
    <n v="0"/>
    <n v="0"/>
    <n v="0"/>
    <n v="0"/>
    <n v="0"/>
    <n v="0"/>
    <m/>
    <n v="59.3"/>
    <s v="Normal"/>
  </r>
  <r>
    <s v="USR-100596"/>
    <d v="2025-02-02T00:00:00"/>
    <x v="0"/>
    <s v="North"/>
    <s v="Mobile"/>
    <x v="4"/>
    <s v="Free"/>
    <n v="0"/>
    <n v="0"/>
    <n v="0"/>
    <n v="0"/>
    <n v="0"/>
    <n v="0"/>
    <n v="0"/>
    <m/>
    <n v="68.099999999999994"/>
    <s v="Normal"/>
  </r>
  <r>
    <s v="USR-100597"/>
    <d v="2025-05-06T00:00:00"/>
    <x v="0"/>
    <s v="North"/>
    <s v="Desktop"/>
    <x v="1"/>
    <s v="Free"/>
    <n v="1"/>
    <n v="1"/>
    <n v="0"/>
    <n v="0"/>
    <n v="0"/>
    <n v="0"/>
    <n v="0"/>
    <m/>
    <n v="74.8"/>
    <s v="Normal"/>
  </r>
  <r>
    <s v="USR-100598"/>
    <d v="2025-01-19T00:00:00"/>
    <x v="0"/>
    <s v="West"/>
    <s v="Desktop"/>
    <x v="1"/>
    <s v="Free"/>
    <n v="1"/>
    <n v="1"/>
    <n v="1"/>
    <n v="0"/>
    <n v="0"/>
    <n v="0"/>
    <n v="0"/>
    <m/>
    <n v="61.7"/>
    <s v="Normal"/>
  </r>
  <r>
    <s v="USR-100599"/>
    <d v="2025-01-02T00:00:00"/>
    <x v="0"/>
    <s v="North"/>
    <s v="Mobile"/>
    <x v="1"/>
    <s v="Free"/>
    <n v="1"/>
    <n v="0"/>
    <n v="0"/>
    <n v="0"/>
    <n v="0"/>
    <n v="0"/>
    <n v="0"/>
    <m/>
    <n v="24.3"/>
    <s v="Normal"/>
  </r>
  <r>
    <s v="USR-100600"/>
    <d v="2025-05-03T00:00:00"/>
    <x v="0"/>
    <s v="South"/>
    <s v="Desktop"/>
    <x v="2"/>
    <s v="Free"/>
    <n v="0"/>
    <n v="0"/>
    <n v="0"/>
    <n v="0"/>
    <n v="0"/>
    <n v="1"/>
    <n v="0"/>
    <m/>
    <n v="61.9"/>
    <s v="Normal"/>
  </r>
  <r>
    <s v="USR-100601"/>
    <d v="2025-05-27T00:00:00"/>
    <x v="0"/>
    <s v="East"/>
    <s v="Desktop"/>
    <x v="3"/>
    <s v="Premium"/>
    <n v="0"/>
    <n v="0"/>
    <n v="0"/>
    <n v="0"/>
    <n v="0"/>
    <n v="2"/>
    <n v="0"/>
    <m/>
    <n v="41.7"/>
    <s v="Normal"/>
  </r>
  <r>
    <s v="USR-100602"/>
    <d v="2025-02-09T00:00:00"/>
    <x v="0"/>
    <s v="South"/>
    <s v="Desktop"/>
    <x v="4"/>
    <s v="Free"/>
    <n v="1"/>
    <n v="0"/>
    <n v="0"/>
    <n v="0"/>
    <n v="0"/>
    <n v="0"/>
    <n v="0"/>
    <m/>
    <n v="87.6"/>
    <s v="Normal"/>
  </r>
  <r>
    <s v="USR-100603"/>
    <d v="2025-05-18T00:00:00"/>
    <x v="0"/>
    <s v="East"/>
    <s v="Mobile"/>
    <x v="2"/>
    <s v="Free"/>
    <n v="1"/>
    <n v="0"/>
    <n v="0"/>
    <n v="0"/>
    <n v="0"/>
    <n v="0"/>
    <n v="0"/>
    <m/>
    <n v="30.8"/>
    <s v="Normal"/>
  </r>
  <r>
    <s v="USR-100604"/>
    <d v="2025-05-17T00:00:00"/>
    <x v="0"/>
    <s v="North"/>
    <s v="Mobile"/>
    <x v="0"/>
    <s v="Free"/>
    <n v="0"/>
    <n v="0"/>
    <n v="0"/>
    <n v="0"/>
    <n v="0"/>
    <n v="0"/>
    <n v="0"/>
    <m/>
    <n v="54"/>
    <s v="Normal"/>
  </r>
  <r>
    <s v="USR-100605"/>
    <d v="2025-01-25T00:00:00"/>
    <x v="0"/>
    <s v="East"/>
    <s v="Desktop"/>
    <x v="3"/>
    <s v="Basic"/>
    <n v="1"/>
    <n v="0"/>
    <n v="0"/>
    <n v="0"/>
    <n v="0"/>
    <n v="1"/>
    <n v="0"/>
    <m/>
    <n v="54.5"/>
    <s v="Normal"/>
  </r>
  <r>
    <s v="USR-100606"/>
    <d v="2025-05-04T00:00:00"/>
    <x v="0"/>
    <s v="West"/>
    <s v="Mobile"/>
    <x v="2"/>
    <s v="Premium"/>
    <n v="1"/>
    <n v="1"/>
    <n v="0"/>
    <n v="0"/>
    <n v="0"/>
    <n v="0"/>
    <n v="0"/>
    <m/>
    <n v="61.3"/>
    <s v="Normal"/>
  </r>
  <r>
    <s v="USR-100607"/>
    <d v="2025-04-14T00:00:00"/>
    <x v="0"/>
    <s v="West"/>
    <s v="Mobile"/>
    <x v="1"/>
    <s v="Free"/>
    <n v="1"/>
    <n v="0"/>
    <n v="0"/>
    <n v="0"/>
    <n v="0"/>
    <n v="0"/>
    <n v="0"/>
    <m/>
    <n v="62.7"/>
    <s v="Normal"/>
  </r>
  <r>
    <s v="USR-100608"/>
    <d v="2025-04-18T00:00:00"/>
    <x v="0"/>
    <s v="South"/>
    <s v="Mobile"/>
    <x v="2"/>
    <s v="Free"/>
    <n v="1"/>
    <n v="1"/>
    <n v="0"/>
    <n v="0"/>
    <n v="0"/>
    <n v="0"/>
    <n v="0"/>
    <m/>
    <n v="43.1"/>
    <s v="Normal"/>
  </r>
  <r>
    <s v="USR-100609"/>
    <d v="2025-02-24T00:00:00"/>
    <x v="0"/>
    <s v="South"/>
    <s v="Desktop"/>
    <x v="0"/>
    <s v="Basic"/>
    <n v="0"/>
    <n v="0"/>
    <n v="0"/>
    <n v="0"/>
    <n v="0"/>
    <n v="0"/>
    <n v="0"/>
    <m/>
    <n v="59.9"/>
    <s v="Normal"/>
  </r>
  <r>
    <s v="USR-100610"/>
    <d v="2025-04-19T00:00:00"/>
    <x v="0"/>
    <s v="North"/>
    <s v="Tablet"/>
    <x v="2"/>
    <s v="Free"/>
    <n v="1"/>
    <n v="1"/>
    <n v="1"/>
    <n v="0"/>
    <n v="0"/>
    <n v="0"/>
    <n v="0"/>
    <m/>
    <n v="55.7"/>
    <s v="Normal"/>
  </r>
  <r>
    <s v="USR-100611"/>
    <d v="2025-03-07T00:00:00"/>
    <x v="0"/>
    <s v="South"/>
    <s v="Desktop"/>
    <x v="1"/>
    <s v="Basic"/>
    <n v="1"/>
    <n v="0"/>
    <n v="0"/>
    <n v="0"/>
    <n v="0"/>
    <n v="0"/>
    <n v="0"/>
    <m/>
    <n v="37.1"/>
    <s v="Normal"/>
  </r>
  <r>
    <s v="USR-100612"/>
    <d v="2025-03-09T00:00:00"/>
    <x v="0"/>
    <s v="East"/>
    <s v="Mobile"/>
    <x v="1"/>
    <s v="Basic"/>
    <n v="0"/>
    <n v="0"/>
    <n v="0"/>
    <n v="0"/>
    <n v="0"/>
    <n v="1"/>
    <n v="0"/>
    <m/>
    <n v="46.7"/>
    <s v="Normal"/>
  </r>
  <r>
    <s v="USR-100613"/>
    <d v="2025-05-01T00:00:00"/>
    <x v="0"/>
    <s v="South"/>
    <s v="Desktop"/>
    <x v="1"/>
    <s v="Basic"/>
    <n v="1"/>
    <n v="0"/>
    <n v="0"/>
    <n v="0"/>
    <n v="0"/>
    <n v="0"/>
    <n v="0"/>
    <m/>
    <n v="54.1"/>
    <s v="Normal"/>
  </r>
  <r>
    <s v="USR-100614"/>
    <d v="2025-02-09T00:00:00"/>
    <x v="0"/>
    <s v="West"/>
    <s v="Desktop"/>
    <x v="1"/>
    <s v="Premium"/>
    <n v="1"/>
    <n v="1"/>
    <n v="1"/>
    <n v="0"/>
    <n v="0"/>
    <n v="0"/>
    <n v="0"/>
    <m/>
    <n v="56.1"/>
    <s v="Normal"/>
  </r>
  <r>
    <s v="USR-100615"/>
    <d v="2025-05-22T00:00:00"/>
    <x v="0"/>
    <s v="West"/>
    <s v="Mobile"/>
    <x v="3"/>
    <s v="Premium"/>
    <n v="0"/>
    <n v="0"/>
    <n v="0"/>
    <n v="0"/>
    <n v="0"/>
    <n v="0"/>
    <n v="0"/>
    <m/>
    <n v="23.6"/>
    <s v="Normal"/>
  </r>
  <r>
    <s v="USR-100616"/>
    <d v="2025-02-11T00:00:00"/>
    <x v="0"/>
    <s v="North"/>
    <s v="Mobile"/>
    <x v="1"/>
    <s v="Premium"/>
    <n v="0"/>
    <n v="0"/>
    <n v="0"/>
    <n v="0"/>
    <n v="0"/>
    <n v="0"/>
    <n v="0"/>
    <m/>
    <n v="54.7"/>
    <s v="Normal"/>
  </r>
  <r>
    <s v="USR-100617"/>
    <d v="2025-04-12T00:00:00"/>
    <x v="0"/>
    <s v="North"/>
    <s v="Mobile"/>
    <x v="3"/>
    <s v="Basic"/>
    <n v="0"/>
    <n v="0"/>
    <n v="0"/>
    <n v="0"/>
    <n v="0"/>
    <n v="2"/>
    <n v="0"/>
    <m/>
    <n v="50.4"/>
    <s v="Normal"/>
  </r>
  <r>
    <s v="USR-100618"/>
    <d v="2025-03-01T00:00:00"/>
    <x v="0"/>
    <s v="West"/>
    <s v="Mobile"/>
    <x v="4"/>
    <s v="Free"/>
    <n v="1"/>
    <n v="0"/>
    <n v="0"/>
    <n v="0"/>
    <n v="0"/>
    <n v="0"/>
    <n v="0"/>
    <m/>
    <n v="54.5"/>
    <s v="Normal"/>
  </r>
  <r>
    <s v="USR-100619"/>
    <d v="2025-03-17T00:00:00"/>
    <x v="0"/>
    <s v="West"/>
    <s v="Desktop"/>
    <x v="0"/>
    <s v="Basic"/>
    <n v="0"/>
    <n v="0"/>
    <n v="0"/>
    <n v="0"/>
    <n v="0"/>
    <n v="0"/>
    <n v="0"/>
    <m/>
    <n v="58"/>
    <s v="Normal"/>
  </r>
  <r>
    <s v="USR-100620"/>
    <d v="2025-01-11T00:00:00"/>
    <x v="0"/>
    <s v="North"/>
    <s v="Mobile"/>
    <x v="2"/>
    <s v="Free"/>
    <n v="0"/>
    <n v="0"/>
    <n v="0"/>
    <n v="0"/>
    <n v="0"/>
    <n v="0"/>
    <n v="0"/>
    <m/>
    <n v="42.9"/>
    <s v="Normal"/>
  </r>
  <r>
    <s v="USR-100621"/>
    <d v="2025-02-17T00:00:00"/>
    <x v="0"/>
    <s v="South"/>
    <s v="Mobile"/>
    <x v="4"/>
    <s v="Premium"/>
    <n v="1"/>
    <n v="0"/>
    <n v="0"/>
    <n v="0"/>
    <n v="0"/>
    <n v="0"/>
    <n v="0"/>
    <m/>
    <n v="51.1"/>
    <s v="Normal"/>
  </r>
  <r>
    <s v="USR-100622"/>
    <d v="2025-03-25T00:00:00"/>
    <x v="0"/>
    <s v="East"/>
    <s v="Mobile"/>
    <x v="2"/>
    <s v="Basic"/>
    <n v="1"/>
    <n v="1"/>
    <n v="0"/>
    <n v="0"/>
    <n v="0"/>
    <n v="0"/>
    <n v="0"/>
    <m/>
    <n v="51.8"/>
    <s v="Normal"/>
  </r>
  <r>
    <s v="USR-100623"/>
    <d v="2025-05-01T00:00:00"/>
    <x v="0"/>
    <s v="South"/>
    <s v="Mobile"/>
    <x v="2"/>
    <s v="Free"/>
    <n v="0"/>
    <n v="0"/>
    <n v="0"/>
    <n v="0"/>
    <n v="0"/>
    <n v="0"/>
    <n v="0"/>
    <m/>
    <n v="67.7"/>
    <s v="Normal"/>
  </r>
  <r>
    <s v="USR-100624"/>
    <d v="2025-04-02T00:00:00"/>
    <x v="0"/>
    <s v="East"/>
    <s v="Mobile"/>
    <x v="1"/>
    <s v="Basic"/>
    <n v="0"/>
    <n v="0"/>
    <n v="0"/>
    <n v="0"/>
    <n v="0"/>
    <n v="0"/>
    <n v="0"/>
    <m/>
    <n v="75.8"/>
    <s v="Normal"/>
  </r>
  <r>
    <s v="USR-100625"/>
    <d v="2025-04-05T00:00:00"/>
    <x v="0"/>
    <s v="East"/>
    <s v="Mobile"/>
    <x v="0"/>
    <s v="Free"/>
    <n v="1"/>
    <n v="1"/>
    <n v="0"/>
    <n v="0"/>
    <n v="0"/>
    <n v="0"/>
    <n v="0"/>
    <m/>
    <n v="72.8"/>
    <s v="Normal"/>
  </r>
  <r>
    <s v="USR-100626"/>
    <d v="2025-02-24T00:00:00"/>
    <x v="0"/>
    <s v="North"/>
    <s v="Desktop"/>
    <x v="4"/>
    <s v="Free"/>
    <n v="1"/>
    <n v="1"/>
    <n v="0"/>
    <n v="0"/>
    <n v="0"/>
    <n v="0"/>
    <n v="0"/>
    <m/>
    <n v="54.4"/>
    <s v="Normal"/>
  </r>
  <r>
    <s v="USR-100627"/>
    <d v="2025-01-24T00:00:00"/>
    <x v="0"/>
    <s v="West"/>
    <s v="Mobile"/>
    <x v="2"/>
    <s v="Basic"/>
    <n v="1"/>
    <n v="0"/>
    <n v="0"/>
    <n v="0"/>
    <n v="0"/>
    <n v="0"/>
    <n v="0"/>
    <m/>
    <n v="51.8"/>
    <s v="Normal"/>
  </r>
  <r>
    <s v="USR-100628"/>
    <d v="2025-04-10T00:00:00"/>
    <x v="0"/>
    <s v="South"/>
    <s v="Mobile"/>
    <x v="2"/>
    <s v="Free"/>
    <n v="0"/>
    <n v="0"/>
    <n v="0"/>
    <n v="0"/>
    <n v="0"/>
    <n v="0"/>
    <n v="0"/>
    <m/>
    <n v="40.299999999999997"/>
    <s v="Normal"/>
  </r>
  <r>
    <s v="USR-100629"/>
    <d v="2025-02-19T00:00:00"/>
    <x v="0"/>
    <s v="South"/>
    <s v="Mobile"/>
    <x v="3"/>
    <s v="Free"/>
    <n v="1"/>
    <n v="1"/>
    <n v="1"/>
    <n v="0"/>
    <n v="0"/>
    <n v="0"/>
    <n v="0"/>
    <m/>
    <n v="61.7"/>
    <s v="Normal"/>
  </r>
  <r>
    <s v="USR-100630"/>
    <d v="2025-03-22T00:00:00"/>
    <x v="0"/>
    <s v="North"/>
    <s v="Mobile"/>
    <x v="4"/>
    <s v="Free"/>
    <n v="0"/>
    <n v="0"/>
    <n v="0"/>
    <n v="0"/>
    <n v="0"/>
    <n v="0"/>
    <n v="0"/>
    <m/>
    <n v="45"/>
    <s v="Normal"/>
  </r>
  <r>
    <s v="USR-100631"/>
    <d v="2025-04-08T00:00:00"/>
    <x v="0"/>
    <s v="East"/>
    <s v="Desktop"/>
    <x v="1"/>
    <s v="Premium"/>
    <n v="1"/>
    <n v="1"/>
    <n v="1"/>
    <n v="0"/>
    <n v="0"/>
    <n v="0"/>
    <n v="0"/>
    <m/>
    <n v="60"/>
    <s v="Normal"/>
  </r>
  <r>
    <s v="USR-100632"/>
    <d v="2025-03-16T00:00:00"/>
    <x v="0"/>
    <s v="North"/>
    <s v="Mobile"/>
    <x v="4"/>
    <s v="Free"/>
    <n v="1"/>
    <n v="0"/>
    <n v="0"/>
    <n v="0"/>
    <n v="0"/>
    <n v="0"/>
    <n v="0"/>
    <m/>
    <m/>
    <s v="Normal"/>
  </r>
  <r>
    <s v="USR-100633"/>
    <d v="2025-03-07T00:00:00"/>
    <x v="0"/>
    <s v="East"/>
    <s v="Mobile"/>
    <x v="2"/>
    <s v="Free"/>
    <n v="1"/>
    <n v="0"/>
    <n v="0"/>
    <n v="0"/>
    <n v="0"/>
    <n v="0"/>
    <n v="0"/>
    <m/>
    <n v="55.5"/>
    <s v="Normal"/>
  </r>
  <r>
    <s v="USR-100634"/>
    <d v="2025-03-16T00:00:00"/>
    <x v="0"/>
    <s v="South"/>
    <s v="Mobile"/>
    <x v="3"/>
    <s v="Basic"/>
    <n v="0"/>
    <n v="0"/>
    <n v="0"/>
    <n v="0"/>
    <n v="0"/>
    <n v="0"/>
    <n v="0"/>
    <m/>
    <n v="51.8"/>
    <s v="Normal"/>
  </r>
  <r>
    <s v="USR-100635"/>
    <d v="2025-05-26T00:00:00"/>
    <x v="0"/>
    <s v="East"/>
    <s v="Mobile"/>
    <x v="5"/>
    <s v="Premium"/>
    <n v="1"/>
    <n v="0"/>
    <n v="0"/>
    <n v="0"/>
    <n v="0"/>
    <n v="3"/>
    <n v="0"/>
    <m/>
    <n v="56"/>
    <s v="Normal"/>
  </r>
  <r>
    <s v="USR-100636"/>
    <d v="2025-01-14T00:00:00"/>
    <x v="0"/>
    <s v="West"/>
    <s v="Mobile"/>
    <x v="1"/>
    <s v="Free"/>
    <n v="0"/>
    <n v="0"/>
    <n v="0"/>
    <n v="0"/>
    <n v="0"/>
    <n v="0"/>
    <n v="0"/>
    <m/>
    <n v="52.5"/>
    <s v="Normal"/>
  </r>
  <r>
    <s v="USR-100637"/>
    <d v="2025-03-30T00:00:00"/>
    <x v="0"/>
    <s v="West"/>
    <s v="Mobile"/>
    <x v="2"/>
    <s v="Premium"/>
    <n v="1"/>
    <n v="0"/>
    <n v="0"/>
    <n v="0"/>
    <n v="0"/>
    <n v="0"/>
    <n v="0"/>
    <m/>
    <n v="42.5"/>
    <s v="Normal"/>
  </r>
  <r>
    <s v="USR-100638"/>
    <d v="2025-05-12T00:00:00"/>
    <x v="0"/>
    <s v="East"/>
    <s v="Desktop"/>
    <x v="0"/>
    <s v="Free"/>
    <n v="1"/>
    <n v="1"/>
    <n v="1"/>
    <n v="0"/>
    <n v="0"/>
    <n v="0"/>
    <n v="0"/>
    <m/>
    <n v="65.3"/>
    <s v="Normal"/>
  </r>
  <r>
    <s v="USR-100639"/>
    <d v="2025-05-10T00:00:00"/>
    <x v="0"/>
    <s v="West"/>
    <s v="Mobile"/>
    <x v="2"/>
    <s v="Free"/>
    <n v="0"/>
    <n v="0"/>
    <n v="0"/>
    <n v="0"/>
    <n v="0"/>
    <n v="0"/>
    <n v="0"/>
    <m/>
    <n v="37.6"/>
    <s v="Normal"/>
  </r>
  <r>
    <s v="USR-100640"/>
    <d v="2025-04-09T00:00:00"/>
    <x v="0"/>
    <s v="East"/>
    <s v="Mobile"/>
    <x v="4"/>
    <s v="Basic"/>
    <n v="0"/>
    <n v="0"/>
    <n v="0"/>
    <n v="0"/>
    <n v="0"/>
    <n v="0"/>
    <n v="0"/>
    <m/>
    <n v="57.8"/>
    <s v="Normal"/>
  </r>
  <r>
    <s v="USR-100641"/>
    <d v="2025-05-26T00:00:00"/>
    <x v="0"/>
    <s v="North"/>
    <s v="Mobile"/>
    <x v="4"/>
    <s v="Free"/>
    <n v="1"/>
    <n v="0"/>
    <n v="0"/>
    <n v="0"/>
    <n v="0"/>
    <n v="0"/>
    <n v="0"/>
    <m/>
    <n v="52.7"/>
    <s v="Normal"/>
  </r>
  <r>
    <s v="USR-100642"/>
    <d v="2025-02-12T00:00:00"/>
    <x v="0"/>
    <s v="North"/>
    <s v="Mobile"/>
    <x v="1"/>
    <s v="Free"/>
    <n v="1"/>
    <n v="0"/>
    <n v="0"/>
    <n v="0"/>
    <n v="0"/>
    <n v="0"/>
    <n v="0"/>
    <m/>
    <n v="51.7"/>
    <s v="Normal"/>
  </r>
  <r>
    <s v="USR-100643"/>
    <d v="2025-04-01T00:00:00"/>
    <x v="0"/>
    <s v="North"/>
    <s v="Desktop"/>
    <x v="0"/>
    <s v="Basic"/>
    <n v="0"/>
    <n v="0"/>
    <n v="0"/>
    <n v="0"/>
    <n v="0"/>
    <n v="0"/>
    <n v="0"/>
    <m/>
    <n v="57"/>
    <s v="Normal"/>
  </r>
  <r>
    <s v="USR-100644"/>
    <d v="2025-01-18T00:00:00"/>
    <x v="0"/>
    <s v="South"/>
    <s v="Desktop"/>
    <x v="1"/>
    <s v="Basic"/>
    <n v="0"/>
    <n v="0"/>
    <n v="0"/>
    <n v="0"/>
    <n v="0"/>
    <n v="0"/>
    <n v="0"/>
    <m/>
    <n v="39.5"/>
    <s v="Normal"/>
  </r>
  <r>
    <s v="USR-100645"/>
    <d v="2025-04-06T00:00:00"/>
    <x v="0"/>
    <s v="East"/>
    <s v="Tablet"/>
    <x v="1"/>
    <s v="Free"/>
    <n v="1"/>
    <n v="0"/>
    <n v="0"/>
    <n v="0"/>
    <n v="0"/>
    <n v="0"/>
    <n v="0"/>
    <m/>
    <n v="76.5"/>
    <s v="Normal"/>
  </r>
  <r>
    <s v="USR-100646"/>
    <d v="2025-04-17T00:00:00"/>
    <x v="0"/>
    <s v="East"/>
    <s v="Mobile"/>
    <x v="1"/>
    <s v="Free"/>
    <n v="1"/>
    <n v="0"/>
    <n v="0"/>
    <n v="0"/>
    <n v="0"/>
    <n v="0"/>
    <n v="0"/>
    <m/>
    <n v="32.4"/>
    <s v="Normal"/>
  </r>
  <r>
    <s v="USR-100647"/>
    <d v="2025-02-07T00:00:00"/>
    <x v="0"/>
    <s v="North"/>
    <s v="Desktop"/>
    <x v="2"/>
    <s v="Free"/>
    <n v="0"/>
    <n v="0"/>
    <n v="0"/>
    <n v="0"/>
    <n v="0"/>
    <n v="0"/>
    <n v="0"/>
    <m/>
    <n v="58.6"/>
    <s v="Normal"/>
  </r>
  <r>
    <s v="USR-100648"/>
    <d v="2025-03-04T00:00:00"/>
    <x v="0"/>
    <s v="East"/>
    <s v="Mobile"/>
    <x v="1"/>
    <s v="Basic"/>
    <n v="1"/>
    <n v="0"/>
    <n v="0"/>
    <n v="0"/>
    <n v="0"/>
    <n v="0"/>
    <n v="0"/>
    <m/>
    <n v="78.599999999999994"/>
    <s v="Normal"/>
  </r>
  <r>
    <s v="USR-100649"/>
    <d v="2025-02-17T00:00:00"/>
    <x v="0"/>
    <s v="North"/>
    <s v="Desktop"/>
    <x v="1"/>
    <s v="Premium"/>
    <n v="0"/>
    <n v="0"/>
    <n v="0"/>
    <n v="0"/>
    <n v="0"/>
    <n v="0"/>
    <n v="0"/>
    <m/>
    <n v="54.5"/>
    <s v="Normal"/>
  </r>
  <r>
    <s v="USR-100650"/>
    <d v="2025-05-06T00:00:00"/>
    <x v="0"/>
    <s v="South"/>
    <s v="Mobile"/>
    <x v="3"/>
    <s v="Free"/>
    <n v="1"/>
    <n v="0"/>
    <n v="0"/>
    <n v="0"/>
    <n v="0"/>
    <n v="0"/>
    <n v="0"/>
    <m/>
    <n v="57.6"/>
    <s v="Normal"/>
  </r>
  <r>
    <s v="USR-100651"/>
    <d v="2025-03-25T00:00:00"/>
    <x v="0"/>
    <s v="South"/>
    <s v="Mobile"/>
    <x v="3"/>
    <s v="Premium"/>
    <n v="0"/>
    <n v="0"/>
    <n v="0"/>
    <n v="0"/>
    <n v="0"/>
    <n v="0"/>
    <n v="0"/>
    <m/>
    <n v="52.8"/>
    <s v="Normal"/>
  </r>
  <r>
    <s v="USR-100652"/>
    <d v="2025-03-04T00:00:00"/>
    <x v="0"/>
    <s v="West"/>
    <s v="Mobile"/>
    <x v="0"/>
    <s v="Premium"/>
    <n v="1"/>
    <n v="0"/>
    <n v="0"/>
    <n v="0"/>
    <n v="0"/>
    <n v="0"/>
    <n v="0"/>
    <m/>
    <n v="52.9"/>
    <s v="Normal"/>
  </r>
  <r>
    <s v="USR-100653"/>
    <d v="2025-05-09T00:00:00"/>
    <x v="0"/>
    <s v="West"/>
    <s v="Mobile"/>
    <x v="1"/>
    <s v="Free"/>
    <n v="1"/>
    <n v="0"/>
    <n v="0"/>
    <n v="0"/>
    <n v="0"/>
    <n v="1"/>
    <n v="0"/>
    <m/>
    <n v="55.9"/>
    <s v="Normal"/>
  </r>
  <r>
    <s v="USR-100654"/>
    <d v="2025-05-17T00:00:00"/>
    <x v="0"/>
    <s v="West"/>
    <s v="Mobile"/>
    <x v="3"/>
    <s v="Premium"/>
    <n v="1"/>
    <n v="0"/>
    <n v="0"/>
    <n v="0"/>
    <n v="0"/>
    <n v="0"/>
    <n v="0"/>
    <m/>
    <n v="74.2"/>
    <s v="Normal"/>
  </r>
  <r>
    <s v="USR-100655"/>
    <d v="2025-01-12T00:00:00"/>
    <x v="0"/>
    <s v="West"/>
    <s v="Mobile"/>
    <x v="1"/>
    <s v="Free"/>
    <n v="0"/>
    <n v="0"/>
    <n v="0"/>
    <n v="0"/>
    <n v="0"/>
    <n v="0"/>
    <n v="0"/>
    <m/>
    <n v="46.3"/>
    <s v="Normal"/>
  </r>
  <r>
    <s v="USR-100656"/>
    <d v="2025-03-12T00:00:00"/>
    <x v="0"/>
    <s v="West"/>
    <s v="Mobile"/>
    <x v="1"/>
    <s v="Premium"/>
    <n v="1"/>
    <n v="0"/>
    <n v="0"/>
    <n v="0"/>
    <n v="0"/>
    <n v="0"/>
    <n v="0"/>
    <m/>
    <n v="62"/>
    <s v="Normal"/>
  </r>
  <r>
    <s v="USR-100657"/>
    <d v="2025-04-02T00:00:00"/>
    <x v="0"/>
    <s v="South"/>
    <s v="Mobile"/>
    <x v="1"/>
    <s v="Basic"/>
    <n v="0"/>
    <n v="0"/>
    <n v="0"/>
    <n v="0"/>
    <n v="0"/>
    <n v="0"/>
    <n v="0"/>
    <m/>
    <n v="55.6"/>
    <s v="Normal"/>
  </r>
  <r>
    <s v="USR-100658"/>
    <d v="2025-01-13T00:00:00"/>
    <x v="0"/>
    <s v="South"/>
    <s v="Mobile"/>
    <x v="1"/>
    <s v="Basic"/>
    <n v="1"/>
    <n v="0"/>
    <n v="0"/>
    <n v="0"/>
    <n v="0"/>
    <n v="0"/>
    <n v="0"/>
    <m/>
    <n v="62.8"/>
    <s v="Normal"/>
  </r>
  <r>
    <s v="USR-100659"/>
    <d v="2025-03-07T00:00:00"/>
    <x v="0"/>
    <s v="East"/>
    <s v="Mobile"/>
    <x v="3"/>
    <s v="Free"/>
    <n v="0"/>
    <n v="0"/>
    <n v="0"/>
    <n v="0"/>
    <n v="0"/>
    <n v="0"/>
    <n v="0"/>
    <m/>
    <n v="73.099999999999994"/>
    <s v="Normal"/>
  </r>
  <r>
    <s v="USR-100660"/>
    <d v="2025-04-20T00:00:00"/>
    <x v="0"/>
    <s v="South"/>
    <s v="Desktop"/>
    <x v="4"/>
    <s v="Free"/>
    <n v="1"/>
    <n v="1"/>
    <n v="1"/>
    <n v="1"/>
    <n v="347.52"/>
    <n v="0"/>
    <n v="0"/>
    <n v="2"/>
    <n v="57.2"/>
    <s v="Normal"/>
  </r>
  <r>
    <s v="USR-100661"/>
    <d v="2025-01-07T00:00:00"/>
    <x v="0"/>
    <s v="South"/>
    <s v="Mobile"/>
    <x v="2"/>
    <s v="Free"/>
    <n v="1"/>
    <n v="0"/>
    <n v="0"/>
    <n v="0"/>
    <n v="0"/>
    <n v="0"/>
    <n v="0"/>
    <m/>
    <n v="67.900000000000006"/>
    <s v="Normal"/>
  </r>
  <r>
    <s v="USR-100662"/>
    <d v="2025-04-23T00:00:00"/>
    <x v="0"/>
    <s v="South"/>
    <s v="Mobile"/>
    <x v="3"/>
    <s v="Free"/>
    <n v="0"/>
    <n v="0"/>
    <n v="0"/>
    <n v="0"/>
    <n v="0"/>
    <n v="0"/>
    <n v="0"/>
    <m/>
    <n v="50.1"/>
    <s v="Normal"/>
  </r>
  <r>
    <s v="USR-100663"/>
    <d v="2025-05-26T00:00:00"/>
    <x v="0"/>
    <s v="North"/>
    <s v="Mobile"/>
    <x v="2"/>
    <s v="Basic"/>
    <n v="0"/>
    <n v="0"/>
    <n v="0"/>
    <n v="0"/>
    <n v="0"/>
    <n v="0"/>
    <n v="0"/>
    <m/>
    <n v="67.8"/>
    <s v="Normal"/>
  </r>
  <r>
    <s v="USR-100664"/>
    <d v="2025-03-17T00:00:00"/>
    <x v="0"/>
    <s v="North"/>
    <s v="Desktop"/>
    <x v="4"/>
    <s v="Basic"/>
    <n v="1"/>
    <n v="1"/>
    <n v="1"/>
    <n v="0"/>
    <n v="0"/>
    <n v="0"/>
    <n v="0"/>
    <m/>
    <n v="60.8"/>
    <s v="Normal"/>
  </r>
  <r>
    <s v="USR-100665"/>
    <d v="2025-05-17T00:00:00"/>
    <x v="0"/>
    <s v="North"/>
    <s v="Desktop"/>
    <x v="2"/>
    <s v="Basic"/>
    <n v="1"/>
    <n v="0"/>
    <n v="0"/>
    <n v="0"/>
    <n v="0"/>
    <n v="3"/>
    <n v="0"/>
    <m/>
    <n v="33.700000000000003"/>
    <s v="Normal"/>
  </r>
  <r>
    <s v="USR-100666"/>
    <d v="2025-02-21T00:00:00"/>
    <x v="0"/>
    <s v="North"/>
    <s v="Mobile"/>
    <x v="2"/>
    <s v="Basic"/>
    <n v="0"/>
    <n v="0"/>
    <n v="0"/>
    <n v="0"/>
    <n v="0"/>
    <n v="0"/>
    <n v="0"/>
    <m/>
    <n v="45.2"/>
    <s v="Normal"/>
  </r>
  <r>
    <s v="USR-100667"/>
    <d v="2025-02-25T00:00:00"/>
    <x v="0"/>
    <s v="East"/>
    <s v="Desktop"/>
    <x v="2"/>
    <s v="Premium"/>
    <n v="0"/>
    <n v="0"/>
    <n v="0"/>
    <n v="0"/>
    <n v="0"/>
    <n v="0"/>
    <n v="0"/>
    <m/>
    <n v="48.2"/>
    <s v="Normal"/>
  </r>
  <r>
    <s v="USR-100668"/>
    <d v="2025-01-30T00:00:00"/>
    <x v="0"/>
    <s v="South"/>
    <s v="Mobile"/>
    <x v="4"/>
    <s v="Free"/>
    <n v="1"/>
    <n v="1"/>
    <n v="0"/>
    <n v="0"/>
    <n v="0"/>
    <n v="1"/>
    <n v="0"/>
    <m/>
    <n v="44.8"/>
    <s v="Normal"/>
  </r>
  <r>
    <s v="USR-100669"/>
    <d v="2025-02-17T00:00:00"/>
    <x v="0"/>
    <s v="North"/>
    <s v="Tablet"/>
    <x v="4"/>
    <s v="Basic"/>
    <n v="0"/>
    <n v="0"/>
    <n v="0"/>
    <n v="0"/>
    <n v="0"/>
    <n v="0"/>
    <n v="0"/>
    <m/>
    <n v="52.1"/>
    <s v="Normal"/>
  </r>
  <r>
    <s v="USR-100670"/>
    <d v="2025-05-17T00:00:00"/>
    <x v="0"/>
    <s v="North"/>
    <s v="Desktop"/>
    <x v="2"/>
    <s v="Basic"/>
    <n v="1"/>
    <n v="0"/>
    <n v="0"/>
    <n v="0"/>
    <n v="0"/>
    <n v="0"/>
    <n v="0"/>
    <m/>
    <n v="30.7"/>
    <s v="Normal"/>
  </r>
  <r>
    <s v="USR-100671"/>
    <d v="2025-04-30T00:00:00"/>
    <x v="0"/>
    <s v="East"/>
    <s v="Desktop"/>
    <x v="2"/>
    <s v="Free"/>
    <n v="1"/>
    <n v="0"/>
    <n v="0"/>
    <n v="0"/>
    <n v="0"/>
    <n v="0"/>
    <n v="0"/>
    <m/>
    <n v="58.4"/>
    <s v="Normal"/>
  </r>
  <r>
    <s v="USR-100672"/>
    <d v="2025-03-22T00:00:00"/>
    <x v="0"/>
    <s v="West"/>
    <s v="Mobile"/>
    <x v="3"/>
    <s v="Free"/>
    <n v="1"/>
    <n v="1"/>
    <n v="0"/>
    <n v="0"/>
    <n v="0"/>
    <n v="0"/>
    <n v="0"/>
    <m/>
    <n v="52.6"/>
    <s v="Normal"/>
  </r>
  <r>
    <s v="USR-100673"/>
    <d v="2025-01-10T00:00:00"/>
    <x v="0"/>
    <s v="West"/>
    <s v="Unknown"/>
    <x v="2"/>
    <s v="Free"/>
    <n v="1"/>
    <n v="0"/>
    <n v="0"/>
    <n v="0"/>
    <n v="0"/>
    <n v="1"/>
    <n v="0"/>
    <m/>
    <n v="19.100000000000001"/>
    <s v="Normal"/>
  </r>
  <r>
    <s v="USR-100674"/>
    <d v="2025-03-21T00:00:00"/>
    <x v="0"/>
    <s v="South"/>
    <s v="Unknown"/>
    <x v="2"/>
    <s v="Free"/>
    <n v="1"/>
    <n v="0"/>
    <n v="0"/>
    <n v="0"/>
    <n v="0"/>
    <n v="0"/>
    <n v="0"/>
    <m/>
    <n v="36.799999999999997"/>
    <s v="Normal"/>
  </r>
  <r>
    <s v="USR-100675"/>
    <d v="2025-05-12T00:00:00"/>
    <x v="0"/>
    <s v="North"/>
    <s v="Desktop"/>
    <x v="2"/>
    <s v="Basic"/>
    <n v="0"/>
    <n v="0"/>
    <n v="0"/>
    <n v="0"/>
    <n v="0"/>
    <n v="0"/>
    <n v="0"/>
    <m/>
    <n v="68.5"/>
    <s v="Normal"/>
  </r>
  <r>
    <s v="USR-100676"/>
    <d v="2025-05-24T00:00:00"/>
    <x v="0"/>
    <s v="West"/>
    <s v="Mobile"/>
    <x v="2"/>
    <s v="Free"/>
    <n v="1"/>
    <n v="1"/>
    <n v="1"/>
    <n v="0"/>
    <n v="0"/>
    <n v="0"/>
    <n v="0"/>
    <m/>
    <n v="40.1"/>
    <s v="Normal"/>
  </r>
  <r>
    <s v="USR-100677"/>
    <d v="2025-05-03T00:00:00"/>
    <x v="0"/>
    <s v="West"/>
    <s v="Tablet"/>
    <x v="1"/>
    <s v="Free"/>
    <n v="1"/>
    <n v="0"/>
    <n v="0"/>
    <n v="0"/>
    <n v="0"/>
    <n v="0"/>
    <n v="0"/>
    <m/>
    <n v="47.5"/>
    <s v="Normal"/>
  </r>
  <r>
    <s v="USR-100678"/>
    <d v="2025-01-14T00:00:00"/>
    <x v="0"/>
    <s v="South"/>
    <s v="Mobile"/>
    <x v="1"/>
    <s v="Basic"/>
    <n v="1"/>
    <n v="0"/>
    <n v="0"/>
    <n v="0"/>
    <n v="0"/>
    <n v="0"/>
    <n v="0"/>
    <m/>
    <n v="77.099999999999994"/>
    <s v="Normal"/>
  </r>
  <r>
    <s v="USR-100679"/>
    <d v="2025-03-27T00:00:00"/>
    <x v="0"/>
    <s v="West"/>
    <s v="Mobile"/>
    <x v="4"/>
    <s v="Basic"/>
    <n v="1"/>
    <n v="0"/>
    <n v="0"/>
    <n v="0"/>
    <n v="0"/>
    <n v="0"/>
    <n v="0"/>
    <m/>
    <n v="75.900000000000006"/>
    <s v="Normal"/>
  </r>
  <r>
    <s v="USR-100680"/>
    <d v="2025-02-28T00:00:00"/>
    <x v="0"/>
    <s v="North"/>
    <s v="Desktop"/>
    <x v="3"/>
    <s v="Premium"/>
    <n v="0"/>
    <n v="0"/>
    <n v="0"/>
    <n v="0"/>
    <n v="0"/>
    <n v="1"/>
    <n v="0"/>
    <m/>
    <n v="52"/>
    <s v="Normal"/>
  </r>
  <r>
    <s v="USR-100681"/>
    <d v="2025-05-12T00:00:00"/>
    <x v="0"/>
    <s v="West"/>
    <s v="Desktop"/>
    <x v="3"/>
    <s v="Premium"/>
    <n v="1"/>
    <n v="1"/>
    <n v="1"/>
    <n v="0"/>
    <n v="0"/>
    <n v="0"/>
    <n v="0"/>
    <m/>
    <n v="64.900000000000006"/>
    <s v="Normal"/>
  </r>
  <r>
    <s v="USR-100682"/>
    <d v="2025-03-14T00:00:00"/>
    <x v="0"/>
    <s v="North"/>
    <s v="Mobile"/>
    <x v="1"/>
    <s v="Free"/>
    <n v="1"/>
    <n v="0"/>
    <n v="0"/>
    <n v="0"/>
    <n v="0"/>
    <n v="0"/>
    <n v="0"/>
    <m/>
    <n v="48.2"/>
    <s v="Normal"/>
  </r>
  <r>
    <s v="USR-100683"/>
    <d v="2025-05-20T00:00:00"/>
    <x v="0"/>
    <s v="East"/>
    <s v="Mobile"/>
    <x v="1"/>
    <s v="Basic"/>
    <n v="0"/>
    <n v="0"/>
    <n v="0"/>
    <n v="0"/>
    <n v="0"/>
    <n v="0"/>
    <n v="0"/>
    <m/>
    <n v="42.1"/>
    <s v="Normal"/>
  </r>
  <r>
    <s v="USR-100684"/>
    <d v="2025-02-24T00:00:00"/>
    <x v="0"/>
    <s v="South"/>
    <s v="Desktop"/>
    <x v="3"/>
    <s v="Free"/>
    <n v="0"/>
    <n v="0"/>
    <n v="0"/>
    <n v="0"/>
    <n v="0"/>
    <n v="0"/>
    <n v="0"/>
    <m/>
    <n v="27.6"/>
    <s v="Normal"/>
  </r>
  <r>
    <s v="USR-100685"/>
    <d v="2025-02-13T00:00:00"/>
    <x v="0"/>
    <s v="West"/>
    <s v="Mobile"/>
    <x v="1"/>
    <s v="Premium"/>
    <n v="1"/>
    <n v="0"/>
    <n v="0"/>
    <n v="0"/>
    <n v="0"/>
    <n v="1"/>
    <n v="0"/>
    <m/>
    <n v="68.5"/>
    <s v="Normal"/>
  </r>
  <r>
    <s v="USR-100686"/>
    <d v="2025-02-06T00:00:00"/>
    <x v="0"/>
    <s v="South"/>
    <s v="Desktop"/>
    <x v="1"/>
    <s v="Free"/>
    <n v="1"/>
    <n v="1"/>
    <n v="1"/>
    <n v="0"/>
    <n v="0"/>
    <n v="0"/>
    <n v="0"/>
    <m/>
    <n v="59.2"/>
    <s v="Normal"/>
  </r>
  <r>
    <s v="USR-100687"/>
    <d v="2025-03-02T00:00:00"/>
    <x v="0"/>
    <s v="North"/>
    <s v="Mobile"/>
    <x v="4"/>
    <s v="Basic"/>
    <n v="1"/>
    <n v="0"/>
    <n v="0"/>
    <n v="0"/>
    <n v="0"/>
    <n v="0"/>
    <n v="0"/>
    <m/>
    <n v="63.3"/>
    <s v="Normal"/>
  </r>
  <r>
    <s v="USR-100688"/>
    <d v="2025-04-28T00:00:00"/>
    <x v="0"/>
    <s v="East"/>
    <s v="Desktop"/>
    <x v="2"/>
    <s v="Free"/>
    <n v="0"/>
    <n v="0"/>
    <n v="0"/>
    <n v="0"/>
    <n v="0"/>
    <n v="0"/>
    <n v="0"/>
    <m/>
    <n v="55"/>
    <s v="Normal"/>
  </r>
  <r>
    <s v="USR-100689"/>
    <d v="2025-05-27T00:00:00"/>
    <x v="0"/>
    <s v="North"/>
    <s v="Desktop"/>
    <x v="5"/>
    <s v="Premium"/>
    <n v="1"/>
    <n v="0"/>
    <n v="0"/>
    <n v="0"/>
    <n v="0"/>
    <n v="0"/>
    <n v="0"/>
    <m/>
    <n v="64.8"/>
    <s v="Normal"/>
  </r>
  <r>
    <s v="USR-100690"/>
    <d v="2025-04-07T00:00:00"/>
    <x v="0"/>
    <s v="South"/>
    <s v="Desktop"/>
    <x v="1"/>
    <s v="Basic"/>
    <n v="0"/>
    <n v="0"/>
    <n v="0"/>
    <n v="0"/>
    <n v="0"/>
    <n v="2"/>
    <n v="0"/>
    <m/>
    <n v="41.8"/>
    <s v="Normal"/>
  </r>
  <r>
    <s v="USR-100691"/>
    <d v="2025-04-14T00:00:00"/>
    <x v="1"/>
    <s v="East"/>
    <s v="Desktop"/>
    <x v="4"/>
    <s v="Basic"/>
    <n v="1"/>
    <n v="0"/>
    <n v="0"/>
    <n v="0"/>
    <n v="0"/>
    <n v="0"/>
    <n v="0"/>
    <m/>
    <n v="73.2"/>
    <s v="Normal"/>
  </r>
  <r>
    <s v="USR-100692"/>
    <d v="2025-05-09T00:00:00"/>
    <x v="1"/>
    <s v="East"/>
    <s v="Desktop"/>
    <x v="1"/>
    <s v="Basic"/>
    <n v="1"/>
    <n v="1"/>
    <n v="1"/>
    <n v="0"/>
    <n v="0"/>
    <n v="3"/>
    <n v="0"/>
    <m/>
    <n v="55.7"/>
    <s v="Normal"/>
  </r>
  <r>
    <s v="USR-100693"/>
    <d v="2025-03-21T00:00:00"/>
    <x v="1"/>
    <s v="North"/>
    <s v="Mobile"/>
    <x v="1"/>
    <s v="Free"/>
    <n v="1"/>
    <n v="1"/>
    <n v="1"/>
    <n v="0"/>
    <n v="0"/>
    <n v="0"/>
    <n v="0"/>
    <m/>
    <n v="82.8"/>
    <s v="Normal"/>
  </r>
  <r>
    <s v="USR-100694"/>
    <d v="2025-03-27T00:00:00"/>
    <x v="1"/>
    <s v="North"/>
    <s v="Desktop"/>
    <x v="4"/>
    <s v="Free"/>
    <n v="1"/>
    <n v="0"/>
    <n v="0"/>
    <n v="0"/>
    <n v="0"/>
    <n v="0"/>
    <n v="0"/>
    <m/>
    <m/>
    <s v="Normal"/>
  </r>
  <r>
    <s v="USR-100695"/>
    <d v="2025-01-21T00:00:00"/>
    <x v="1"/>
    <s v="South"/>
    <s v="Mobile"/>
    <x v="2"/>
    <s v="Free"/>
    <n v="0"/>
    <n v="0"/>
    <n v="0"/>
    <n v="0"/>
    <n v="0"/>
    <n v="0"/>
    <n v="0"/>
    <m/>
    <n v="34.4"/>
    <s v="Normal"/>
  </r>
  <r>
    <s v="USR-100696"/>
    <d v="2025-03-19T00:00:00"/>
    <x v="1"/>
    <s v="East"/>
    <s v="Desktop"/>
    <x v="0"/>
    <s v="Free"/>
    <n v="1"/>
    <n v="0"/>
    <n v="0"/>
    <n v="0"/>
    <n v="0"/>
    <n v="0"/>
    <n v="0"/>
    <m/>
    <n v="45.2"/>
    <s v="Normal"/>
  </r>
  <r>
    <s v="USR-100697"/>
    <d v="2025-05-27T00:00:00"/>
    <x v="1"/>
    <s v="North"/>
    <s v="Mobile"/>
    <x v="1"/>
    <s v="Basic"/>
    <n v="1"/>
    <n v="0"/>
    <n v="0"/>
    <n v="0"/>
    <n v="0"/>
    <n v="0"/>
    <n v="0"/>
    <m/>
    <n v="71.599999999999994"/>
    <s v="Normal"/>
  </r>
  <r>
    <s v="USR-100698"/>
    <d v="2025-01-01T00:00:00"/>
    <x v="1"/>
    <s v="North"/>
    <s v="Mobile"/>
    <x v="4"/>
    <s v="Free"/>
    <n v="1"/>
    <n v="1"/>
    <n v="1"/>
    <n v="0"/>
    <n v="0"/>
    <n v="0"/>
    <n v="0"/>
    <m/>
    <n v="69.099999999999994"/>
    <s v="Normal"/>
  </r>
  <r>
    <s v="USR-100699"/>
    <d v="2025-03-29T00:00:00"/>
    <x v="1"/>
    <s v="West"/>
    <s v="Desktop"/>
    <x v="2"/>
    <s v="Premium"/>
    <n v="1"/>
    <n v="0"/>
    <n v="0"/>
    <n v="0"/>
    <n v="0"/>
    <n v="1"/>
    <n v="0"/>
    <m/>
    <n v="37.700000000000003"/>
    <s v="Normal"/>
  </r>
  <r>
    <s v="USR-100700"/>
    <d v="2025-03-17T00:00:00"/>
    <x v="1"/>
    <s v="West"/>
    <s v="Desktop"/>
    <x v="1"/>
    <s v="Basic"/>
    <n v="1"/>
    <n v="0"/>
    <n v="0"/>
    <n v="0"/>
    <n v="0"/>
    <n v="1"/>
    <n v="0"/>
    <m/>
    <n v="60.8"/>
    <s v="Normal"/>
  </r>
  <r>
    <s v="USR-100701"/>
    <d v="2025-05-05T00:00:00"/>
    <x v="1"/>
    <s v="North"/>
    <s v="Mobile"/>
    <x v="1"/>
    <s v="Free"/>
    <n v="1"/>
    <n v="1"/>
    <n v="1"/>
    <n v="1"/>
    <n v="444.13"/>
    <n v="0"/>
    <n v="0"/>
    <n v="10"/>
    <n v="80.7"/>
    <s v="Normal"/>
  </r>
  <r>
    <s v="USR-100702"/>
    <d v="2025-05-04T00:00:00"/>
    <x v="1"/>
    <s v="South"/>
    <s v="Mobile"/>
    <x v="4"/>
    <s v="Free"/>
    <n v="1"/>
    <n v="0"/>
    <n v="0"/>
    <n v="0"/>
    <n v="0"/>
    <n v="0"/>
    <n v="0"/>
    <m/>
    <n v="69.2"/>
    <s v="Normal"/>
  </r>
  <r>
    <s v="USR-100703"/>
    <d v="2025-03-25T00:00:00"/>
    <x v="1"/>
    <s v="North"/>
    <s v="Mobile"/>
    <x v="4"/>
    <s v="Premium"/>
    <n v="0"/>
    <n v="0"/>
    <n v="0"/>
    <n v="0"/>
    <n v="0"/>
    <n v="3"/>
    <n v="0"/>
    <m/>
    <n v="55"/>
    <s v="Normal"/>
  </r>
  <r>
    <s v="USR-100704"/>
    <d v="2025-04-17T00:00:00"/>
    <x v="1"/>
    <s v="West"/>
    <s v="Mobile"/>
    <x v="0"/>
    <s v="Free"/>
    <n v="0"/>
    <n v="0"/>
    <n v="0"/>
    <n v="0"/>
    <n v="0"/>
    <n v="1"/>
    <n v="0"/>
    <m/>
    <n v="73.599999999999994"/>
    <s v="Normal"/>
  </r>
  <r>
    <s v="USR-100705"/>
    <d v="2025-05-23T00:00:00"/>
    <x v="1"/>
    <s v="South"/>
    <s v="Mobile"/>
    <x v="3"/>
    <s v="Basic"/>
    <n v="1"/>
    <n v="1"/>
    <n v="1"/>
    <n v="0"/>
    <n v="0"/>
    <n v="1"/>
    <n v="0"/>
    <m/>
    <n v="47.3"/>
    <s v="Normal"/>
  </r>
  <r>
    <s v="USR-100706"/>
    <d v="2025-01-13T00:00:00"/>
    <x v="1"/>
    <s v="North"/>
    <s v="Mobile"/>
    <x v="1"/>
    <s v="Basic"/>
    <n v="0"/>
    <n v="0"/>
    <n v="0"/>
    <n v="0"/>
    <n v="0"/>
    <n v="0"/>
    <n v="0"/>
    <m/>
    <n v="43.6"/>
    <s v="Normal"/>
  </r>
  <r>
    <s v="USR-100707"/>
    <d v="2025-01-29T00:00:00"/>
    <x v="1"/>
    <s v="North"/>
    <s v="Desktop"/>
    <x v="1"/>
    <s v="Basic"/>
    <n v="1"/>
    <n v="0"/>
    <n v="0"/>
    <n v="0"/>
    <n v="0"/>
    <n v="0"/>
    <n v="0"/>
    <m/>
    <m/>
    <s v="Normal"/>
  </r>
  <r>
    <s v="USR-100708"/>
    <d v="2025-05-11T00:00:00"/>
    <x v="1"/>
    <s v="South"/>
    <s v="Mobile"/>
    <x v="0"/>
    <s v="Free"/>
    <n v="0"/>
    <n v="0"/>
    <n v="0"/>
    <n v="0"/>
    <n v="0"/>
    <n v="0"/>
    <n v="0"/>
    <m/>
    <n v="55.2"/>
    <s v="Normal"/>
  </r>
  <r>
    <s v="USR-100709"/>
    <d v="2025-04-22T00:00:00"/>
    <x v="1"/>
    <s v="South"/>
    <s v="Mobile"/>
    <x v="1"/>
    <s v="Basic"/>
    <n v="1"/>
    <n v="0"/>
    <n v="0"/>
    <n v="0"/>
    <n v="0"/>
    <n v="0"/>
    <n v="0"/>
    <m/>
    <n v="49.4"/>
    <s v="Normal"/>
  </r>
  <r>
    <s v="USR-100710"/>
    <d v="2025-03-03T00:00:00"/>
    <x v="1"/>
    <s v="South"/>
    <s v="Mobile"/>
    <x v="4"/>
    <s v="Free"/>
    <n v="1"/>
    <n v="1"/>
    <n v="1"/>
    <n v="0"/>
    <n v="0"/>
    <n v="1"/>
    <n v="0"/>
    <m/>
    <n v="60.1"/>
    <s v="Normal"/>
  </r>
  <r>
    <s v="USR-100711"/>
    <d v="2025-03-18T00:00:00"/>
    <x v="1"/>
    <s v="North"/>
    <s v="Mobile"/>
    <x v="3"/>
    <s v="Free"/>
    <n v="1"/>
    <n v="0"/>
    <n v="0"/>
    <n v="0"/>
    <n v="0"/>
    <n v="0"/>
    <n v="0"/>
    <m/>
    <n v="55.9"/>
    <s v="Normal"/>
  </r>
  <r>
    <s v="USR-100712"/>
    <d v="2025-04-05T00:00:00"/>
    <x v="1"/>
    <s v="North"/>
    <s v="Mobile"/>
    <x v="1"/>
    <s v="Basic"/>
    <n v="1"/>
    <n v="0"/>
    <n v="0"/>
    <n v="0"/>
    <n v="0"/>
    <n v="0"/>
    <n v="0"/>
    <m/>
    <n v="51.5"/>
    <s v="Normal"/>
  </r>
  <r>
    <s v="USR-100713"/>
    <d v="2025-04-16T00:00:00"/>
    <x v="1"/>
    <s v="East"/>
    <s v="Mobile"/>
    <x v="1"/>
    <s v="Free"/>
    <n v="1"/>
    <n v="1"/>
    <n v="1"/>
    <n v="1"/>
    <n v="516.66999999999996"/>
    <n v="0"/>
    <n v="0"/>
    <n v="11"/>
    <n v="57.9"/>
    <s v="Normal"/>
  </r>
  <r>
    <s v="USR-100714"/>
    <d v="2025-04-20T00:00:00"/>
    <x v="1"/>
    <s v="South"/>
    <s v="Mobile"/>
    <x v="3"/>
    <s v="Free"/>
    <n v="1"/>
    <n v="1"/>
    <n v="1"/>
    <n v="1"/>
    <n v="277.18"/>
    <n v="2"/>
    <n v="0"/>
    <n v="8"/>
    <n v="59.2"/>
    <s v="Normal"/>
  </r>
  <r>
    <s v="USR-100715"/>
    <d v="2025-02-15T00:00:00"/>
    <x v="1"/>
    <s v="South"/>
    <s v="Mobile"/>
    <x v="1"/>
    <s v="Free"/>
    <n v="0"/>
    <n v="0"/>
    <n v="0"/>
    <n v="0"/>
    <n v="0"/>
    <n v="0"/>
    <n v="0"/>
    <m/>
    <n v="64.2"/>
    <s v="Normal"/>
  </r>
  <r>
    <s v="USR-100716"/>
    <d v="2025-01-21T00:00:00"/>
    <x v="1"/>
    <s v="South"/>
    <s v="Mobile"/>
    <x v="1"/>
    <s v="Free"/>
    <n v="1"/>
    <n v="0"/>
    <n v="0"/>
    <n v="0"/>
    <n v="0"/>
    <n v="0"/>
    <n v="0"/>
    <m/>
    <n v="68.8"/>
    <s v="Normal"/>
  </r>
  <r>
    <s v="USR-100717"/>
    <d v="2025-05-23T00:00:00"/>
    <x v="1"/>
    <s v="North"/>
    <s v="Mobile"/>
    <x v="2"/>
    <s v="Premium"/>
    <n v="1"/>
    <n v="1"/>
    <n v="1"/>
    <n v="0"/>
    <n v="0"/>
    <n v="0"/>
    <n v="0"/>
    <m/>
    <n v="77.900000000000006"/>
    <s v="Normal"/>
  </r>
  <r>
    <s v="USR-100718"/>
    <d v="2025-01-22T00:00:00"/>
    <x v="1"/>
    <s v="West"/>
    <s v="Mobile"/>
    <x v="2"/>
    <s v="Basic"/>
    <n v="0"/>
    <n v="0"/>
    <n v="0"/>
    <n v="0"/>
    <n v="0"/>
    <n v="0"/>
    <n v="0"/>
    <m/>
    <n v="92.1"/>
    <s v="Normal"/>
  </r>
  <r>
    <s v="USR-100719"/>
    <d v="2025-04-24T00:00:00"/>
    <x v="1"/>
    <s v="West"/>
    <s v="Mobile"/>
    <x v="2"/>
    <s v="Premium"/>
    <n v="0"/>
    <n v="0"/>
    <n v="0"/>
    <n v="0"/>
    <n v="0"/>
    <n v="0"/>
    <n v="0"/>
    <m/>
    <n v="63.6"/>
    <s v="Normal"/>
  </r>
  <r>
    <s v="USR-100720"/>
    <d v="2025-01-17T00:00:00"/>
    <x v="1"/>
    <s v="West"/>
    <s v="Desktop"/>
    <x v="0"/>
    <s v="Free"/>
    <n v="0"/>
    <n v="0"/>
    <n v="0"/>
    <n v="0"/>
    <n v="0"/>
    <n v="2"/>
    <n v="0"/>
    <m/>
    <n v="61.6"/>
    <s v="Normal"/>
  </r>
  <r>
    <s v="USR-100721"/>
    <d v="2025-01-22T00:00:00"/>
    <x v="1"/>
    <s v="East"/>
    <s v="Mobile"/>
    <x v="3"/>
    <s v="Basic"/>
    <n v="1"/>
    <n v="1"/>
    <n v="0"/>
    <n v="0"/>
    <n v="0"/>
    <n v="0"/>
    <n v="0"/>
    <m/>
    <n v="82.3"/>
    <s v="Normal"/>
  </r>
  <r>
    <s v="USR-100722"/>
    <d v="2025-05-04T00:00:00"/>
    <x v="1"/>
    <s v="East"/>
    <s v="Desktop"/>
    <x v="2"/>
    <s v="Free"/>
    <n v="1"/>
    <n v="0"/>
    <n v="0"/>
    <n v="0"/>
    <n v="0"/>
    <n v="0"/>
    <n v="0"/>
    <m/>
    <n v="79.3"/>
    <s v="Normal"/>
  </r>
  <r>
    <s v="USR-100723"/>
    <d v="2025-03-13T00:00:00"/>
    <x v="1"/>
    <s v="South"/>
    <s v="Mobile"/>
    <x v="5"/>
    <s v="Free"/>
    <n v="0"/>
    <n v="0"/>
    <n v="0"/>
    <n v="0"/>
    <n v="0"/>
    <n v="0"/>
    <n v="0"/>
    <m/>
    <n v="57.7"/>
    <s v="Normal"/>
  </r>
  <r>
    <s v="USR-100724"/>
    <d v="2025-01-02T00:00:00"/>
    <x v="1"/>
    <s v="North"/>
    <s v="Mobile"/>
    <x v="1"/>
    <s v="Basic"/>
    <n v="1"/>
    <n v="0"/>
    <n v="0"/>
    <n v="0"/>
    <n v="0"/>
    <n v="0"/>
    <n v="0"/>
    <m/>
    <n v="63.1"/>
    <s v="Normal"/>
  </r>
  <r>
    <s v="USR-100725"/>
    <d v="2025-01-13T00:00:00"/>
    <x v="1"/>
    <s v="East"/>
    <s v="Mobile"/>
    <x v="2"/>
    <s v="Basic"/>
    <n v="0"/>
    <n v="0"/>
    <n v="0"/>
    <n v="0"/>
    <n v="0"/>
    <n v="0"/>
    <n v="0"/>
    <m/>
    <n v="72.3"/>
    <s v="Normal"/>
  </r>
  <r>
    <s v="USR-100726"/>
    <d v="2025-02-09T00:00:00"/>
    <x v="1"/>
    <s v="East"/>
    <s v="Mobile"/>
    <x v="4"/>
    <s v="Free"/>
    <n v="1"/>
    <n v="1"/>
    <n v="1"/>
    <n v="0"/>
    <n v="0"/>
    <n v="0"/>
    <n v="0"/>
    <m/>
    <n v="78"/>
    <s v="Normal"/>
  </r>
  <r>
    <s v="USR-100727"/>
    <d v="2025-04-09T00:00:00"/>
    <x v="1"/>
    <s v="East"/>
    <s v="Desktop"/>
    <x v="4"/>
    <s v="Free"/>
    <n v="1"/>
    <n v="1"/>
    <n v="0"/>
    <n v="0"/>
    <n v="0"/>
    <n v="2"/>
    <n v="0"/>
    <m/>
    <n v="59.1"/>
    <s v="Normal"/>
  </r>
  <r>
    <s v="USR-100728"/>
    <d v="2025-01-02T00:00:00"/>
    <x v="1"/>
    <s v="South"/>
    <s v="Mobile"/>
    <x v="2"/>
    <s v="Free"/>
    <n v="1"/>
    <n v="1"/>
    <n v="1"/>
    <n v="1"/>
    <n v="604.09"/>
    <n v="0"/>
    <n v="0"/>
    <n v="7"/>
    <n v="47.1"/>
    <s v="Normal"/>
  </r>
  <r>
    <s v="USR-100729"/>
    <d v="2025-02-04T00:00:00"/>
    <x v="1"/>
    <s v="South"/>
    <s v="Mobile"/>
    <x v="5"/>
    <s v="Premium"/>
    <n v="1"/>
    <n v="0"/>
    <n v="0"/>
    <n v="0"/>
    <n v="0"/>
    <n v="0"/>
    <n v="0"/>
    <m/>
    <n v="64.900000000000006"/>
    <s v="Normal"/>
  </r>
  <r>
    <s v="USR-100730"/>
    <d v="2025-02-19T00:00:00"/>
    <x v="1"/>
    <s v="South"/>
    <s v="Tablet"/>
    <x v="2"/>
    <s v="Free"/>
    <n v="0"/>
    <n v="0"/>
    <n v="0"/>
    <n v="0"/>
    <n v="0"/>
    <n v="0"/>
    <n v="0"/>
    <m/>
    <n v="67.3"/>
    <s v="Normal"/>
  </r>
  <r>
    <s v="USR-100731"/>
    <d v="2025-04-01T00:00:00"/>
    <x v="1"/>
    <s v="East"/>
    <s v="Mobile"/>
    <x v="2"/>
    <s v="Basic"/>
    <n v="1"/>
    <n v="0"/>
    <n v="0"/>
    <n v="0"/>
    <n v="0"/>
    <n v="2"/>
    <n v="0"/>
    <m/>
    <n v="52.9"/>
    <s v="Normal"/>
  </r>
  <r>
    <s v="USR-100732"/>
    <d v="2025-01-29T00:00:00"/>
    <x v="1"/>
    <s v="North"/>
    <s v="Mobile"/>
    <x v="3"/>
    <s v="Free"/>
    <n v="1"/>
    <n v="1"/>
    <n v="1"/>
    <n v="1"/>
    <n v="442.37"/>
    <n v="1"/>
    <n v="0"/>
    <n v="4"/>
    <n v="69.900000000000006"/>
    <s v="Normal"/>
  </r>
  <r>
    <s v="USR-100733"/>
    <d v="2025-05-18T00:00:00"/>
    <x v="1"/>
    <s v="North"/>
    <s v="Mobile"/>
    <x v="3"/>
    <s v="Basic"/>
    <n v="1"/>
    <n v="1"/>
    <n v="1"/>
    <n v="0"/>
    <n v="0"/>
    <n v="0"/>
    <n v="0"/>
    <m/>
    <n v="78.900000000000006"/>
    <s v="Normal"/>
  </r>
  <r>
    <s v="USR-100734"/>
    <d v="2025-04-15T00:00:00"/>
    <x v="1"/>
    <s v="East"/>
    <s v="Desktop"/>
    <x v="4"/>
    <s v="Premium"/>
    <n v="1"/>
    <n v="1"/>
    <n v="0"/>
    <n v="0"/>
    <n v="0"/>
    <n v="0"/>
    <n v="0"/>
    <m/>
    <n v="83.3"/>
    <s v="Normal"/>
  </r>
  <r>
    <s v="USR-100735"/>
    <d v="2025-03-28T00:00:00"/>
    <x v="1"/>
    <s v="East"/>
    <s v="Desktop"/>
    <x v="0"/>
    <s v="Free"/>
    <n v="1"/>
    <n v="0"/>
    <n v="0"/>
    <n v="0"/>
    <n v="0"/>
    <n v="1"/>
    <n v="0"/>
    <m/>
    <n v="24.5"/>
    <s v="Normal"/>
  </r>
  <r>
    <s v="USR-100736"/>
    <d v="2025-04-01T00:00:00"/>
    <x v="1"/>
    <s v="West"/>
    <s v="Mobile"/>
    <x v="2"/>
    <s v="Basic"/>
    <n v="1"/>
    <n v="1"/>
    <n v="0"/>
    <n v="0"/>
    <n v="0"/>
    <n v="1"/>
    <n v="0"/>
    <m/>
    <n v="56.9"/>
    <s v="Normal"/>
  </r>
  <r>
    <s v="USR-100737"/>
    <d v="2025-02-11T00:00:00"/>
    <x v="1"/>
    <s v="West"/>
    <s v="Mobile"/>
    <x v="4"/>
    <s v="Basic"/>
    <n v="1"/>
    <n v="0"/>
    <n v="0"/>
    <n v="0"/>
    <n v="0"/>
    <n v="0"/>
    <n v="0"/>
    <m/>
    <n v="69.900000000000006"/>
    <s v="Normal"/>
  </r>
  <r>
    <s v="USR-100738"/>
    <d v="2025-03-04T00:00:00"/>
    <x v="1"/>
    <s v="South"/>
    <s v="Mobile"/>
    <x v="1"/>
    <s v="Free"/>
    <n v="1"/>
    <n v="1"/>
    <n v="1"/>
    <n v="0"/>
    <n v="0"/>
    <n v="0"/>
    <n v="0"/>
    <m/>
    <n v="81.5"/>
    <s v="Normal"/>
  </r>
  <r>
    <s v="USR-100739"/>
    <d v="2025-01-21T00:00:00"/>
    <x v="1"/>
    <s v="North"/>
    <s v="Tablet"/>
    <x v="4"/>
    <s v="Basic"/>
    <n v="0"/>
    <n v="0"/>
    <n v="0"/>
    <n v="0"/>
    <n v="0"/>
    <n v="2"/>
    <n v="0"/>
    <m/>
    <n v="37.9"/>
    <s v="Normal"/>
  </r>
  <r>
    <s v="USR-100740"/>
    <d v="2025-02-14T00:00:00"/>
    <x v="1"/>
    <s v="North"/>
    <s v="Mobile"/>
    <x v="3"/>
    <s v="Free"/>
    <n v="0"/>
    <n v="0"/>
    <n v="0"/>
    <n v="0"/>
    <n v="0"/>
    <n v="1"/>
    <n v="0"/>
    <m/>
    <n v="61.7"/>
    <s v="Normal"/>
  </r>
  <r>
    <s v="USR-100741"/>
    <d v="2025-03-30T00:00:00"/>
    <x v="1"/>
    <s v="North"/>
    <s v="Desktop"/>
    <x v="5"/>
    <s v="Premium"/>
    <n v="1"/>
    <n v="0"/>
    <n v="0"/>
    <n v="0"/>
    <n v="0"/>
    <n v="2"/>
    <n v="0"/>
    <m/>
    <n v="53.2"/>
    <s v="Normal"/>
  </r>
  <r>
    <s v="USR-100742"/>
    <d v="2025-01-08T00:00:00"/>
    <x v="1"/>
    <s v="North"/>
    <s v="Mobile"/>
    <x v="3"/>
    <s v="Free"/>
    <n v="0"/>
    <n v="0"/>
    <n v="0"/>
    <n v="0"/>
    <n v="0"/>
    <n v="0"/>
    <n v="0"/>
    <m/>
    <n v="61.9"/>
    <s v="Normal"/>
  </r>
  <r>
    <s v="USR-100743"/>
    <d v="2025-02-07T00:00:00"/>
    <x v="1"/>
    <s v="North"/>
    <s v="Mobile"/>
    <x v="4"/>
    <s v="Free"/>
    <n v="1"/>
    <n v="1"/>
    <n v="1"/>
    <n v="0"/>
    <n v="0"/>
    <n v="0"/>
    <n v="0"/>
    <m/>
    <n v="68.900000000000006"/>
    <s v="Normal"/>
  </r>
  <r>
    <s v="USR-100744"/>
    <d v="2025-02-01T00:00:00"/>
    <x v="1"/>
    <s v="North"/>
    <s v="Tablet"/>
    <x v="2"/>
    <s v="Basic"/>
    <n v="0"/>
    <n v="0"/>
    <n v="0"/>
    <n v="0"/>
    <n v="0"/>
    <n v="0"/>
    <n v="0"/>
    <m/>
    <n v="66.3"/>
    <s v="Normal"/>
  </r>
  <r>
    <s v="USR-100745"/>
    <d v="2025-01-04T00:00:00"/>
    <x v="1"/>
    <s v="East"/>
    <s v="Mobile"/>
    <x v="0"/>
    <s v="Free"/>
    <n v="1"/>
    <n v="1"/>
    <n v="1"/>
    <n v="0"/>
    <n v="0"/>
    <n v="0"/>
    <n v="0"/>
    <m/>
    <n v="54.6"/>
    <s v="Normal"/>
  </r>
  <r>
    <s v="USR-100746"/>
    <d v="2025-05-16T00:00:00"/>
    <x v="1"/>
    <s v="South"/>
    <s v="Desktop"/>
    <x v="3"/>
    <s v="Free"/>
    <n v="0"/>
    <n v="0"/>
    <n v="0"/>
    <n v="0"/>
    <n v="0"/>
    <n v="0"/>
    <n v="0"/>
    <m/>
    <n v="53.8"/>
    <s v="Normal"/>
  </r>
  <r>
    <s v="USR-100747"/>
    <d v="2025-02-28T00:00:00"/>
    <x v="1"/>
    <s v="West"/>
    <s v="Mobile"/>
    <x v="3"/>
    <s v="Free"/>
    <n v="1"/>
    <n v="0"/>
    <n v="0"/>
    <n v="0"/>
    <n v="0"/>
    <n v="0"/>
    <n v="0"/>
    <m/>
    <n v="59.5"/>
    <s v="Normal"/>
  </r>
  <r>
    <s v="USR-100748"/>
    <d v="2025-04-12T00:00:00"/>
    <x v="1"/>
    <s v="North"/>
    <s v="Mobile"/>
    <x v="3"/>
    <s v="Free"/>
    <n v="1"/>
    <n v="0"/>
    <n v="0"/>
    <n v="0"/>
    <n v="0"/>
    <n v="0"/>
    <n v="0"/>
    <m/>
    <n v="52.6"/>
    <s v="Normal"/>
  </r>
  <r>
    <s v="USR-100749"/>
    <d v="2025-03-23T00:00:00"/>
    <x v="1"/>
    <s v="South"/>
    <s v="Desktop"/>
    <x v="1"/>
    <s v="Free"/>
    <n v="0"/>
    <n v="0"/>
    <n v="0"/>
    <n v="0"/>
    <n v="0"/>
    <n v="0"/>
    <n v="0"/>
    <m/>
    <n v="49"/>
    <s v="Normal"/>
  </r>
  <r>
    <s v="USR-100750"/>
    <d v="2025-05-29T00:00:00"/>
    <x v="1"/>
    <s v="North"/>
    <s v="Tablet"/>
    <x v="1"/>
    <s v="Free"/>
    <n v="1"/>
    <n v="0"/>
    <n v="0"/>
    <n v="0"/>
    <n v="0"/>
    <n v="0"/>
    <n v="0"/>
    <m/>
    <n v="59.3"/>
    <s v="Normal"/>
  </r>
  <r>
    <s v="USR-100751"/>
    <d v="2025-05-21T00:00:00"/>
    <x v="1"/>
    <s v="South"/>
    <s v="Desktop"/>
    <x v="1"/>
    <s v="Basic"/>
    <n v="0"/>
    <n v="0"/>
    <n v="0"/>
    <n v="0"/>
    <n v="0"/>
    <n v="0"/>
    <n v="0"/>
    <m/>
    <n v="67.2"/>
    <s v="Normal"/>
  </r>
  <r>
    <s v="USR-100752"/>
    <d v="2025-01-05T00:00:00"/>
    <x v="1"/>
    <s v="South"/>
    <s v="Mobile"/>
    <x v="3"/>
    <s v="Premium"/>
    <n v="0"/>
    <n v="0"/>
    <n v="0"/>
    <n v="0"/>
    <n v="0"/>
    <n v="0"/>
    <n v="0"/>
    <m/>
    <n v="73.5"/>
    <s v="Normal"/>
  </r>
  <r>
    <s v="USR-100753"/>
    <d v="2025-03-19T00:00:00"/>
    <x v="1"/>
    <s v="East"/>
    <s v="Tablet"/>
    <x v="1"/>
    <s v="Free"/>
    <n v="1"/>
    <n v="0"/>
    <n v="0"/>
    <n v="0"/>
    <n v="0"/>
    <n v="0"/>
    <n v="0"/>
    <m/>
    <n v="61.2"/>
    <s v="Normal"/>
  </r>
  <r>
    <s v="USR-100754"/>
    <d v="2025-04-24T00:00:00"/>
    <x v="1"/>
    <s v="East"/>
    <s v="Mobile"/>
    <x v="1"/>
    <s v="Free"/>
    <n v="1"/>
    <n v="0"/>
    <n v="0"/>
    <n v="0"/>
    <n v="0"/>
    <n v="1"/>
    <n v="0"/>
    <m/>
    <n v="56.4"/>
    <s v="Normal"/>
  </r>
  <r>
    <s v="USR-100755"/>
    <d v="2025-03-10T00:00:00"/>
    <x v="1"/>
    <s v="North"/>
    <s v="Tablet"/>
    <x v="1"/>
    <s v="Free"/>
    <n v="0"/>
    <n v="0"/>
    <n v="0"/>
    <n v="0"/>
    <n v="0"/>
    <n v="3"/>
    <n v="0"/>
    <m/>
    <n v="72.599999999999994"/>
    <s v="Normal"/>
  </r>
  <r>
    <s v="USR-100756"/>
    <d v="2025-02-22T00:00:00"/>
    <x v="1"/>
    <s v="South"/>
    <s v="Tablet"/>
    <x v="3"/>
    <s v="Basic"/>
    <n v="1"/>
    <n v="0"/>
    <n v="0"/>
    <n v="0"/>
    <n v="0"/>
    <n v="0"/>
    <n v="0"/>
    <m/>
    <n v="61.7"/>
    <s v="Normal"/>
  </r>
  <r>
    <s v="USR-100757"/>
    <d v="2025-05-17T00:00:00"/>
    <x v="1"/>
    <s v="East"/>
    <s v="Mobile"/>
    <x v="4"/>
    <s v="Free"/>
    <n v="0"/>
    <n v="0"/>
    <n v="0"/>
    <n v="0"/>
    <n v="0"/>
    <n v="1"/>
    <n v="0"/>
    <m/>
    <n v="66.900000000000006"/>
    <s v="Normal"/>
  </r>
  <r>
    <s v="USR-100758"/>
    <d v="2025-05-09T00:00:00"/>
    <x v="1"/>
    <s v="East"/>
    <s v="Tablet"/>
    <x v="3"/>
    <s v="Premium"/>
    <n v="1"/>
    <n v="1"/>
    <n v="1"/>
    <n v="1"/>
    <n v="1506.24"/>
    <n v="1"/>
    <n v="0"/>
    <n v="7"/>
    <n v="64.900000000000006"/>
    <s v="Normal"/>
  </r>
  <r>
    <s v="USR-100759"/>
    <d v="2025-04-26T00:00:00"/>
    <x v="1"/>
    <s v="East"/>
    <s v="Tablet"/>
    <x v="1"/>
    <s v="Premium"/>
    <n v="1"/>
    <n v="0"/>
    <n v="0"/>
    <n v="0"/>
    <n v="0"/>
    <n v="0"/>
    <n v="0"/>
    <m/>
    <n v="57.5"/>
    <s v="Normal"/>
  </r>
  <r>
    <s v="USR-100760"/>
    <d v="2025-03-15T00:00:00"/>
    <x v="1"/>
    <s v="West"/>
    <s v="Desktop"/>
    <x v="4"/>
    <s v="Free"/>
    <n v="1"/>
    <n v="1"/>
    <n v="1"/>
    <n v="0"/>
    <n v="0"/>
    <n v="0"/>
    <n v="0"/>
    <m/>
    <n v="76.3"/>
    <s v="Normal"/>
  </r>
  <r>
    <s v="USR-100761"/>
    <d v="2025-04-03T00:00:00"/>
    <x v="1"/>
    <s v="North"/>
    <s v="Mobile"/>
    <x v="2"/>
    <s v="Free"/>
    <n v="0"/>
    <n v="0"/>
    <n v="0"/>
    <n v="0"/>
    <n v="0"/>
    <n v="0"/>
    <n v="0"/>
    <m/>
    <n v="47.5"/>
    <s v="Normal"/>
  </r>
  <r>
    <s v="USR-100762"/>
    <d v="2025-03-26T00:00:00"/>
    <x v="1"/>
    <s v="South"/>
    <s v="Mobile"/>
    <x v="2"/>
    <s v="Free"/>
    <n v="0"/>
    <n v="0"/>
    <n v="0"/>
    <n v="0"/>
    <n v="0"/>
    <n v="0"/>
    <n v="0"/>
    <m/>
    <m/>
    <s v="Normal"/>
  </r>
  <r>
    <s v="USR-100763"/>
    <d v="2025-02-05T00:00:00"/>
    <x v="1"/>
    <s v="West"/>
    <s v="Desktop"/>
    <x v="1"/>
    <s v="Basic"/>
    <n v="1"/>
    <n v="1"/>
    <n v="0"/>
    <n v="0"/>
    <n v="0"/>
    <n v="2"/>
    <n v="0"/>
    <m/>
    <n v="71.599999999999994"/>
    <s v="Normal"/>
  </r>
  <r>
    <s v="USR-100764"/>
    <d v="2025-05-08T00:00:00"/>
    <x v="1"/>
    <s v="South"/>
    <s v="Mobile"/>
    <x v="4"/>
    <s v="Basic"/>
    <n v="1"/>
    <n v="1"/>
    <n v="0"/>
    <n v="0"/>
    <n v="0"/>
    <n v="0"/>
    <n v="0"/>
    <m/>
    <n v="55.8"/>
    <s v="Normal"/>
  </r>
  <r>
    <s v="USR-100765"/>
    <d v="2025-03-25T00:00:00"/>
    <x v="1"/>
    <s v="South"/>
    <s v="Desktop"/>
    <x v="1"/>
    <s v="Basic"/>
    <n v="0"/>
    <n v="0"/>
    <n v="0"/>
    <n v="0"/>
    <n v="0"/>
    <n v="1"/>
    <n v="0"/>
    <m/>
    <n v="60.1"/>
    <s v="Normal"/>
  </r>
  <r>
    <s v="USR-100766"/>
    <d v="2025-01-14T00:00:00"/>
    <x v="1"/>
    <s v="West"/>
    <s v="Unknown"/>
    <x v="0"/>
    <s v="Basic"/>
    <n v="1"/>
    <n v="1"/>
    <n v="1"/>
    <n v="0"/>
    <n v="0"/>
    <n v="1"/>
    <n v="0"/>
    <m/>
    <n v="59.3"/>
    <s v="Normal"/>
  </r>
  <r>
    <s v="USR-100767"/>
    <d v="2025-03-26T00:00:00"/>
    <x v="1"/>
    <s v="North"/>
    <s v="Mobile"/>
    <x v="1"/>
    <s v="Free"/>
    <n v="1"/>
    <n v="1"/>
    <n v="0"/>
    <n v="0"/>
    <n v="0"/>
    <n v="2"/>
    <n v="0"/>
    <m/>
    <n v="49.3"/>
    <s v="Normal"/>
  </r>
  <r>
    <s v="USR-100768"/>
    <d v="2025-01-16T00:00:00"/>
    <x v="1"/>
    <s v="East"/>
    <s v="Mobile"/>
    <x v="3"/>
    <s v="Free"/>
    <n v="1"/>
    <n v="0"/>
    <n v="0"/>
    <n v="0"/>
    <n v="0"/>
    <n v="0"/>
    <n v="0"/>
    <m/>
    <n v="75"/>
    <s v="Normal"/>
  </r>
  <r>
    <s v="USR-100769"/>
    <d v="2025-01-04T00:00:00"/>
    <x v="1"/>
    <s v="East"/>
    <s v="Mobile"/>
    <x v="4"/>
    <s v="Free"/>
    <n v="1"/>
    <n v="0"/>
    <n v="0"/>
    <n v="0"/>
    <n v="0"/>
    <n v="0"/>
    <n v="0"/>
    <m/>
    <n v="70.2"/>
    <s v="Normal"/>
  </r>
  <r>
    <s v="USR-100770"/>
    <d v="2025-02-09T00:00:00"/>
    <x v="1"/>
    <s v="South"/>
    <s v="Desktop"/>
    <x v="1"/>
    <s v="Premium"/>
    <n v="1"/>
    <n v="1"/>
    <n v="1"/>
    <n v="0"/>
    <n v="0"/>
    <n v="0"/>
    <n v="0"/>
    <m/>
    <n v="56.6"/>
    <s v="Normal"/>
  </r>
  <r>
    <s v="USR-100771"/>
    <d v="2025-03-05T00:00:00"/>
    <x v="1"/>
    <s v="East"/>
    <s v="Desktop"/>
    <x v="1"/>
    <s v="Free"/>
    <n v="1"/>
    <n v="0"/>
    <n v="0"/>
    <n v="0"/>
    <n v="0"/>
    <n v="0"/>
    <n v="0"/>
    <m/>
    <n v="65.400000000000006"/>
    <s v="Normal"/>
  </r>
  <r>
    <s v="USR-100772"/>
    <d v="2025-03-10T00:00:00"/>
    <x v="1"/>
    <s v="East"/>
    <s v="Mobile"/>
    <x v="3"/>
    <s v="Basic"/>
    <n v="1"/>
    <n v="0"/>
    <n v="0"/>
    <n v="0"/>
    <n v="0"/>
    <n v="0"/>
    <n v="0"/>
    <m/>
    <n v="47.6"/>
    <s v="Normal"/>
  </r>
  <r>
    <s v="USR-100773"/>
    <d v="2025-02-27T00:00:00"/>
    <x v="1"/>
    <s v="East"/>
    <s v="Desktop"/>
    <x v="2"/>
    <s v="Free"/>
    <n v="1"/>
    <n v="0"/>
    <n v="0"/>
    <n v="0"/>
    <n v="0"/>
    <n v="0"/>
    <n v="0"/>
    <m/>
    <n v="56.7"/>
    <s v="Normal"/>
  </r>
  <r>
    <s v="USR-100774"/>
    <d v="2025-03-10T00:00:00"/>
    <x v="1"/>
    <s v="North"/>
    <s v="Desktop"/>
    <x v="3"/>
    <s v="Basic"/>
    <n v="1"/>
    <n v="1"/>
    <n v="0"/>
    <n v="0"/>
    <n v="0"/>
    <n v="0"/>
    <n v="0"/>
    <m/>
    <n v="71.400000000000006"/>
    <s v="Normal"/>
  </r>
  <r>
    <s v="USR-100775"/>
    <d v="2025-04-23T00:00:00"/>
    <x v="1"/>
    <s v="West"/>
    <s v="Mobile"/>
    <x v="4"/>
    <s v="Free"/>
    <n v="0"/>
    <n v="0"/>
    <n v="0"/>
    <n v="0"/>
    <n v="0"/>
    <n v="2"/>
    <n v="0"/>
    <m/>
    <n v="60.5"/>
    <s v="Normal"/>
  </r>
  <r>
    <s v="USR-100776"/>
    <d v="2025-04-12T00:00:00"/>
    <x v="1"/>
    <s v="North"/>
    <s v="Desktop"/>
    <x v="2"/>
    <s v="Free"/>
    <n v="1"/>
    <n v="0"/>
    <n v="0"/>
    <n v="0"/>
    <n v="0"/>
    <n v="0"/>
    <n v="0"/>
    <m/>
    <n v="46.7"/>
    <s v="Normal"/>
  </r>
  <r>
    <s v="USR-100777"/>
    <d v="2025-01-26T00:00:00"/>
    <x v="1"/>
    <s v="East"/>
    <s v="Desktop"/>
    <x v="3"/>
    <s v="Free"/>
    <n v="0"/>
    <n v="0"/>
    <n v="0"/>
    <n v="0"/>
    <n v="0"/>
    <n v="0"/>
    <n v="0"/>
    <m/>
    <n v="61"/>
    <s v="Normal"/>
  </r>
  <r>
    <s v="USR-100778"/>
    <d v="2025-05-24T00:00:00"/>
    <x v="1"/>
    <s v="West"/>
    <s v="Tablet"/>
    <x v="2"/>
    <s v="Free"/>
    <n v="0"/>
    <n v="0"/>
    <n v="0"/>
    <n v="0"/>
    <n v="0"/>
    <n v="0"/>
    <n v="0"/>
    <m/>
    <n v="60.9"/>
    <s v="Normal"/>
  </r>
  <r>
    <s v="USR-100779"/>
    <d v="2025-01-08T00:00:00"/>
    <x v="1"/>
    <s v="South"/>
    <s v="Mobile"/>
    <x v="1"/>
    <s v="Free"/>
    <n v="1"/>
    <n v="0"/>
    <n v="0"/>
    <n v="0"/>
    <n v="0"/>
    <n v="0"/>
    <n v="0"/>
    <m/>
    <n v="67.099999999999994"/>
    <s v="Normal"/>
  </r>
  <r>
    <s v="USR-100780"/>
    <d v="2025-04-15T00:00:00"/>
    <x v="1"/>
    <s v="North"/>
    <s v="Mobile"/>
    <x v="3"/>
    <s v="Free"/>
    <n v="1"/>
    <n v="1"/>
    <n v="0"/>
    <n v="0"/>
    <n v="0"/>
    <n v="0"/>
    <n v="0"/>
    <m/>
    <n v="59.6"/>
    <s v="Normal"/>
  </r>
  <r>
    <s v="USR-100781"/>
    <d v="2025-01-15T00:00:00"/>
    <x v="1"/>
    <s v="South"/>
    <s v="Desktop"/>
    <x v="2"/>
    <s v="Free"/>
    <n v="1"/>
    <n v="0"/>
    <n v="0"/>
    <n v="0"/>
    <n v="0"/>
    <n v="0"/>
    <n v="0"/>
    <m/>
    <n v="83.8"/>
    <s v="Normal"/>
  </r>
  <r>
    <s v="USR-100782"/>
    <d v="2025-02-28T00:00:00"/>
    <x v="1"/>
    <s v="North"/>
    <s v="Mobile"/>
    <x v="1"/>
    <s v="Basic"/>
    <n v="1"/>
    <n v="1"/>
    <n v="1"/>
    <n v="0"/>
    <n v="0"/>
    <n v="0"/>
    <n v="0"/>
    <m/>
    <n v="70.8"/>
    <s v="Normal"/>
  </r>
  <r>
    <s v="USR-100783"/>
    <d v="2025-01-01T00:00:00"/>
    <x v="1"/>
    <s v="North"/>
    <s v="Tablet"/>
    <x v="1"/>
    <s v="Basic"/>
    <n v="0"/>
    <n v="0"/>
    <n v="0"/>
    <n v="0"/>
    <n v="0"/>
    <n v="0"/>
    <n v="0"/>
    <m/>
    <n v="65.900000000000006"/>
    <s v="Normal"/>
  </r>
  <r>
    <s v="USR-100784"/>
    <d v="2025-04-17T00:00:00"/>
    <x v="1"/>
    <s v="West"/>
    <s v="Mobile"/>
    <x v="3"/>
    <s v="Free"/>
    <n v="1"/>
    <n v="0"/>
    <n v="0"/>
    <n v="0"/>
    <n v="0"/>
    <n v="0"/>
    <n v="0"/>
    <m/>
    <n v="58"/>
    <s v="Normal"/>
  </r>
  <r>
    <s v="USR-100785"/>
    <d v="2025-02-19T00:00:00"/>
    <x v="1"/>
    <s v="North"/>
    <s v="Mobile"/>
    <x v="0"/>
    <s v="Basic"/>
    <n v="1"/>
    <n v="1"/>
    <n v="0"/>
    <n v="0"/>
    <n v="0"/>
    <n v="0"/>
    <n v="0"/>
    <m/>
    <n v="80.3"/>
    <s v="Normal"/>
  </r>
  <r>
    <s v="USR-100786"/>
    <d v="2025-03-14T00:00:00"/>
    <x v="1"/>
    <s v="North"/>
    <s v="Desktop"/>
    <x v="1"/>
    <s v="Free"/>
    <n v="1"/>
    <n v="0"/>
    <n v="0"/>
    <n v="0"/>
    <n v="0"/>
    <n v="0"/>
    <n v="0"/>
    <m/>
    <n v="55.7"/>
    <s v="Normal"/>
  </r>
  <r>
    <s v="USR-100787"/>
    <d v="2025-04-21T00:00:00"/>
    <x v="1"/>
    <s v="North"/>
    <s v="Mobile"/>
    <x v="1"/>
    <s v="Free"/>
    <n v="1"/>
    <n v="1"/>
    <n v="0"/>
    <n v="0"/>
    <n v="0"/>
    <n v="0"/>
    <n v="0"/>
    <m/>
    <n v="84.9"/>
    <s v="Normal"/>
  </r>
  <r>
    <s v="USR-100788"/>
    <d v="2025-02-14T00:00:00"/>
    <x v="1"/>
    <s v="North"/>
    <s v="Mobile"/>
    <x v="1"/>
    <s v="Free"/>
    <n v="1"/>
    <n v="0"/>
    <n v="0"/>
    <n v="0"/>
    <n v="0"/>
    <n v="0"/>
    <n v="0"/>
    <m/>
    <n v="63.3"/>
    <s v="Normal"/>
  </r>
  <r>
    <s v="USR-100789"/>
    <d v="2025-05-30T00:00:00"/>
    <x v="1"/>
    <s v="West"/>
    <s v="Mobile"/>
    <x v="1"/>
    <s v="Free"/>
    <n v="0"/>
    <n v="0"/>
    <n v="0"/>
    <n v="0"/>
    <n v="0"/>
    <n v="0"/>
    <n v="0"/>
    <m/>
    <n v="53.1"/>
    <s v="Normal"/>
  </r>
  <r>
    <s v="USR-100790"/>
    <d v="2025-01-20T00:00:00"/>
    <x v="1"/>
    <s v="West"/>
    <s v="Mobile"/>
    <x v="1"/>
    <s v="Free"/>
    <n v="0"/>
    <n v="0"/>
    <n v="0"/>
    <n v="0"/>
    <n v="0"/>
    <n v="0"/>
    <n v="0"/>
    <m/>
    <n v="66"/>
    <s v="Normal"/>
  </r>
  <r>
    <s v="USR-100791"/>
    <d v="2025-03-17T00:00:00"/>
    <x v="1"/>
    <s v="West"/>
    <s v="Mobile"/>
    <x v="4"/>
    <s v="Premium"/>
    <n v="0"/>
    <n v="0"/>
    <n v="0"/>
    <n v="0"/>
    <n v="0"/>
    <n v="0"/>
    <n v="0"/>
    <m/>
    <n v="54.7"/>
    <s v="Normal"/>
  </r>
  <r>
    <s v="USR-100792"/>
    <d v="2025-03-04T00:00:00"/>
    <x v="1"/>
    <s v="West"/>
    <s v="Mobile"/>
    <x v="4"/>
    <s v="Free"/>
    <n v="1"/>
    <n v="1"/>
    <n v="0"/>
    <n v="0"/>
    <n v="0"/>
    <n v="1"/>
    <n v="0"/>
    <m/>
    <n v="41.2"/>
    <s v="Normal"/>
  </r>
  <r>
    <s v="USR-100793"/>
    <d v="2025-02-22T00:00:00"/>
    <x v="1"/>
    <s v="South"/>
    <s v="Mobile"/>
    <x v="1"/>
    <s v="Premium"/>
    <n v="0"/>
    <n v="0"/>
    <n v="0"/>
    <n v="0"/>
    <n v="0"/>
    <n v="0"/>
    <n v="0"/>
    <m/>
    <n v="66.7"/>
    <s v="Normal"/>
  </r>
  <r>
    <s v="USR-100794"/>
    <d v="2025-05-02T00:00:00"/>
    <x v="1"/>
    <s v="North"/>
    <s v="Mobile"/>
    <x v="2"/>
    <s v="Premium"/>
    <n v="0"/>
    <n v="0"/>
    <n v="0"/>
    <n v="0"/>
    <n v="0"/>
    <n v="0"/>
    <n v="0"/>
    <m/>
    <n v="39.4"/>
    <s v="Normal"/>
  </r>
  <r>
    <s v="USR-100795"/>
    <d v="2025-03-13T00:00:00"/>
    <x v="1"/>
    <s v="West"/>
    <s v="Desktop"/>
    <x v="1"/>
    <s v="Premium"/>
    <n v="0"/>
    <n v="0"/>
    <n v="0"/>
    <n v="0"/>
    <n v="0"/>
    <n v="3"/>
    <n v="0"/>
    <m/>
    <n v="67"/>
    <s v="Normal"/>
  </r>
  <r>
    <s v="USR-100796"/>
    <d v="2025-05-31T00:00:00"/>
    <x v="1"/>
    <s v="South"/>
    <s v="Mobile"/>
    <x v="1"/>
    <s v="Basic"/>
    <n v="1"/>
    <n v="0"/>
    <n v="0"/>
    <n v="0"/>
    <n v="0"/>
    <n v="0"/>
    <n v="0"/>
    <m/>
    <n v="50.4"/>
    <s v="Normal"/>
  </r>
  <r>
    <s v="USR-100797"/>
    <d v="2025-03-07T00:00:00"/>
    <x v="1"/>
    <s v="West"/>
    <s v="Desktop"/>
    <x v="4"/>
    <s v="Free"/>
    <n v="1"/>
    <n v="0"/>
    <n v="0"/>
    <n v="0"/>
    <n v="0"/>
    <n v="0"/>
    <n v="0"/>
    <m/>
    <n v="53.8"/>
    <s v="Normal"/>
  </r>
  <r>
    <s v="USR-100798"/>
    <d v="2025-02-22T00:00:00"/>
    <x v="1"/>
    <s v="West"/>
    <s v="Mobile"/>
    <x v="2"/>
    <s v="Basic"/>
    <n v="0"/>
    <n v="0"/>
    <n v="0"/>
    <n v="0"/>
    <n v="0"/>
    <n v="1"/>
    <n v="0"/>
    <m/>
    <n v="82.7"/>
    <s v="Normal"/>
  </r>
  <r>
    <s v="USR-100799"/>
    <d v="2025-01-05T00:00:00"/>
    <x v="1"/>
    <s v="West"/>
    <s v="Desktop"/>
    <x v="2"/>
    <s v="Free"/>
    <n v="1"/>
    <n v="1"/>
    <n v="1"/>
    <n v="0"/>
    <n v="0"/>
    <n v="0"/>
    <n v="0"/>
    <m/>
    <n v="63.9"/>
    <s v="Normal"/>
  </r>
  <r>
    <s v="USR-100800"/>
    <d v="2025-01-21T00:00:00"/>
    <x v="1"/>
    <s v="West"/>
    <s v="Mobile"/>
    <x v="3"/>
    <s v="Free"/>
    <n v="1"/>
    <n v="0"/>
    <n v="0"/>
    <n v="0"/>
    <n v="0"/>
    <n v="0"/>
    <n v="0"/>
    <m/>
    <n v="61.9"/>
    <s v="Normal"/>
  </r>
  <r>
    <s v="USR-100801"/>
    <d v="2025-01-25T00:00:00"/>
    <x v="1"/>
    <s v="North"/>
    <s v="Desktop"/>
    <x v="4"/>
    <s v="Free"/>
    <n v="1"/>
    <n v="1"/>
    <n v="1"/>
    <n v="0"/>
    <n v="0"/>
    <n v="0"/>
    <n v="0"/>
    <m/>
    <n v="75"/>
    <s v="Normal"/>
  </r>
  <r>
    <s v="USR-100802"/>
    <d v="2025-04-04T00:00:00"/>
    <x v="1"/>
    <s v="West"/>
    <s v="Mobile"/>
    <x v="2"/>
    <s v="Basic"/>
    <n v="1"/>
    <n v="1"/>
    <n v="1"/>
    <n v="0"/>
    <n v="0"/>
    <n v="0"/>
    <n v="0"/>
    <m/>
    <n v="43"/>
    <s v="Normal"/>
  </r>
  <r>
    <s v="USR-100803"/>
    <d v="2025-03-25T00:00:00"/>
    <x v="1"/>
    <s v="North"/>
    <s v="Desktop"/>
    <x v="4"/>
    <s v="Premium"/>
    <n v="0"/>
    <n v="0"/>
    <n v="0"/>
    <n v="0"/>
    <n v="0"/>
    <n v="0"/>
    <n v="0"/>
    <m/>
    <n v="54.3"/>
    <s v="Normal"/>
  </r>
  <r>
    <s v="USR-100804"/>
    <d v="2025-03-19T00:00:00"/>
    <x v="1"/>
    <s v="West"/>
    <s v="Mobile"/>
    <x v="4"/>
    <s v="Free"/>
    <n v="0"/>
    <n v="0"/>
    <n v="0"/>
    <n v="0"/>
    <n v="0"/>
    <n v="2"/>
    <n v="0"/>
    <m/>
    <n v="44.3"/>
    <s v="Normal"/>
  </r>
  <r>
    <s v="USR-100805"/>
    <d v="2025-04-24T00:00:00"/>
    <x v="1"/>
    <s v="West"/>
    <s v="Desktop"/>
    <x v="1"/>
    <s v="Free"/>
    <n v="1"/>
    <n v="1"/>
    <n v="1"/>
    <n v="1"/>
    <n v="402.88"/>
    <n v="0"/>
    <n v="0"/>
    <n v="12"/>
    <n v="76"/>
    <s v="Normal"/>
  </r>
  <r>
    <s v="USR-100806"/>
    <d v="2025-04-04T00:00:00"/>
    <x v="1"/>
    <s v="South"/>
    <s v="Tablet"/>
    <x v="1"/>
    <s v="Free"/>
    <n v="1"/>
    <n v="0"/>
    <n v="0"/>
    <n v="0"/>
    <n v="0"/>
    <n v="2"/>
    <n v="0"/>
    <m/>
    <n v="65.3"/>
    <s v="Normal"/>
  </r>
  <r>
    <s v="USR-100807"/>
    <d v="2025-03-28T00:00:00"/>
    <x v="1"/>
    <s v="South"/>
    <s v="Desktop"/>
    <x v="2"/>
    <s v="Premium"/>
    <n v="1"/>
    <n v="0"/>
    <n v="0"/>
    <n v="0"/>
    <n v="0"/>
    <n v="0"/>
    <n v="0"/>
    <m/>
    <n v="71.2"/>
    <s v="Normal"/>
  </r>
  <r>
    <s v="USR-100808"/>
    <d v="2025-05-15T00:00:00"/>
    <x v="1"/>
    <s v="South"/>
    <s v="Tablet"/>
    <x v="2"/>
    <s v="Free"/>
    <n v="1"/>
    <n v="0"/>
    <n v="0"/>
    <n v="0"/>
    <n v="0"/>
    <n v="0"/>
    <n v="0"/>
    <m/>
    <n v="77.900000000000006"/>
    <s v="Normal"/>
  </r>
  <r>
    <s v="USR-100809"/>
    <d v="2025-03-13T00:00:00"/>
    <x v="1"/>
    <s v="West"/>
    <s v="Mobile"/>
    <x v="2"/>
    <s v="Free"/>
    <n v="0"/>
    <n v="0"/>
    <n v="0"/>
    <n v="0"/>
    <n v="0"/>
    <n v="0"/>
    <n v="0"/>
    <m/>
    <n v="48.6"/>
    <s v="Normal"/>
  </r>
  <r>
    <s v="USR-100810"/>
    <d v="2025-03-26T00:00:00"/>
    <x v="1"/>
    <s v="North"/>
    <s v="Mobile"/>
    <x v="4"/>
    <s v="Premium"/>
    <n v="1"/>
    <n v="0"/>
    <n v="0"/>
    <n v="0"/>
    <n v="0"/>
    <n v="0"/>
    <n v="0"/>
    <m/>
    <n v="61.9"/>
    <s v="Normal"/>
  </r>
  <r>
    <s v="USR-100811"/>
    <d v="2025-01-09T00:00:00"/>
    <x v="1"/>
    <s v="North"/>
    <s v="Mobile"/>
    <x v="4"/>
    <s v="Basic"/>
    <n v="0"/>
    <n v="0"/>
    <n v="0"/>
    <n v="0"/>
    <n v="0"/>
    <n v="1"/>
    <n v="0"/>
    <m/>
    <n v="58.7"/>
    <s v="Normal"/>
  </r>
  <r>
    <s v="USR-100812"/>
    <d v="2025-05-06T00:00:00"/>
    <x v="1"/>
    <s v="South"/>
    <s v="Desktop"/>
    <x v="2"/>
    <s v="Free"/>
    <n v="1"/>
    <n v="0"/>
    <n v="0"/>
    <n v="0"/>
    <n v="0"/>
    <n v="0"/>
    <n v="0"/>
    <m/>
    <n v="69.599999999999994"/>
    <s v="Normal"/>
  </r>
  <r>
    <s v="USR-100813"/>
    <d v="2025-02-17T00:00:00"/>
    <x v="1"/>
    <s v="South"/>
    <s v="Mobile"/>
    <x v="1"/>
    <s v="Free"/>
    <n v="1"/>
    <n v="0"/>
    <n v="0"/>
    <n v="0"/>
    <n v="0"/>
    <n v="0"/>
    <n v="0"/>
    <m/>
    <n v="51.5"/>
    <s v="Normal"/>
  </r>
  <r>
    <s v="USR-100814"/>
    <d v="2025-04-05T00:00:00"/>
    <x v="1"/>
    <s v="East"/>
    <s v="Mobile"/>
    <x v="2"/>
    <s v="Free"/>
    <n v="1"/>
    <n v="1"/>
    <n v="1"/>
    <n v="1"/>
    <n v="277.69"/>
    <n v="3"/>
    <n v="0"/>
    <n v="8"/>
    <n v="46"/>
    <s v="Normal"/>
  </r>
  <r>
    <s v="USR-100815"/>
    <d v="2025-04-13T00:00:00"/>
    <x v="1"/>
    <s v="West"/>
    <s v="Tablet"/>
    <x v="1"/>
    <s v="Free"/>
    <n v="1"/>
    <n v="0"/>
    <n v="0"/>
    <n v="0"/>
    <n v="0"/>
    <n v="0"/>
    <n v="0"/>
    <m/>
    <n v="81.7"/>
    <s v="Normal"/>
  </r>
  <r>
    <s v="USR-100816"/>
    <d v="2025-05-20T00:00:00"/>
    <x v="1"/>
    <s v="East"/>
    <s v="Desktop"/>
    <x v="3"/>
    <s v="Free"/>
    <n v="1"/>
    <n v="0"/>
    <n v="0"/>
    <n v="0"/>
    <n v="0"/>
    <n v="0"/>
    <n v="0"/>
    <m/>
    <n v="48.3"/>
    <s v="Normal"/>
  </r>
  <r>
    <s v="USR-100817"/>
    <d v="2025-03-31T00:00:00"/>
    <x v="1"/>
    <s v="East"/>
    <s v="Mobile"/>
    <x v="0"/>
    <s v="Free"/>
    <n v="1"/>
    <n v="1"/>
    <n v="0"/>
    <n v="0"/>
    <n v="0"/>
    <n v="0"/>
    <n v="0"/>
    <m/>
    <n v="85.6"/>
    <s v="Normal"/>
  </r>
  <r>
    <s v="USR-100818"/>
    <d v="2025-04-03T00:00:00"/>
    <x v="1"/>
    <s v="West"/>
    <s v="Tablet"/>
    <x v="2"/>
    <s v="Basic"/>
    <n v="1"/>
    <n v="0"/>
    <n v="0"/>
    <n v="0"/>
    <n v="0"/>
    <n v="0"/>
    <n v="0"/>
    <m/>
    <n v="53.8"/>
    <s v="Normal"/>
  </r>
  <r>
    <s v="USR-100819"/>
    <d v="2025-02-04T00:00:00"/>
    <x v="1"/>
    <s v="South"/>
    <s v="Mobile"/>
    <x v="1"/>
    <s v="Free"/>
    <n v="1"/>
    <n v="1"/>
    <n v="1"/>
    <n v="1"/>
    <n v="460.83"/>
    <n v="2"/>
    <n v="0"/>
    <n v="0"/>
    <n v="69.7"/>
    <s v="Normal"/>
  </r>
  <r>
    <s v="USR-100820"/>
    <d v="2025-05-19T00:00:00"/>
    <x v="1"/>
    <s v="East"/>
    <s v="Mobile"/>
    <x v="1"/>
    <s v="Free"/>
    <n v="1"/>
    <n v="0"/>
    <n v="0"/>
    <n v="0"/>
    <n v="0"/>
    <n v="0"/>
    <n v="0"/>
    <m/>
    <n v="74.8"/>
    <s v="Normal"/>
  </r>
  <r>
    <s v="USR-100821"/>
    <d v="2025-03-08T00:00:00"/>
    <x v="1"/>
    <s v="East"/>
    <s v="Desktop"/>
    <x v="2"/>
    <s v="Basic"/>
    <n v="0"/>
    <n v="0"/>
    <n v="0"/>
    <n v="0"/>
    <n v="0"/>
    <n v="0"/>
    <n v="0"/>
    <m/>
    <n v="87.9"/>
    <s v="Normal"/>
  </r>
  <r>
    <s v="USR-100822"/>
    <d v="2025-05-10T00:00:00"/>
    <x v="1"/>
    <s v="North"/>
    <s v="Mobile"/>
    <x v="4"/>
    <s v="Basic"/>
    <n v="1"/>
    <n v="0"/>
    <n v="0"/>
    <n v="0"/>
    <n v="0"/>
    <n v="1"/>
    <n v="0"/>
    <m/>
    <n v="49.1"/>
    <s v="Normal"/>
  </r>
  <r>
    <s v="USR-100823"/>
    <d v="2025-01-02T00:00:00"/>
    <x v="1"/>
    <s v="East"/>
    <s v="Desktop"/>
    <x v="4"/>
    <s v="Basic"/>
    <n v="1"/>
    <n v="0"/>
    <n v="0"/>
    <n v="0"/>
    <n v="0"/>
    <n v="2"/>
    <n v="0"/>
    <m/>
    <n v="73"/>
    <s v="Normal"/>
  </r>
  <r>
    <s v="USR-100824"/>
    <d v="2025-01-17T00:00:00"/>
    <x v="1"/>
    <s v="West"/>
    <s v="Mobile"/>
    <x v="1"/>
    <s v="Basic"/>
    <n v="0"/>
    <n v="0"/>
    <n v="0"/>
    <n v="0"/>
    <n v="0"/>
    <n v="0"/>
    <n v="0"/>
    <m/>
    <n v="79.5"/>
    <s v="Normal"/>
  </r>
  <r>
    <s v="USR-100825"/>
    <d v="2025-05-21T00:00:00"/>
    <x v="1"/>
    <s v="West"/>
    <s v="Mobile"/>
    <x v="3"/>
    <s v="Basic"/>
    <n v="1"/>
    <n v="1"/>
    <n v="1"/>
    <n v="1"/>
    <n v="782.23"/>
    <n v="1"/>
    <n v="0"/>
    <n v="6"/>
    <n v="93.2"/>
    <s v="Normal"/>
  </r>
  <r>
    <s v="USR-100826"/>
    <d v="2025-05-25T00:00:00"/>
    <x v="1"/>
    <s v="East"/>
    <s v="Desktop"/>
    <x v="3"/>
    <s v="Free"/>
    <n v="1"/>
    <n v="0"/>
    <n v="0"/>
    <n v="0"/>
    <n v="0"/>
    <n v="3"/>
    <n v="0"/>
    <m/>
    <n v="77.5"/>
    <s v="Normal"/>
  </r>
  <r>
    <s v="USR-100827"/>
    <d v="2025-01-05T00:00:00"/>
    <x v="1"/>
    <s v="West"/>
    <s v="Mobile"/>
    <x v="0"/>
    <s v="Basic"/>
    <n v="1"/>
    <n v="0"/>
    <n v="0"/>
    <n v="0"/>
    <n v="0"/>
    <n v="0"/>
    <n v="0"/>
    <m/>
    <n v="61"/>
    <s v="Normal"/>
  </r>
  <r>
    <s v="USR-100828"/>
    <d v="2025-02-24T00:00:00"/>
    <x v="1"/>
    <s v="South"/>
    <s v="Desktop"/>
    <x v="1"/>
    <s v="Free"/>
    <n v="1"/>
    <n v="1"/>
    <n v="0"/>
    <n v="0"/>
    <n v="0"/>
    <n v="0"/>
    <n v="0"/>
    <m/>
    <n v="64.900000000000006"/>
    <s v="Normal"/>
  </r>
  <r>
    <s v="USR-100829"/>
    <d v="2025-01-21T00:00:00"/>
    <x v="1"/>
    <s v="East"/>
    <s v="Mobile"/>
    <x v="2"/>
    <s v="Basic"/>
    <n v="1"/>
    <n v="0"/>
    <n v="0"/>
    <n v="0"/>
    <n v="0"/>
    <n v="0"/>
    <n v="0"/>
    <m/>
    <n v="87.5"/>
    <s v="Normal"/>
  </r>
  <r>
    <s v="USR-100830"/>
    <d v="2025-04-24T00:00:00"/>
    <x v="1"/>
    <s v="North"/>
    <s v="Mobile"/>
    <x v="1"/>
    <s v="Basic"/>
    <n v="1"/>
    <n v="1"/>
    <n v="1"/>
    <n v="1"/>
    <n v="1171.99"/>
    <n v="0"/>
    <n v="0"/>
    <n v="5"/>
    <n v="80.599999999999994"/>
    <s v="Normal"/>
  </r>
  <r>
    <s v="USR-100831"/>
    <d v="2025-01-07T00:00:00"/>
    <x v="1"/>
    <s v="West"/>
    <s v="Desktop"/>
    <x v="1"/>
    <s v="Free"/>
    <n v="1"/>
    <n v="0"/>
    <n v="0"/>
    <n v="0"/>
    <n v="0"/>
    <n v="0"/>
    <n v="0"/>
    <m/>
    <n v="66.900000000000006"/>
    <s v="Normal"/>
  </r>
  <r>
    <s v="USR-100832"/>
    <d v="2025-05-31T00:00:00"/>
    <x v="1"/>
    <s v="South"/>
    <s v="Tablet"/>
    <x v="1"/>
    <s v="Basic"/>
    <n v="1"/>
    <n v="1"/>
    <n v="1"/>
    <n v="0"/>
    <n v="0"/>
    <n v="0"/>
    <n v="0"/>
    <m/>
    <n v="58.8"/>
    <s v="Normal"/>
  </r>
  <r>
    <s v="USR-100833"/>
    <d v="2025-04-02T00:00:00"/>
    <x v="1"/>
    <s v="North"/>
    <s v="Desktop"/>
    <x v="1"/>
    <s v="Basic"/>
    <n v="1"/>
    <n v="1"/>
    <n v="1"/>
    <n v="1"/>
    <n v="1010.4"/>
    <n v="0"/>
    <n v="0"/>
    <n v="4"/>
    <n v="42.9"/>
    <s v="Normal"/>
  </r>
  <r>
    <s v="USR-100834"/>
    <d v="2025-04-21T00:00:00"/>
    <x v="1"/>
    <s v="East"/>
    <s v="Mobile"/>
    <x v="1"/>
    <s v="Free"/>
    <n v="1"/>
    <n v="1"/>
    <n v="1"/>
    <n v="0"/>
    <n v="0"/>
    <n v="1"/>
    <n v="0"/>
    <m/>
    <n v="60.2"/>
    <s v="Normal"/>
  </r>
  <r>
    <s v="USR-100835"/>
    <d v="2025-05-05T00:00:00"/>
    <x v="1"/>
    <s v="East"/>
    <s v="Mobile"/>
    <x v="2"/>
    <s v="Basic"/>
    <n v="1"/>
    <n v="0"/>
    <n v="0"/>
    <n v="0"/>
    <n v="0"/>
    <n v="0"/>
    <n v="0"/>
    <m/>
    <n v="42.7"/>
    <s v="Normal"/>
  </r>
  <r>
    <s v="USR-100836"/>
    <d v="2025-01-06T00:00:00"/>
    <x v="1"/>
    <s v="North"/>
    <s v="Desktop"/>
    <x v="4"/>
    <s v="Free"/>
    <n v="1"/>
    <n v="1"/>
    <n v="1"/>
    <n v="1"/>
    <n v="431.27"/>
    <n v="0"/>
    <n v="0"/>
    <n v="7"/>
    <n v="60.8"/>
    <s v="Normal"/>
  </r>
  <r>
    <s v="USR-100837"/>
    <d v="2025-04-24T00:00:00"/>
    <x v="1"/>
    <s v="South"/>
    <s v="Mobile"/>
    <x v="3"/>
    <s v="Free"/>
    <n v="1"/>
    <n v="1"/>
    <n v="1"/>
    <n v="1"/>
    <n v="428.8"/>
    <n v="0"/>
    <n v="0"/>
    <n v="9"/>
    <n v="79.3"/>
    <s v="Normal"/>
  </r>
  <r>
    <s v="USR-100838"/>
    <d v="2025-04-21T00:00:00"/>
    <x v="1"/>
    <s v="South"/>
    <s v="Mobile"/>
    <x v="1"/>
    <s v="Basic"/>
    <n v="1"/>
    <n v="0"/>
    <n v="0"/>
    <n v="0"/>
    <n v="0"/>
    <n v="1"/>
    <n v="0"/>
    <m/>
    <n v="88.6"/>
    <s v="Normal"/>
  </r>
  <r>
    <s v="USR-100839"/>
    <d v="2025-02-09T00:00:00"/>
    <x v="1"/>
    <s v="West"/>
    <s v="Mobile"/>
    <x v="1"/>
    <s v="Basic"/>
    <n v="1"/>
    <n v="1"/>
    <n v="1"/>
    <n v="0"/>
    <n v="0"/>
    <n v="0"/>
    <n v="0"/>
    <m/>
    <n v="63.1"/>
    <s v="Normal"/>
  </r>
  <r>
    <s v="USR-100840"/>
    <d v="2025-01-09T00:00:00"/>
    <x v="1"/>
    <s v="East"/>
    <s v="Mobile"/>
    <x v="1"/>
    <s v="Premium"/>
    <n v="1"/>
    <n v="0"/>
    <n v="0"/>
    <n v="0"/>
    <n v="0"/>
    <n v="0"/>
    <n v="0"/>
    <m/>
    <n v="39.700000000000003"/>
    <s v="Normal"/>
  </r>
  <r>
    <s v="USR-100841"/>
    <d v="2025-02-16T00:00:00"/>
    <x v="1"/>
    <s v="North"/>
    <s v="Mobile"/>
    <x v="2"/>
    <s v="Basic"/>
    <n v="0"/>
    <n v="0"/>
    <n v="0"/>
    <n v="0"/>
    <n v="0"/>
    <n v="0"/>
    <n v="0"/>
    <m/>
    <n v="67.2"/>
    <s v="Normal"/>
  </r>
  <r>
    <s v="USR-100842"/>
    <d v="2025-02-21T00:00:00"/>
    <x v="1"/>
    <s v="South"/>
    <s v="Mobile"/>
    <x v="1"/>
    <s v="Free"/>
    <n v="1"/>
    <n v="1"/>
    <n v="1"/>
    <n v="0"/>
    <n v="0"/>
    <n v="0"/>
    <n v="0"/>
    <m/>
    <n v="62.3"/>
    <s v="Normal"/>
  </r>
  <r>
    <s v="USR-100843"/>
    <d v="2025-02-08T00:00:00"/>
    <x v="1"/>
    <s v="South"/>
    <s v="Mobile"/>
    <x v="1"/>
    <s v="Premium"/>
    <n v="1"/>
    <n v="0"/>
    <n v="0"/>
    <n v="0"/>
    <n v="0"/>
    <n v="0"/>
    <n v="0"/>
    <m/>
    <m/>
    <s v="Normal"/>
  </r>
  <r>
    <s v="USR-100844"/>
    <d v="2025-01-22T00:00:00"/>
    <x v="1"/>
    <s v="South"/>
    <s v="Mobile"/>
    <x v="2"/>
    <s v="Premium"/>
    <n v="0"/>
    <n v="0"/>
    <n v="0"/>
    <n v="0"/>
    <n v="0"/>
    <n v="0"/>
    <n v="0"/>
    <m/>
    <n v="60.7"/>
    <s v="Normal"/>
  </r>
  <r>
    <s v="USR-100845"/>
    <d v="2025-04-01T00:00:00"/>
    <x v="1"/>
    <s v="West"/>
    <s v="Mobile"/>
    <x v="1"/>
    <s v="Basic"/>
    <n v="1"/>
    <n v="0"/>
    <n v="0"/>
    <n v="0"/>
    <n v="0"/>
    <n v="0"/>
    <n v="0"/>
    <m/>
    <n v="61.5"/>
    <s v="Normal"/>
  </r>
  <r>
    <s v="USR-100846"/>
    <d v="2025-01-21T00:00:00"/>
    <x v="1"/>
    <s v="North"/>
    <s v="Mobile"/>
    <x v="2"/>
    <s v="Basic"/>
    <n v="1"/>
    <n v="0"/>
    <n v="0"/>
    <n v="0"/>
    <n v="0"/>
    <n v="0"/>
    <n v="0"/>
    <m/>
    <n v="75"/>
    <s v="Normal"/>
  </r>
  <r>
    <s v="USR-100847"/>
    <d v="2025-01-02T00:00:00"/>
    <x v="1"/>
    <s v="East"/>
    <s v="Desktop"/>
    <x v="1"/>
    <s v="Free"/>
    <n v="1"/>
    <n v="1"/>
    <n v="0"/>
    <n v="0"/>
    <n v="0"/>
    <n v="0"/>
    <n v="0"/>
    <m/>
    <n v="51.9"/>
    <s v="Normal"/>
  </r>
  <r>
    <s v="USR-100848"/>
    <d v="2025-05-12T00:00:00"/>
    <x v="1"/>
    <s v="South"/>
    <s v="Desktop"/>
    <x v="2"/>
    <s v="Free"/>
    <n v="0"/>
    <n v="0"/>
    <n v="0"/>
    <n v="0"/>
    <n v="0"/>
    <n v="0"/>
    <n v="0"/>
    <m/>
    <n v="34.5"/>
    <s v="Normal"/>
  </r>
  <r>
    <s v="USR-100849"/>
    <d v="2025-03-05T00:00:00"/>
    <x v="1"/>
    <s v="South"/>
    <s v="Mobile"/>
    <x v="4"/>
    <s v="Basic"/>
    <n v="0"/>
    <n v="0"/>
    <n v="0"/>
    <n v="0"/>
    <n v="0"/>
    <n v="0"/>
    <n v="0"/>
    <m/>
    <n v="54.5"/>
    <s v="Normal"/>
  </r>
  <r>
    <s v="USR-100850"/>
    <d v="2025-01-24T00:00:00"/>
    <x v="1"/>
    <s v="East"/>
    <s v="Mobile"/>
    <x v="1"/>
    <s v="Free"/>
    <n v="0"/>
    <n v="0"/>
    <n v="0"/>
    <n v="0"/>
    <n v="0"/>
    <n v="0"/>
    <n v="0"/>
    <m/>
    <n v="46"/>
    <s v="Normal"/>
  </r>
  <r>
    <s v="USR-100851"/>
    <d v="2025-01-31T00:00:00"/>
    <x v="1"/>
    <s v="East"/>
    <s v="Desktop"/>
    <x v="0"/>
    <s v="Free"/>
    <n v="1"/>
    <n v="1"/>
    <n v="1"/>
    <n v="0"/>
    <n v="0"/>
    <n v="0"/>
    <n v="0"/>
    <m/>
    <n v="88.4"/>
    <s v="Normal"/>
  </r>
  <r>
    <s v="USR-100852"/>
    <d v="2025-01-24T00:00:00"/>
    <x v="1"/>
    <s v="North"/>
    <s v="Tablet"/>
    <x v="1"/>
    <s v="Basic"/>
    <n v="1"/>
    <n v="0"/>
    <n v="0"/>
    <n v="0"/>
    <n v="0"/>
    <n v="0"/>
    <n v="0"/>
    <m/>
    <n v="69.5"/>
    <s v="Normal"/>
  </r>
  <r>
    <s v="USR-100853"/>
    <d v="2025-02-14T00:00:00"/>
    <x v="1"/>
    <s v="North"/>
    <s v="Desktop"/>
    <x v="3"/>
    <s v="Basic"/>
    <n v="1"/>
    <n v="1"/>
    <n v="1"/>
    <n v="0"/>
    <n v="0"/>
    <n v="0"/>
    <n v="0"/>
    <m/>
    <n v="74.2"/>
    <s v="Normal"/>
  </r>
  <r>
    <s v="USR-100854"/>
    <d v="2025-05-27T00:00:00"/>
    <x v="1"/>
    <s v="North"/>
    <s v="Mobile"/>
    <x v="1"/>
    <s v="Free"/>
    <n v="1"/>
    <n v="1"/>
    <n v="1"/>
    <n v="0"/>
    <n v="0"/>
    <n v="0"/>
    <n v="0"/>
    <m/>
    <n v="72.099999999999994"/>
    <s v="Normal"/>
  </r>
  <r>
    <s v="USR-100855"/>
    <d v="2025-02-28T00:00:00"/>
    <x v="1"/>
    <s v="North"/>
    <s v="Mobile"/>
    <x v="2"/>
    <s v="Free"/>
    <n v="1"/>
    <n v="1"/>
    <n v="1"/>
    <n v="1"/>
    <n v="398.33"/>
    <n v="0"/>
    <n v="0"/>
    <n v="5"/>
    <n v="85.1"/>
    <s v="Normal"/>
  </r>
  <r>
    <s v="USR-100856"/>
    <d v="2025-05-27T00:00:00"/>
    <x v="1"/>
    <s v="North"/>
    <s v="Mobile"/>
    <x v="1"/>
    <s v="Basic"/>
    <n v="1"/>
    <n v="1"/>
    <n v="1"/>
    <n v="0"/>
    <n v="0"/>
    <n v="0"/>
    <n v="0"/>
    <m/>
    <n v="49.5"/>
    <s v="Normal"/>
  </r>
  <r>
    <s v="USR-100857"/>
    <d v="2025-05-17T00:00:00"/>
    <x v="1"/>
    <s v="South"/>
    <s v="Mobile"/>
    <x v="2"/>
    <s v="Premium"/>
    <n v="0"/>
    <n v="0"/>
    <n v="0"/>
    <n v="0"/>
    <n v="0"/>
    <n v="1"/>
    <n v="0"/>
    <m/>
    <n v="79"/>
    <s v="Normal"/>
  </r>
  <r>
    <s v="USR-100858"/>
    <d v="2025-01-10T00:00:00"/>
    <x v="1"/>
    <s v="West"/>
    <s v="Desktop"/>
    <x v="4"/>
    <s v="Free"/>
    <n v="0"/>
    <n v="0"/>
    <n v="0"/>
    <n v="0"/>
    <n v="0"/>
    <n v="0"/>
    <n v="0"/>
    <m/>
    <n v="71.8"/>
    <s v="Normal"/>
  </r>
  <r>
    <s v="USR-100859"/>
    <d v="2025-04-22T00:00:00"/>
    <x v="1"/>
    <s v="North"/>
    <s v="Mobile"/>
    <x v="0"/>
    <s v="Basic"/>
    <n v="1"/>
    <n v="1"/>
    <n v="1"/>
    <n v="1"/>
    <n v="1117.54"/>
    <n v="0"/>
    <n v="0"/>
    <n v="6"/>
    <n v="60.4"/>
    <s v="Normal"/>
  </r>
  <r>
    <s v="USR-100860"/>
    <d v="2025-03-02T00:00:00"/>
    <x v="1"/>
    <s v="South"/>
    <s v="Desktop"/>
    <x v="1"/>
    <s v="Basic"/>
    <n v="1"/>
    <n v="0"/>
    <n v="0"/>
    <n v="0"/>
    <n v="0"/>
    <n v="2"/>
    <n v="0"/>
    <m/>
    <n v="38.299999999999997"/>
    <s v="Normal"/>
  </r>
  <r>
    <s v="USR-100861"/>
    <d v="2025-03-23T00:00:00"/>
    <x v="1"/>
    <s v="East"/>
    <s v="Mobile"/>
    <x v="2"/>
    <s v="Free"/>
    <n v="1"/>
    <n v="1"/>
    <n v="1"/>
    <n v="0"/>
    <n v="0"/>
    <n v="0"/>
    <n v="0"/>
    <m/>
    <n v="79.599999999999994"/>
    <s v="Normal"/>
  </r>
  <r>
    <s v="USR-100862"/>
    <d v="2025-02-12T00:00:00"/>
    <x v="1"/>
    <s v="East"/>
    <s v="Mobile"/>
    <x v="0"/>
    <s v="Free"/>
    <n v="1"/>
    <n v="1"/>
    <n v="1"/>
    <n v="0"/>
    <n v="0"/>
    <n v="0"/>
    <n v="0"/>
    <m/>
    <n v="71.900000000000006"/>
    <s v="Normal"/>
  </r>
  <r>
    <s v="USR-100863"/>
    <d v="2025-05-03T00:00:00"/>
    <x v="1"/>
    <s v="South"/>
    <s v="Mobile"/>
    <x v="3"/>
    <s v="Basic"/>
    <n v="1"/>
    <n v="0"/>
    <n v="0"/>
    <n v="0"/>
    <n v="0"/>
    <n v="0"/>
    <n v="0"/>
    <m/>
    <n v="54.6"/>
    <s v="Normal"/>
  </r>
  <r>
    <s v="USR-100864"/>
    <d v="2025-03-28T00:00:00"/>
    <x v="1"/>
    <s v="North"/>
    <s v="Desktop"/>
    <x v="4"/>
    <s v="Free"/>
    <n v="1"/>
    <n v="0"/>
    <n v="0"/>
    <n v="0"/>
    <n v="0"/>
    <n v="3"/>
    <n v="0"/>
    <m/>
    <n v="49.3"/>
    <s v="Normal"/>
  </r>
  <r>
    <s v="USR-100865"/>
    <d v="2025-03-12T00:00:00"/>
    <x v="1"/>
    <s v="North"/>
    <s v="Mobile"/>
    <x v="4"/>
    <s v="Basic"/>
    <n v="0"/>
    <n v="0"/>
    <n v="0"/>
    <n v="0"/>
    <n v="0"/>
    <n v="1"/>
    <n v="0"/>
    <m/>
    <n v="66.900000000000006"/>
    <s v="Normal"/>
  </r>
  <r>
    <s v="USR-100866"/>
    <d v="2025-04-27T00:00:00"/>
    <x v="1"/>
    <s v="East"/>
    <s v="Mobile"/>
    <x v="2"/>
    <s v="Free"/>
    <n v="1"/>
    <n v="0"/>
    <n v="0"/>
    <n v="0"/>
    <n v="0"/>
    <n v="1"/>
    <n v="0"/>
    <m/>
    <n v="77.8"/>
    <s v="Normal"/>
  </r>
  <r>
    <s v="USR-100867"/>
    <d v="2025-04-02T00:00:00"/>
    <x v="1"/>
    <s v="South"/>
    <s v="Mobile"/>
    <x v="3"/>
    <s v="Basic"/>
    <n v="1"/>
    <n v="0"/>
    <n v="0"/>
    <n v="0"/>
    <n v="0"/>
    <n v="0"/>
    <n v="0"/>
    <m/>
    <n v="63"/>
    <s v="Normal"/>
  </r>
  <r>
    <s v="USR-100868"/>
    <d v="2025-04-21T00:00:00"/>
    <x v="1"/>
    <s v="North"/>
    <s v="Mobile"/>
    <x v="4"/>
    <s v="Free"/>
    <n v="0"/>
    <n v="0"/>
    <n v="0"/>
    <n v="0"/>
    <n v="0"/>
    <n v="0"/>
    <n v="0"/>
    <m/>
    <n v="79.8"/>
    <s v="Normal"/>
  </r>
  <r>
    <s v="USR-100869"/>
    <d v="2025-01-26T00:00:00"/>
    <x v="1"/>
    <s v="West"/>
    <s v="Desktop"/>
    <x v="1"/>
    <s v="Basic"/>
    <n v="0"/>
    <n v="0"/>
    <n v="0"/>
    <n v="0"/>
    <n v="0"/>
    <n v="0"/>
    <n v="0"/>
    <m/>
    <n v="69.900000000000006"/>
    <s v="Normal"/>
  </r>
  <r>
    <s v="USR-100870"/>
    <d v="2025-01-06T00:00:00"/>
    <x v="1"/>
    <s v="West"/>
    <s v="Mobile"/>
    <x v="1"/>
    <s v="Free"/>
    <n v="0"/>
    <n v="0"/>
    <n v="0"/>
    <n v="0"/>
    <n v="0"/>
    <n v="1"/>
    <n v="0"/>
    <m/>
    <n v="66.400000000000006"/>
    <s v="Normal"/>
  </r>
  <r>
    <s v="USR-100871"/>
    <d v="2025-02-07T00:00:00"/>
    <x v="1"/>
    <s v="East"/>
    <s v="Mobile"/>
    <x v="1"/>
    <s v="Free"/>
    <n v="1"/>
    <n v="0"/>
    <n v="0"/>
    <n v="0"/>
    <n v="0"/>
    <n v="0"/>
    <n v="0"/>
    <m/>
    <n v="27.6"/>
    <s v="Normal"/>
  </r>
  <r>
    <s v="USR-100872"/>
    <d v="2025-05-07T00:00:00"/>
    <x v="1"/>
    <s v="West"/>
    <s v="Mobile"/>
    <x v="1"/>
    <s v="Premium"/>
    <n v="1"/>
    <n v="0"/>
    <n v="0"/>
    <n v="0"/>
    <n v="0"/>
    <n v="1"/>
    <n v="0"/>
    <m/>
    <n v="56.5"/>
    <s v="Normal"/>
  </r>
  <r>
    <s v="USR-100873"/>
    <d v="2025-04-22T00:00:00"/>
    <x v="1"/>
    <s v="West"/>
    <s v="Unknown"/>
    <x v="4"/>
    <s v="Free"/>
    <n v="1"/>
    <n v="0"/>
    <n v="0"/>
    <n v="0"/>
    <n v="0"/>
    <n v="0"/>
    <n v="0"/>
    <m/>
    <n v="67.8"/>
    <s v="Normal"/>
  </r>
  <r>
    <s v="USR-100874"/>
    <d v="2025-05-04T00:00:00"/>
    <x v="1"/>
    <s v="West"/>
    <s v="Desktop"/>
    <x v="4"/>
    <s v="Free"/>
    <n v="1"/>
    <n v="0"/>
    <n v="0"/>
    <n v="0"/>
    <n v="0"/>
    <n v="0"/>
    <n v="0"/>
    <m/>
    <n v="80"/>
    <s v="Normal"/>
  </r>
  <r>
    <s v="USR-100875"/>
    <d v="2025-05-16T00:00:00"/>
    <x v="1"/>
    <s v="South"/>
    <s v="Mobile"/>
    <x v="4"/>
    <s v="Basic"/>
    <n v="1"/>
    <n v="1"/>
    <n v="1"/>
    <n v="0"/>
    <n v="0"/>
    <n v="1"/>
    <n v="0"/>
    <m/>
    <n v="80.900000000000006"/>
    <s v="Normal"/>
  </r>
  <r>
    <s v="USR-100876"/>
    <d v="2025-02-11T00:00:00"/>
    <x v="1"/>
    <s v="West"/>
    <s v="Mobile"/>
    <x v="2"/>
    <s v="Free"/>
    <n v="0"/>
    <n v="0"/>
    <n v="0"/>
    <n v="0"/>
    <n v="0"/>
    <n v="0"/>
    <n v="0"/>
    <m/>
    <n v="34.5"/>
    <s v="Normal"/>
  </r>
  <r>
    <s v="USR-100877"/>
    <d v="2025-05-09T00:00:00"/>
    <x v="1"/>
    <s v="East"/>
    <s v="Desktop"/>
    <x v="1"/>
    <s v="Premium"/>
    <n v="1"/>
    <n v="0"/>
    <n v="0"/>
    <n v="0"/>
    <n v="0"/>
    <n v="0"/>
    <n v="0"/>
    <m/>
    <n v="73.5"/>
    <s v="Normal"/>
  </r>
  <r>
    <s v="USR-100878"/>
    <d v="2025-02-09T00:00:00"/>
    <x v="1"/>
    <s v="South"/>
    <s v="Desktop"/>
    <x v="2"/>
    <s v="Free"/>
    <n v="1"/>
    <n v="1"/>
    <n v="0"/>
    <n v="0"/>
    <n v="0"/>
    <n v="0"/>
    <n v="0"/>
    <m/>
    <n v="70"/>
    <s v="Normal"/>
  </r>
  <r>
    <s v="USR-100879"/>
    <d v="2025-05-22T00:00:00"/>
    <x v="1"/>
    <s v="West"/>
    <s v="Mobile"/>
    <x v="4"/>
    <s v="Basic"/>
    <n v="0"/>
    <n v="0"/>
    <n v="0"/>
    <n v="0"/>
    <n v="0"/>
    <n v="0"/>
    <n v="0"/>
    <m/>
    <n v="86.9"/>
    <s v="Normal"/>
  </r>
  <r>
    <s v="USR-100880"/>
    <d v="2025-05-24T00:00:00"/>
    <x v="1"/>
    <s v="East"/>
    <s v="Mobile"/>
    <x v="4"/>
    <s v="Basic"/>
    <n v="0"/>
    <n v="0"/>
    <n v="0"/>
    <n v="0"/>
    <n v="0"/>
    <n v="0"/>
    <n v="0"/>
    <m/>
    <n v="66.900000000000006"/>
    <s v="Normal"/>
  </r>
  <r>
    <s v="USR-100881"/>
    <d v="2025-04-27T00:00:00"/>
    <x v="1"/>
    <s v="South"/>
    <s v="Desktop"/>
    <x v="4"/>
    <s v="Basic"/>
    <n v="1"/>
    <n v="1"/>
    <n v="1"/>
    <n v="0"/>
    <n v="0"/>
    <n v="0"/>
    <n v="0"/>
    <m/>
    <n v="58.3"/>
    <s v="Normal"/>
  </r>
  <r>
    <s v="USR-100882"/>
    <d v="2025-03-19T00:00:00"/>
    <x v="1"/>
    <s v="East"/>
    <s v="Mobile"/>
    <x v="2"/>
    <s v="Free"/>
    <n v="1"/>
    <n v="0"/>
    <n v="0"/>
    <n v="0"/>
    <n v="0"/>
    <n v="0"/>
    <n v="0"/>
    <m/>
    <n v="45"/>
    <s v="Normal"/>
  </r>
  <r>
    <s v="USR-100883"/>
    <d v="2025-05-20T00:00:00"/>
    <x v="1"/>
    <s v="South"/>
    <s v="Mobile"/>
    <x v="1"/>
    <s v="Premium"/>
    <n v="0"/>
    <n v="0"/>
    <n v="0"/>
    <n v="0"/>
    <n v="0"/>
    <n v="0"/>
    <n v="0"/>
    <m/>
    <n v="60.8"/>
    <s v="Normal"/>
  </r>
  <r>
    <s v="USR-100884"/>
    <d v="2025-05-10T00:00:00"/>
    <x v="1"/>
    <s v="North"/>
    <s v="Mobile"/>
    <x v="0"/>
    <s v="Premium"/>
    <n v="1"/>
    <n v="0"/>
    <n v="0"/>
    <n v="0"/>
    <n v="0"/>
    <n v="4"/>
    <n v="0"/>
    <m/>
    <n v="53.7"/>
    <s v="Normal"/>
  </r>
  <r>
    <s v="USR-100885"/>
    <d v="2025-03-29T00:00:00"/>
    <x v="1"/>
    <s v="East"/>
    <s v="Mobile"/>
    <x v="4"/>
    <s v="Free"/>
    <n v="1"/>
    <n v="1"/>
    <n v="1"/>
    <n v="0"/>
    <n v="0"/>
    <n v="0"/>
    <n v="0"/>
    <m/>
    <n v="48.8"/>
    <s v="Normal"/>
  </r>
  <r>
    <s v="USR-100886"/>
    <d v="2025-04-03T00:00:00"/>
    <x v="1"/>
    <s v="West"/>
    <s v="Desktop"/>
    <x v="3"/>
    <s v="Basic"/>
    <n v="0"/>
    <n v="0"/>
    <n v="0"/>
    <n v="0"/>
    <n v="0"/>
    <n v="0"/>
    <n v="0"/>
    <m/>
    <n v="52.9"/>
    <s v="Normal"/>
  </r>
  <r>
    <s v="USR-100887"/>
    <d v="2025-05-30T00:00:00"/>
    <x v="1"/>
    <s v="South"/>
    <s v="Mobile"/>
    <x v="0"/>
    <s v="Free"/>
    <n v="1"/>
    <n v="0"/>
    <n v="0"/>
    <n v="0"/>
    <n v="0"/>
    <n v="0"/>
    <n v="0"/>
    <m/>
    <n v="42.4"/>
    <s v="Normal"/>
  </r>
  <r>
    <s v="USR-100888"/>
    <d v="2025-04-06T00:00:00"/>
    <x v="1"/>
    <s v="East"/>
    <s v="Desktop"/>
    <x v="0"/>
    <s v="Free"/>
    <n v="1"/>
    <n v="0"/>
    <n v="0"/>
    <n v="0"/>
    <n v="0"/>
    <n v="0"/>
    <n v="0"/>
    <m/>
    <n v="58.7"/>
    <s v="Normal"/>
  </r>
  <r>
    <s v="USR-100889"/>
    <d v="2025-03-14T00:00:00"/>
    <x v="1"/>
    <s v="North"/>
    <s v="Mobile"/>
    <x v="3"/>
    <s v="Free"/>
    <n v="1"/>
    <n v="1"/>
    <n v="1"/>
    <n v="1"/>
    <n v="2064.5500000000002"/>
    <n v="0"/>
    <n v="0"/>
    <n v="1"/>
    <n v="67.8"/>
    <s v="Normal"/>
  </r>
  <r>
    <s v="USR-100890"/>
    <d v="2025-02-24T00:00:00"/>
    <x v="1"/>
    <s v="South"/>
    <s v="Desktop"/>
    <x v="2"/>
    <s v="Basic"/>
    <n v="1"/>
    <n v="0"/>
    <n v="0"/>
    <n v="0"/>
    <n v="0"/>
    <n v="0"/>
    <n v="0"/>
    <m/>
    <n v="62.6"/>
    <s v="Normal"/>
  </r>
  <r>
    <s v="USR-100891"/>
    <d v="2025-03-04T00:00:00"/>
    <x v="1"/>
    <s v="West"/>
    <s v="Mobile"/>
    <x v="0"/>
    <s v="Basic"/>
    <n v="1"/>
    <n v="0"/>
    <n v="0"/>
    <n v="0"/>
    <n v="0"/>
    <n v="0"/>
    <n v="0"/>
    <m/>
    <n v="82.4"/>
    <s v="Normal"/>
  </r>
  <r>
    <s v="USR-100892"/>
    <d v="2025-04-02T00:00:00"/>
    <x v="1"/>
    <s v="North"/>
    <s v="Mobile"/>
    <x v="1"/>
    <s v="Free"/>
    <n v="1"/>
    <n v="1"/>
    <n v="1"/>
    <n v="0"/>
    <n v="0"/>
    <n v="0"/>
    <n v="0"/>
    <m/>
    <n v="50.4"/>
    <s v="Normal"/>
  </r>
  <r>
    <s v="USR-100893"/>
    <d v="2025-05-11T00:00:00"/>
    <x v="1"/>
    <s v="North"/>
    <s v="Mobile"/>
    <x v="0"/>
    <s v="Premium"/>
    <n v="0"/>
    <n v="0"/>
    <n v="0"/>
    <n v="0"/>
    <n v="0"/>
    <n v="0"/>
    <n v="0"/>
    <m/>
    <n v="68.400000000000006"/>
    <s v="Normal"/>
  </r>
  <r>
    <s v="USR-100894"/>
    <d v="2025-05-10T00:00:00"/>
    <x v="1"/>
    <s v="West"/>
    <s v="Tablet"/>
    <x v="2"/>
    <s v="Basic"/>
    <n v="1"/>
    <n v="1"/>
    <n v="1"/>
    <n v="0"/>
    <n v="0"/>
    <n v="0"/>
    <n v="0"/>
    <m/>
    <n v="58.8"/>
    <s v="Normal"/>
  </r>
  <r>
    <s v="USR-100895"/>
    <d v="2025-05-06T00:00:00"/>
    <x v="1"/>
    <s v="West"/>
    <s v="Mobile"/>
    <x v="3"/>
    <s v="Free"/>
    <n v="1"/>
    <n v="1"/>
    <n v="0"/>
    <n v="0"/>
    <n v="0"/>
    <n v="2"/>
    <n v="0"/>
    <m/>
    <n v="28.3"/>
    <s v="Normal"/>
  </r>
  <r>
    <s v="USR-100896"/>
    <d v="2025-02-11T00:00:00"/>
    <x v="1"/>
    <s v="West"/>
    <s v="Desktop"/>
    <x v="2"/>
    <s v="Free"/>
    <n v="1"/>
    <n v="1"/>
    <n v="0"/>
    <n v="0"/>
    <n v="0"/>
    <n v="0"/>
    <n v="0"/>
    <m/>
    <n v="44.1"/>
    <s v="Normal"/>
  </r>
  <r>
    <s v="USR-100897"/>
    <d v="2025-05-09T00:00:00"/>
    <x v="1"/>
    <s v="South"/>
    <s v="Mobile"/>
    <x v="2"/>
    <s v="Premium"/>
    <n v="1"/>
    <n v="1"/>
    <n v="0"/>
    <n v="0"/>
    <n v="0"/>
    <n v="0"/>
    <n v="0"/>
    <m/>
    <n v="66.7"/>
    <s v="Normal"/>
  </r>
  <r>
    <s v="USR-100898"/>
    <d v="2025-02-02T00:00:00"/>
    <x v="1"/>
    <s v="South"/>
    <s v="Mobile"/>
    <x v="5"/>
    <s v="Free"/>
    <n v="1"/>
    <n v="0"/>
    <n v="0"/>
    <n v="0"/>
    <n v="0"/>
    <n v="0"/>
    <n v="0"/>
    <m/>
    <n v="100"/>
    <s v="Normal"/>
  </r>
  <r>
    <s v="USR-100899"/>
    <d v="2025-04-03T00:00:00"/>
    <x v="1"/>
    <s v="South"/>
    <s v="Mobile"/>
    <x v="4"/>
    <s v="Free"/>
    <n v="1"/>
    <n v="1"/>
    <n v="0"/>
    <n v="0"/>
    <n v="0"/>
    <n v="0"/>
    <n v="0"/>
    <m/>
    <n v="87.5"/>
    <s v="Normal"/>
  </r>
  <r>
    <s v="USR-100900"/>
    <d v="2025-02-15T00:00:00"/>
    <x v="1"/>
    <s v="North"/>
    <s v="Desktop"/>
    <x v="1"/>
    <s v="Basic"/>
    <n v="1"/>
    <n v="0"/>
    <n v="0"/>
    <n v="0"/>
    <n v="0"/>
    <n v="2"/>
    <n v="0"/>
    <m/>
    <n v="65.400000000000006"/>
    <s v="Normal"/>
  </r>
  <r>
    <s v="USR-100901"/>
    <d v="2025-04-18T00:00:00"/>
    <x v="1"/>
    <s v="South"/>
    <s v="Desktop"/>
    <x v="1"/>
    <s v="Free"/>
    <n v="1"/>
    <n v="0"/>
    <n v="0"/>
    <n v="0"/>
    <n v="0"/>
    <n v="0"/>
    <n v="0"/>
    <m/>
    <n v="22.9"/>
    <s v="Normal"/>
  </r>
  <r>
    <s v="USR-100902"/>
    <d v="2025-03-14T00:00:00"/>
    <x v="1"/>
    <s v="West"/>
    <s v="Desktop"/>
    <x v="1"/>
    <s v="Premium"/>
    <n v="0"/>
    <n v="0"/>
    <n v="0"/>
    <n v="0"/>
    <n v="0"/>
    <n v="0"/>
    <n v="0"/>
    <m/>
    <n v="64.599999999999994"/>
    <s v="Normal"/>
  </r>
  <r>
    <s v="USR-100903"/>
    <d v="2025-03-29T00:00:00"/>
    <x v="1"/>
    <s v="South"/>
    <s v="Mobile"/>
    <x v="3"/>
    <s v="Free"/>
    <n v="1"/>
    <n v="0"/>
    <n v="0"/>
    <n v="0"/>
    <n v="0"/>
    <n v="2"/>
    <n v="0"/>
    <m/>
    <n v="54.4"/>
    <s v="Normal"/>
  </r>
  <r>
    <s v="USR-100904"/>
    <d v="2025-02-13T00:00:00"/>
    <x v="1"/>
    <s v="North"/>
    <s v="Desktop"/>
    <x v="1"/>
    <s v="Free"/>
    <n v="1"/>
    <n v="1"/>
    <n v="1"/>
    <n v="0"/>
    <n v="0"/>
    <n v="0"/>
    <n v="0"/>
    <m/>
    <n v="56.8"/>
    <s v="Normal"/>
  </r>
  <r>
    <s v="USR-100905"/>
    <d v="2025-01-23T00:00:00"/>
    <x v="1"/>
    <s v="South"/>
    <s v="Mobile"/>
    <x v="2"/>
    <s v="Free"/>
    <n v="1"/>
    <n v="1"/>
    <n v="1"/>
    <n v="1"/>
    <n v="341.38"/>
    <n v="0"/>
    <n v="0"/>
    <n v="2"/>
    <n v="63.6"/>
    <s v="Normal"/>
  </r>
  <r>
    <s v="USR-100906"/>
    <d v="2025-02-24T00:00:00"/>
    <x v="1"/>
    <s v="East"/>
    <s v="Mobile"/>
    <x v="4"/>
    <s v="Free"/>
    <n v="1"/>
    <n v="0"/>
    <n v="0"/>
    <n v="0"/>
    <n v="0"/>
    <n v="0"/>
    <n v="0"/>
    <m/>
    <n v="58.2"/>
    <s v="Normal"/>
  </r>
  <r>
    <s v="USR-100907"/>
    <d v="2025-02-28T00:00:00"/>
    <x v="1"/>
    <s v="West"/>
    <s v="Mobile"/>
    <x v="2"/>
    <s v="Free"/>
    <n v="1"/>
    <n v="1"/>
    <n v="0"/>
    <n v="0"/>
    <n v="0"/>
    <n v="0"/>
    <n v="0"/>
    <m/>
    <n v="54.6"/>
    <s v="Normal"/>
  </r>
  <r>
    <s v="USR-100908"/>
    <d v="2025-01-07T00:00:00"/>
    <x v="1"/>
    <s v="West"/>
    <s v="Tablet"/>
    <x v="1"/>
    <s v="Basic"/>
    <n v="1"/>
    <n v="0"/>
    <n v="0"/>
    <n v="0"/>
    <n v="0"/>
    <n v="0"/>
    <n v="0"/>
    <m/>
    <n v="81.900000000000006"/>
    <s v="Normal"/>
  </r>
  <r>
    <s v="USR-100909"/>
    <d v="2025-03-21T00:00:00"/>
    <x v="1"/>
    <s v="West"/>
    <s v="Desktop"/>
    <x v="0"/>
    <s v="Free"/>
    <n v="1"/>
    <n v="0"/>
    <n v="0"/>
    <n v="0"/>
    <n v="0"/>
    <n v="3"/>
    <n v="0"/>
    <m/>
    <n v="53.3"/>
    <s v="Normal"/>
  </r>
  <r>
    <s v="USR-100910"/>
    <d v="2025-02-18T00:00:00"/>
    <x v="1"/>
    <s v="North"/>
    <s v="Desktop"/>
    <x v="1"/>
    <s v="Basic"/>
    <n v="0"/>
    <n v="0"/>
    <n v="0"/>
    <n v="0"/>
    <n v="0"/>
    <n v="0"/>
    <n v="0"/>
    <m/>
    <n v="54.2"/>
    <s v="Normal"/>
  </r>
  <r>
    <s v="USR-100911"/>
    <d v="2025-01-05T00:00:00"/>
    <x v="1"/>
    <s v="North"/>
    <s v="Mobile"/>
    <x v="2"/>
    <s v="Free"/>
    <n v="1"/>
    <n v="1"/>
    <n v="0"/>
    <n v="0"/>
    <n v="0"/>
    <n v="0"/>
    <n v="0"/>
    <m/>
    <n v="65.599999999999994"/>
    <s v="Normal"/>
  </r>
  <r>
    <s v="USR-100912"/>
    <d v="2025-03-11T00:00:00"/>
    <x v="1"/>
    <s v="East"/>
    <s v="Desktop"/>
    <x v="1"/>
    <s v="Basic"/>
    <n v="1"/>
    <n v="0"/>
    <n v="0"/>
    <n v="0"/>
    <n v="0"/>
    <n v="1"/>
    <n v="0"/>
    <m/>
    <n v="56.5"/>
    <s v="Normal"/>
  </r>
  <r>
    <s v="USR-100913"/>
    <d v="2025-01-09T00:00:00"/>
    <x v="1"/>
    <s v="North"/>
    <s v="Desktop"/>
    <x v="1"/>
    <s v="Basic"/>
    <n v="1"/>
    <n v="0"/>
    <n v="0"/>
    <n v="0"/>
    <n v="0"/>
    <n v="0"/>
    <n v="0"/>
    <m/>
    <n v="59.7"/>
    <s v="Normal"/>
  </r>
  <r>
    <s v="USR-100914"/>
    <d v="2025-01-08T00:00:00"/>
    <x v="1"/>
    <s v="South"/>
    <s v="Mobile"/>
    <x v="1"/>
    <s v="Free"/>
    <n v="1"/>
    <n v="1"/>
    <n v="1"/>
    <n v="0"/>
    <n v="0"/>
    <n v="0"/>
    <n v="0"/>
    <m/>
    <n v="72.5"/>
    <s v="Normal"/>
  </r>
  <r>
    <s v="USR-100915"/>
    <d v="2025-05-01T00:00:00"/>
    <x v="1"/>
    <s v="East"/>
    <s v="Desktop"/>
    <x v="2"/>
    <s v="Free"/>
    <n v="1"/>
    <n v="0"/>
    <n v="0"/>
    <n v="0"/>
    <n v="0"/>
    <n v="0"/>
    <n v="0"/>
    <m/>
    <n v="64.3"/>
    <s v="Normal"/>
  </r>
  <r>
    <s v="USR-100916"/>
    <d v="2025-03-03T00:00:00"/>
    <x v="1"/>
    <s v="South"/>
    <s v="Mobile"/>
    <x v="4"/>
    <s v="Free"/>
    <n v="1"/>
    <n v="0"/>
    <n v="0"/>
    <n v="0"/>
    <n v="0"/>
    <n v="0"/>
    <n v="0"/>
    <m/>
    <n v="64.5"/>
    <s v="Normal"/>
  </r>
  <r>
    <s v="USR-100917"/>
    <d v="2025-02-23T00:00:00"/>
    <x v="1"/>
    <s v="West"/>
    <s v="Desktop"/>
    <x v="4"/>
    <s v="Basic"/>
    <n v="1"/>
    <n v="1"/>
    <n v="1"/>
    <n v="0"/>
    <n v="0"/>
    <n v="0"/>
    <n v="0"/>
    <m/>
    <n v="70.599999999999994"/>
    <s v="Normal"/>
  </r>
  <r>
    <s v="USR-100918"/>
    <d v="2025-02-17T00:00:00"/>
    <x v="1"/>
    <s v="South"/>
    <s v="Desktop"/>
    <x v="1"/>
    <s v="Basic"/>
    <n v="0"/>
    <n v="0"/>
    <n v="0"/>
    <n v="0"/>
    <n v="0"/>
    <n v="0"/>
    <n v="0"/>
    <m/>
    <n v="58.4"/>
    <s v="Normal"/>
  </r>
  <r>
    <s v="USR-100919"/>
    <d v="2025-05-21T00:00:00"/>
    <x v="1"/>
    <s v="East"/>
    <s v="Mobile"/>
    <x v="1"/>
    <s v="Basic"/>
    <n v="1"/>
    <n v="0"/>
    <n v="0"/>
    <n v="0"/>
    <n v="0"/>
    <n v="0"/>
    <n v="0"/>
    <m/>
    <n v="56.6"/>
    <s v="Normal"/>
  </r>
  <r>
    <s v="USR-100920"/>
    <d v="2025-01-30T00:00:00"/>
    <x v="1"/>
    <s v="South"/>
    <s v="Mobile"/>
    <x v="1"/>
    <s v="Free"/>
    <n v="1"/>
    <n v="0"/>
    <n v="0"/>
    <n v="0"/>
    <n v="0"/>
    <n v="0"/>
    <n v="0"/>
    <m/>
    <n v="61.8"/>
    <s v="Normal"/>
  </r>
  <r>
    <s v="USR-100921"/>
    <d v="2025-03-20T00:00:00"/>
    <x v="1"/>
    <s v="West"/>
    <s v="Mobile"/>
    <x v="0"/>
    <s v="Free"/>
    <n v="1"/>
    <n v="1"/>
    <n v="1"/>
    <n v="1"/>
    <n v="513.52"/>
    <n v="0"/>
    <n v="0"/>
    <n v="8"/>
    <n v="43.4"/>
    <s v="Normal"/>
  </r>
  <r>
    <s v="USR-100922"/>
    <d v="2025-04-10T00:00:00"/>
    <x v="1"/>
    <s v="West"/>
    <s v="Tablet"/>
    <x v="2"/>
    <s v="Free"/>
    <n v="0"/>
    <n v="0"/>
    <n v="0"/>
    <n v="0"/>
    <n v="0"/>
    <n v="0"/>
    <n v="0"/>
    <m/>
    <n v="43"/>
    <s v="Normal"/>
  </r>
  <r>
    <s v="USR-100923"/>
    <d v="2025-03-07T00:00:00"/>
    <x v="1"/>
    <s v="North"/>
    <s v="Desktop"/>
    <x v="1"/>
    <s v="Free"/>
    <n v="1"/>
    <n v="1"/>
    <n v="1"/>
    <n v="0"/>
    <n v="0"/>
    <n v="0"/>
    <n v="0"/>
    <m/>
    <n v="51.1"/>
    <s v="Normal"/>
  </r>
  <r>
    <s v="USR-100924"/>
    <d v="2025-03-12T00:00:00"/>
    <x v="1"/>
    <s v="West"/>
    <s v="Mobile"/>
    <x v="0"/>
    <s v="Basic"/>
    <n v="1"/>
    <n v="0"/>
    <n v="0"/>
    <n v="0"/>
    <n v="0"/>
    <n v="0"/>
    <n v="0"/>
    <m/>
    <n v="48.8"/>
    <s v="Normal"/>
  </r>
  <r>
    <s v="USR-100925"/>
    <d v="2025-02-24T00:00:00"/>
    <x v="1"/>
    <s v="East"/>
    <s v="Mobile"/>
    <x v="3"/>
    <s v="Free"/>
    <n v="0"/>
    <n v="0"/>
    <n v="0"/>
    <n v="0"/>
    <n v="0"/>
    <n v="0"/>
    <n v="0"/>
    <m/>
    <n v="73.2"/>
    <s v="Normal"/>
  </r>
  <r>
    <s v="USR-100926"/>
    <d v="2025-01-15T00:00:00"/>
    <x v="1"/>
    <s v="East"/>
    <s v="Mobile"/>
    <x v="3"/>
    <s v="Free"/>
    <n v="1"/>
    <n v="1"/>
    <n v="1"/>
    <n v="0"/>
    <n v="0"/>
    <n v="0"/>
    <n v="0"/>
    <m/>
    <n v="80"/>
    <s v="Normal"/>
  </r>
  <r>
    <s v="USR-100927"/>
    <d v="2025-01-07T00:00:00"/>
    <x v="1"/>
    <s v="North"/>
    <s v="Desktop"/>
    <x v="2"/>
    <s v="Free"/>
    <n v="1"/>
    <n v="0"/>
    <n v="0"/>
    <n v="0"/>
    <n v="0"/>
    <n v="0"/>
    <n v="0"/>
    <m/>
    <n v="52.3"/>
    <s v="Normal"/>
  </r>
  <r>
    <s v="USR-100928"/>
    <d v="2025-03-02T00:00:00"/>
    <x v="1"/>
    <s v="North"/>
    <s v="Desktop"/>
    <x v="1"/>
    <s v="Free"/>
    <n v="0"/>
    <n v="0"/>
    <n v="0"/>
    <n v="0"/>
    <n v="0"/>
    <n v="0"/>
    <n v="0"/>
    <m/>
    <n v="49.1"/>
    <s v="Normal"/>
  </r>
  <r>
    <s v="USR-100929"/>
    <d v="2025-01-05T00:00:00"/>
    <x v="1"/>
    <s v="South"/>
    <s v="Desktop"/>
    <x v="3"/>
    <s v="Basic"/>
    <n v="0"/>
    <n v="0"/>
    <n v="0"/>
    <n v="0"/>
    <n v="0"/>
    <n v="0"/>
    <n v="0"/>
    <m/>
    <n v="45.3"/>
    <s v="Normal"/>
  </r>
  <r>
    <s v="USR-100930"/>
    <d v="2025-03-03T00:00:00"/>
    <x v="1"/>
    <s v="South"/>
    <s v="Mobile"/>
    <x v="1"/>
    <s v="Free"/>
    <n v="1"/>
    <n v="1"/>
    <n v="0"/>
    <n v="0"/>
    <n v="0"/>
    <n v="0"/>
    <n v="0"/>
    <m/>
    <n v="49.1"/>
    <s v="Normal"/>
  </r>
  <r>
    <s v="USR-100931"/>
    <d v="2025-03-31T00:00:00"/>
    <x v="1"/>
    <s v="East"/>
    <s v="Desktop"/>
    <x v="3"/>
    <s v="Free"/>
    <n v="1"/>
    <n v="1"/>
    <n v="1"/>
    <n v="1"/>
    <n v="476.44"/>
    <n v="0"/>
    <n v="0"/>
    <n v="3"/>
    <n v="88.6"/>
    <s v="Normal"/>
  </r>
  <r>
    <s v="USR-100932"/>
    <d v="2025-01-14T00:00:00"/>
    <x v="1"/>
    <s v="East"/>
    <s v="Desktop"/>
    <x v="2"/>
    <s v="Premium"/>
    <n v="0"/>
    <n v="0"/>
    <n v="0"/>
    <n v="0"/>
    <n v="0"/>
    <n v="1"/>
    <n v="0"/>
    <m/>
    <n v="54.4"/>
    <s v="Normal"/>
  </r>
  <r>
    <s v="USR-100933"/>
    <d v="2025-01-15T00:00:00"/>
    <x v="1"/>
    <s v="West"/>
    <s v="Desktop"/>
    <x v="2"/>
    <s v="Premium"/>
    <n v="1"/>
    <n v="0"/>
    <n v="0"/>
    <n v="0"/>
    <n v="0"/>
    <n v="0"/>
    <n v="0"/>
    <m/>
    <n v="72.900000000000006"/>
    <s v="Normal"/>
  </r>
  <r>
    <s v="USR-100934"/>
    <d v="2025-04-25T00:00:00"/>
    <x v="1"/>
    <s v="West"/>
    <s v="Desktop"/>
    <x v="1"/>
    <s v="Free"/>
    <n v="1"/>
    <n v="0"/>
    <n v="0"/>
    <n v="0"/>
    <n v="0"/>
    <n v="0"/>
    <n v="0"/>
    <m/>
    <n v="53.2"/>
    <s v="Normal"/>
  </r>
  <r>
    <s v="USR-100935"/>
    <d v="2025-03-21T00:00:00"/>
    <x v="1"/>
    <s v="East"/>
    <s v="Mobile"/>
    <x v="1"/>
    <s v="Basic"/>
    <n v="1"/>
    <n v="1"/>
    <n v="0"/>
    <n v="0"/>
    <n v="0"/>
    <n v="0"/>
    <n v="0"/>
    <m/>
    <n v="48.7"/>
    <s v="Normal"/>
  </r>
  <r>
    <s v="USR-100936"/>
    <d v="2025-04-26T00:00:00"/>
    <x v="1"/>
    <s v="South"/>
    <s v="Mobile"/>
    <x v="2"/>
    <s v="Basic"/>
    <n v="1"/>
    <n v="1"/>
    <n v="1"/>
    <n v="0"/>
    <n v="0"/>
    <n v="0"/>
    <n v="0"/>
    <m/>
    <n v="59.9"/>
    <s v="Normal"/>
  </r>
  <r>
    <s v="USR-100937"/>
    <d v="2025-05-21T00:00:00"/>
    <x v="1"/>
    <s v="South"/>
    <s v="Desktop"/>
    <x v="5"/>
    <s v="Basic"/>
    <n v="0"/>
    <n v="0"/>
    <n v="0"/>
    <n v="0"/>
    <n v="0"/>
    <n v="0"/>
    <n v="0"/>
    <m/>
    <n v="82"/>
    <s v="Normal"/>
  </r>
  <r>
    <s v="USR-100938"/>
    <d v="2025-04-18T00:00:00"/>
    <x v="1"/>
    <s v="East"/>
    <s v="Mobile"/>
    <x v="2"/>
    <s v="Free"/>
    <n v="0"/>
    <n v="0"/>
    <n v="0"/>
    <n v="0"/>
    <n v="0"/>
    <n v="0"/>
    <n v="0"/>
    <m/>
    <n v="72.099999999999994"/>
    <s v="Normal"/>
  </r>
  <r>
    <s v="USR-100939"/>
    <d v="2025-01-29T00:00:00"/>
    <x v="1"/>
    <s v="North"/>
    <s v="Desktop"/>
    <x v="0"/>
    <s v="Premium"/>
    <n v="1"/>
    <n v="1"/>
    <n v="0"/>
    <n v="0"/>
    <n v="0"/>
    <n v="0"/>
    <n v="0"/>
    <m/>
    <n v="68.3"/>
    <s v="Normal"/>
  </r>
  <r>
    <s v="USR-100940"/>
    <d v="2025-05-28T00:00:00"/>
    <x v="1"/>
    <s v="West"/>
    <s v="Mobile"/>
    <x v="1"/>
    <s v="Premium"/>
    <n v="0"/>
    <n v="0"/>
    <n v="0"/>
    <n v="0"/>
    <n v="0"/>
    <n v="0"/>
    <n v="0"/>
    <m/>
    <n v="100"/>
    <s v="Normal"/>
  </r>
  <r>
    <s v="USR-100941"/>
    <d v="2025-01-15T00:00:00"/>
    <x v="1"/>
    <s v="East"/>
    <s v="Mobile"/>
    <x v="0"/>
    <s v="Free"/>
    <n v="1"/>
    <n v="1"/>
    <n v="1"/>
    <n v="0"/>
    <n v="0"/>
    <n v="2"/>
    <n v="0"/>
    <m/>
    <n v="76.5"/>
    <s v="Normal"/>
  </r>
  <r>
    <s v="USR-100942"/>
    <d v="2025-01-03T00:00:00"/>
    <x v="1"/>
    <s v="South"/>
    <s v="Mobile"/>
    <x v="1"/>
    <s v="Basic"/>
    <n v="1"/>
    <n v="1"/>
    <n v="0"/>
    <n v="0"/>
    <n v="0"/>
    <n v="0"/>
    <n v="0"/>
    <m/>
    <n v="62"/>
    <s v="Normal"/>
  </r>
  <r>
    <s v="USR-100943"/>
    <d v="2025-02-04T00:00:00"/>
    <x v="1"/>
    <s v="South"/>
    <s v="Mobile"/>
    <x v="2"/>
    <s v="Free"/>
    <n v="1"/>
    <n v="1"/>
    <n v="1"/>
    <n v="1"/>
    <n v="324.68"/>
    <n v="1"/>
    <n v="0"/>
    <n v="7"/>
    <n v="50.1"/>
    <s v="Normal"/>
  </r>
  <r>
    <s v="USR-100944"/>
    <d v="2025-02-22T00:00:00"/>
    <x v="1"/>
    <s v="South"/>
    <s v="Mobile"/>
    <x v="3"/>
    <s v="Premium"/>
    <n v="1"/>
    <n v="0"/>
    <n v="0"/>
    <n v="0"/>
    <n v="0"/>
    <n v="0"/>
    <n v="0"/>
    <m/>
    <n v="62.1"/>
    <s v="Normal"/>
  </r>
  <r>
    <s v="USR-100945"/>
    <d v="2025-05-06T00:00:00"/>
    <x v="1"/>
    <s v="West"/>
    <s v="Mobile"/>
    <x v="1"/>
    <s v="Basic"/>
    <n v="1"/>
    <n v="0"/>
    <n v="0"/>
    <n v="0"/>
    <n v="0"/>
    <n v="0"/>
    <n v="0"/>
    <m/>
    <n v="49.7"/>
    <s v="Normal"/>
  </r>
  <r>
    <s v="USR-100946"/>
    <d v="2025-01-31T00:00:00"/>
    <x v="1"/>
    <s v="South"/>
    <s v="Mobile"/>
    <x v="1"/>
    <s v="Free"/>
    <n v="1"/>
    <n v="0"/>
    <n v="0"/>
    <n v="0"/>
    <n v="0"/>
    <n v="3"/>
    <n v="0"/>
    <m/>
    <n v="71.099999999999994"/>
    <s v="Normal"/>
  </r>
  <r>
    <s v="USR-100947"/>
    <d v="2025-02-18T00:00:00"/>
    <x v="1"/>
    <s v="North"/>
    <s v="Mobile"/>
    <x v="4"/>
    <s v="Basic"/>
    <n v="0"/>
    <n v="0"/>
    <n v="0"/>
    <n v="0"/>
    <n v="0"/>
    <n v="0"/>
    <n v="0"/>
    <m/>
    <n v="70.8"/>
    <s v="Normal"/>
  </r>
  <r>
    <s v="USR-100948"/>
    <d v="2025-04-23T00:00:00"/>
    <x v="1"/>
    <s v="East"/>
    <s v="Mobile"/>
    <x v="2"/>
    <s v="Free"/>
    <n v="1"/>
    <n v="1"/>
    <n v="1"/>
    <n v="1"/>
    <n v="301.98"/>
    <n v="0"/>
    <n v="0"/>
    <n v="10"/>
    <n v="52.2"/>
    <s v="Normal"/>
  </r>
  <r>
    <s v="USR-100949"/>
    <d v="2025-02-06T00:00:00"/>
    <x v="1"/>
    <s v="North"/>
    <s v="Mobile"/>
    <x v="1"/>
    <s v="Free"/>
    <n v="1"/>
    <n v="1"/>
    <n v="1"/>
    <n v="0"/>
    <n v="0"/>
    <n v="0"/>
    <n v="0"/>
    <m/>
    <n v="73"/>
    <s v="Normal"/>
  </r>
  <r>
    <s v="USR-100950"/>
    <d v="2025-04-26T00:00:00"/>
    <x v="1"/>
    <s v="South"/>
    <s v="Desktop"/>
    <x v="2"/>
    <s v="Free"/>
    <n v="0"/>
    <n v="0"/>
    <n v="0"/>
    <n v="0"/>
    <n v="0"/>
    <n v="0"/>
    <n v="0"/>
    <m/>
    <n v="78.2"/>
    <s v="Normal"/>
  </r>
  <r>
    <s v="USR-100951"/>
    <d v="2025-03-30T00:00:00"/>
    <x v="1"/>
    <s v="West"/>
    <s v="Desktop"/>
    <x v="2"/>
    <s v="Basic"/>
    <n v="1"/>
    <n v="0"/>
    <n v="0"/>
    <n v="0"/>
    <n v="0"/>
    <n v="0"/>
    <n v="0"/>
    <m/>
    <n v="68.8"/>
    <s v="Normal"/>
  </r>
  <r>
    <s v="USR-100952"/>
    <d v="2025-04-13T00:00:00"/>
    <x v="1"/>
    <s v="West"/>
    <s v="Mobile"/>
    <x v="5"/>
    <s v="Premium"/>
    <n v="1"/>
    <n v="0"/>
    <n v="0"/>
    <n v="0"/>
    <n v="0"/>
    <n v="0"/>
    <n v="0"/>
    <m/>
    <n v="57.1"/>
    <s v="Normal"/>
  </r>
  <r>
    <s v="USR-100953"/>
    <d v="2025-04-04T00:00:00"/>
    <x v="1"/>
    <s v="East"/>
    <s v="Desktop"/>
    <x v="1"/>
    <s v="Premium"/>
    <n v="0"/>
    <n v="0"/>
    <n v="0"/>
    <n v="0"/>
    <n v="0"/>
    <n v="1"/>
    <n v="0"/>
    <m/>
    <n v="74.599999999999994"/>
    <s v="Normal"/>
  </r>
  <r>
    <s v="USR-100954"/>
    <d v="2025-04-03T00:00:00"/>
    <x v="1"/>
    <s v="North"/>
    <s v="Desktop"/>
    <x v="3"/>
    <s v="Free"/>
    <n v="1"/>
    <n v="0"/>
    <n v="0"/>
    <n v="0"/>
    <n v="0"/>
    <n v="1"/>
    <n v="0"/>
    <m/>
    <n v="64.099999999999994"/>
    <s v="Normal"/>
  </r>
  <r>
    <s v="USR-100955"/>
    <d v="2025-03-14T00:00:00"/>
    <x v="1"/>
    <s v="West"/>
    <s v="Mobile"/>
    <x v="2"/>
    <s v="Premium"/>
    <n v="1"/>
    <n v="0"/>
    <n v="0"/>
    <n v="0"/>
    <n v="0"/>
    <n v="0"/>
    <n v="0"/>
    <m/>
    <n v="67.3"/>
    <s v="Normal"/>
  </r>
  <r>
    <s v="USR-100956"/>
    <d v="2025-01-14T00:00:00"/>
    <x v="1"/>
    <s v="West"/>
    <s v="Mobile"/>
    <x v="3"/>
    <s v="Free"/>
    <n v="0"/>
    <n v="0"/>
    <n v="0"/>
    <n v="0"/>
    <n v="0"/>
    <n v="2"/>
    <n v="0"/>
    <m/>
    <n v="41"/>
    <s v="Normal"/>
  </r>
  <r>
    <s v="USR-100957"/>
    <d v="2025-05-05T00:00:00"/>
    <x v="1"/>
    <s v="West"/>
    <s v="Mobile"/>
    <x v="2"/>
    <s v="Free"/>
    <n v="0"/>
    <n v="0"/>
    <n v="0"/>
    <n v="0"/>
    <n v="0"/>
    <n v="0"/>
    <n v="0"/>
    <m/>
    <n v="48.1"/>
    <s v="Normal"/>
  </r>
  <r>
    <s v="USR-100958"/>
    <d v="2025-05-02T00:00:00"/>
    <x v="1"/>
    <s v="West"/>
    <s v="Desktop"/>
    <x v="4"/>
    <s v="Free"/>
    <n v="0"/>
    <n v="0"/>
    <n v="0"/>
    <n v="0"/>
    <n v="0"/>
    <n v="1"/>
    <n v="0"/>
    <m/>
    <n v="60.8"/>
    <s v="Normal"/>
  </r>
  <r>
    <s v="USR-100959"/>
    <d v="2025-05-21T00:00:00"/>
    <x v="1"/>
    <s v="East"/>
    <s v="Mobile"/>
    <x v="1"/>
    <s v="Free"/>
    <n v="1"/>
    <n v="0"/>
    <n v="0"/>
    <n v="0"/>
    <n v="0"/>
    <n v="0"/>
    <n v="0"/>
    <m/>
    <n v="63.1"/>
    <s v="Normal"/>
  </r>
  <r>
    <s v="USR-100960"/>
    <d v="2025-05-16T00:00:00"/>
    <x v="1"/>
    <s v="North"/>
    <s v="Mobile"/>
    <x v="3"/>
    <s v="Premium"/>
    <n v="1"/>
    <n v="0"/>
    <n v="0"/>
    <n v="0"/>
    <n v="0"/>
    <n v="2"/>
    <n v="0"/>
    <m/>
    <n v="49.7"/>
    <s v="Normal"/>
  </r>
  <r>
    <s v="USR-100961"/>
    <d v="2025-05-24T00:00:00"/>
    <x v="1"/>
    <s v="East"/>
    <s v="Desktop"/>
    <x v="1"/>
    <s v="Premium"/>
    <n v="1"/>
    <n v="1"/>
    <n v="1"/>
    <n v="0"/>
    <n v="0"/>
    <n v="1"/>
    <n v="0"/>
    <m/>
    <n v="83.4"/>
    <s v="Normal"/>
  </r>
  <r>
    <s v="USR-100962"/>
    <d v="2025-03-18T00:00:00"/>
    <x v="1"/>
    <s v="East"/>
    <s v="Mobile"/>
    <x v="1"/>
    <s v="Basic"/>
    <n v="1"/>
    <n v="0"/>
    <n v="0"/>
    <n v="0"/>
    <n v="0"/>
    <n v="0"/>
    <n v="0"/>
    <m/>
    <n v="75.900000000000006"/>
    <s v="Normal"/>
  </r>
  <r>
    <s v="USR-100963"/>
    <d v="2025-01-11T00:00:00"/>
    <x v="1"/>
    <s v="East"/>
    <s v="Desktop"/>
    <x v="2"/>
    <s v="Free"/>
    <n v="0"/>
    <n v="0"/>
    <n v="0"/>
    <n v="0"/>
    <n v="0"/>
    <n v="1"/>
    <n v="0"/>
    <m/>
    <n v="71.8"/>
    <s v="Normal"/>
  </r>
  <r>
    <s v="USR-100964"/>
    <d v="2025-02-09T00:00:00"/>
    <x v="1"/>
    <s v="South"/>
    <s v="Mobile"/>
    <x v="1"/>
    <s v="Basic"/>
    <n v="0"/>
    <n v="0"/>
    <n v="0"/>
    <n v="0"/>
    <n v="0"/>
    <n v="0"/>
    <n v="0"/>
    <m/>
    <n v="37.9"/>
    <s v="Normal"/>
  </r>
  <r>
    <s v="USR-100965"/>
    <d v="2025-03-01T00:00:00"/>
    <x v="1"/>
    <s v="North"/>
    <s v="Desktop"/>
    <x v="4"/>
    <s v="Free"/>
    <n v="1"/>
    <n v="0"/>
    <n v="0"/>
    <n v="0"/>
    <n v="0"/>
    <n v="0"/>
    <n v="0"/>
    <m/>
    <n v="59.8"/>
    <s v="Normal"/>
  </r>
  <r>
    <s v="USR-100966"/>
    <d v="2025-05-07T00:00:00"/>
    <x v="1"/>
    <s v="North"/>
    <s v="Mobile"/>
    <x v="1"/>
    <s v="Basic"/>
    <n v="0"/>
    <n v="0"/>
    <n v="0"/>
    <n v="0"/>
    <n v="0"/>
    <n v="0"/>
    <n v="0"/>
    <m/>
    <n v="66.900000000000006"/>
    <s v="Normal"/>
  </r>
  <r>
    <s v="USR-100967"/>
    <d v="2025-02-19T00:00:00"/>
    <x v="1"/>
    <s v="South"/>
    <s v="Desktop"/>
    <x v="5"/>
    <s v="Free"/>
    <n v="1"/>
    <n v="0"/>
    <n v="0"/>
    <n v="0"/>
    <n v="0"/>
    <n v="0"/>
    <n v="0"/>
    <m/>
    <n v="59"/>
    <s v="Normal"/>
  </r>
  <r>
    <s v="USR-100968"/>
    <d v="2025-02-26T00:00:00"/>
    <x v="1"/>
    <s v="West"/>
    <s v="Mobile"/>
    <x v="1"/>
    <s v="Premium"/>
    <n v="1"/>
    <n v="0"/>
    <n v="0"/>
    <n v="0"/>
    <n v="0"/>
    <n v="0"/>
    <n v="0"/>
    <m/>
    <n v="80.099999999999994"/>
    <s v="Normal"/>
  </r>
  <r>
    <s v="USR-100969"/>
    <d v="2025-03-23T00:00:00"/>
    <x v="1"/>
    <s v="South"/>
    <s v="Mobile"/>
    <x v="4"/>
    <s v="Free"/>
    <n v="0"/>
    <n v="0"/>
    <n v="0"/>
    <n v="0"/>
    <n v="0"/>
    <n v="0"/>
    <n v="0"/>
    <m/>
    <n v="64.3"/>
    <s v="Normal"/>
  </r>
  <r>
    <s v="USR-100970"/>
    <d v="2025-04-25T00:00:00"/>
    <x v="1"/>
    <s v="South"/>
    <s v="Desktop"/>
    <x v="4"/>
    <s v="Free"/>
    <n v="0"/>
    <n v="0"/>
    <n v="0"/>
    <n v="0"/>
    <n v="0"/>
    <n v="1"/>
    <n v="0"/>
    <m/>
    <n v="57.4"/>
    <s v="Normal"/>
  </r>
  <r>
    <s v="USR-100971"/>
    <d v="2025-05-10T00:00:00"/>
    <x v="1"/>
    <s v="North"/>
    <s v="Desktop"/>
    <x v="4"/>
    <s v="Free"/>
    <n v="1"/>
    <n v="1"/>
    <n v="1"/>
    <n v="0"/>
    <n v="0"/>
    <n v="0"/>
    <n v="0"/>
    <m/>
    <n v="83.6"/>
    <s v="Normal"/>
  </r>
  <r>
    <s v="USR-100972"/>
    <d v="2025-04-22T00:00:00"/>
    <x v="1"/>
    <s v="East"/>
    <s v="Mobile"/>
    <x v="2"/>
    <s v="Premium"/>
    <n v="0"/>
    <n v="0"/>
    <n v="0"/>
    <n v="0"/>
    <n v="0"/>
    <n v="0"/>
    <n v="0"/>
    <m/>
    <n v="45.8"/>
    <s v="Normal"/>
  </r>
  <r>
    <s v="USR-100973"/>
    <d v="2025-02-18T00:00:00"/>
    <x v="1"/>
    <s v="West"/>
    <s v="Mobile"/>
    <x v="3"/>
    <s v="Basic"/>
    <n v="1"/>
    <n v="1"/>
    <n v="1"/>
    <n v="0"/>
    <n v="0"/>
    <n v="0"/>
    <n v="0"/>
    <m/>
    <n v="64.3"/>
    <s v="Normal"/>
  </r>
  <r>
    <s v="USR-100974"/>
    <d v="2025-01-26T00:00:00"/>
    <x v="1"/>
    <s v="South"/>
    <s v="Mobile"/>
    <x v="2"/>
    <s v="Premium"/>
    <n v="1"/>
    <n v="1"/>
    <n v="1"/>
    <n v="0"/>
    <n v="0"/>
    <n v="0"/>
    <n v="0"/>
    <m/>
    <n v="80.5"/>
    <s v="Normal"/>
  </r>
  <r>
    <s v="USR-100975"/>
    <d v="2025-04-28T00:00:00"/>
    <x v="1"/>
    <s v="North"/>
    <s v="Mobile"/>
    <x v="1"/>
    <s v="Free"/>
    <n v="1"/>
    <n v="0"/>
    <n v="0"/>
    <n v="0"/>
    <n v="0"/>
    <n v="0"/>
    <n v="0"/>
    <m/>
    <n v="46.3"/>
    <s v="Normal"/>
  </r>
  <r>
    <s v="USR-100976"/>
    <d v="2025-04-02T00:00:00"/>
    <x v="1"/>
    <s v="South"/>
    <s v="Desktop"/>
    <x v="0"/>
    <s v="Basic"/>
    <n v="1"/>
    <n v="0"/>
    <n v="0"/>
    <n v="0"/>
    <n v="0"/>
    <n v="0"/>
    <n v="0"/>
    <m/>
    <n v="71.599999999999994"/>
    <s v="Normal"/>
  </r>
  <r>
    <s v="USR-100977"/>
    <d v="2025-04-12T00:00:00"/>
    <x v="1"/>
    <s v="South"/>
    <s v="Desktop"/>
    <x v="0"/>
    <s v="Premium"/>
    <n v="1"/>
    <n v="1"/>
    <n v="0"/>
    <n v="0"/>
    <n v="0"/>
    <n v="0"/>
    <n v="0"/>
    <m/>
    <n v="57.8"/>
    <s v="Normal"/>
  </r>
  <r>
    <s v="USR-100978"/>
    <d v="2025-01-03T00:00:00"/>
    <x v="1"/>
    <s v="West"/>
    <s v="Desktop"/>
    <x v="0"/>
    <s v="Basic"/>
    <n v="1"/>
    <n v="1"/>
    <n v="1"/>
    <n v="0"/>
    <n v="0"/>
    <n v="1"/>
    <n v="0"/>
    <m/>
    <n v="57.8"/>
    <s v="Normal"/>
  </r>
  <r>
    <s v="USR-100979"/>
    <d v="2025-05-08T00:00:00"/>
    <x v="1"/>
    <s v="North"/>
    <s v="Mobile"/>
    <x v="2"/>
    <s v="Free"/>
    <n v="1"/>
    <n v="0"/>
    <n v="0"/>
    <n v="0"/>
    <n v="0"/>
    <n v="0"/>
    <n v="0"/>
    <m/>
    <n v="38.299999999999997"/>
    <s v="Normal"/>
  </r>
  <r>
    <s v="USR-100980"/>
    <d v="2025-02-20T00:00:00"/>
    <x v="1"/>
    <s v="North"/>
    <s v="Mobile"/>
    <x v="3"/>
    <s v="Premium"/>
    <n v="1"/>
    <n v="0"/>
    <n v="0"/>
    <n v="0"/>
    <n v="0"/>
    <n v="1"/>
    <n v="0"/>
    <m/>
    <n v="66.099999999999994"/>
    <s v="Normal"/>
  </r>
  <r>
    <s v="USR-100981"/>
    <d v="2025-03-17T00:00:00"/>
    <x v="1"/>
    <s v="North"/>
    <s v="Desktop"/>
    <x v="2"/>
    <s v="Premium"/>
    <n v="1"/>
    <n v="0"/>
    <n v="0"/>
    <n v="0"/>
    <n v="0"/>
    <n v="0"/>
    <n v="0"/>
    <m/>
    <n v="66.5"/>
    <s v="Normal"/>
  </r>
  <r>
    <s v="USR-100982"/>
    <d v="2025-04-10T00:00:00"/>
    <x v="1"/>
    <s v="South"/>
    <s v="Desktop"/>
    <x v="0"/>
    <s v="Free"/>
    <n v="1"/>
    <n v="0"/>
    <n v="0"/>
    <n v="0"/>
    <n v="0"/>
    <n v="3"/>
    <n v="0"/>
    <m/>
    <n v="51.5"/>
    <s v="Normal"/>
  </r>
  <r>
    <s v="USR-100983"/>
    <d v="2025-05-08T00:00:00"/>
    <x v="1"/>
    <s v="North"/>
    <s v="Desktop"/>
    <x v="3"/>
    <s v="Free"/>
    <n v="1"/>
    <n v="0"/>
    <n v="0"/>
    <n v="0"/>
    <n v="0"/>
    <n v="0"/>
    <n v="0"/>
    <m/>
    <n v="59.9"/>
    <s v="Normal"/>
  </r>
  <r>
    <s v="USR-100984"/>
    <d v="2025-04-19T00:00:00"/>
    <x v="1"/>
    <s v="West"/>
    <s v="Mobile"/>
    <x v="2"/>
    <s v="Basic"/>
    <n v="1"/>
    <n v="0"/>
    <n v="0"/>
    <n v="0"/>
    <n v="0"/>
    <n v="0"/>
    <n v="0"/>
    <m/>
    <n v="58.8"/>
    <s v="Normal"/>
  </r>
  <r>
    <s v="USR-100985"/>
    <d v="2025-01-01T00:00:00"/>
    <x v="1"/>
    <s v="South"/>
    <s v="Tablet"/>
    <x v="2"/>
    <s v="Basic"/>
    <n v="1"/>
    <n v="0"/>
    <n v="0"/>
    <n v="0"/>
    <n v="0"/>
    <n v="0"/>
    <n v="0"/>
    <m/>
    <n v="69.599999999999994"/>
    <s v="Normal"/>
  </r>
  <r>
    <s v="USR-100986"/>
    <d v="2025-03-10T00:00:00"/>
    <x v="1"/>
    <s v="East"/>
    <s v="Mobile"/>
    <x v="2"/>
    <s v="Free"/>
    <n v="1"/>
    <n v="0"/>
    <n v="0"/>
    <n v="0"/>
    <n v="0"/>
    <n v="0"/>
    <n v="0"/>
    <m/>
    <n v="77.5"/>
    <s v="Normal"/>
  </r>
  <r>
    <s v="USR-100987"/>
    <d v="2025-03-10T00:00:00"/>
    <x v="1"/>
    <s v="East"/>
    <s v="Tablet"/>
    <x v="4"/>
    <s v="Premium"/>
    <n v="0"/>
    <n v="0"/>
    <n v="0"/>
    <n v="0"/>
    <n v="0"/>
    <n v="2"/>
    <n v="0"/>
    <m/>
    <n v="57.5"/>
    <s v="Normal"/>
  </r>
  <r>
    <s v="USR-100988"/>
    <d v="2025-04-19T00:00:00"/>
    <x v="1"/>
    <s v="West"/>
    <s v="Tablet"/>
    <x v="0"/>
    <s v="Basic"/>
    <n v="1"/>
    <n v="0"/>
    <n v="0"/>
    <n v="0"/>
    <n v="0"/>
    <n v="0"/>
    <n v="0"/>
    <m/>
    <n v="64.2"/>
    <s v="Normal"/>
  </r>
  <r>
    <s v="USR-100989"/>
    <d v="2025-04-11T00:00:00"/>
    <x v="1"/>
    <s v="West"/>
    <s v="Desktop"/>
    <x v="1"/>
    <s v="Free"/>
    <n v="0"/>
    <n v="0"/>
    <n v="0"/>
    <n v="0"/>
    <n v="0"/>
    <n v="0"/>
    <n v="0"/>
    <m/>
    <n v="60"/>
    <s v="Normal"/>
  </r>
  <r>
    <s v="USR-100990"/>
    <d v="2025-04-10T00:00:00"/>
    <x v="1"/>
    <s v="East"/>
    <s v="Mobile"/>
    <x v="1"/>
    <s v="Basic"/>
    <n v="1"/>
    <n v="0"/>
    <n v="0"/>
    <n v="0"/>
    <n v="0"/>
    <n v="1"/>
    <n v="0"/>
    <m/>
    <n v="43.7"/>
    <s v="Normal"/>
  </r>
  <r>
    <s v="USR-100991"/>
    <d v="2025-01-13T00:00:00"/>
    <x v="1"/>
    <s v="West"/>
    <s v="Desktop"/>
    <x v="4"/>
    <s v="Free"/>
    <n v="1"/>
    <n v="0"/>
    <n v="0"/>
    <n v="0"/>
    <n v="0"/>
    <n v="0"/>
    <n v="0"/>
    <m/>
    <n v="64.900000000000006"/>
    <s v="Normal"/>
  </r>
  <r>
    <s v="USR-100992"/>
    <d v="2025-03-28T00:00:00"/>
    <x v="1"/>
    <s v="South"/>
    <s v="Desktop"/>
    <x v="1"/>
    <s v="Free"/>
    <n v="1"/>
    <n v="1"/>
    <n v="0"/>
    <n v="0"/>
    <n v="0"/>
    <n v="0"/>
    <n v="0"/>
    <m/>
    <n v="45.5"/>
    <s v="Normal"/>
  </r>
  <r>
    <s v="USR-100993"/>
    <d v="2025-01-29T00:00:00"/>
    <x v="1"/>
    <s v="East"/>
    <s v="Mobile"/>
    <x v="2"/>
    <s v="Free"/>
    <n v="1"/>
    <n v="1"/>
    <n v="1"/>
    <n v="1"/>
    <n v="1772.97"/>
    <n v="0"/>
    <n v="0"/>
    <n v="8"/>
    <n v="61.2"/>
    <s v="Normal"/>
  </r>
  <r>
    <s v="USR-100994"/>
    <d v="2025-03-27T00:00:00"/>
    <x v="1"/>
    <s v="South"/>
    <s v="Mobile"/>
    <x v="3"/>
    <s v="Free"/>
    <n v="0"/>
    <n v="0"/>
    <n v="0"/>
    <n v="0"/>
    <n v="0"/>
    <n v="0"/>
    <n v="0"/>
    <m/>
    <n v="87.8"/>
    <s v="Normal"/>
  </r>
  <r>
    <s v="USR-100995"/>
    <d v="2025-03-20T00:00:00"/>
    <x v="1"/>
    <s v="East"/>
    <s v="Tablet"/>
    <x v="4"/>
    <s v="Free"/>
    <n v="0"/>
    <n v="0"/>
    <n v="0"/>
    <n v="0"/>
    <n v="0"/>
    <n v="0"/>
    <n v="0"/>
    <m/>
    <n v="86.4"/>
    <s v="Normal"/>
  </r>
  <r>
    <s v="USR-100996"/>
    <d v="2025-01-09T00:00:00"/>
    <x v="1"/>
    <s v="North"/>
    <s v="Mobile"/>
    <x v="2"/>
    <s v="Basic"/>
    <n v="0"/>
    <n v="0"/>
    <n v="0"/>
    <n v="0"/>
    <n v="0"/>
    <n v="1"/>
    <n v="0"/>
    <m/>
    <n v="71.400000000000006"/>
    <s v="Normal"/>
  </r>
  <r>
    <s v="USR-100997"/>
    <d v="2025-04-25T00:00:00"/>
    <x v="1"/>
    <s v="West"/>
    <s v="Mobile"/>
    <x v="4"/>
    <s v="Free"/>
    <n v="1"/>
    <n v="1"/>
    <n v="1"/>
    <n v="1"/>
    <n v="218.66"/>
    <n v="0"/>
    <n v="1"/>
    <n v="8"/>
    <n v="72.2"/>
    <s v="Normal"/>
  </r>
  <r>
    <s v="USR-100998"/>
    <d v="2025-04-11T00:00:00"/>
    <x v="1"/>
    <s v="South"/>
    <s v="Desktop"/>
    <x v="4"/>
    <s v="Free"/>
    <n v="1"/>
    <n v="0"/>
    <n v="0"/>
    <n v="0"/>
    <n v="0"/>
    <n v="0"/>
    <n v="0"/>
    <m/>
    <n v="51.9"/>
    <s v="Normal"/>
  </r>
  <r>
    <s v="USR-100999"/>
    <d v="2025-02-05T00:00:00"/>
    <x v="1"/>
    <s v="East"/>
    <s v="Mobile"/>
    <x v="4"/>
    <s v="Basic"/>
    <n v="1"/>
    <n v="1"/>
    <n v="1"/>
    <n v="0"/>
    <n v="0"/>
    <n v="0"/>
    <n v="0"/>
    <m/>
    <n v="70.3"/>
    <s v="Normal"/>
  </r>
  <r>
    <s v="USR-101000"/>
    <d v="2025-03-28T00:00:00"/>
    <x v="1"/>
    <s v="South"/>
    <s v="Mobile"/>
    <x v="4"/>
    <s v="Premium"/>
    <n v="1"/>
    <n v="0"/>
    <n v="0"/>
    <n v="0"/>
    <n v="0"/>
    <n v="1"/>
    <n v="0"/>
    <m/>
    <n v="49.2"/>
    <s v="Normal"/>
  </r>
  <r>
    <s v="USR-101001"/>
    <d v="2025-05-14T00:00:00"/>
    <x v="1"/>
    <s v="South"/>
    <s v="Mobile"/>
    <x v="3"/>
    <s v="Free"/>
    <n v="0"/>
    <n v="0"/>
    <n v="0"/>
    <n v="0"/>
    <n v="0"/>
    <n v="0"/>
    <n v="0"/>
    <m/>
    <n v="52.2"/>
    <s v="Normal"/>
  </r>
  <r>
    <s v="USR-101002"/>
    <d v="2025-03-10T00:00:00"/>
    <x v="1"/>
    <s v="East"/>
    <s v="Mobile"/>
    <x v="2"/>
    <s v="Basic"/>
    <n v="0"/>
    <n v="0"/>
    <n v="0"/>
    <n v="0"/>
    <n v="0"/>
    <n v="1"/>
    <n v="0"/>
    <m/>
    <n v="62.6"/>
    <s v="Normal"/>
  </r>
  <r>
    <s v="USR-101003"/>
    <d v="2025-04-09T00:00:00"/>
    <x v="1"/>
    <s v="East"/>
    <s v="Desktop"/>
    <x v="2"/>
    <s v="Free"/>
    <n v="1"/>
    <n v="1"/>
    <n v="0"/>
    <n v="0"/>
    <n v="0"/>
    <n v="0"/>
    <n v="0"/>
    <m/>
    <n v="100"/>
    <s v="Normal"/>
  </r>
  <r>
    <s v="USR-101004"/>
    <d v="2025-02-13T00:00:00"/>
    <x v="1"/>
    <s v="North"/>
    <s v="Mobile"/>
    <x v="3"/>
    <s v="Basic"/>
    <n v="1"/>
    <n v="1"/>
    <n v="1"/>
    <n v="0"/>
    <n v="0"/>
    <n v="2"/>
    <n v="0"/>
    <m/>
    <n v="45.9"/>
    <s v="Normal"/>
  </r>
  <r>
    <s v="USR-101005"/>
    <d v="2025-05-03T00:00:00"/>
    <x v="1"/>
    <s v="East"/>
    <s v="Mobile"/>
    <x v="0"/>
    <s v="Free"/>
    <n v="1"/>
    <n v="1"/>
    <n v="1"/>
    <n v="0"/>
    <n v="0"/>
    <n v="0"/>
    <n v="0"/>
    <m/>
    <n v="80.7"/>
    <s v="Normal"/>
  </r>
  <r>
    <s v="USR-101006"/>
    <d v="2025-04-16T00:00:00"/>
    <x v="1"/>
    <s v="South"/>
    <s v="Desktop"/>
    <x v="3"/>
    <s v="Premium"/>
    <n v="1"/>
    <n v="0"/>
    <n v="0"/>
    <n v="0"/>
    <n v="0"/>
    <n v="0"/>
    <n v="0"/>
    <m/>
    <n v="51.9"/>
    <s v="Normal"/>
  </r>
  <r>
    <s v="USR-101007"/>
    <d v="2025-04-30T00:00:00"/>
    <x v="1"/>
    <s v="North"/>
    <s v="Mobile"/>
    <x v="2"/>
    <s v="Premium"/>
    <n v="1"/>
    <n v="0"/>
    <n v="0"/>
    <n v="0"/>
    <n v="0"/>
    <n v="0"/>
    <n v="0"/>
    <m/>
    <n v="68.900000000000006"/>
    <s v="Normal"/>
  </r>
  <r>
    <s v="USR-101008"/>
    <d v="2025-02-18T00:00:00"/>
    <x v="1"/>
    <s v="West"/>
    <s v="Desktop"/>
    <x v="1"/>
    <s v="Free"/>
    <n v="1"/>
    <n v="0"/>
    <n v="0"/>
    <n v="0"/>
    <n v="0"/>
    <n v="0"/>
    <n v="0"/>
    <m/>
    <n v="66"/>
    <s v="Normal"/>
  </r>
  <r>
    <s v="USR-101009"/>
    <d v="2025-05-22T00:00:00"/>
    <x v="1"/>
    <s v="West"/>
    <s v="Desktop"/>
    <x v="3"/>
    <s v="Basic"/>
    <n v="0"/>
    <n v="0"/>
    <n v="0"/>
    <n v="0"/>
    <n v="0"/>
    <n v="0"/>
    <n v="0"/>
    <m/>
    <n v="63.1"/>
    <s v="Normal"/>
  </r>
  <r>
    <s v="USR-101010"/>
    <d v="2025-05-21T00:00:00"/>
    <x v="1"/>
    <s v="South"/>
    <s v="Desktop"/>
    <x v="1"/>
    <s v="Free"/>
    <n v="0"/>
    <n v="0"/>
    <n v="0"/>
    <n v="0"/>
    <n v="0"/>
    <n v="0"/>
    <n v="0"/>
    <m/>
    <n v="56"/>
    <s v="Normal"/>
  </r>
  <r>
    <s v="USR-101011"/>
    <d v="2025-04-10T00:00:00"/>
    <x v="1"/>
    <s v="East"/>
    <s v="Desktop"/>
    <x v="1"/>
    <s v="Free"/>
    <n v="1"/>
    <n v="0"/>
    <n v="0"/>
    <n v="0"/>
    <n v="0"/>
    <n v="1"/>
    <n v="0"/>
    <m/>
    <n v="65.7"/>
    <s v="Normal"/>
  </r>
  <r>
    <s v="USR-101012"/>
    <d v="2025-01-07T00:00:00"/>
    <x v="1"/>
    <s v="North"/>
    <s v="Desktop"/>
    <x v="1"/>
    <s v="Premium"/>
    <n v="1"/>
    <n v="1"/>
    <n v="1"/>
    <n v="1"/>
    <n v="1938.31"/>
    <n v="1"/>
    <n v="0"/>
    <n v="9"/>
    <n v="60.9"/>
    <s v="Normal"/>
  </r>
  <r>
    <s v="USR-101013"/>
    <d v="2025-02-03T00:00:00"/>
    <x v="1"/>
    <s v="South"/>
    <s v="Desktop"/>
    <x v="4"/>
    <s v="Free"/>
    <n v="0"/>
    <n v="0"/>
    <n v="0"/>
    <n v="0"/>
    <n v="0"/>
    <n v="0"/>
    <n v="0"/>
    <m/>
    <n v="45.5"/>
    <s v="Normal"/>
  </r>
  <r>
    <s v="USR-101014"/>
    <d v="2025-05-18T00:00:00"/>
    <x v="1"/>
    <s v="North"/>
    <s v="Mobile"/>
    <x v="2"/>
    <s v="Free"/>
    <n v="1"/>
    <n v="0"/>
    <n v="0"/>
    <n v="0"/>
    <n v="0"/>
    <n v="0"/>
    <n v="0"/>
    <m/>
    <n v="50"/>
    <s v="Normal"/>
  </r>
  <r>
    <s v="USR-101015"/>
    <d v="2025-01-31T00:00:00"/>
    <x v="1"/>
    <s v="North"/>
    <s v="Mobile"/>
    <x v="3"/>
    <s v="Free"/>
    <n v="1"/>
    <n v="0"/>
    <n v="0"/>
    <n v="0"/>
    <n v="0"/>
    <n v="0"/>
    <n v="0"/>
    <m/>
    <n v="72.099999999999994"/>
    <s v="Normal"/>
  </r>
  <r>
    <s v="USR-101016"/>
    <d v="2025-01-16T00:00:00"/>
    <x v="1"/>
    <s v="South"/>
    <s v="Desktop"/>
    <x v="1"/>
    <s v="Basic"/>
    <n v="1"/>
    <n v="0"/>
    <n v="0"/>
    <n v="0"/>
    <n v="0"/>
    <n v="0"/>
    <n v="0"/>
    <m/>
    <n v="76.3"/>
    <s v="Normal"/>
  </r>
  <r>
    <s v="USR-101017"/>
    <d v="2025-05-14T00:00:00"/>
    <x v="1"/>
    <s v="East"/>
    <s v="Mobile"/>
    <x v="2"/>
    <s v="Basic"/>
    <n v="1"/>
    <n v="1"/>
    <n v="0"/>
    <n v="0"/>
    <n v="0"/>
    <n v="1"/>
    <n v="0"/>
    <m/>
    <n v="54.8"/>
    <s v="Normal"/>
  </r>
  <r>
    <s v="USR-101018"/>
    <d v="2025-04-01T00:00:00"/>
    <x v="1"/>
    <s v="South"/>
    <s v="Mobile"/>
    <x v="5"/>
    <s v="Basic"/>
    <n v="1"/>
    <n v="0"/>
    <n v="0"/>
    <n v="0"/>
    <n v="0"/>
    <n v="0"/>
    <n v="0"/>
    <m/>
    <n v="63.6"/>
    <s v="Normal"/>
  </r>
  <r>
    <s v="USR-101019"/>
    <d v="2025-04-23T00:00:00"/>
    <x v="1"/>
    <s v="South"/>
    <s v="Mobile"/>
    <x v="1"/>
    <s v="Free"/>
    <n v="1"/>
    <n v="0"/>
    <n v="0"/>
    <n v="0"/>
    <n v="0"/>
    <n v="0"/>
    <n v="0"/>
    <m/>
    <n v="68.8"/>
    <s v="Normal"/>
  </r>
  <r>
    <s v="USR-101020"/>
    <d v="2025-03-02T00:00:00"/>
    <x v="1"/>
    <s v="South"/>
    <s v="Desktop"/>
    <x v="2"/>
    <s v="Basic"/>
    <n v="1"/>
    <n v="0"/>
    <n v="0"/>
    <n v="0"/>
    <n v="0"/>
    <n v="0"/>
    <n v="0"/>
    <m/>
    <n v="63.2"/>
    <s v="Normal"/>
  </r>
  <r>
    <s v="USR-101021"/>
    <d v="2025-01-02T00:00:00"/>
    <x v="1"/>
    <s v="East"/>
    <s v="Mobile"/>
    <x v="2"/>
    <s v="Basic"/>
    <n v="0"/>
    <n v="0"/>
    <n v="0"/>
    <n v="0"/>
    <n v="0"/>
    <n v="0"/>
    <n v="0"/>
    <m/>
    <n v="45"/>
    <s v="Normal"/>
  </r>
  <r>
    <s v="USR-101022"/>
    <d v="2025-05-04T00:00:00"/>
    <x v="1"/>
    <s v="South"/>
    <s v="Mobile"/>
    <x v="1"/>
    <s v="Free"/>
    <n v="1"/>
    <n v="0"/>
    <n v="0"/>
    <n v="0"/>
    <n v="0"/>
    <n v="0"/>
    <n v="0"/>
    <m/>
    <n v="77.400000000000006"/>
    <s v="Normal"/>
  </r>
  <r>
    <s v="USR-101023"/>
    <d v="2025-01-16T00:00:00"/>
    <x v="1"/>
    <s v="East"/>
    <s v="Desktop"/>
    <x v="2"/>
    <s v="Basic"/>
    <n v="0"/>
    <n v="0"/>
    <n v="0"/>
    <n v="0"/>
    <n v="0"/>
    <n v="0"/>
    <n v="0"/>
    <m/>
    <n v="53.1"/>
    <s v="Normal"/>
  </r>
  <r>
    <s v="USR-101024"/>
    <d v="2025-02-11T00:00:00"/>
    <x v="1"/>
    <s v="West"/>
    <s v="Tablet"/>
    <x v="2"/>
    <s v="Premium"/>
    <n v="0"/>
    <n v="0"/>
    <n v="0"/>
    <n v="0"/>
    <n v="0"/>
    <n v="0"/>
    <n v="0"/>
    <m/>
    <n v="74"/>
    <s v="Normal"/>
  </r>
  <r>
    <s v="USR-101025"/>
    <d v="2025-04-03T00:00:00"/>
    <x v="1"/>
    <s v="North"/>
    <s v="Mobile"/>
    <x v="4"/>
    <s v="Premium"/>
    <n v="1"/>
    <n v="1"/>
    <n v="1"/>
    <n v="1"/>
    <n v="1906.23"/>
    <n v="0"/>
    <n v="0"/>
    <n v="4"/>
    <n v="84.6"/>
    <s v="Normal"/>
  </r>
  <r>
    <s v="USR-101026"/>
    <d v="2025-03-26T00:00:00"/>
    <x v="1"/>
    <s v="East"/>
    <s v="Mobile"/>
    <x v="3"/>
    <s v="Free"/>
    <n v="1"/>
    <n v="0"/>
    <n v="0"/>
    <n v="0"/>
    <n v="0"/>
    <n v="0"/>
    <n v="0"/>
    <m/>
    <n v="57"/>
    <s v="Normal"/>
  </r>
  <r>
    <s v="USR-101027"/>
    <d v="2025-05-16T00:00:00"/>
    <x v="1"/>
    <s v="South"/>
    <s v="Mobile"/>
    <x v="0"/>
    <s v="Premium"/>
    <n v="0"/>
    <n v="0"/>
    <n v="0"/>
    <n v="0"/>
    <n v="0"/>
    <n v="0"/>
    <n v="0"/>
    <m/>
    <n v="46.3"/>
    <s v="Normal"/>
  </r>
  <r>
    <s v="USR-101028"/>
    <d v="2025-04-20T00:00:00"/>
    <x v="1"/>
    <s v="West"/>
    <s v="Mobile"/>
    <x v="4"/>
    <s v="Free"/>
    <n v="0"/>
    <n v="0"/>
    <n v="0"/>
    <n v="0"/>
    <n v="0"/>
    <n v="1"/>
    <n v="0"/>
    <m/>
    <n v="64.400000000000006"/>
    <s v="Normal"/>
  </r>
  <r>
    <s v="USR-101029"/>
    <d v="2025-04-15T00:00:00"/>
    <x v="1"/>
    <s v="West"/>
    <s v="Mobile"/>
    <x v="2"/>
    <s v="Free"/>
    <n v="1"/>
    <n v="0"/>
    <n v="0"/>
    <n v="0"/>
    <n v="0"/>
    <n v="2"/>
    <n v="0"/>
    <m/>
    <n v="61.9"/>
    <s v="Normal"/>
  </r>
  <r>
    <s v="USR-101030"/>
    <d v="2025-01-24T00:00:00"/>
    <x v="1"/>
    <s v="North"/>
    <s v="Mobile"/>
    <x v="1"/>
    <s v="Premium"/>
    <n v="1"/>
    <n v="1"/>
    <n v="1"/>
    <n v="0"/>
    <n v="0"/>
    <n v="0"/>
    <n v="0"/>
    <m/>
    <n v="93.7"/>
    <s v="Normal"/>
  </r>
  <r>
    <s v="USR-101031"/>
    <d v="2025-04-11T00:00:00"/>
    <x v="1"/>
    <s v="South"/>
    <s v="Mobile"/>
    <x v="3"/>
    <s v="Basic"/>
    <n v="0"/>
    <n v="0"/>
    <n v="0"/>
    <n v="0"/>
    <n v="0"/>
    <n v="0"/>
    <n v="0"/>
    <m/>
    <n v="61.6"/>
    <s v="Normal"/>
  </r>
  <r>
    <s v="USR-101032"/>
    <d v="2025-05-19T00:00:00"/>
    <x v="1"/>
    <s v="North"/>
    <s v="Mobile"/>
    <x v="2"/>
    <s v="Free"/>
    <n v="1"/>
    <n v="0"/>
    <n v="0"/>
    <n v="0"/>
    <n v="0"/>
    <n v="0"/>
    <n v="0"/>
    <m/>
    <n v="72.2"/>
    <s v="Normal"/>
  </r>
  <r>
    <s v="USR-101033"/>
    <d v="2025-01-14T00:00:00"/>
    <x v="1"/>
    <s v="North"/>
    <s v="Mobile"/>
    <x v="1"/>
    <s v="Basic"/>
    <n v="0"/>
    <n v="0"/>
    <n v="0"/>
    <n v="0"/>
    <n v="0"/>
    <n v="0"/>
    <n v="0"/>
    <m/>
    <n v="69.5"/>
    <s v="Normal"/>
  </r>
  <r>
    <s v="USR-101034"/>
    <d v="2025-02-28T00:00:00"/>
    <x v="1"/>
    <s v="East"/>
    <s v="Desktop"/>
    <x v="1"/>
    <s v="Basic"/>
    <n v="0"/>
    <n v="0"/>
    <n v="0"/>
    <n v="0"/>
    <n v="0"/>
    <n v="0"/>
    <n v="0"/>
    <m/>
    <n v="59.7"/>
    <s v="Normal"/>
  </r>
  <r>
    <s v="USR-101035"/>
    <d v="2025-05-18T00:00:00"/>
    <x v="1"/>
    <s v="East"/>
    <s v="Tablet"/>
    <x v="2"/>
    <s v="Basic"/>
    <n v="1"/>
    <n v="0"/>
    <n v="0"/>
    <n v="0"/>
    <n v="0"/>
    <n v="0"/>
    <n v="0"/>
    <m/>
    <n v="73.900000000000006"/>
    <s v="Normal"/>
  </r>
  <r>
    <s v="USR-101036"/>
    <d v="2025-01-04T00:00:00"/>
    <x v="1"/>
    <s v="North"/>
    <s v="Mobile"/>
    <x v="4"/>
    <s v="Free"/>
    <n v="0"/>
    <n v="0"/>
    <n v="0"/>
    <n v="0"/>
    <n v="0"/>
    <n v="0"/>
    <n v="0"/>
    <m/>
    <n v="41.5"/>
    <s v="Normal"/>
  </r>
  <r>
    <s v="USR-101037"/>
    <d v="2025-01-16T00:00:00"/>
    <x v="1"/>
    <s v="West"/>
    <s v="Mobile"/>
    <x v="4"/>
    <s v="Premium"/>
    <n v="1"/>
    <n v="0"/>
    <n v="0"/>
    <n v="0"/>
    <n v="0"/>
    <n v="0"/>
    <n v="0"/>
    <m/>
    <n v="82.8"/>
    <s v="Normal"/>
  </r>
  <r>
    <s v="USR-101038"/>
    <d v="2025-03-14T00:00:00"/>
    <x v="1"/>
    <s v="West"/>
    <s v="Mobile"/>
    <x v="4"/>
    <s v="Premium"/>
    <n v="1"/>
    <n v="0"/>
    <n v="0"/>
    <n v="0"/>
    <n v="0"/>
    <n v="3"/>
    <n v="0"/>
    <m/>
    <n v="70.2"/>
    <s v="Normal"/>
  </r>
  <r>
    <s v="USR-101039"/>
    <d v="2025-01-23T00:00:00"/>
    <x v="1"/>
    <s v="East"/>
    <s v="Mobile"/>
    <x v="2"/>
    <s v="Basic"/>
    <n v="1"/>
    <n v="0"/>
    <n v="0"/>
    <n v="0"/>
    <n v="0"/>
    <n v="1"/>
    <n v="0"/>
    <m/>
    <n v="69.400000000000006"/>
    <s v="Normal"/>
  </r>
  <r>
    <s v="USR-101040"/>
    <d v="2025-02-03T00:00:00"/>
    <x v="1"/>
    <s v="North"/>
    <s v="Desktop"/>
    <x v="1"/>
    <s v="Basic"/>
    <n v="1"/>
    <n v="0"/>
    <n v="0"/>
    <n v="0"/>
    <n v="0"/>
    <n v="0"/>
    <n v="0"/>
    <m/>
    <n v="60.4"/>
    <s v="Normal"/>
  </r>
  <r>
    <s v="USR-101041"/>
    <d v="2025-05-16T00:00:00"/>
    <x v="1"/>
    <s v="East"/>
    <s v="Mobile"/>
    <x v="3"/>
    <s v="Free"/>
    <n v="1"/>
    <n v="0"/>
    <n v="0"/>
    <n v="0"/>
    <n v="0"/>
    <n v="0"/>
    <n v="0"/>
    <m/>
    <n v="45.7"/>
    <s v="Normal"/>
  </r>
  <r>
    <s v="USR-101042"/>
    <d v="2025-01-11T00:00:00"/>
    <x v="1"/>
    <s v="West"/>
    <s v="Mobile"/>
    <x v="1"/>
    <s v="Basic"/>
    <n v="0"/>
    <n v="0"/>
    <n v="0"/>
    <n v="0"/>
    <n v="0"/>
    <n v="1"/>
    <n v="0"/>
    <m/>
    <n v="42.2"/>
    <s v="Normal"/>
  </r>
  <r>
    <s v="USR-101043"/>
    <d v="2025-05-25T00:00:00"/>
    <x v="1"/>
    <s v="North"/>
    <s v="Desktop"/>
    <x v="1"/>
    <s v="Free"/>
    <n v="0"/>
    <n v="0"/>
    <n v="0"/>
    <n v="0"/>
    <n v="0"/>
    <n v="2"/>
    <n v="0"/>
    <m/>
    <n v="61.9"/>
    <s v="Normal"/>
  </r>
  <r>
    <s v="USR-101044"/>
    <d v="2025-05-08T00:00:00"/>
    <x v="1"/>
    <s v="East"/>
    <s v="Mobile"/>
    <x v="2"/>
    <s v="Premium"/>
    <n v="0"/>
    <n v="0"/>
    <n v="0"/>
    <n v="0"/>
    <n v="0"/>
    <n v="0"/>
    <n v="0"/>
    <m/>
    <n v="44.9"/>
    <s v="Normal"/>
  </r>
  <r>
    <s v="USR-101045"/>
    <d v="2025-02-26T00:00:00"/>
    <x v="1"/>
    <s v="East"/>
    <s v="Desktop"/>
    <x v="5"/>
    <s v="Basic"/>
    <n v="1"/>
    <n v="0"/>
    <n v="0"/>
    <n v="0"/>
    <n v="0"/>
    <n v="0"/>
    <n v="0"/>
    <m/>
    <n v="68"/>
    <s v="Normal"/>
  </r>
  <r>
    <s v="USR-101046"/>
    <d v="2025-03-30T00:00:00"/>
    <x v="1"/>
    <s v="North"/>
    <s v="Mobile"/>
    <x v="2"/>
    <s v="Free"/>
    <n v="1"/>
    <n v="0"/>
    <n v="0"/>
    <n v="0"/>
    <n v="0"/>
    <n v="0"/>
    <n v="0"/>
    <m/>
    <n v="61"/>
    <s v="Normal"/>
  </r>
  <r>
    <s v="USR-101047"/>
    <d v="2025-04-13T00:00:00"/>
    <x v="1"/>
    <s v="West"/>
    <s v="Mobile"/>
    <x v="1"/>
    <s v="Basic"/>
    <n v="1"/>
    <n v="0"/>
    <n v="0"/>
    <n v="0"/>
    <n v="0"/>
    <n v="0"/>
    <n v="0"/>
    <m/>
    <n v="55"/>
    <s v="Normal"/>
  </r>
  <r>
    <s v="USR-101048"/>
    <d v="2025-02-20T00:00:00"/>
    <x v="1"/>
    <s v="East"/>
    <s v="Unknown"/>
    <x v="2"/>
    <s v="Basic"/>
    <n v="1"/>
    <n v="0"/>
    <n v="0"/>
    <n v="0"/>
    <n v="0"/>
    <n v="0"/>
    <n v="0"/>
    <m/>
    <n v="63.1"/>
    <s v="Normal"/>
  </r>
  <r>
    <s v="USR-101049"/>
    <d v="2025-04-19T00:00:00"/>
    <x v="1"/>
    <s v="West"/>
    <s v="Desktop"/>
    <x v="4"/>
    <s v="Free"/>
    <n v="1"/>
    <n v="0"/>
    <n v="0"/>
    <n v="0"/>
    <n v="0"/>
    <n v="0"/>
    <n v="0"/>
    <m/>
    <n v="75.8"/>
    <s v="Normal"/>
  </r>
  <r>
    <s v="USR-101050"/>
    <d v="2025-03-22T00:00:00"/>
    <x v="1"/>
    <s v="South"/>
    <s v="Mobile"/>
    <x v="2"/>
    <s v="Free"/>
    <n v="1"/>
    <n v="1"/>
    <n v="0"/>
    <n v="0"/>
    <n v="0"/>
    <n v="1"/>
    <n v="0"/>
    <m/>
    <n v="43.8"/>
    <s v="Normal"/>
  </r>
  <r>
    <s v="USR-101051"/>
    <d v="2025-02-28T00:00:00"/>
    <x v="1"/>
    <s v="North"/>
    <s v="Mobile"/>
    <x v="0"/>
    <s v="Basic"/>
    <n v="1"/>
    <n v="1"/>
    <n v="0"/>
    <n v="0"/>
    <n v="0"/>
    <n v="0"/>
    <n v="0"/>
    <m/>
    <n v="46.8"/>
    <s v="Normal"/>
  </r>
  <r>
    <s v="USR-101052"/>
    <d v="2025-05-24T00:00:00"/>
    <x v="1"/>
    <s v="East"/>
    <s v="Mobile"/>
    <x v="4"/>
    <s v="Free"/>
    <n v="1"/>
    <n v="1"/>
    <n v="1"/>
    <n v="0"/>
    <n v="0"/>
    <n v="0"/>
    <n v="0"/>
    <m/>
    <n v="97.4"/>
    <s v="Normal"/>
  </r>
  <r>
    <s v="USR-101053"/>
    <d v="2025-02-03T00:00:00"/>
    <x v="1"/>
    <s v="North"/>
    <s v="Desktop"/>
    <x v="0"/>
    <s v="Free"/>
    <n v="1"/>
    <n v="1"/>
    <n v="1"/>
    <n v="1"/>
    <n v="268.95999999999998"/>
    <n v="0"/>
    <n v="0"/>
    <n v="14"/>
    <n v="81"/>
    <s v="Normal"/>
  </r>
  <r>
    <s v="USR-101054"/>
    <d v="2025-01-27T00:00:00"/>
    <x v="1"/>
    <s v="South"/>
    <s v="Mobile"/>
    <x v="1"/>
    <s v="Free"/>
    <n v="1"/>
    <n v="0"/>
    <n v="0"/>
    <n v="0"/>
    <n v="0"/>
    <n v="1"/>
    <n v="0"/>
    <m/>
    <n v="58.9"/>
    <s v="Normal"/>
  </r>
  <r>
    <s v="USR-101055"/>
    <d v="2025-04-17T00:00:00"/>
    <x v="1"/>
    <s v="East"/>
    <s v="Mobile"/>
    <x v="1"/>
    <s v="Free"/>
    <n v="1"/>
    <n v="0"/>
    <n v="0"/>
    <n v="0"/>
    <n v="0"/>
    <n v="0"/>
    <n v="0"/>
    <m/>
    <n v="51.9"/>
    <s v="Normal"/>
  </r>
  <r>
    <s v="USR-101056"/>
    <d v="2025-02-06T00:00:00"/>
    <x v="1"/>
    <s v="West"/>
    <s v="Mobile"/>
    <x v="4"/>
    <s v="Free"/>
    <n v="1"/>
    <n v="1"/>
    <n v="0"/>
    <n v="0"/>
    <n v="0"/>
    <n v="0"/>
    <n v="0"/>
    <m/>
    <n v="61.7"/>
    <s v="Normal"/>
  </r>
  <r>
    <s v="USR-101057"/>
    <d v="2025-04-20T00:00:00"/>
    <x v="1"/>
    <s v="South"/>
    <s v="Mobile"/>
    <x v="2"/>
    <s v="Free"/>
    <n v="1"/>
    <n v="0"/>
    <n v="0"/>
    <n v="0"/>
    <n v="0"/>
    <n v="0"/>
    <n v="0"/>
    <m/>
    <n v="44.7"/>
    <s v="Normal"/>
  </r>
  <r>
    <s v="USR-101058"/>
    <d v="2025-05-06T00:00:00"/>
    <x v="1"/>
    <s v="North"/>
    <s v="Mobile"/>
    <x v="2"/>
    <s v="Basic"/>
    <n v="0"/>
    <n v="0"/>
    <n v="0"/>
    <n v="0"/>
    <n v="0"/>
    <n v="0"/>
    <n v="0"/>
    <m/>
    <n v="63.2"/>
    <s v="Normal"/>
  </r>
  <r>
    <s v="USR-101059"/>
    <d v="2025-05-16T00:00:00"/>
    <x v="1"/>
    <s v="South"/>
    <s v="Mobile"/>
    <x v="1"/>
    <s v="Free"/>
    <n v="1"/>
    <n v="0"/>
    <n v="0"/>
    <n v="0"/>
    <n v="0"/>
    <n v="0"/>
    <n v="0"/>
    <m/>
    <n v="70.3"/>
    <s v="Normal"/>
  </r>
  <r>
    <s v="USR-101060"/>
    <d v="2025-03-02T00:00:00"/>
    <x v="1"/>
    <s v="South"/>
    <s v="Mobile"/>
    <x v="2"/>
    <s v="Premium"/>
    <n v="1"/>
    <n v="1"/>
    <n v="0"/>
    <n v="0"/>
    <n v="0"/>
    <n v="1"/>
    <n v="0"/>
    <m/>
    <n v="83.1"/>
    <s v="Normal"/>
  </r>
  <r>
    <s v="USR-101061"/>
    <d v="2025-04-09T00:00:00"/>
    <x v="1"/>
    <s v="West"/>
    <s v="Mobile"/>
    <x v="4"/>
    <s v="Free"/>
    <n v="0"/>
    <n v="0"/>
    <n v="0"/>
    <n v="0"/>
    <n v="0"/>
    <n v="0"/>
    <n v="0"/>
    <m/>
    <n v="50.3"/>
    <s v="Normal"/>
  </r>
  <r>
    <s v="USR-101062"/>
    <d v="2025-01-26T00:00:00"/>
    <x v="1"/>
    <s v="East"/>
    <s v="Mobile"/>
    <x v="2"/>
    <s v="Free"/>
    <n v="1"/>
    <n v="1"/>
    <n v="1"/>
    <n v="1"/>
    <n v="437.09"/>
    <n v="2"/>
    <n v="1"/>
    <n v="1"/>
    <n v="58.2"/>
    <s v="Normal"/>
  </r>
  <r>
    <s v="USR-101063"/>
    <d v="2025-02-25T00:00:00"/>
    <x v="1"/>
    <s v="South"/>
    <s v="Mobile"/>
    <x v="2"/>
    <s v="Basic"/>
    <n v="1"/>
    <n v="1"/>
    <n v="1"/>
    <n v="0"/>
    <n v="0"/>
    <n v="0"/>
    <n v="0"/>
    <m/>
    <n v="53.2"/>
    <s v="Normal"/>
  </r>
  <r>
    <s v="USR-101064"/>
    <d v="2025-01-07T00:00:00"/>
    <x v="1"/>
    <s v="East"/>
    <s v="Mobile"/>
    <x v="1"/>
    <s v="Premium"/>
    <n v="0"/>
    <n v="0"/>
    <n v="0"/>
    <n v="0"/>
    <n v="0"/>
    <n v="0"/>
    <n v="0"/>
    <m/>
    <n v="36.4"/>
    <s v="Normal"/>
  </r>
  <r>
    <s v="USR-101065"/>
    <d v="2025-03-08T00:00:00"/>
    <x v="1"/>
    <s v="South"/>
    <s v="Mobile"/>
    <x v="4"/>
    <s v="Basic"/>
    <n v="1"/>
    <n v="1"/>
    <n v="1"/>
    <n v="0"/>
    <n v="0"/>
    <n v="0"/>
    <n v="0"/>
    <m/>
    <n v="72.7"/>
    <s v="Normal"/>
  </r>
  <r>
    <s v="USR-101066"/>
    <d v="2025-05-22T00:00:00"/>
    <x v="1"/>
    <s v="East"/>
    <s v="Mobile"/>
    <x v="3"/>
    <s v="Free"/>
    <n v="1"/>
    <n v="0"/>
    <n v="0"/>
    <n v="0"/>
    <n v="0"/>
    <n v="1"/>
    <n v="0"/>
    <m/>
    <n v="86.7"/>
    <s v="Normal"/>
  </r>
  <r>
    <s v="USR-101067"/>
    <d v="2025-04-18T00:00:00"/>
    <x v="1"/>
    <s v="East"/>
    <s v="Mobile"/>
    <x v="2"/>
    <s v="Premium"/>
    <n v="1"/>
    <n v="0"/>
    <n v="0"/>
    <n v="0"/>
    <n v="0"/>
    <n v="0"/>
    <n v="0"/>
    <m/>
    <n v="48.2"/>
    <s v="Normal"/>
  </r>
  <r>
    <s v="USR-101068"/>
    <d v="2025-02-24T00:00:00"/>
    <x v="1"/>
    <s v="West"/>
    <s v="Mobile"/>
    <x v="3"/>
    <s v="Basic"/>
    <n v="0"/>
    <n v="0"/>
    <n v="0"/>
    <n v="0"/>
    <n v="0"/>
    <n v="1"/>
    <n v="0"/>
    <m/>
    <n v="57.6"/>
    <s v="Normal"/>
  </r>
  <r>
    <s v="USR-101069"/>
    <d v="2025-02-11T00:00:00"/>
    <x v="1"/>
    <s v="North"/>
    <s v="Mobile"/>
    <x v="1"/>
    <s v="Free"/>
    <n v="1"/>
    <n v="1"/>
    <n v="1"/>
    <n v="0"/>
    <n v="0"/>
    <n v="0"/>
    <n v="0"/>
    <m/>
    <n v="75.7"/>
    <s v="Normal"/>
  </r>
  <r>
    <s v="USR-101070"/>
    <d v="2025-03-11T00:00:00"/>
    <x v="1"/>
    <s v="West"/>
    <s v="Desktop"/>
    <x v="2"/>
    <s v="Free"/>
    <n v="1"/>
    <n v="0"/>
    <n v="0"/>
    <n v="0"/>
    <n v="0"/>
    <n v="2"/>
    <n v="0"/>
    <m/>
    <n v="48.6"/>
    <s v="Normal"/>
  </r>
  <r>
    <s v="USR-101071"/>
    <d v="2025-04-11T00:00:00"/>
    <x v="1"/>
    <s v="East"/>
    <s v="Tablet"/>
    <x v="3"/>
    <s v="Free"/>
    <n v="1"/>
    <n v="1"/>
    <n v="1"/>
    <n v="0"/>
    <n v="0"/>
    <n v="0"/>
    <n v="0"/>
    <m/>
    <n v="72"/>
    <s v="Normal"/>
  </r>
  <r>
    <s v="USR-101072"/>
    <d v="2025-03-11T00:00:00"/>
    <x v="1"/>
    <s v="North"/>
    <s v="Mobile"/>
    <x v="1"/>
    <s v="Free"/>
    <n v="0"/>
    <n v="0"/>
    <n v="0"/>
    <n v="0"/>
    <n v="0"/>
    <n v="0"/>
    <n v="0"/>
    <m/>
    <n v="72.2"/>
    <s v="Normal"/>
  </r>
  <r>
    <s v="USR-101073"/>
    <d v="2025-05-22T00:00:00"/>
    <x v="1"/>
    <s v="East"/>
    <s v="Mobile"/>
    <x v="3"/>
    <s v="Free"/>
    <n v="1"/>
    <n v="0"/>
    <n v="0"/>
    <n v="0"/>
    <n v="0"/>
    <n v="1"/>
    <n v="0"/>
    <m/>
    <m/>
    <s v="Normal"/>
  </r>
  <r>
    <s v="USR-101074"/>
    <d v="2025-02-22T00:00:00"/>
    <x v="1"/>
    <s v="South"/>
    <s v="Desktop"/>
    <x v="1"/>
    <s v="Free"/>
    <n v="1"/>
    <n v="1"/>
    <n v="1"/>
    <n v="1"/>
    <n v="331.53"/>
    <n v="2"/>
    <n v="0"/>
    <n v="4"/>
    <n v="56.8"/>
    <s v="Normal"/>
  </r>
  <r>
    <s v="USR-101075"/>
    <d v="2025-01-13T00:00:00"/>
    <x v="1"/>
    <s v="East"/>
    <s v="Mobile"/>
    <x v="2"/>
    <s v="Basic"/>
    <n v="1"/>
    <n v="0"/>
    <n v="0"/>
    <n v="0"/>
    <n v="0"/>
    <n v="0"/>
    <n v="0"/>
    <m/>
    <n v="62.5"/>
    <s v="Normal"/>
  </r>
  <r>
    <s v="USR-101076"/>
    <d v="2025-05-19T00:00:00"/>
    <x v="1"/>
    <s v="South"/>
    <s v="Mobile"/>
    <x v="1"/>
    <s v="Free"/>
    <n v="1"/>
    <n v="0"/>
    <n v="0"/>
    <n v="0"/>
    <n v="0"/>
    <n v="0"/>
    <n v="0"/>
    <m/>
    <n v="63.4"/>
    <s v="Normal"/>
  </r>
  <r>
    <s v="USR-101077"/>
    <d v="2025-03-08T00:00:00"/>
    <x v="1"/>
    <s v="North"/>
    <s v="Tablet"/>
    <x v="1"/>
    <s v="Basic"/>
    <n v="1"/>
    <n v="1"/>
    <n v="1"/>
    <n v="1"/>
    <n v="774.78"/>
    <n v="0"/>
    <n v="0"/>
    <n v="3"/>
    <n v="46.8"/>
    <s v="Normal"/>
  </r>
  <r>
    <s v="USR-101078"/>
    <d v="2025-04-20T00:00:00"/>
    <x v="1"/>
    <s v="South"/>
    <s v="Mobile"/>
    <x v="1"/>
    <s v="Free"/>
    <n v="1"/>
    <n v="1"/>
    <n v="1"/>
    <n v="1"/>
    <n v="422.02"/>
    <n v="0"/>
    <n v="0"/>
    <n v="8"/>
    <n v="86.5"/>
    <s v="Normal"/>
  </r>
  <r>
    <s v="USR-101079"/>
    <d v="2025-05-08T00:00:00"/>
    <x v="1"/>
    <s v="West"/>
    <s v="Mobile"/>
    <x v="0"/>
    <s v="Basic"/>
    <n v="0"/>
    <n v="0"/>
    <n v="0"/>
    <n v="0"/>
    <n v="0"/>
    <n v="1"/>
    <n v="0"/>
    <m/>
    <n v="75.099999999999994"/>
    <s v="Normal"/>
  </r>
  <r>
    <s v="USR-101080"/>
    <d v="2025-05-10T00:00:00"/>
    <x v="1"/>
    <s v="South"/>
    <s v="Mobile"/>
    <x v="1"/>
    <s v="Basic"/>
    <n v="1"/>
    <n v="0"/>
    <n v="0"/>
    <n v="0"/>
    <n v="0"/>
    <n v="0"/>
    <n v="0"/>
    <m/>
    <n v="64.5"/>
    <s v="Normal"/>
  </r>
  <r>
    <s v="USR-101081"/>
    <d v="2025-03-28T00:00:00"/>
    <x v="1"/>
    <s v="East"/>
    <s v="Mobile"/>
    <x v="1"/>
    <s v="Free"/>
    <n v="1"/>
    <n v="0"/>
    <n v="0"/>
    <n v="0"/>
    <n v="0"/>
    <n v="0"/>
    <n v="0"/>
    <m/>
    <n v="54.2"/>
    <s v="Normal"/>
  </r>
  <r>
    <s v="USR-101082"/>
    <d v="2025-04-30T00:00:00"/>
    <x v="1"/>
    <s v="East"/>
    <s v="Mobile"/>
    <x v="2"/>
    <s v="Premium"/>
    <n v="1"/>
    <n v="1"/>
    <n v="1"/>
    <n v="0"/>
    <n v="0"/>
    <n v="0"/>
    <n v="0"/>
    <m/>
    <n v="84.1"/>
    <s v="Normal"/>
  </r>
  <r>
    <s v="USR-101083"/>
    <d v="2025-02-08T00:00:00"/>
    <x v="1"/>
    <s v="North"/>
    <s v="Mobile"/>
    <x v="1"/>
    <s v="Basic"/>
    <n v="0"/>
    <n v="0"/>
    <n v="0"/>
    <n v="0"/>
    <n v="0"/>
    <n v="1"/>
    <n v="0"/>
    <m/>
    <n v="49.1"/>
    <s v="Normal"/>
  </r>
  <r>
    <s v="USR-101084"/>
    <d v="2025-03-07T00:00:00"/>
    <x v="1"/>
    <s v="South"/>
    <s v="Mobile"/>
    <x v="3"/>
    <s v="Premium"/>
    <n v="0"/>
    <n v="0"/>
    <n v="0"/>
    <n v="0"/>
    <n v="0"/>
    <n v="0"/>
    <n v="0"/>
    <m/>
    <n v="92.7"/>
    <s v="Normal"/>
  </r>
  <r>
    <s v="USR-101085"/>
    <d v="2025-05-21T00:00:00"/>
    <x v="1"/>
    <s v="South"/>
    <s v="Mobile"/>
    <x v="4"/>
    <s v="Basic"/>
    <n v="1"/>
    <n v="1"/>
    <n v="1"/>
    <n v="0"/>
    <n v="0"/>
    <n v="1"/>
    <n v="0"/>
    <m/>
    <n v="58.7"/>
    <s v="Normal"/>
  </r>
  <r>
    <s v="USR-101086"/>
    <d v="2025-04-12T00:00:00"/>
    <x v="1"/>
    <s v="South"/>
    <s v="Mobile"/>
    <x v="4"/>
    <s v="Free"/>
    <n v="1"/>
    <n v="1"/>
    <n v="1"/>
    <n v="0"/>
    <n v="0"/>
    <n v="0"/>
    <n v="0"/>
    <m/>
    <n v="59.3"/>
    <s v="Normal"/>
  </r>
  <r>
    <s v="USR-101087"/>
    <d v="2025-02-02T00:00:00"/>
    <x v="1"/>
    <s v="South"/>
    <s v="Mobile"/>
    <x v="2"/>
    <s v="Free"/>
    <n v="1"/>
    <n v="0"/>
    <n v="0"/>
    <n v="0"/>
    <n v="0"/>
    <n v="0"/>
    <n v="0"/>
    <m/>
    <n v="62"/>
    <s v="Normal"/>
  </r>
  <r>
    <s v="USR-101088"/>
    <d v="2025-04-22T00:00:00"/>
    <x v="1"/>
    <s v="North"/>
    <s v="Tablet"/>
    <x v="3"/>
    <s v="Free"/>
    <n v="1"/>
    <n v="1"/>
    <n v="1"/>
    <n v="0"/>
    <n v="0"/>
    <n v="1"/>
    <n v="0"/>
    <m/>
    <n v="60.3"/>
    <s v="Normal"/>
  </r>
  <r>
    <s v="USR-101089"/>
    <d v="2025-02-08T00:00:00"/>
    <x v="1"/>
    <s v="North"/>
    <s v="Mobile"/>
    <x v="4"/>
    <s v="Basic"/>
    <n v="1"/>
    <n v="0"/>
    <n v="0"/>
    <n v="0"/>
    <n v="0"/>
    <n v="0"/>
    <n v="0"/>
    <m/>
    <n v="70.5"/>
    <s v="Normal"/>
  </r>
  <r>
    <s v="USR-101090"/>
    <d v="2025-01-24T00:00:00"/>
    <x v="1"/>
    <s v="South"/>
    <s v="Desktop"/>
    <x v="0"/>
    <s v="Free"/>
    <n v="1"/>
    <n v="0"/>
    <n v="0"/>
    <n v="0"/>
    <n v="0"/>
    <n v="0"/>
    <n v="0"/>
    <m/>
    <n v="36.799999999999997"/>
    <s v="Normal"/>
  </r>
  <r>
    <s v="USR-101091"/>
    <d v="2025-05-12T00:00:00"/>
    <x v="1"/>
    <s v="South"/>
    <s v="Mobile"/>
    <x v="2"/>
    <s v="Basic"/>
    <n v="0"/>
    <n v="0"/>
    <n v="0"/>
    <n v="0"/>
    <n v="0"/>
    <n v="1"/>
    <n v="0"/>
    <m/>
    <n v="73.2"/>
    <s v="Normal"/>
  </r>
  <r>
    <s v="USR-101092"/>
    <d v="2025-03-30T00:00:00"/>
    <x v="1"/>
    <s v="North"/>
    <s v="Mobile"/>
    <x v="1"/>
    <s v="Basic"/>
    <n v="0"/>
    <n v="0"/>
    <n v="0"/>
    <n v="0"/>
    <n v="0"/>
    <n v="0"/>
    <n v="0"/>
    <m/>
    <n v="70.099999999999994"/>
    <s v="Normal"/>
  </r>
  <r>
    <s v="USR-101093"/>
    <d v="2025-01-02T00:00:00"/>
    <x v="1"/>
    <s v="South"/>
    <s v="Desktop"/>
    <x v="2"/>
    <s v="Basic"/>
    <n v="1"/>
    <n v="0"/>
    <n v="0"/>
    <n v="0"/>
    <n v="0"/>
    <n v="0"/>
    <n v="0"/>
    <m/>
    <n v="76.400000000000006"/>
    <s v="Normal"/>
  </r>
  <r>
    <s v="USR-101094"/>
    <d v="2025-03-21T00:00:00"/>
    <x v="1"/>
    <s v="South"/>
    <s v="Tablet"/>
    <x v="0"/>
    <s v="Basic"/>
    <n v="0"/>
    <n v="0"/>
    <n v="0"/>
    <n v="0"/>
    <n v="0"/>
    <n v="0"/>
    <n v="0"/>
    <m/>
    <n v="46.4"/>
    <s v="Normal"/>
  </r>
  <r>
    <s v="USR-101095"/>
    <d v="2025-01-25T00:00:00"/>
    <x v="1"/>
    <s v="West"/>
    <s v="Mobile"/>
    <x v="1"/>
    <s v="Free"/>
    <n v="1"/>
    <n v="1"/>
    <n v="1"/>
    <n v="0"/>
    <n v="0"/>
    <n v="1"/>
    <n v="0"/>
    <m/>
    <n v="81.3"/>
    <s v="Normal"/>
  </r>
  <r>
    <s v="USR-101096"/>
    <d v="2025-01-12T00:00:00"/>
    <x v="1"/>
    <s v="South"/>
    <s v="Tablet"/>
    <x v="4"/>
    <s v="Free"/>
    <n v="1"/>
    <n v="1"/>
    <n v="1"/>
    <n v="0"/>
    <n v="0"/>
    <n v="0"/>
    <n v="0"/>
    <m/>
    <n v="55.3"/>
    <s v="Normal"/>
  </r>
  <r>
    <s v="USR-101097"/>
    <d v="2025-03-18T00:00:00"/>
    <x v="1"/>
    <s v="East"/>
    <s v="Desktop"/>
    <x v="3"/>
    <s v="Free"/>
    <n v="1"/>
    <n v="0"/>
    <n v="0"/>
    <n v="0"/>
    <n v="0"/>
    <n v="0"/>
    <n v="0"/>
    <m/>
    <n v="44.7"/>
    <s v="Normal"/>
  </r>
  <r>
    <s v="USR-101098"/>
    <d v="2025-03-26T00:00:00"/>
    <x v="1"/>
    <s v="East"/>
    <s v="Mobile"/>
    <x v="2"/>
    <s v="Basic"/>
    <n v="1"/>
    <n v="0"/>
    <n v="0"/>
    <n v="0"/>
    <n v="0"/>
    <n v="0"/>
    <n v="0"/>
    <m/>
    <n v="67.2"/>
    <s v="Normal"/>
  </r>
  <r>
    <s v="USR-101099"/>
    <d v="2025-04-19T00:00:00"/>
    <x v="1"/>
    <s v="North"/>
    <s v="Mobile"/>
    <x v="2"/>
    <s v="Basic"/>
    <n v="1"/>
    <n v="0"/>
    <n v="0"/>
    <n v="0"/>
    <n v="0"/>
    <n v="0"/>
    <n v="0"/>
    <m/>
    <m/>
    <s v="Normal"/>
  </r>
  <r>
    <s v="USR-101100"/>
    <d v="2025-04-17T00:00:00"/>
    <x v="1"/>
    <s v="East"/>
    <s v="Mobile"/>
    <x v="1"/>
    <s v="Premium"/>
    <n v="1"/>
    <n v="1"/>
    <n v="1"/>
    <n v="0"/>
    <n v="0"/>
    <n v="1"/>
    <n v="0"/>
    <m/>
    <n v="70.8"/>
    <s v="Normal"/>
  </r>
  <r>
    <s v="USR-101101"/>
    <d v="2025-05-26T00:00:00"/>
    <x v="1"/>
    <s v="South"/>
    <s v="Mobile"/>
    <x v="2"/>
    <s v="Free"/>
    <n v="1"/>
    <n v="0"/>
    <n v="0"/>
    <n v="0"/>
    <n v="0"/>
    <n v="0"/>
    <n v="0"/>
    <m/>
    <n v="71.3"/>
    <s v="Normal"/>
  </r>
  <r>
    <s v="USR-101102"/>
    <d v="2025-04-14T00:00:00"/>
    <x v="1"/>
    <s v="North"/>
    <s v="Mobile"/>
    <x v="4"/>
    <s v="Premium"/>
    <n v="1"/>
    <n v="1"/>
    <n v="1"/>
    <n v="0"/>
    <n v="0"/>
    <n v="0"/>
    <n v="0"/>
    <m/>
    <n v="69.400000000000006"/>
    <s v="Normal"/>
  </r>
  <r>
    <s v="USR-101103"/>
    <d v="2025-01-23T00:00:00"/>
    <x v="1"/>
    <s v="South"/>
    <s v="Mobile"/>
    <x v="1"/>
    <s v="Basic"/>
    <n v="1"/>
    <n v="1"/>
    <n v="0"/>
    <n v="0"/>
    <n v="0"/>
    <n v="0"/>
    <n v="0"/>
    <m/>
    <n v="58.9"/>
    <s v="Normal"/>
  </r>
  <r>
    <s v="USR-101104"/>
    <d v="2025-01-06T00:00:00"/>
    <x v="1"/>
    <s v="East"/>
    <s v="Mobile"/>
    <x v="3"/>
    <s v="Free"/>
    <n v="0"/>
    <n v="0"/>
    <n v="0"/>
    <n v="0"/>
    <n v="0"/>
    <n v="0"/>
    <n v="0"/>
    <m/>
    <n v="70.7"/>
    <s v="Normal"/>
  </r>
  <r>
    <s v="USR-101105"/>
    <d v="2025-05-31T00:00:00"/>
    <x v="1"/>
    <s v="West"/>
    <s v="Mobile"/>
    <x v="0"/>
    <s v="Basic"/>
    <n v="1"/>
    <n v="0"/>
    <n v="0"/>
    <n v="0"/>
    <n v="0"/>
    <n v="0"/>
    <n v="0"/>
    <m/>
    <n v="60.5"/>
    <s v="Normal"/>
  </r>
  <r>
    <s v="USR-101106"/>
    <d v="2025-05-19T00:00:00"/>
    <x v="1"/>
    <s v="North"/>
    <s v="Mobile"/>
    <x v="1"/>
    <s v="Basic"/>
    <n v="1"/>
    <n v="1"/>
    <n v="1"/>
    <n v="0"/>
    <n v="0"/>
    <n v="0"/>
    <n v="0"/>
    <m/>
    <n v="77.3"/>
    <s v="Normal"/>
  </r>
  <r>
    <s v="USR-101107"/>
    <d v="2025-02-25T00:00:00"/>
    <x v="1"/>
    <s v="North"/>
    <s v="Mobile"/>
    <x v="1"/>
    <s v="Free"/>
    <n v="0"/>
    <n v="0"/>
    <n v="0"/>
    <n v="0"/>
    <n v="0"/>
    <n v="1"/>
    <n v="0"/>
    <m/>
    <n v="39.5"/>
    <s v="Normal"/>
  </r>
  <r>
    <s v="USR-101108"/>
    <d v="2025-01-10T00:00:00"/>
    <x v="1"/>
    <s v="South"/>
    <s v="Tablet"/>
    <x v="1"/>
    <s v="Basic"/>
    <n v="1"/>
    <n v="0"/>
    <n v="0"/>
    <n v="0"/>
    <n v="0"/>
    <n v="0"/>
    <n v="0"/>
    <m/>
    <n v="68.099999999999994"/>
    <s v="Normal"/>
  </r>
  <r>
    <s v="USR-101109"/>
    <d v="2025-05-13T00:00:00"/>
    <x v="1"/>
    <s v="North"/>
    <s v="Tablet"/>
    <x v="2"/>
    <s v="Free"/>
    <n v="0"/>
    <n v="0"/>
    <n v="0"/>
    <n v="0"/>
    <n v="0"/>
    <n v="0"/>
    <n v="0"/>
    <m/>
    <n v="80.3"/>
    <s v="Normal"/>
  </r>
  <r>
    <s v="USR-101110"/>
    <d v="2025-04-27T00:00:00"/>
    <x v="1"/>
    <s v="West"/>
    <s v="Desktop"/>
    <x v="1"/>
    <s v="Premium"/>
    <n v="1"/>
    <n v="0"/>
    <n v="0"/>
    <n v="0"/>
    <n v="0"/>
    <n v="0"/>
    <n v="0"/>
    <m/>
    <n v="77.7"/>
    <s v="Normal"/>
  </r>
  <r>
    <s v="USR-101111"/>
    <d v="2025-04-03T00:00:00"/>
    <x v="1"/>
    <s v="South"/>
    <s v="Mobile"/>
    <x v="1"/>
    <s v="Free"/>
    <n v="1"/>
    <n v="0"/>
    <n v="0"/>
    <n v="0"/>
    <n v="0"/>
    <n v="1"/>
    <n v="0"/>
    <m/>
    <n v="66.2"/>
    <s v="Normal"/>
  </r>
  <r>
    <s v="USR-101112"/>
    <d v="2025-03-26T00:00:00"/>
    <x v="1"/>
    <s v="South"/>
    <s v="Mobile"/>
    <x v="1"/>
    <s v="Free"/>
    <n v="1"/>
    <n v="1"/>
    <n v="1"/>
    <n v="0"/>
    <n v="0"/>
    <n v="1"/>
    <n v="0"/>
    <m/>
    <n v="43.9"/>
    <s v="Normal"/>
  </r>
  <r>
    <s v="USR-101113"/>
    <d v="2025-01-31T00:00:00"/>
    <x v="1"/>
    <s v="South"/>
    <s v="Mobile"/>
    <x v="1"/>
    <s v="Basic"/>
    <n v="1"/>
    <n v="1"/>
    <n v="1"/>
    <n v="0"/>
    <n v="0"/>
    <n v="2"/>
    <n v="0"/>
    <m/>
    <n v="59.1"/>
    <s v="Normal"/>
  </r>
  <r>
    <s v="USR-101114"/>
    <d v="2025-01-25T00:00:00"/>
    <x v="1"/>
    <s v="South"/>
    <s v="Mobile"/>
    <x v="4"/>
    <s v="Free"/>
    <n v="1"/>
    <n v="1"/>
    <n v="1"/>
    <n v="1"/>
    <n v="416.94"/>
    <n v="1"/>
    <n v="0"/>
    <n v="11"/>
    <n v="67"/>
    <s v="Normal"/>
  </r>
  <r>
    <s v="USR-101115"/>
    <d v="2025-02-06T00:00:00"/>
    <x v="1"/>
    <s v="West"/>
    <s v="Mobile"/>
    <x v="3"/>
    <s v="Basic"/>
    <n v="1"/>
    <n v="0"/>
    <n v="0"/>
    <n v="0"/>
    <n v="0"/>
    <n v="0"/>
    <n v="0"/>
    <m/>
    <n v="47.9"/>
    <s v="Normal"/>
  </r>
  <r>
    <s v="USR-101116"/>
    <d v="2025-03-10T00:00:00"/>
    <x v="1"/>
    <s v="East"/>
    <s v="Mobile"/>
    <x v="2"/>
    <s v="Free"/>
    <n v="1"/>
    <n v="1"/>
    <n v="0"/>
    <n v="0"/>
    <n v="0"/>
    <n v="0"/>
    <n v="0"/>
    <m/>
    <n v="41.5"/>
    <s v="Normal"/>
  </r>
  <r>
    <s v="USR-101117"/>
    <d v="2025-01-26T00:00:00"/>
    <x v="1"/>
    <s v="West"/>
    <s v="Mobile"/>
    <x v="1"/>
    <s v="Basic"/>
    <n v="1"/>
    <n v="1"/>
    <n v="1"/>
    <n v="0"/>
    <n v="0"/>
    <n v="3"/>
    <n v="0"/>
    <m/>
    <n v="30.6"/>
    <s v="Normal"/>
  </r>
  <r>
    <s v="USR-101118"/>
    <d v="2025-01-01T00:00:00"/>
    <x v="1"/>
    <s v="East"/>
    <s v="Mobile"/>
    <x v="2"/>
    <s v="Free"/>
    <n v="1"/>
    <n v="1"/>
    <n v="0"/>
    <n v="0"/>
    <n v="0"/>
    <n v="0"/>
    <n v="0"/>
    <m/>
    <n v="91.5"/>
    <s v="Normal"/>
  </r>
  <r>
    <s v="USR-101119"/>
    <d v="2025-04-28T00:00:00"/>
    <x v="1"/>
    <s v="North"/>
    <s v="Desktop"/>
    <x v="4"/>
    <s v="Basic"/>
    <n v="1"/>
    <n v="0"/>
    <n v="0"/>
    <n v="0"/>
    <n v="0"/>
    <n v="0"/>
    <n v="0"/>
    <m/>
    <n v="80.8"/>
    <s v="Normal"/>
  </r>
  <r>
    <s v="USR-101120"/>
    <d v="2025-04-04T00:00:00"/>
    <x v="1"/>
    <s v="North"/>
    <s v="Mobile"/>
    <x v="1"/>
    <s v="Premium"/>
    <n v="1"/>
    <n v="0"/>
    <n v="0"/>
    <n v="0"/>
    <n v="0"/>
    <n v="0"/>
    <n v="0"/>
    <m/>
    <n v="68.099999999999994"/>
    <s v="Normal"/>
  </r>
  <r>
    <s v="USR-101121"/>
    <d v="2025-03-02T00:00:00"/>
    <x v="1"/>
    <s v="East"/>
    <s v="Mobile"/>
    <x v="2"/>
    <s v="Free"/>
    <n v="1"/>
    <n v="0"/>
    <n v="0"/>
    <n v="0"/>
    <n v="0"/>
    <n v="0"/>
    <n v="0"/>
    <m/>
    <n v="80.3"/>
    <s v="Normal"/>
  </r>
  <r>
    <s v="USR-101122"/>
    <d v="2025-03-19T00:00:00"/>
    <x v="1"/>
    <s v="South"/>
    <s v="Tablet"/>
    <x v="1"/>
    <s v="Basic"/>
    <n v="1"/>
    <n v="0"/>
    <n v="0"/>
    <n v="0"/>
    <n v="0"/>
    <n v="0"/>
    <n v="0"/>
    <m/>
    <n v="44.4"/>
    <s v="Normal"/>
  </r>
  <r>
    <s v="USR-101123"/>
    <d v="2025-01-20T00:00:00"/>
    <x v="1"/>
    <s v="South"/>
    <s v="Desktop"/>
    <x v="1"/>
    <s v="Basic"/>
    <n v="0"/>
    <n v="0"/>
    <n v="0"/>
    <n v="0"/>
    <n v="0"/>
    <n v="0"/>
    <n v="0"/>
    <m/>
    <n v="51.9"/>
    <s v="Normal"/>
  </r>
  <r>
    <s v="USR-101124"/>
    <d v="2025-04-03T00:00:00"/>
    <x v="1"/>
    <s v="East"/>
    <s v="Mobile"/>
    <x v="2"/>
    <s v="Free"/>
    <n v="1"/>
    <n v="1"/>
    <n v="0"/>
    <n v="0"/>
    <n v="0"/>
    <n v="0"/>
    <n v="0"/>
    <m/>
    <n v="49.8"/>
    <s v="Normal"/>
  </r>
  <r>
    <s v="USR-101125"/>
    <d v="2025-01-11T00:00:00"/>
    <x v="1"/>
    <s v="East"/>
    <s v="Desktop"/>
    <x v="4"/>
    <s v="Free"/>
    <n v="1"/>
    <n v="1"/>
    <n v="1"/>
    <n v="0"/>
    <n v="0"/>
    <n v="3"/>
    <n v="0"/>
    <m/>
    <n v="62.1"/>
    <s v="Normal"/>
  </r>
  <r>
    <s v="USR-101126"/>
    <d v="2025-02-02T00:00:00"/>
    <x v="1"/>
    <s v="West"/>
    <s v="Desktop"/>
    <x v="4"/>
    <s v="Basic"/>
    <n v="1"/>
    <n v="0"/>
    <n v="0"/>
    <n v="0"/>
    <n v="0"/>
    <n v="0"/>
    <n v="0"/>
    <m/>
    <n v="91.3"/>
    <s v="Normal"/>
  </r>
  <r>
    <s v="USR-101127"/>
    <d v="2025-04-01T00:00:00"/>
    <x v="1"/>
    <s v="South"/>
    <s v="Mobile"/>
    <x v="1"/>
    <s v="Basic"/>
    <n v="1"/>
    <n v="0"/>
    <n v="0"/>
    <n v="0"/>
    <n v="0"/>
    <n v="0"/>
    <n v="0"/>
    <m/>
    <n v="66.400000000000006"/>
    <s v="Normal"/>
  </r>
  <r>
    <s v="USR-101128"/>
    <d v="2025-05-22T00:00:00"/>
    <x v="1"/>
    <s v="East"/>
    <s v="Mobile"/>
    <x v="1"/>
    <s v="Basic"/>
    <n v="1"/>
    <n v="0"/>
    <n v="0"/>
    <n v="0"/>
    <n v="0"/>
    <n v="0"/>
    <n v="0"/>
    <m/>
    <n v="41.5"/>
    <s v="Normal"/>
  </r>
  <r>
    <s v="USR-101129"/>
    <d v="2025-02-20T00:00:00"/>
    <x v="1"/>
    <s v="West"/>
    <s v="Mobile"/>
    <x v="1"/>
    <s v="Basic"/>
    <n v="0"/>
    <n v="0"/>
    <n v="0"/>
    <n v="0"/>
    <n v="0"/>
    <n v="0"/>
    <n v="0"/>
    <m/>
    <n v="77.099999999999994"/>
    <s v="Normal"/>
  </r>
  <r>
    <s v="USR-101130"/>
    <d v="2025-03-21T00:00:00"/>
    <x v="1"/>
    <s v="West"/>
    <s v="Mobile"/>
    <x v="1"/>
    <s v="Free"/>
    <n v="1"/>
    <n v="0"/>
    <n v="0"/>
    <n v="0"/>
    <n v="0"/>
    <n v="0"/>
    <n v="0"/>
    <m/>
    <n v="63.2"/>
    <s v="Normal"/>
  </r>
  <r>
    <s v="USR-101131"/>
    <d v="2025-05-01T00:00:00"/>
    <x v="1"/>
    <s v="West"/>
    <s v="Desktop"/>
    <x v="3"/>
    <s v="Free"/>
    <n v="1"/>
    <n v="1"/>
    <n v="1"/>
    <n v="0"/>
    <n v="0"/>
    <n v="3"/>
    <n v="0"/>
    <m/>
    <n v="75.7"/>
    <s v="Normal"/>
  </r>
  <r>
    <s v="USR-101132"/>
    <d v="2025-01-06T00:00:00"/>
    <x v="1"/>
    <s v="West"/>
    <s v="Mobile"/>
    <x v="2"/>
    <s v="Basic"/>
    <n v="0"/>
    <n v="0"/>
    <n v="0"/>
    <n v="0"/>
    <n v="0"/>
    <n v="0"/>
    <n v="0"/>
    <m/>
    <n v="62.9"/>
    <s v="Normal"/>
  </r>
  <r>
    <s v="USR-101133"/>
    <d v="2025-04-12T00:00:00"/>
    <x v="1"/>
    <s v="North"/>
    <s v="Desktop"/>
    <x v="2"/>
    <s v="Premium"/>
    <n v="1"/>
    <n v="0"/>
    <n v="0"/>
    <n v="0"/>
    <n v="0"/>
    <n v="3"/>
    <n v="0"/>
    <m/>
    <n v="64.599999999999994"/>
    <s v="Normal"/>
  </r>
  <r>
    <s v="USR-101134"/>
    <d v="2025-04-18T00:00:00"/>
    <x v="1"/>
    <s v="North"/>
    <s v="Mobile"/>
    <x v="5"/>
    <s v="Basic"/>
    <n v="1"/>
    <n v="0"/>
    <n v="0"/>
    <n v="0"/>
    <n v="0"/>
    <n v="0"/>
    <n v="0"/>
    <m/>
    <n v="76.599999999999994"/>
    <s v="Normal"/>
  </r>
  <r>
    <s v="USR-101135"/>
    <d v="2025-03-24T00:00:00"/>
    <x v="1"/>
    <s v="East"/>
    <s v="Mobile"/>
    <x v="4"/>
    <s v="Basic"/>
    <n v="1"/>
    <n v="0"/>
    <n v="0"/>
    <n v="0"/>
    <n v="0"/>
    <n v="0"/>
    <n v="0"/>
    <m/>
    <n v="74.8"/>
    <s v="Normal"/>
  </r>
  <r>
    <s v="USR-101136"/>
    <d v="2025-03-18T00:00:00"/>
    <x v="1"/>
    <s v="East"/>
    <s v="Desktop"/>
    <x v="0"/>
    <s v="Premium"/>
    <n v="1"/>
    <n v="0"/>
    <n v="0"/>
    <n v="0"/>
    <n v="0"/>
    <n v="2"/>
    <n v="0"/>
    <m/>
    <n v="38.1"/>
    <s v="Normal"/>
  </r>
  <r>
    <s v="USR-101137"/>
    <d v="2025-04-30T00:00:00"/>
    <x v="1"/>
    <s v="South"/>
    <s v="Tablet"/>
    <x v="2"/>
    <s v="Basic"/>
    <n v="1"/>
    <n v="1"/>
    <n v="0"/>
    <n v="0"/>
    <n v="0"/>
    <n v="0"/>
    <n v="0"/>
    <m/>
    <n v="60.2"/>
    <s v="Normal"/>
  </r>
  <r>
    <s v="USR-101138"/>
    <d v="2025-01-25T00:00:00"/>
    <x v="1"/>
    <s v="West"/>
    <s v="Mobile"/>
    <x v="0"/>
    <s v="Free"/>
    <n v="1"/>
    <n v="1"/>
    <n v="0"/>
    <n v="0"/>
    <n v="0"/>
    <n v="0"/>
    <n v="0"/>
    <m/>
    <n v="73.5"/>
    <s v="Normal"/>
  </r>
  <r>
    <s v="USR-101139"/>
    <d v="2025-04-10T00:00:00"/>
    <x v="1"/>
    <s v="South"/>
    <s v="Mobile"/>
    <x v="1"/>
    <s v="Free"/>
    <n v="1"/>
    <n v="0"/>
    <n v="0"/>
    <n v="0"/>
    <n v="0"/>
    <n v="0"/>
    <n v="0"/>
    <m/>
    <n v="70.900000000000006"/>
    <s v="Normal"/>
  </r>
  <r>
    <s v="USR-101140"/>
    <d v="2025-01-10T00:00:00"/>
    <x v="1"/>
    <s v="West"/>
    <s v="Mobile"/>
    <x v="4"/>
    <s v="Free"/>
    <n v="1"/>
    <n v="0"/>
    <n v="0"/>
    <n v="0"/>
    <n v="0"/>
    <n v="0"/>
    <n v="0"/>
    <m/>
    <n v="63.7"/>
    <s v="Normal"/>
  </r>
  <r>
    <s v="USR-101141"/>
    <d v="2025-02-11T00:00:00"/>
    <x v="1"/>
    <s v="South"/>
    <s v="Mobile"/>
    <x v="2"/>
    <s v="Free"/>
    <n v="1"/>
    <n v="0"/>
    <n v="0"/>
    <n v="0"/>
    <n v="0"/>
    <n v="0"/>
    <n v="0"/>
    <m/>
    <n v="86.5"/>
    <s v="Normal"/>
  </r>
  <r>
    <s v="USR-101142"/>
    <d v="2025-05-01T00:00:00"/>
    <x v="1"/>
    <s v="East"/>
    <s v="Mobile"/>
    <x v="4"/>
    <s v="Basic"/>
    <n v="1"/>
    <n v="1"/>
    <n v="1"/>
    <n v="1"/>
    <n v="921.72"/>
    <n v="3"/>
    <n v="0"/>
    <n v="7"/>
    <n v="74.599999999999994"/>
    <s v="Normal"/>
  </r>
  <r>
    <s v="USR-101143"/>
    <d v="2025-01-18T00:00:00"/>
    <x v="1"/>
    <s v="East"/>
    <s v="Mobile"/>
    <x v="1"/>
    <s v="Free"/>
    <n v="1"/>
    <n v="0"/>
    <n v="0"/>
    <n v="0"/>
    <n v="0"/>
    <n v="0"/>
    <n v="0"/>
    <m/>
    <n v="46.6"/>
    <s v="Normal"/>
  </r>
  <r>
    <s v="USR-101144"/>
    <d v="2025-01-02T00:00:00"/>
    <x v="1"/>
    <s v="North"/>
    <s v="Mobile"/>
    <x v="2"/>
    <s v="Free"/>
    <n v="0"/>
    <n v="0"/>
    <n v="0"/>
    <n v="0"/>
    <n v="0"/>
    <n v="0"/>
    <n v="0"/>
    <m/>
    <n v="61.2"/>
    <s v="Normal"/>
  </r>
  <r>
    <s v="USR-101145"/>
    <d v="2025-05-11T00:00:00"/>
    <x v="1"/>
    <s v="West"/>
    <s v="Mobile"/>
    <x v="1"/>
    <s v="Free"/>
    <n v="1"/>
    <n v="1"/>
    <n v="1"/>
    <n v="1"/>
    <n v="290.39"/>
    <n v="0"/>
    <n v="0"/>
    <n v="4"/>
    <n v="54.4"/>
    <s v="Normal"/>
  </r>
  <r>
    <s v="USR-101146"/>
    <d v="2025-03-22T00:00:00"/>
    <x v="1"/>
    <s v="North"/>
    <s v="Mobile"/>
    <x v="3"/>
    <s v="Free"/>
    <n v="1"/>
    <n v="1"/>
    <n v="1"/>
    <n v="0"/>
    <n v="0"/>
    <n v="0"/>
    <n v="0"/>
    <m/>
    <n v="72"/>
    <s v="Normal"/>
  </r>
  <r>
    <s v="USR-101147"/>
    <d v="2025-05-02T00:00:00"/>
    <x v="1"/>
    <s v="South"/>
    <s v="Mobile"/>
    <x v="4"/>
    <s v="Premium"/>
    <n v="1"/>
    <n v="1"/>
    <n v="1"/>
    <n v="1"/>
    <n v="1858.85"/>
    <n v="0"/>
    <n v="0"/>
    <n v="8"/>
    <n v="88.6"/>
    <s v="Normal"/>
  </r>
  <r>
    <s v="USR-101148"/>
    <d v="2025-05-26T00:00:00"/>
    <x v="1"/>
    <s v="East"/>
    <s v="Desktop"/>
    <x v="5"/>
    <s v="Basic"/>
    <n v="1"/>
    <n v="0"/>
    <n v="0"/>
    <n v="0"/>
    <n v="0"/>
    <n v="0"/>
    <n v="0"/>
    <m/>
    <n v="77.599999999999994"/>
    <s v="Normal"/>
  </r>
  <r>
    <s v="USR-101149"/>
    <d v="2025-03-13T00:00:00"/>
    <x v="1"/>
    <s v="South"/>
    <s v="Mobile"/>
    <x v="1"/>
    <s v="Basic"/>
    <n v="1"/>
    <n v="0"/>
    <n v="0"/>
    <n v="0"/>
    <n v="0"/>
    <n v="1"/>
    <n v="0"/>
    <m/>
    <n v="44.3"/>
    <s v="Normal"/>
  </r>
  <r>
    <s v="USR-101150"/>
    <d v="2025-05-17T00:00:00"/>
    <x v="1"/>
    <s v="South"/>
    <s v="Desktop"/>
    <x v="2"/>
    <s v="Free"/>
    <n v="1"/>
    <n v="1"/>
    <n v="0"/>
    <n v="0"/>
    <n v="0"/>
    <n v="0"/>
    <n v="0"/>
    <m/>
    <n v="49"/>
    <s v="Normal"/>
  </r>
  <r>
    <s v="USR-101151"/>
    <d v="2025-03-13T00:00:00"/>
    <x v="1"/>
    <s v="North"/>
    <s v="Desktop"/>
    <x v="3"/>
    <s v="Premium"/>
    <n v="1"/>
    <n v="0"/>
    <n v="0"/>
    <n v="0"/>
    <n v="0"/>
    <n v="0"/>
    <n v="0"/>
    <m/>
    <n v="53.9"/>
    <s v="Normal"/>
  </r>
  <r>
    <s v="USR-101152"/>
    <d v="2025-02-11T00:00:00"/>
    <x v="1"/>
    <s v="East"/>
    <s v="Desktop"/>
    <x v="1"/>
    <s v="Basic"/>
    <n v="1"/>
    <n v="0"/>
    <n v="0"/>
    <n v="0"/>
    <n v="0"/>
    <n v="1"/>
    <n v="0"/>
    <m/>
    <n v="69"/>
    <s v="Normal"/>
  </r>
  <r>
    <s v="USR-101153"/>
    <d v="2025-03-01T00:00:00"/>
    <x v="1"/>
    <s v="West"/>
    <s v="Mobile"/>
    <x v="4"/>
    <s v="Free"/>
    <n v="0"/>
    <n v="0"/>
    <n v="0"/>
    <n v="0"/>
    <n v="0"/>
    <n v="0"/>
    <n v="0"/>
    <m/>
    <n v="37.4"/>
    <s v="Normal"/>
  </r>
  <r>
    <s v="USR-101154"/>
    <d v="2025-04-15T00:00:00"/>
    <x v="1"/>
    <s v="West"/>
    <s v="Mobile"/>
    <x v="1"/>
    <s v="Basic"/>
    <n v="0"/>
    <n v="0"/>
    <n v="0"/>
    <n v="0"/>
    <n v="0"/>
    <n v="0"/>
    <n v="0"/>
    <m/>
    <n v="59"/>
    <s v="Normal"/>
  </r>
  <r>
    <s v="USR-101155"/>
    <d v="2025-02-02T00:00:00"/>
    <x v="1"/>
    <s v="East"/>
    <s v="Mobile"/>
    <x v="1"/>
    <s v="Premium"/>
    <n v="1"/>
    <n v="0"/>
    <n v="0"/>
    <n v="0"/>
    <n v="0"/>
    <n v="0"/>
    <n v="0"/>
    <m/>
    <n v="60.8"/>
    <s v="Normal"/>
  </r>
  <r>
    <s v="USR-101156"/>
    <d v="2025-05-19T00:00:00"/>
    <x v="1"/>
    <s v="South"/>
    <s v="Mobile"/>
    <x v="0"/>
    <s v="Free"/>
    <n v="1"/>
    <n v="0"/>
    <n v="0"/>
    <n v="0"/>
    <n v="0"/>
    <n v="0"/>
    <n v="0"/>
    <m/>
    <n v="57.5"/>
    <s v="Normal"/>
  </r>
  <r>
    <s v="USR-101157"/>
    <d v="2025-01-05T00:00:00"/>
    <x v="1"/>
    <s v="West"/>
    <s v="Mobile"/>
    <x v="3"/>
    <s v="Free"/>
    <n v="0"/>
    <n v="0"/>
    <n v="0"/>
    <n v="0"/>
    <n v="0"/>
    <n v="0"/>
    <n v="0"/>
    <m/>
    <n v="84.2"/>
    <s v="Normal"/>
  </r>
  <r>
    <s v="USR-101158"/>
    <d v="2025-03-08T00:00:00"/>
    <x v="1"/>
    <s v="South"/>
    <s v="Mobile"/>
    <x v="2"/>
    <s v="Free"/>
    <n v="1"/>
    <n v="1"/>
    <n v="0"/>
    <n v="0"/>
    <n v="0"/>
    <n v="0"/>
    <n v="0"/>
    <m/>
    <n v="27.4"/>
    <s v="Normal"/>
  </r>
  <r>
    <s v="USR-101159"/>
    <d v="2025-03-12T00:00:00"/>
    <x v="1"/>
    <s v="West"/>
    <s v="Mobile"/>
    <x v="0"/>
    <s v="Basic"/>
    <n v="1"/>
    <n v="0"/>
    <n v="0"/>
    <n v="0"/>
    <n v="0"/>
    <n v="1"/>
    <n v="0"/>
    <m/>
    <n v="67.599999999999994"/>
    <s v="Normal"/>
  </r>
  <r>
    <s v="USR-101160"/>
    <d v="2025-01-24T00:00:00"/>
    <x v="1"/>
    <s v="West"/>
    <s v="Mobile"/>
    <x v="1"/>
    <s v="Free"/>
    <n v="0"/>
    <n v="0"/>
    <n v="0"/>
    <n v="0"/>
    <n v="0"/>
    <n v="0"/>
    <n v="0"/>
    <m/>
    <n v="68.400000000000006"/>
    <s v="Normal"/>
  </r>
  <r>
    <s v="USR-101161"/>
    <d v="2025-05-22T00:00:00"/>
    <x v="1"/>
    <s v="South"/>
    <s v="Mobile"/>
    <x v="2"/>
    <s v="Basic"/>
    <n v="1"/>
    <n v="1"/>
    <n v="1"/>
    <n v="0"/>
    <n v="0"/>
    <n v="0"/>
    <n v="0"/>
    <m/>
    <n v="66.5"/>
    <s v="Normal"/>
  </r>
  <r>
    <s v="USR-101162"/>
    <d v="2025-03-27T00:00:00"/>
    <x v="1"/>
    <s v="South"/>
    <s v="Mobile"/>
    <x v="2"/>
    <s v="Free"/>
    <n v="1"/>
    <n v="0"/>
    <n v="0"/>
    <n v="0"/>
    <n v="0"/>
    <n v="0"/>
    <n v="0"/>
    <m/>
    <n v="38.200000000000003"/>
    <s v="Normal"/>
  </r>
  <r>
    <s v="USR-101163"/>
    <d v="2025-01-02T00:00:00"/>
    <x v="1"/>
    <s v="West"/>
    <s v="Mobile"/>
    <x v="4"/>
    <s v="Free"/>
    <n v="0"/>
    <n v="0"/>
    <n v="0"/>
    <n v="0"/>
    <n v="0"/>
    <n v="1"/>
    <n v="0"/>
    <m/>
    <n v="66.7"/>
    <s v="Normal"/>
  </r>
  <r>
    <s v="USR-101164"/>
    <d v="2025-02-24T00:00:00"/>
    <x v="1"/>
    <s v="North"/>
    <s v="Mobile"/>
    <x v="2"/>
    <s v="Free"/>
    <n v="0"/>
    <n v="0"/>
    <n v="0"/>
    <n v="0"/>
    <n v="0"/>
    <n v="1"/>
    <n v="0"/>
    <m/>
    <n v="73.7"/>
    <s v="Normal"/>
  </r>
  <r>
    <s v="USR-101165"/>
    <d v="2025-03-01T00:00:00"/>
    <x v="1"/>
    <s v="West"/>
    <s v="Desktop"/>
    <x v="1"/>
    <s v="Basic"/>
    <n v="1"/>
    <n v="1"/>
    <n v="1"/>
    <n v="0"/>
    <n v="0"/>
    <n v="0"/>
    <n v="0"/>
    <m/>
    <n v="63.9"/>
    <s v="Normal"/>
  </r>
  <r>
    <s v="USR-101166"/>
    <d v="2025-03-26T00:00:00"/>
    <x v="1"/>
    <s v="South"/>
    <s v="Tablet"/>
    <x v="1"/>
    <s v="Basic"/>
    <n v="1"/>
    <n v="0"/>
    <n v="0"/>
    <n v="0"/>
    <n v="0"/>
    <n v="1"/>
    <n v="0"/>
    <m/>
    <n v="82.6"/>
    <s v="Normal"/>
  </r>
  <r>
    <s v="USR-101167"/>
    <d v="2025-05-25T00:00:00"/>
    <x v="1"/>
    <s v="East"/>
    <s v="Mobile"/>
    <x v="2"/>
    <s v="Free"/>
    <n v="0"/>
    <n v="0"/>
    <n v="0"/>
    <n v="0"/>
    <n v="0"/>
    <n v="1"/>
    <n v="0"/>
    <m/>
    <n v="58.3"/>
    <s v="Normal"/>
  </r>
  <r>
    <s v="USR-101168"/>
    <d v="2025-02-25T00:00:00"/>
    <x v="1"/>
    <s v="West"/>
    <s v="Mobile"/>
    <x v="3"/>
    <s v="Premium"/>
    <n v="1"/>
    <n v="1"/>
    <n v="1"/>
    <n v="1"/>
    <n v="1547.06"/>
    <n v="0"/>
    <n v="1"/>
    <n v="2"/>
    <n v="72.900000000000006"/>
    <s v="Normal"/>
  </r>
  <r>
    <s v="USR-101169"/>
    <d v="2025-03-23T00:00:00"/>
    <x v="1"/>
    <s v="South"/>
    <s v="Mobile"/>
    <x v="4"/>
    <s v="Free"/>
    <n v="1"/>
    <n v="1"/>
    <n v="1"/>
    <n v="0"/>
    <n v="0"/>
    <n v="2"/>
    <n v="0"/>
    <m/>
    <n v="53.5"/>
    <s v="Normal"/>
  </r>
  <r>
    <s v="USR-101170"/>
    <d v="2025-04-21T00:00:00"/>
    <x v="1"/>
    <s v="West"/>
    <s v="Mobile"/>
    <x v="3"/>
    <s v="Free"/>
    <n v="1"/>
    <n v="0"/>
    <n v="0"/>
    <n v="0"/>
    <n v="0"/>
    <n v="0"/>
    <n v="0"/>
    <m/>
    <n v="54.8"/>
    <s v="Normal"/>
  </r>
  <r>
    <s v="USR-101171"/>
    <d v="2025-05-21T00:00:00"/>
    <x v="1"/>
    <s v="North"/>
    <s v="Mobile"/>
    <x v="1"/>
    <s v="Premium"/>
    <n v="1"/>
    <n v="0"/>
    <n v="0"/>
    <n v="0"/>
    <n v="0"/>
    <n v="0"/>
    <n v="0"/>
    <m/>
    <n v="69.5"/>
    <s v="Normal"/>
  </r>
  <r>
    <s v="USR-101172"/>
    <d v="2025-04-25T00:00:00"/>
    <x v="1"/>
    <s v="North"/>
    <s v="Desktop"/>
    <x v="4"/>
    <s v="Free"/>
    <n v="1"/>
    <n v="0"/>
    <n v="0"/>
    <n v="0"/>
    <n v="0"/>
    <n v="1"/>
    <n v="0"/>
    <m/>
    <n v="71.3"/>
    <s v="Normal"/>
  </r>
  <r>
    <s v="USR-101173"/>
    <d v="2025-05-23T00:00:00"/>
    <x v="1"/>
    <s v="West"/>
    <s v="Mobile"/>
    <x v="3"/>
    <s v="Basic"/>
    <n v="1"/>
    <n v="0"/>
    <n v="0"/>
    <n v="0"/>
    <n v="0"/>
    <n v="1"/>
    <n v="0"/>
    <m/>
    <n v="57.5"/>
    <s v="Normal"/>
  </r>
  <r>
    <s v="USR-101174"/>
    <d v="2025-03-18T00:00:00"/>
    <x v="1"/>
    <s v="South"/>
    <s v="Mobile"/>
    <x v="0"/>
    <s v="Free"/>
    <n v="1"/>
    <n v="0"/>
    <n v="0"/>
    <n v="0"/>
    <n v="0"/>
    <n v="4"/>
    <n v="0"/>
    <m/>
    <n v="50.9"/>
    <s v="Normal"/>
  </r>
  <r>
    <s v="USR-101175"/>
    <d v="2025-01-03T00:00:00"/>
    <x v="1"/>
    <s v="South"/>
    <s v="Tablet"/>
    <x v="1"/>
    <s v="Free"/>
    <n v="1"/>
    <n v="1"/>
    <n v="1"/>
    <n v="0"/>
    <n v="0"/>
    <n v="0"/>
    <n v="0"/>
    <m/>
    <n v="69.3"/>
    <s v="Normal"/>
  </r>
  <r>
    <s v="USR-101176"/>
    <d v="2025-02-08T00:00:00"/>
    <x v="1"/>
    <s v="West"/>
    <s v="Desktop"/>
    <x v="1"/>
    <s v="Free"/>
    <n v="1"/>
    <n v="0"/>
    <n v="0"/>
    <n v="0"/>
    <n v="0"/>
    <n v="0"/>
    <n v="0"/>
    <m/>
    <n v="50.1"/>
    <s v="Normal"/>
  </r>
  <r>
    <s v="USR-101177"/>
    <d v="2025-02-04T00:00:00"/>
    <x v="1"/>
    <s v="East"/>
    <s v="Unknown"/>
    <x v="2"/>
    <s v="Basic"/>
    <n v="0"/>
    <n v="0"/>
    <n v="0"/>
    <n v="0"/>
    <n v="0"/>
    <n v="0"/>
    <n v="0"/>
    <m/>
    <n v="69.7"/>
    <s v="Normal"/>
  </r>
  <r>
    <s v="USR-101178"/>
    <d v="2025-01-16T00:00:00"/>
    <x v="1"/>
    <s v="North"/>
    <s v="Mobile"/>
    <x v="2"/>
    <s v="Free"/>
    <n v="0"/>
    <n v="0"/>
    <n v="0"/>
    <n v="0"/>
    <n v="0"/>
    <n v="0"/>
    <n v="0"/>
    <m/>
    <n v="63.5"/>
    <s v="Normal"/>
  </r>
  <r>
    <s v="USR-101179"/>
    <d v="2025-04-04T00:00:00"/>
    <x v="1"/>
    <s v="West"/>
    <s v="Desktop"/>
    <x v="2"/>
    <s v="Free"/>
    <n v="1"/>
    <n v="1"/>
    <n v="1"/>
    <n v="1"/>
    <n v="265.58999999999997"/>
    <n v="1"/>
    <n v="0"/>
    <n v="8"/>
    <n v="80.400000000000006"/>
    <s v="Normal"/>
  </r>
  <r>
    <s v="USR-101180"/>
    <d v="2025-01-23T00:00:00"/>
    <x v="1"/>
    <s v="North"/>
    <s v="Desktop"/>
    <x v="2"/>
    <s v="Free"/>
    <n v="0"/>
    <n v="0"/>
    <n v="0"/>
    <n v="0"/>
    <n v="0"/>
    <n v="0"/>
    <n v="0"/>
    <m/>
    <n v="58.9"/>
    <s v="Normal"/>
  </r>
  <r>
    <s v="USR-101181"/>
    <d v="2025-03-22T00:00:00"/>
    <x v="1"/>
    <s v="South"/>
    <s v="Desktop"/>
    <x v="2"/>
    <s v="Free"/>
    <n v="1"/>
    <n v="0"/>
    <n v="0"/>
    <n v="0"/>
    <n v="0"/>
    <n v="0"/>
    <n v="0"/>
    <m/>
    <n v="56.8"/>
    <s v="Normal"/>
  </r>
  <r>
    <s v="USR-101182"/>
    <d v="2025-02-02T00:00:00"/>
    <x v="1"/>
    <s v="East"/>
    <s v="Tablet"/>
    <x v="4"/>
    <s v="Premium"/>
    <n v="0"/>
    <n v="0"/>
    <n v="0"/>
    <n v="0"/>
    <n v="0"/>
    <n v="0"/>
    <n v="0"/>
    <m/>
    <n v="73.900000000000006"/>
    <s v="Normal"/>
  </r>
  <r>
    <s v="USR-101183"/>
    <d v="2025-01-31T00:00:00"/>
    <x v="1"/>
    <s v="North"/>
    <s v="Desktop"/>
    <x v="2"/>
    <s v="Free"/>
    <n v="0"/>
    <n v="0"/>
    <n v="0"/>
    <n v="0"/>
    <n v="0"/>
    <n v="0"/>
    <n v="0"/>
    <m/>
    <n v="76.3"/>
    <s v="Normal"/>
  </r>
  <r>
    <s v="USR-101184"/>
    <d v="2025-05-27T00:00:00"/>
    <x v="1"/>
    <s v="West"/>
    <s v="Mobile"/>
    <x v="1"/>
    <s v="Basic"/>
    <n v="1"/>
    <n v="0"/>
    <n v="0"/>
    <n v="0"/>
    <n v="0"/>
    <n v="0"/>
    <n v="0"/>
    <m/>
    <n v="56.9"/>
    <s v="Normal"/>
  </r>
  <r>
    <s v="USR-101185"/>
    <d v="2025-05-07T00:00:00"/>
    <x v="1"/>
    <s v="North"/>
    <s v="Mobile"/>
    <x v="1"/>
    <s v="Premium"/>
    <n v="1"/>
    <n v="0"/>
    <n v="0"/>
    <n v="0"/>
    <n v="0"/>
    <n v="2"/>
    <n v="0"/>
    <m/>
    <n v="49.4"/>
    <s v="Normal"/>
  </r>
  <r>
    <s v="USR-101186"/>
    <d v="2025-05-08T00:00:00"/>
    <x v="1"/>
    <s v="North"/>
    <s v="Desktop"/>
    <x v="2"/>
    <s v="Basic"/>
    <n v="1"/>
    <n v="0"/>
    <n v="0"/>
    <n v="0"/>
    <n v="0"/>
    <n v="0"/>
    <n v="0"/>
    <m/>
    <n v="86.7"/>
    <s v="Normal"/>
  </r>
  <r>
    <s v="USR-101187"/>
    <d v="2025-01-15T00:00:00"/>
    <x v="1"/>
    <s v="West"/>
    <s v="Desktop"/>
    <x v="0"/>
    <s v="Free"/>
    <n v="1"/>
    <n v="0"/>
    <n v="0"/>
    <n v="0"/>
    <n v="0"/>
    <n v="3"/>
    <n v="0"/>
    <m/>
    <n v="69"/>
    <s v="Normal"/>
  </r>
  <r>
    <s v="USR-101188"/>
    <d v="2025-01-18T00:00:00"/>
    <x v="1"/>
    <s v="North"/>
    <s v="Mobile"/>
    <x v="2"/>
    <s v="Free"/>
    <n v="0"/>
    <n v="0"/>
    <n v="0"/>
    <n v="0"/>
    <n v="0"/>
    <n v="0"/>
    <n v="0"/>
    <m/>
    <n v="84.5"/>
    <s v="Normal"/>
  </r>
  <r>
    <s v="USR-101189"/>
    <d v="2025-04-16T00:00:00"/>
    <x v="1"/>
    <s v="East"/>
    <s v="Unknown"/>
    <x v="3"/>
    <s v="Free"/>
    <n v="1"/>
    <n v="0"/>
    <n v="0"/>
    <n v="0"/>
    <n v="0"/>
    <n v="0"/>
    <n v="0"/>
    <m/>
    <n v="66.3"/>
    <s v="Normal"/>
  </r>
  <r>
    <s v="USR-101190"/>
    <d v="2025-02-16T00:00:00"/>
    <x v="1"/>
    <s v="East"/>
    <s v="Desktop"/>
    <x v="2"/>
    <s v="Free"/>
    <n v="0"/>
    <n v="0"/>
    <n v="0"/>
    <n v="0"/>
    <n v="0"/>
    <n v="0"/>
    <n v="0"/>
    <m/>
    <n v="52.2"/>
    <s v="Normal"/>
  </r>
  <r>
    <s v="USR-101191"/>
    <d v="2025-04-17T00:00:00"/>
    <x v="1"/>
    <s v="South"/>
    <s v="Desktop"/>
    <x v="3"/>
    <s v="Premium"/>
    <n v="1"/>
    <n v="1"/>
    <n v="1"/>
    <n v="0"/>
    <n v="0"/>
    <n v="0"/>
    <n v="0"/>
    <m/>
    <n v="81.2"/>
    <s v="Normal"/>
  </r>
  <r>
    <s v="USR-101192"/>
    <d v="2025-04-30T00:00:00"/>
    <x v="1"/>
    <s v="South"/>
    <s v="Mobile"/>
    <x v="1"/>
    <s v="Basic"/>
    <n v="0"/>
    <n v="0"/>
    <n v="0"/>
    <n v="0"/>
    <n v="0"/>
    <n v="0"/>
    <n v="0"/>
    <m/>
    <n v="53.9"/>
    <s v="Normal"/>
  </r>
  <r>
    <s v="USR-101193"/>
    <d v="2025-01-29T00:00:00"/>
    <x v="1"/>
    <s v="West"/>
    <s v="Mobile"/>
    <x v="4"/>
    <s v="Premium"/>
    <n v="0"/>
    <n v="0"/>
    <n v="0"/>
    <n v="0"/>
    <n v="0"/>
    <n v="0"/>
    <n v="0"/>
    <m/>
    <n v="39.1"/>
    <s v="Normal"/>
  </r>
  <r>
    <s v="USR-101194"/>
    <d v="2025-01-11T00:00:00"/>
    <x v="1"/>
    <s v="North"/>
    <s v="Mobile"/>
    <x v="4"/>
    <s v="Basic"/>
    <n v="0"/>
    <n v="0"/>
    <n v="0"/>
    <n v="0"/>
    <n v="0"/>
    <n v="0"/>
    <n v="0"/>
    <m/>
    <n v="57.3"/>
    <s v="Normal"/>
  </r>
  <r>
    <s v="USR-101195"/>
    <d v="2025-04-08T00:00:00"/>
    <x v="1"/>
    <s v="East"/>
    <s v="Desktop"/>
    <x v="2"/>
    <s v="Premium"/>
    <n v="1"/>
    <n v="0"/>
    <n v="0"/>
    <n v="0"/>
    <n v="0"/>
    <n v="1"/>
    <n v="0"/>
    <m/>
    <n v="65.900000000000006"/>
    <s v="Normal"/>
  </r>
  <r>
    <s v="USR-101196"/>
    <d v="2025-02-22T00:00:00"/>
    <x v="1"/>
    <s v="North"/>
    <s v="Unknown"/>
    <x v="4"/>
    <s v="Free"/>
    <n v="1"/>
    <n v="0"/>
    <n v="0"/>
    <n v="0"/>
    <n v="0"/>
    <n v="1"/>
    <n v="0"/>
    <m/>
    <n v="34.200000000000003"/>
    <s v="Normal"/>
  </r>
  <r>
    <s v="USR-101197"/>
    <d v="2025-03-23T00:00:00"/>
    <x v="1"/>
    <s v="South"/>
    <s v="Mobile"/>
    <x v="1"/>
    <s v="Free"/>
    <n v="0"/>
    <n v="0"/>
    <n v="0"/>
    <n v="0"/>
    <n v="0"/>
    <n v="0"/>
    <n v="0"/>
    <m/>
    <n v="47.2"/>
    <s v="Normal"/>
  </r>
  <r>
    <s v="USR-101198"/>
    <d v="2025-05-23T00:00:00"/>
    <x v="1"/>
    <s v="South"/>
    <s v="Tablet"/>
    <x v="2"/>
    <s v="Free"/>
    <n v="1"/>
    <n v="0"/>
    <n v="0"/>
    <n v="0"/>
    <n v="0"/>
    <n v="1"/>
    <n v="0"/>
    <m/>
    <n v="55"/>
    <s v="Normal"/>
  </r>
  <r>
    <s v="USR-101199"/>
    <d v="2025-04-27T00:00:00"/>
    <x v="1"/>
    <s v="West"/>
    <s v="Mobile"/>
    <x v="3"/>
    <s v="Basic"/>
    <n v="1"/>
    <n v="1"/>
    <n v="1"/>
    <n v="0"/>
    <n v="0"/>
    <n v="0"/>
    <n v="0"/>
    <m/>
    <n v="76.400000000000006"/>
    <s v="Normal"/>
  </r>
  <r>
    <s v="USR-101200"/>
    <d v="2025-05-26T00:00:00"/>
    <x v="1"/>
    <s v="North"/>
    <s v="Mobile"/>
    <x v="3"/>
    <s v="Free"/>
    <n v="1"/>
    <n v="0"/>
    <n v="0"/>
    <n v="0"/>
    <n v="0"/>
    <n v="0"/>
    <n v="0"/>
    <m/>
    <n v="70.8"/>
    <s v="Normal"/>
  </r>
  <r>
    <s v="USR-101201"/>
    <d v="2025-03-06T00:00:00"/>
    <x v="1"/>
    <s v="East"/>
    <s v="Mobile"/>
    <x v="2"/>
    <s v="Basic"/>
    <n v="1"/>
    <n v="1"/>
    <n v="0"/>
    <n v="0"/>
    <n v="0"/>
    <n v="1"/>
    <n v="0"/>
    <m/>
    <n v="58"/>
    <s v="Normal"/>
  </r>
  <r>
    <s v="USR-101202"/>
    <d v="2025-04-03T00:00:00"/>
    <x v="1"/>
    <s v="West"/>
    <s v="Mobile"/>
    <x v="1"/>
    <s v="Basic"/>
    <n v="1"/>
    <n v="1"/>
    <n v="1"/>
    <n v="0"/>
    <n v="0"/>
    <n v="1"/>
    <n v="0"/>
    <m/>
    <n v="70.8"/>
    <s v="Normal"/>
  </r>
  <r>
    <s v="USR-101203"/>
    <d v="2025-02-01T00:00:00"/>
    <x v="1"/>
    <s v="East"/>
    <s v="Desktop"/>
    <x v="2"/>
    <s v="Free"/>
    <n v="1"/>
    <n v="0"/>
    <n v="0"/>
    <n v="0"/>
    <n v="0"/>
    <n v="3"/>
    <n v="0"/>
    <m/>
    <n v="60"/>
    <s v="Normal"/>
  </r>
  <r>
    <s v="USR-101204"/>
    <d v="2025-05-01T00:00:00"/>
    <x v="1"/>
    <s v="West"/>
    <s v="Mobile"/>
    <x v="3"/>
    <s v="Premium"/>
    <n v="1"/>
    <n v="1"/>
    <n v="1"/>
    <n v="0"/>
    <n v="0"/>
    <n v="3"/>
    <n v="0"/>
    <m/>
    <n v="58.1"/>
    <s v="Normal"/>
  </r>
  <r>
    <s v="USR-101205"/>
    <d v="2025-04-13T00:00:00"/>
    <x v="1"/>
    <s v="North"/>
    <s v="Mobile"/>
    <x v="4"/>
    <s v="Premium"/>
    <n v="0"/>
    <n v="0"/>
    <n v="0"/>
    <n v="0"/>
    <n v="0"/>
    <n v="0"/>
    <n v="0"/>
    <m/>
    <n v="59.7"/>
    <s v="Normal"/>
  </r>
  <r>
    <s v="USR-101206"/>
    <d v="2025-01-25T00:00:00"/>
    <x v="1"/>
    <s v="East"/>
    <s v="Mobile"/>
    <x v="4"/>
    <s v="Free"/>
    <n v="0"/>
    <n v="0"/>
    <n v="0"/>
    <n v="0"/>
    <n v="0"/>
    <n v="0"/>
    <n v="0"/>
    <m/>
    <n v="47.7"/>
    <s v="Normal"/>
  </r>
  <r>
    <s v="USR-101207"/>
    <d v="2025-03-17T00:00:00"/>
    <x v="1"/>
    <s v="North"/>
    <s v="Mobile"/>
    <x v="1"/>
    <s v="Free"/>
    <n v="0"/>
    <n v="0"/>
    <n v="0"/>
    <n v="0"/>
    <n v="0"/>
    <n v="0"/>
    <n v="0"/>
    <m/>
    <n v="59.1"/>
    <s v="Normal"/>
  </r>
  <r>
    <s v="USR-101208"/>
    <d v="2025-02-21T00:00:00"/>
    <x v="1"/>
    <s v="West"/>
    <s v="Desktop"/>
    <x v="4"/>
    <s v="Basic"/>
    <n v="1"/>
    <n v="0"/>
    <n v="0"/>
    <n v="0"/>
    <n v="0"/>
    <n v="1"/>
    <n v="0"/>
    <m/>
    <n v="68.7"/>
    <s v="Normal"/>
  </r>
  <r>
    <s v="USR-101209"/>
    <d v="2025-04-08T00:00:00"/>
    <x v="1"/>
    <s v="East"/>
    <s v="Tablet"/>
    <x v="1"/>
    <s v="Basic"/>
    <n v="0"/>
    <n v="0"/>
    <n v="0"/>
    <n v="0"/>
    <n v="0"/>
    <n v="0"/>
    <n v="0"/>
    <m/>
    <n v="34.700000000000003"/>
    <s v="Normal"/>
  </r>
  <r>
    <s v="USR-101210"/>
    <d v="2025-02-24T00:00:00"/>
    <x v="1"/>
    <s v="West"/>
    <s v="Mobile"/>
    <x v="1"/>
    <s v="Basic"/>
    <n v="1"/>
    <n v="0"/>
    <n v="0"/>
    <n v="0"/>
    <n v="0"/>
    <n v="0"/>
    <n v="0"/>
    <m/>
    <n v="62"/>
    <s v="Normal"/>
  </r>
  <r>
    <s v="USR-101211"/>
    <d v="2025-05-29T00:00:00"/>
    <x v="1"/>
    <s v="South"/>
    <s v="Mobile"/>
    <x v="1"/>
    <s v="Free"/>
    <n v="1"/>
    <n v="1"/>
    <n v="0"/>
    <n v="0"/>
    <n v="0"/>
    <n v="0"/>
    <n v="0"/>
    <m/>
    <n v="56"/>
    <s v="Normal"/>
  </r>
  <r>
    <s v="USR-101212"/>
    <d v="2025-05-30T00:00:00"/>
    <x v="1"/>
    <s v="North"/>
    <s v="Mobile"/>
    <x v="0"/>
    <s v="Basic"/>
    <n v="1"/>
    <n v="0"/>
    <n v="0"/>
    <n v="0"/>
    <n v="0"/>
    <n v="1"/>
    <n v="0"/>
    <m/>
    <n v="65.8"/>
    <s v="Normal"/>
  </r>
  <r>
    <s v="USR-101213"/>
    <d v="2025-01-24T00:00:00"/>
    <x v="1"/>
    <s v="North"/>
    <s v="Desktop"/>
    <x v="1"/>
    <s v="Premium"/>
    <n v="0"/>
    <n v="0"/>
    <n v="0"/>
    <n v="0"/>
    <n v="0"/>
    <n v="0"/>
    <n v="0"/>
    <m/>
    <n v="54.7"/>
    <s v="Normal"/>
  </r>
  <r>
    <s v="USR-101214"/>
    <d v="2025-05-12T00:00:00"/>
    <x v="1"/>
    <s v="South"/>
    <s v="Mobile"/>
    <x v="1"/>
    <s v="Basic"/>
    <n v="1"/>
    <n v="1"/>
    <n v="0"/>
    <n v="0"/>
    <n v="0"/>
    <n v="0"/>
    <n v="0"/>
    <m/>
    <n v="64.099999999999994"/>
    <s v="Normal"/>
  </r>
  <r>
    <s v="USR-101215"/>
    <d v="2025-03-28T00:00:00"/>
    <x v="1"/>
    <s v="South"/>
    <s v="Mobile"/>
    <x v="1"/>
    <s v="Basic"/>
    <n v="1"/>
    <n v="1"/>
    <n v="1"/>
    <n v="0"/>
    <n v="0"/>
    <n v="0"/>
    <n v="0"/>
    <m/>
    <n v="71.599999999999994"/>
    <s v="Normal"/>
  </r>
  <r>
    <s v="USR-101216"/>
    <d v="2025-04-14T00:00:00"/>
    <x v="1"/>
    <s v="North"/>
    <s v="Mobile"/>
    <x v="3"/>
    <s v="Basic"/>
    <n v="1"/>
    <n v="0"/>
    <n v="0"/>
    <n v="0"/>
    <n v="0"/>
    <n v="0"/>
    <n v="0"/>
    <m/>
    <n v="78.400000000000006"/>
    <s v="Normal"/>
  </r>
  <r>
    <s v="USR-101217"/>
    <d v="2025-01-28T00:00:00"/>
    <x v="1"/>
    <s v="East"/>
    <s v="Tablet"/>
    <x v="3"/>
    <s v="Basic"/>
    <n v="0"/>
    <n v="0"/>
    <n v="0"/>
    <n v="0"/>
    <n v="0"/>
    <n v="0"/>
    <n v="0"/>
    <m/>
    <n v="49.3"/>
    <s v="Normal"/>
  </r>
  <r>
    <s v="USR-101218"/>
    <d v="2025-05-21T00:00:00"/>
    <x v="1"/>
    <s v="North"/>
    <s v="Mobile"/>
    <x v="1"/>
    <s v="Basic"/>
    <n v="0"/>
    <n v="0"/>
    <n v="0"/>
    <n v="0"/>
    <n v="0"/>
    <n v="0"/>
    <n v="0"/>
    <m/>
    <n v="52.8"/>
    <s v="Normal"/>
  </r>
  <r>
    <s v="USR-101219"/>
    <d v="2025-05-11T00:00:00"/>
    <x v="1"/>
    <s v="West"/>
    <s v="Desktop"/>
    <x v="1"/>
    <s v="Free"/>
    <n v="0"/>
    <n v="0"/>
    <n v="0"/>
    <n v="0"/>
    <n v="0"/>
    <n v="0"/>
    <n v="0"/>
    <m/>
    <n v="58.5"/>
    <s v="Normal"/>
  </r>
  <r>
    <s v="USR-101220"/>
    <d v="2025-02-02T00:00:00"/>
    <x v="1"/>
    <s v="South"/>
    <s v="Mobile"/>
    <x v="2"/>
    <s v="Free"/>
    <n v="1"/>
    <n v="0"/>
    <n v="0"/>
    <n v="0"/>
    <n v="0"/>
    <n v="0"/>
    <n v="0"/>
    <m/>
    <n v="55.9"/>
    <s v="Normal"/>
  </r>
  <r>
    <s v="USR-101221"/>
    <d v="2025-02-26T00:00:00"/>
    <x v="1"/>
    <s v="North"/>
    <s v="Mobile"/>
    <x v="4"/>
    <s v="Free"/>
    <n v="1"/>
    <n v="1"/>
    <n v="1"/>
    <n v="1"/>
    <n v="351.43"/>
    <n v="1"/>
    <n v="0"/>
    <n v="6"/>
    <n v="74.900000000000006"/>
    <s v="Normal"/>
  </r>
  <r>
    <s v="USR-101222"/>
    <d v="2025-02-27T00:00:00"/>
    <x v="1"/>
    <s v="South"/>
    <s v="Desktop"/>
    <x v="3"/>
    <s v="Free"/>
    <n v="1"/>
    <n v="1"/>
    <n v="1"/>
    <n v="1"/>
    <n v="352.42"/>
    <n v="0"/>
    <n v="0"/>
    <n v="4"/>
    <n v="58.5"/>
    <s v="Normal"/>
  </r>
  <r>
    <s v="USR-101223"/>
    <d v="2025-03-09T00:00:00"/>
    <x v="1"/>
    <s v="West"/>
    <s v="Mobile"/>
    <x v="1"/>
    <s v="Free"/>
    <n v="0"/>
    <n v="0"/>
    <n v="0"/>
    <n v="0"/>
    <n v="0"/>
    <n v="0"/>
    <n v="0"/>
    <m/>
    <n v="63.5"/>
    <s v="Normal"/>
  </r>
  <r>
    <s v="USR-101224"/>
    <d v="2025-02-07T00:00:00"/>
    <x v="1"/>
    <s v="North"/>
    <s v="Mobile"/>
    <x v="2"/>
    <s v="Basic"/>
    <n v="1"/>
    <n v="0"/>
    <n v="0"/>
    <n v="0"/>
    <n v="0"/>
    <n v="1"/>
    <n v="0"/>
    <m/>
    <n v="64.8"/>
    <s v="Normal"/>
  </r>
  <r>
    <s v="USR-101225"/>
    <d v="2025-01-31T00:00:00"/>
    <x v="1"/>
    <s v="West"/>
    <s v="Mobile"/>
    <x v="4"/>
    <s v="Free"/>
    <n v="0"/>
    <n v="0"/>
    <n v="0"/>
    <n v="0"/>
    <n v="0"/>
    <n v="0"/>
    <n v="0"/>
    <m/>
    <n v="63.3"/>
    <s v="Normal"/>
  </r>
  <r>
    <s v="USR-101226"/>
    <d v="2025-02-14T00:00:00"/>
    <x v="1"/>
    <s v="North"/>
    <s v="Tablet"/>
    <x v="2"/>
    <s v="Basic"/>
    <n v="1"/>
    <n v="1"/>
    <n v="1"/>
    <n v="1"/>
    <n v="1074.1600000000001"/>
    <n v="0"/>
    <n v="0"/>
    <n v="8"/>
    <n v="83.7"/>
    <s v="Normal"/>
  </r>
  <r>
    <s v="USR-101227"/>
    <d v="2025-02-12T00:00:00"/>
    <x v="1"/>
    <s v="South"/>
    <s v="Desktop"/>
    <x v="4"/>
    <s v="Basic"/>
    <n v="0"/>
    <n v="0"/>
    <n v="0"/>
    <n v="0"/>
    <n v="0"/>
    <n v="0"/>
    <n v="0"/>
    <m/>
    <n v="88.7"/>
    <s v="Normal"/>
  </r>
  <r>
    <s v="USR-101228"/>
    <d v="2025-03-23T00:00:00"/>
    <x v="1"/>
    <s v="East"/>
    <s v="Unknown"/>
    <x v="2"/>
    <s v="Free"/>
    <n v="1"/>
    <n v="0"/>
    <n v="0"/>
    <n v="0"/>
    <n v="0"/>
    <n v="1"/>
    <n v="0"/>
    <m/>
    <n v="61.5"/>
    <s v="Normal"/>
  </r>
  <r>
    <s v="USR-101229"/>
    <d v="2025-03-18T00:00:00"/>
    <x v="1"/>
    <s v="West"/>
    <s v="Mobile"/>
    <x v="2"/>
    <s v="Free"/>
    <n v="0"/>
    <n v="0"/>
    <n v="0"/>
    <n v="0"/>
    <n v="0"/>
    <n v="0"/>
    <n v="0"/>
    <m/>
    <n v="45.3"/>
    <s v="Normal"/>
  </r>
  <r>
    <s v="USR-101230"/>
    <d v="2025-05-17T00:00:00"/>
    <x v="1"/>
    <s v="North"/>
    <s v="Mobile"/>
    <x v="4"/>
    <s v="Free"/>
    <n v="1"/>
    <n v="0"/>
    <n v="0"/>
    <n v="0"/>
    <n v="0"/>
    <n v="0"/>
    <n v="0"/>
    <m/>
    <n v="37.299999999999997"/>
    <s v="Normal"/>
  </r>
  <r>
    <s v="USR-101231"/>
    <d v="2025-03-26T00:00:00"/>
    <x v="1"/>
    <s v="West"/>
    <s v="Desktop"/>
    <x v="4"/>
    <s v="Premium"/>
    <n v="1"/>
    <n v="0"/>
    <n v="0"/>
    <n v="0"/>
    <n v="0"/>
    <n v="1"/>
    <n v="0"/>
    <m/>
    <n v="76.099999999999994"/>
    <s v="Normal"/>
  </r>
  <r>
    <s v="USR-101232"/>
    <d v="2025-03-30T00:00:00"/>
    <x v="1"/>
    <s v="East"/>
    <s v="Mobile"/>
    <x v="1"/>
    <s v="Free"/>
    <n v="1"/>
    <n v="1"/>
    <n v="1"/>
    <n v="0"/>
    <n v="0"/>
    <n v="1"/>
    <n v="0"/>
    <m/>
    <n v="72.5"/>
    <s v="Normal"/>
  </r>
  <r>
    <s v="USR-101233"/>
    <d v="2025-02-25T00:00:00"/>
    <x v="1"/>
    <s v="East"/>
    <s v="Desktop"/>
    <x v="1"/>
    <s v="Free"/>
    <n v="1"/>
    <n v="0"/>
    <n v="0"/>
    <n v="0"/>
    <n v="0"/>
    <n v="0"/>
    <n v="0"/>
    <m/>
    <n v="62.3"/>
    <s v="Normal"/>
  </r>
  <r>
    <s v="USR-101234"/>
    <d v="2025-03-01T00:00:00"/>
    <x v="1"/>
    <s v="East"/>
    <s v="Desktop"/>
    <x v="4"/>
    <s v="Free"/>
    <n v="0"/>
    <n v="0"/>
    <n v="0"/>
    <n v="0"/>
    <n v="0"/>
    <n v="0"/>
    <n v="0"/>
    <m/>
    <n v="62.7"/>
    <s v="Normal"/>
  </r>
  <r>
    <s v="USR-101235"/>
    <d v="2025-05-27T00:00:00"/>
    <x v="1"/>
    <s v="North"/>
    <s v="Mobile"/>
    <x v="2"/>
    <s v="Basic"/>
    <n v="0"/>
    <n v="0"/>
    <n v="0"/>
    <n v="0"/>
    <n v="0"/>
    <n v="0"/>
    <n v="0"/>
    <m/>
    <n v="82.4"/>
    <s v="Normal"/>
  </r>
  <r>
    <s v="USR-101236"/>
    <d v="2025-02-05T00:00:00"/>
    <x v="1"/>
    <s v="West"/>
    <s v="Mobile"/>
    <x v="5"/>
    <s v="Premium"/>
    <n v="1"/>
    <n v="0"/>
    <n v="0"/>
    <n v="0"/>
    <n v="0"/>
    <n v="0"/>
    <n v="0"/>
    <m/>
    <n v="78.900000000000006"/>
    <s v="Normal"/>
  </r>
  <r>
    <s v="USR-101237"/>
    <d v="2025-01-25T00:00:00"/>
    <x v="1"/>
    <s v="West"/>
    <s v="Desktop"/>
    <x v="0"/>
    <s v="Free"/>
    <n v="1"/>
    <n v="1"/>
    <n v="1"/>
    <n v="1"/>
    <n v="618.91"/>
    <n v="0"/>
    <n v="0"/>
    <n v="4"/>
    <n v="67.8"/>
    <s v="Normal"/>
  </r>
  <r>
    <s v="USR-101238"/>
    <d v="2025-04-10T00:00:00"/>
    <x v="1"/>
    <s v="East"/>
    <s v="Mobile"/>
    <x v="1"/>
    <s v="Premium"/>
    <n v="1"/>
    <n v="0"/>
    <n v="0"/>
    <n v="0"/>
    <n v="0"/>
    <n v="0"/>
    <n v="0"/>
    <m/>
    <n v="68.8"/>
    <s v="Normal"/>
  </r>
  <r>
    <s v="USR-101239"/>
    <d v="2025-01-10T00:00:00"/>
    <x v="1"/>
    <s v="East"/>
    <s v="Mobile"/>
    <x v="1"/>
    <s v="Premium"/>
    <n v="1"/>
    <n v="0"/>
    <n v="0"/>
    <n v="0"/>
    <n v="0"/>
    <n v="0"/>
    <n v="0"/>
    <m/>
    <n v="67.7"/>
    <s v="Normal"/>
  </r>
  <r>
    <s v="USR-101240"/>
    <d v="2025-02-23T00:00:00"/>
    <x v="1"/>
    <s v="East"/>
    <s v="Mobile"/>
    <x v="5"/>
    <s v="Free"/>
    <n v="0"/>
    <n v="0"/>
    <n v="0"/>
    <n v="0"/>
    <n v="0"/>
    <n v="0"/>
    <n v="0"/>
    <m/>
    <n v="88"/>
    <s v="Normal"/>
  </r>
  <r>
    <s v="USR-101241"/>
    <d v="2025-05-23T00:00:00"/>
    <x v="1"/>
    <s v="West"/>
    <s v="Desktop"/>
    <x v="1"/>
    <s v="Basic"/>
    <n v="1"/>
    <n v="1"/>
    <n v="0"/>
    <n v="0"/>
    <n v="0"/>
    <n v="0"/>
    <n v="0"/>
    <m/>
    <n v="80.099999999999994"/>
    <s v="Normal"/>
  </r>
  <r>
    <s v="USR-101242"/>
    <d v="2025-03-08T00:00:00"/>
    <x v="1"/>
    <s v="North"/>
    <s v="Tablet"/>
    <x v="0"/>
    <s v="Basic"/>
    <n v="0"/>
    <n v="0"/>
    <n v="0"/>
    <n v="0"/>
    <n v="0"/>
    <n v="1"/>
    <n v="0"/>
    <m/>
    <n v="48.2"/>
    <s v="Normal"/>
  </r>
  <r>
    <s v="USR-101243"/>
    <d v="2025-05-21T00:00:00"/>
    <x v="1"/>
    <s v="East"/>
    <s v="Mobile"/>
    <x v="1"/>
    <s v="Basic"/>
    <n v="1"/>
    <n v="0"/>
    <n v="0"/>
    <n v="0"/>
    <n v="0"/>
    <n v="0"/>
    <n v="0"/>
    <m/>
    <n v="52.7"/>
    <s v="Normal"/>
  </r>
  <r>
    <s v="USR-101244"/>
    <d v="2025-04-22T00:00:00"/>
    <x v="1"/>
    <s v="North"/>
    <s v="Mobile"/>
    <x v="0"/>
    <s v="Basic"/>
    <n v="1"/>
    <n v="1"/>
    <n v="0"/>
    <n v="0"/>
    <n v="0"/>
    <n v="0"/>
    <n v="0"/>
    <m/>
    <n v="59.9"/>
    <s v="Normal"/>
  </r>
  <r>
    <s v="USR-101245"/>
    <d v="2025-04-16T00:00:00"/>
    <x v="1"/>
    <s v="North"/>
    <s v="Mobile"/>
    <x v="0"/>
    <s v="Premium"/>
    <n v="1"/>
    <n v="0"/>
    <n v="0"/>
    <n v="0"/>
    <n v="0"/>
    <n v="0"/>
    <n v="0"/>
    <m/>
    <n v="49.5"/>
    <s v="Normal"/>
  </r>
  <r>
    <s v="USR-101246"/>
    <d v="2025-05-08T00:00:00"/>
    <x v="1"/>
    <s v="North"/>
    <s v="Tablet"/>
    <x v="1"/>
    <s v="Free"/>
    <n v="1"/>
    <n v="0"/>
    <n v="0"/>
    <n v="0"/>
    <n v="0"/>
    <n v="0"/>
    <n v="0"/>
    <m/>
    <n v="41.5"/>
    <s v="Normal"/>
  </r>
  <r>
    <s v="USR-101247"/>
    <d v="2025-05-22T00:00:00"/>
    <x v="1"/>
    <s v="North"/>
    <s v="Mobile"/>
    <x v="2"/>
    <s v="Basic"/>
    <n v="1"/>
    <n v="0"/>
    <n v="0"/>
    <n v="0"/>
    <n v="0"/>
    <n v="0"/>
    <n v="0"/>
    <m/>
    <n v="71.2"/>
    <s v="Normal"/>
  </r>
  <r>
    <s v="USR-101248"/>
    <d v="2025-03-21T00:00:00"/>
    <x v="1"/>
    <s v="North"/>
    <s v="Mobile"/>
    <x v="3"/>
    <s v="Basic"/>
    <n v="1"/>
    <n v="1"/>
    <n v="1"/>
    <n v="0"/>
    <n v="0"/>
    <n v="0"/>
    <n v="0"/>
    <m/>
    <n v="65.8"/>
    <s v="Normal"/>
  </r>
  <r>
    <s v="USR-101249"/>
    <d v="2025-03-22T00:00:00"/>
    <x v="1"/>
    <s v="East"/>
    <s v="Mobile"/>
    <x v="1"/>
    <s v="Basic"/>
    <n v="1"/>
    <n v="0"/>
    <n v="0"/>
    <n v="0"/>
    <n v="0"/>
    <n v="1"/>
    <n v="0"/>
    <m/>
    <n v="55.1"/>
    <s v="Normal"/>
  </r>
  <r>
    <s v="USR-101250"/>
    <d v="2025-01-10T00:00:00"/>
    <x v="1"/>
    <s v="West"/>
    <s v="Desktop"/>
    <x v="4"/>
    <s v="Free"/>
    <n v="1"/>
    <n v="0"/>
    <n v="0"/>
    <n v="0"/>
    <n v="0"/>
    <n v="0"/>
    <n v="0"/>
    <m/>
    <n v="54.6"/>
    <s v="Normal"/>
  </r>
  <r>
    <s v="USR-101251"/>
    <d v="2025-02-01T00:00:00"/>
    <x v="1"/>
    <s v="East"/>
    <s v="Mobile"/>
    <x v="1"/>
    <s v="Basic"/>
    <n v="1"/>
    <n v="1"/>
    <n v="1"/>
    <n v="1"/>
    <n v="923.67"/>
    <n v="0"/>
    <n v="0"/>
    <n v="4"/>
    <n v="81.900000000000006"/>
    <s v="Normal"/>
  </r>
  <r>
    <s v="USR-101252"/>
    <d v="2025-03-31T00:00:00"/>
    <x v="1"/>
    <s v="South"/>
    <s v="Mobile"/>
    <x v="2"/>
    <s v="Basic"/>
    <n v="1"/>
    <n v="1"/>
    <n v="0"/>
    <n v="0"/>
    <n v="0"/>
    <n v="3"/>
    <n v="0"/>
    <m/>
    <n v="63.2"/>
    <s v="Normal"/>
  </r>
  <r>
    <s v="USR-101253"/>
    <d v="2025-04-25T00:00:00"/>
    <x v="1"/>
    <s v="North"/>
    <s v="Mobile"/>
    <x v="2"/>
    <s v="Free"/>
    <n v="1"/>
    <n v="0"/>
    <n v="0"/>
    <n v="0"/>
    <n v="0"/>
    <n v="0"/>
    <n v="0"/>
    <m/>
    <n v="55.4"/>
    <s v="Normal"/>
  </r>
  <r>
    <s v="USR-101254"/>
    <d v="2025-05-02T00:00:00"/>
    <x v="1"/>
    <s v="West"/>
    <s v="Mobile"/>
    <x v="4"/>
    <s v="Basic"/>
    <n v="0"/>
    <n v="0"/>
    <n v="0"/>
    <n v="0"/>
    <n v="0"/>
    <n v="0"/>
    <n v="0"/>
    <m/>
    <n v="87.5"/>
    <s v="Normal"/>
  </r>
  <r>
    <s v="USR-101255"/>
    <d v="2025-03-08T00:00:00"/>
    <x v="1"/>
    <s v="South"/>
    <s v="Desktop"/>
    <x v="4"/>
    <s v="Basic"/>
    <n v="1"/>
    <n v="0"/>
    <n v="0"/>
    <n v="0"/>
    <n v="0"/>
    <n v="0"/>
    <n v="0"/>
    <m/>
    <n v="48.5"/>
    <s v="Normal"/>
  </r>
  <r>
    <s v="USR-101256"/>
    <d v="2025-01-27T00:00:00"/>
    <x v="1"/>
    <s v="East"/>
    <s v="Desktop"/>
    <x v="5"/>
    <s v="Free"/>
    <n v="1"/>
    <n v="1"/>
    <n v="1"/>
    <n v="1"/>
    <n v="420.27"/>
    <n v="0"/>
    <n v="0"/>
    <n v="6"/>
    <n v="58.4"/>
    <s v="Normal"/>
  </r>
  <r>
    <s v="USR-101257"/>
    <d v="2025-04-27T00:00:00"/>
    <x v="1"/>
    <s v="West"/>
    <s v="Mobile"/>
    <x v="2"/>
    <s v="Free"/>
    <n v="0"/>
    <n v="0"/>
    <n v="0"/>
    <n v="0"/>
    <n v="0"/>
    <n v="0"/>
    <n v="0"/>
    <m/>
    <n v="59.5"/>
    <s v="Normal"/>
  </r>
  <r>
    <s v="USR-101258"/>
    <d v="2025-01-16T00:00:00"/>
    <x v="1"/>
    <s v="West"/>
    <s v="Desktop"/>
    <x v="2"/>
    <s v="Basic"/>
    <n v="1"/>
    <n v="0"/>
    <n v="0"/>
    <n v="0"/>
    <n v="0"/>
    <n v="0"/>
    <n v="0"/>
    <m/>
    <n v="93.2"/>
    <s v="Normal"/>
  </r>
  <r>
    <s v="USR-101259"/>
    <d v="2025-01-18T00:00:00"/>
    <x v="1"/>
    <s v="West"/>
    <s v="Desktop"/>
    <x v="2"/>
    <s v="Basic"/>
    <n v="1"/>
    <n v="0"/>
    <n v="0"/>
    <n v="0"/>
    <n v="0"/>
    <n v="0"/>
    <n v="0"/>
    <m/>
    <n v="59"/>
    <s v="Normal"/>
  </r>
  <r>
    <s v="USR-101260"/>
    <d v="2025-03-21T00:00:00"/>
    <x v="1"/>
    <s v="North"/>
    <s v="Mobile"/>
    <x v="1"/>
    <s v="Free"/>
    <n v="1"/>
    <n v="0"/>
    <n v="0"/>
    <n v="0"/>
    <n v="0"/>
    <n v="0"/>
    <n v="0"/>
    <m/>
    <n v="37"/>
    <s v="Normal"/>
  </r>
  <r>
    <s v="USR-101261"/>
    <d v="2025-04-02T00:00:00"/>
    <x v="1"/>
    <s v="North"/>
    <s v="Desktop"/>
    <x v="2"/>
    <s v="Free"/>
    <n v="1"/>
    <n v="0"/>
    <n v="0"/>
    <n v="0"/>
    <n v="0"/>
    <n v="0"/>
    <n v="0"/>
    <m/>
    <n v="47.5"/>
    <s v="Normal"/>
  </r>
  <r>
    <s v="USR-101262"/>
    <d v="2025-02-16T00:00:00"/>
    <x v="1"/>
    <s v="West"/>
    <s v="Desktop"/>
    <x v="1"/>
    <s v="Free"/>
    <n v="1"/>
    <n v="1"/>
    <n v="1"/>
    <n v="0"/>
    <n v="0"/>
    <n v="0"/>
    <n v="0"/>
    <m/>
    <n v="78.7"/>
    <s v="Normal"/>
  </r>
  <r>
    <s v="USR-101263"/>
    <d v="2025-02-18T00:00:00"/>
    <x v="1"/>
    <s v="North"/>
    <s v="Mobile"/>
    <x v="4"/>
    <s v="Free"/>
    <n v="1"/>
    <n v="0"/>
    <n v="0"/>
    <n v="0"/>
    <n v="0"/>
    <n v="0"/>
    <n v="0"/>
    <m/>
    <n v="49.6"/>
    <s v="Normal"/>
  </r>
  <r>
    <s v="USR-101264"/>
    <d v="2025-01-09T00:00:00"/>
    <x v="1"/>
    <s v="East"/>
    <s v="Mobile"/>
    <x v="1"/>
    <s v="Free"/>
    <n v="1"/>
    <n v="0"/>
    <n v="0"/>
    <n v="0"/>
    <n v="0"/>
    <n v="0"/>
    <n v="0"/>
    <m/>
    <n v="58"/>
    <s v="Normal"/>
  </r>
  <r>
    <s v="USR-101265"/>
    <d v="2025-02-18T00:00:00"/>
    <x v="1"/>
    <s v="North"/>
    <s v="Desktop"/>
    <x v="2"/>
    <s v="Free"/>
    <n v="1"/>
    <n v="0"/>
    <n v="0"/>
    <n v="0"/>
    <n v="0"/>
    <n v="1"/>
    <n v="0"/>
    <m/>
    <n v="54.4"/>
    <s v="Normal"/>
  </r>
  <r>
    <s v="USR-101266"/>
    <d v="2025-01-10T00:00:00"/>
    <x v="1"/>
    <s v="East"/>
    <s v="Mobile"/>
    <x v="3"/>
    <s v="Free"/>
    <n v="0"/>
    <n v="0"/>
    <n v="0"/>
    <n v="0"/>
    <n v="0"/>
    <n v="0"/>
    <n v="0"/>
    <m/>
    <n v="33.700000000000003"/>
    <s v="Normal"/>
  </r>
  <r>
    <s v="USR-101267"/>
    <d v="2025-03-08T00:00:00"/>
    <x v="1"/>
    <s v="West"/>
    <s v="Mobile"/>
    <x v="0"/>
    <s v="Free"/>
    <n v="1"/>
    <n v="0"/>
    <n v="0"/>
    <n v="0"/>
    <n v="0"/>
    <n v="0"/>
    <n v="0"/>
    <m/>
    <n v="72.7"/>
    <s v="Normal"/>
  </r>
  <r>
    <s v="USR-101268"/>
    <d v="2025-04-16T00:00:00"/>
    <x v="1"/>
    <s v="East"/>
    <s v="Desktop"/>
    <x v="2"/>
    <s v="Basic"/>
    <n v="0"/>
    <n v="0"/>
    <n v="0"/>
    <n v="0"/>
    <n v="0"/>
    <n v="0"/>
    <n v="0"/>
    <m/>
    <n v="64.7"/>
    <s v="Normal"/>
  </r>
  <r>
    <s v="USR-101269"/>
    <d v="2025-02-19T00:00:00"/>
    <x v="1"/>
    <s v="West"/>
    <s v="Desktop"/>
    <x v="2"/>
    <s v="Premium"/>
    <n v="0"/>
    <n v="0"/>
    <n v="0"/>
    <n v="0"/>
    <n v="0"/>
    <n v="1"/>
    <n v="0"/>
    <m/>
    <n v="48.6"/>
    <s v="Normal"/>
  </r>
  <r>
    <s v="USR-101270"/>
    <d v="2025-03-16T00:00:00"/>
    <x v="1"/>
    <s v="East"/>
    <s v="Desktop"/>
    <x v="4"/>
    <s v="Free"/>
    <n v="1"/>
    <n v="1"/>
    <n v="0"/>
    <n v="0"/>
    <n v="0"/>
    <n v="0"/>
    <n v="0"/>
    <m/>
    <n v="66.2"/>
    <s v="Normal"/>
  </r>
  <r>
    <s v="USR-101271"/>
    <d v="2025-02-03T00:00:00"/>
    <x v="1"/>
    <s v="West"/>
    <s v="Unknown"/>
    <x v="3"/>
    <s v="Basic"/>
    <n v="1"/>
    <n v="0"/>
    <n v="0"/>
    <n v="0"/>
    <n v="0"/>
    <n v="1"/>
    <n v="0"/>
    <m/>
    <n v="60.7"/>
    <s v="Normal"/>
  </r>
  <r>
    <s v="USR-101272"/>
    <d v="2025-03-12T00:00:00"/>
    <x v="1"/>
    <s v="West"/>
    <s v="Mobile"/>
    <x v="2"/>
    <s v="Basic"/>
    <n v="1"/>
    <n v="0"/>
    <n v="0"/>
    <n v="0"/>
    <n v="0"/>
    <n v="0"/>
    <n v="0"/>
    <m/>
    <n v="36.5"/>
    <s v="Normal"/>
  </r>
  <r>
    <s v="USR-101273"/>
    <d v="2025-05-09T00:00:00"/>
    <x v="1"/>
    <s v="West"/>
    <s v="Mobile"/>
    <x v="4"/>
    <s v="Free"/>
    <n v="1"/>
    <n v="1"/>
    <n v="1"/>
    <n v="0"/>
    <n v="0"/>
    <n v="3"/>
    <n v="0"/>
    <m/>
    <n v="69.7"/>
    <s v="Normal"/>
  </r>
  <r>
    <s v="USR-101274"/>
    <d v="2025-01-19T00:00:00"/>
    <x v="1"/>
    <s v="South"/>
    <s v="Desktop"/>
    <x v="4"/>
    <s v="Premium"/>
    <n v="1"/>
    <n v="0"/>
    <n v="0"/>
    <n v="0"/>
    <n v="0"/>
    <n v="0"/>
    <n v="0"/>
    <m/>
    <n v="81.8"/>
    <s v="Normal"/>
  </r>
  <r>
    <s v="USR-101275"/>
    <d v="2025-01-24T00:00:00"/>
    <x v="1"/>
    <s v="West"/>
    <s v="Mobile"/>
    <x v="3"/>
    <s v="Free"/>
    <n v="1"/>
    <n v="1"/>
    <n v="1"/>
    <n v="0"/>
    <n v="0"/>
    <n v="1"/>
    <n v="0"/>
    <m/>
    <n v="78.3"/>
    <s v="Normal"/>
  </r>
  <r>
    <s v="USR-101276"/>
    <d v="2025-03-03T00:00:00"/>
    <x v="1"/>
    <s v="East"/>
    <s v="Mobile"/>
    <x v="3"/>
    <s v="Free"/>
    <n v="1"/>
    <n v="1"/>
    <n v="0"/>
    <n v="0"/>
    <n v="0"/>
    <n v="0"/>
    <n v="0"/>
    <m/>
    <n v="79.400000000000006"/>
    <s v="Normal"/>
  </r>
  <r>
    <s v="USR-101277"/>
    <d v="2025-05-27T00:00:00"/>
    <x v="1"/>
    <s v="North"/>
    <s v="Desktop"/>
    <x v="3"/>
    <s v="Free"/>
    <n v="1"/>
    <n v="1"/>
    <n v="1"/>
    <n v="0"/>
    <n v="0"/>
    <n v="0"/>
    <n v="0"/>
    <m/>
    <n v="54.9"/>
    <s v="Normal"/>
  </r>
  <r>
    <s v="USR-101278"/>
    <d v="2025-04-23T00:00:00"/>
    <x v="1"/>
    <s v="West"/>
    <s v="Desktop"/>
    <x v="1"/>
    <s v="Basic"/>
    <n v="1"/>
    <n v="0"/>
    <n v="0"/>
    <n v="0"/>
    <n v="0"/>
    <n v="0"/>
    <n v="0"/>
    <m/>
    <n v="54.9"/>
    <s v="Normal"/>
  </r>
  <r>
    <s v="USR-101279"/>
    <d v="2025-02-10T00:00:00"/>
    <x v="1"/>
    <s v="East"/>
    <s v="Desktop"/>
    <x v="4"/>
    <s v="Free"/>
    <n v="0"/>
    <n v="0"/>
    <n v="0"/>
    <n v="0"/>
    <n v="0"/>
    <n v="0"/>
    <n v="0"/>
    <m/>
    <n v="28.7"/>
    <s v="Normal"/>
  </r>
  <r>
    <s v="USR-101280"/>
    <d v="2025-02-11T00:00:00"/>
    <x v="1"/>
    <s v="North"/>
    <s v="Mobile"/>
    <x v="1"/>
    <s v="Free"/>
    <n v="0"/>
    <n v="0"/>
    <n v="0"/>
    <n v="0"/>
    <n v="0"/>
    <n v="0"/>
    <n v="0"/>
    <m/>
    <n v="68.8"/>
    <s v="Normal"/>
  </r>
  <r>
    <s v="USR-101281"/>
    <d v="2025-01-21T00:00:00"/>
    <x v="1"/>
    <s v="East"/>
    <s v="Desktop"/>
    <x v="2"/>
    <s v="Free"/>
    <n v="1"/>
    <n v="1"/>
    <n v="1"/>
    <n v="0"/>
    <n v="0"/>
    <n v="0"/>
    <n v="0"/>
    <m/>
    <n v="43.5"/>
    <s v="Normal"/>
  </r>
  <r>
    <s v="USR-101282"/>
    <d v="2025-02-02T00:00:00"/>
    <x v="1"/>
    <s v="West"/>
    <s v="Desktop"/>
    <x v="4"/>
    <s v="Free"/>
    <n v="1"/>
    <n v="1"/>
    <n v="0"/>
    <n v="0"/>
    <n v="0"/>
    <n v="0"/>
    <n v="0"/>
    <m/>
    <n v="62.6"/>
    <s v="Normal"/>
  </r>
  <r>
    <s v="USR-101283"/>
    <d v="2025-02-02T00:00:00"/>
    <x v="1"/>
    <s v="West"/>
    <s v="Mobile"/>
    <x v="1"/>
    <s v="Free"/>
    <n v="0"/>
    <n v="0"/>
    <n v="0"/>
    <n v="0"/>
    <n v="0"/>
    <n v="1"/>
    <n v="0"/>
    <m/>
    <n v="54.1"/>
    <s v="Normal"/>
  </r>
  <r>
    <s v="USR-101284"/>
    <d v="2025-02-26T00:00:00"/>
    <x v="1"/>
    <s v="West"/>
    <s v="Tablet"/>
    <x v="4"/>
    <s v="Free"/>
    <n v="1"/>
    <n v="1"/>
    <n v="1"/>
    <n v="0"/>
    <n v="0"/>
    <n v="0"/>
    <n v="0"/>
    <m/>
    <n v="80.099999999999994"/>
    <s v="Normal"/>
  </r>
  <r>
    <s v="USR-101285"/>
    <d v="2025-04-22T00:00:00"/>
    <x v="1"/>
    <s v="North"/>
    <s v="Mobile"/>
    <x v="4"/>
    <s v="Premium"/>
    <n v="1"/>
    <n v="0"/>
    <n v="0"/>
    <n v="0"/>
    <n v="0"/>
    <n v="0"/>
    <n v="0"/>
    <m/>
    <n v="69.5"/>
    <s v="Normal"/>
  </r>
  <r>
    <s v="USR-101286"/>
    <d v="2025-03-11T00:00:00"/>
    <x v="1"/>
    <s v="North"/>
    <s v="Desktop"/>
    <x v="1"/>
    <s v="Basic"/>
    <n v="0"/>
    <n v="0"/>
    <n v="0"/>
    <n v="0"/>
    <n v="0"/>
    <n v="2"/>
    <n v="0"/>
    <m/>
    <n v="46.6"/>
    <s v="Normal"/>
  </r>
  <r>
    <s v="USR-101287"/>
    <d v="2025-05-08T00:00:00"/>
    <x v="1"/>
    <s v="South"/>
    <s v="Mobile"/>
    <x v="1"/>
    <s v="Premium"/>
    <n v="1"/>
    <n v="0"/>
    <n v="0"/>
    <n v="0"/>
    <n v="0"/>
    <n v="1"/>
    <n v="0"/>
    <m/>
    <n v="54.9"/>
    <s v="Normal"/>
  </r>
  <r>
    <s v="USR-101288"/>
    <d v="2025-03-10T00:00:00"/>
    <x v="1"/>
    <s v="East"/>
    <s v="Desktop"/>
    <x v="1"/>
    <s v="Free"/>
    <n v="0"/>
    <n v="0"/>
    <n v="0"/>
    <n v="0"/>
    <n v="0"/>
    <n v="0"/>
    <n v="0"/>
    <m/>
    <n v="100"/>
    <s v="Normal"/>
  </r>
  <r>
    <s v="USR-101289"/>
    <d v="2025-04-16T00:00:00"/>
    <x v="1"/>
    <s v="East"/>
    <s v="Desktop"/>
    <x v="2"/>
    <s v="Free"/>
    <n v="1"/>
    <n v="1"/>
    <n v="1"/>
    <n v="0"/>
    <n v="0"/>
    <n v="1"/>
    <n v="0"/>
    <m/>
    <n v="80.5"/>
    <s v="Normal"/>
  </r>
  <r>
    <s v="USR-101290"/>
    <d v="2025-03-01T00:00:00"/>
    <x v="1"/>
    <s v="West"/>
    <s v="Tablet"/>
    <x v="1"/>
    <s v="Basic"/>
    <n v="1"/>
    <n v="0"/>
    <n v="0"/>
    <n v="0"/>
    <n v="0"/>
    <n v="0"/>
    <n v="0"/>
    <m/>
    <n v="51.2"/>
    <s v="Normal"/>
  </r>
  <r>
    <s v="USR-101291"/>
    <d v="2025-01-18T00:00:00"/>
    <x v="1"/>
    <s v="South"/>
    <s v="Desktop"/>
    <x v="1"/>
    <s v="Premium"/>
    <n v="1"/>
    <n v="0"/>
    <n v="0"/>
    <n v="0"/>
    <n v="0"/>
    <n v="0"/>
    <n v="0"/>
    <m/>
    <n v="42.5"/>
    <s v="Normal"/>
  </r>
  <r>
    <s v="USR-101292"/>
    <d v="2025-03-30T00:00:00"/>
    <x v="1"/>
    <s v="North"/>
    <s v="Mobile"/>
    <x v="2"/>
    <s v="Free"/>
    <n v="0"/>
    <n v="0"/>
    <n v="0"/>
    <n v="0"/>
    <n v="0"/>
    <n v="0"/>
    <n v="0"/>
    <m/>
    <n v="72.5"/>
    <s v="Normal"/>
  </r>
  <r>
    <s v="USR-101293"/>
    <d v="2025-05-26T00:00:00"/>
    <x v="1"/>
    <s v="West"/>
    <s v="Mobile"/>
    <x v="4"/>
    <s v="Premium"/>
    <n v="0"/>
    <n v="0"/>
    <n v="0"/>
    <n v="0"/>
    <n v="0"/>
    <n v="0"/>
    <n v="0"/>
    <m/>
    <n v="74.400000000000006"/>
    <s v="Normal"/>
  </r>
  <r>
    <s v="USR-101294"/>
    <d v="2025-03-19T00:00:00"/>
    <x v="1"/>
    <s v="East"/>
    <s v="Desktop"/>
    <x v="4"/>
    <s v="Free"/>
    <n v="0"/>
    <n v="0"/>
    <n v="0"/>
    <n v="0"/>
    <n v="0"/>
    <n v="0"/>
    <n v="0"/>
    <m/>
    <n v="78.400000000000006"/>
    <s v="Normal"/>
  </r>
  <r>
    <s v="USR-101295"/>
    <d v="2025-03-28T00:00:00"/>
    <x v="1"/>
    <s v="North"/>
    <s v="Desktop"/>
    <x v="3"/>
    <s v="Free"/>
    <n v="1"/>
    <n v="0"/>
    <n v="0"/>
    <n v="0"/>
    <n v="0"/>
    <n v="0"/>
    <n v="0"/>
    <m/>
    <n v="71.5"/>
    <s v="Normal"/>
  </r>
  <r>
    <s v="USR-101296"/>
    <d v="2025-05-28T00:00:00"/>
    <x v="1"/>
    <s v="South"/>
    <s v="Desktop"/>
    <x v="4"/>
    <s v="Free"/>
    <n v="1"/>
    <n v="0"/>
    <n v="0"/>
    <n v="0"/>
    <n v="0"/>
    <n v="0"/>
    <n v="0"/>
    <m/>
    <n v="66.7"/>
    <s v="Normal"/>
  </r>
  <r>
    <s v="USR-101297"/>
    <d v="2025-05-31T00:00:00"/>
    <x v="1"/>
    <s v="South"/>
    <s v="Desktop"/>
    <x v="3"/>
    <s v="Premium"/>
    <n v="1"/>
    <n v="1"/>
    <n v="1"/>
    <n v="1"/>
    <n v="1496.09"/>
    <n v="0"/>
    <n v="0"/>
    <n v="7"/>
    <n v="60.4"/>
    <s v="Normal"/>
  </r>
  <r>
    <s v="USR-101298"/>
    <d v="2025-05-10T00:00:00"/>
    <x v="1"/>
    <s v="North"/>
    <s v="Mobile"/>
    <x v="3"/>
    <s v="Free"/>
    <n v="0"/>
    <n v="0"/>
    <n v="0"/>
    <n v="0"/>
    <n v="0"/>
    <n v="1"/>
    <n v="0"/>
    <m/>
    <n v="72.900000000000006"/>
    <s v="Normal"/>
  </r>
  <r>
    <s v="USR-101299"/>
    <d v="2025-05-17T00:00:00"/>
    <x v="1"/>
    <s v="West"/>
    <s v="Mobile"/>
    <x v="1"/>
    <s v="Free"/>
    <n v="0"/>
    <n v="0"/>
    <n v="0"/>
    <n v="0"/>
    <n v="0"/>
    <n v="3"/>
    <n v="0"/>
    <m/>
    <m/>
    <s v="Normal"/>
  </r>
  <r>
    <s v="USR-101300"/>
    <d v="2025-01-18T00:00:00"/>
    <x v="1"/>
    <s v="South"/>
    <s v="Mobile"/>
    <x v="1"/>
    <s v="Premium"/>
    <n v="1"/>
    <n v="0"/>
    <n v="0"/>
    <n v="0"/>
    <n v="0"/>
    <n v="0"/>
    <n v="0"/>
    <m/>
    <n v="55.2"/>
    <s v="Normal"/>
  </r>
  <r>
    <s v="USR-101301"/>
    <d v="2025-05-04T00:00:00"/>
    <x v="1"/>
    <s v="West"/>
    <s v="Mobile"/>
    <x v="4"/>
    <s v="Free"/>
    <n v="1"/>
    <n v="0"/>
    <n v="0"/>
    <n v="0"/>
    <n v="0"/>
    <n v="0"/>
    <n v="0"/>
    <m/>
    <n v="67.8"/>
    <s v="Normal"/>
  </r>
  <r>
    <s v="USR-101302"/>
    <d v="2025-03-25T00:00:00"/>
    <x v="1"/>
    <s v="North"/>
    <s v="Mobile"/>
    <x v="1"/>
    <s v="Free"/>
    <n v="1"/>
    <n v="0"/>
    <n v="0"/>
    <n v="0"/>
    <n v="0"/>
    <n v="2"/>
    <n v="0"/>
    <m/>
    <n v="70"/>
    <s v="Normal"/>
  </r>
  <r>
    <s v="USR-101303"/>
    <d v="2025-02-27T00:00:00"/>
    <x v="1"/>
    <s v="North"/>
    <s v="Mobile"/>
    <x v="4"/>
    <s v="Basic"/>
    <n v="1"/>
    <n v="1"/>
    <n v="1"/>
    <n v="0"/>
    <n v="0"/>
    <n v="0"/>
    <n v="0"/>
    <m/>
    <n v="51.1"/>
    <s v="Normal"/>
  </r>
  <r>
    <s v="USR-101304"/>
    <d v="2025-01-14T00:00:00"/>
    <x v="1"/>
    <s v="West"/>
    <s v="Mobile"/>
    <x v="2"/>
    <s v="Basic"/>
    <n v="1"/>
    <n v="1"/>
    <n v="1"/>
    <n v="0"/>
    <n v="0"/>
    <n v="0"/>
    <n v="0"/>
    <m/>
    <n v="57"/>
    <s v="Normal"/>
  </r>
  <r>
    <s v="USR-101305"/>
    <d v="2025-04-11T00:00:00"/>
    <x v="1"/>
    <s v="East"/>
    <s v="Mobile"/>
    <x v="4"/>
    <s v="Free"/>
    <n v="0"/>
    <n v="0"/>
    <n v="0"/>
    <n v="0"/>
    <n v="0"/>
    <n v="1"/>
    <n v="0"/>
    <m/>
    <n v="47.1"/>
    <s v="Normal"/>
  </r>
  <r>
    <s v="USR-101306"/>
    <d v="2025-03-26T00:00:00"/>
    <x v="1"/>
    <s v="East"/>
    <s v="Desktop"/>
    <x v="4"/>
    <s v="Basic"/>
    <n v="0"/>
    <n v="0"/>
    <n v="0"/>
    <n v="0"/>
    <n v="0"/>
    <n v="0"/>
    <n v="0"/>
    <m/>
    <n v="30.7"/>
    <s v="Normal"/>
  </r>
  <r>
    <s v="USR-101307"/>
    <d v="2025-02-12T00:00:00"/>
    <x v="1"/>
    <s v="West"/>
    <s v="Desktop"/>
    <x v="4"/>
    <s v="Free"/>
    <n v="1"/>
    <n v="0"/>
    <n v="0"/>
    <n v="0"/>
    <n v="0"/>
    <n v="0"/>
    <n v="0"/>
    <m/>
    <n v="57.3"/>
    <s v="Normal"/>
  </r>
  <r>
    <s v="USR-101308"/>
    <d v="2025-02-18T00:00:00"/>
    <x v="1"/>
    <s v="West"/>
    <s v="Tablet"/>
    <x v="2"/>
    <s v="Basic"/>
    <n v="1"/>
    <n v="0"/>
    <n v="0"/>
    <n v="0"/>
    <n v="0"/>
    <n v="0"/>
    <n v="0"/>
    <m/>
    <n v="70"/>
    <s v="Normal"/>
  </r>
  <r>
    <s v="USR-101309"/>
    <d v="2025-05-25T00:00:00"/>
    <x v="1"/>
    <s v="East"/>
    <s v="Desktop"/>
    <x v="4"/>
    <s v="Free"/>
    <n v="1"/>
    <n v="1"/>
    <n v="1"/>
    <n v="0"/>
    <n v="0"/>
    <n v="0"/>
    <n v="0"/>
    <m/>
    <n v="59.7"/>
    <s v="Normal"/>
  </r>
  <r>
    <s v="USR-101310"/>
    <d v="2025-05-23T00:00:00"/>
    <x v="1"/>
    <s v="East"/>
    <s v="Desktop"/>
    <x v="2"/>
    <s v="Basic"/>
    <n v="1"/>
    <n v="0"/>
    <n v="0"/>
    <n v="0"/>
    <n v="0"/>
    <n v="0"/>
    <n v="0"/>
    <m/>
    <n v="68.8"/>
    <s v="Normal"/>
  </r>
  <r>
    <s v="USR-101311"/>
    <d v="2025-01-16T00:00:00"/>
    <x v="1"/>
    <s v="North"/>
    <s v="Desktop"/>
    <x v="1"/>
    <s v="Free"/>
    <n v="1"/>
    <n v="1"/>
    <n v="1"/>
    <n v="1"/>
    <n v="428.37"/>
    <n v="0"/>
    <n v="0"/>
    <n v="9"/>
    <n v="88.3"/>
    <s v="Normal"/>
  </r>
  <r>
    <s v="USR-101312"/>
    <d v="2025-01-19T00:00:00"/>
    <x v="1"/>
    <s v="West"/>
    <s v="Desktop"/>
    <x v="0"/>
    <s v="Basic"/>
    <n v="0"/>
    <n v="0"/>
    <n v="0"/>
    <n v="0"/>
    <n v="0"/>
    <n v="0"/>
    <n v="0"/>
    <m/>
    <n v="83.4"/>
    <s v="Normal"/>
  </r>
  <r>
    <s v="USR-101313"/>
    <d v="2025-05-18T00:00:00"/>
    <x v="1"/>
    <s v="South"/>
    <s v="Mobile"/>
    <x v="3"/>
    <s v="Free"/>
    <n v="0"/>
    <n v="0"/>
    <n v="0"/>
    <n v="0"/>
    <n v="0"/>
    <n v="1"/>
    <n v="0"/>
    <m/>
    <n v="81.599999999999994"/>
    <s v="Normal"/>
  </r>
  <r>
    <s v="USR-101314"/>
    <d v="2025-01-23T00:00:00"/>
    <x v="1"/>
    <s v="East"/>
    <s v="Tablet"/>
    <x v="4"/>
    <s v="Premium"/>
    <n v="1"/>
    <n v="0"/>
    <n v="0"/>
    <n v="0"/>
    <n v="0"/>
    <n v="0"/>
    <n v="0"/>
    <m/>
    <n v="91.6"/>
    <s v="Normal"/>
  </r>
  <r>
    <s v="USR-101315"/>
    <d v="2025-01-08T00:00:00"/>
    <x v="1"/>
    <s v="East"/>
    <s v="Tablet"/>
    <x v="5"/>
    <s v="Premium"/>
    <n v="1"/>
    <n v="1"/>
    <n v="1"/>
    <n v="0"/>
    <n v="0"/>
    <n v="1"/>
    <n v="0"/>
    <m/>
    <n v="61.5"/>
    <s v="Normal"/>
  </r>
  <r>
    <s v="USR-101316"/>
    <d v="2025-02-19T00:00:00"/>
    <x v="1"/>
    <s v="North"/>
    <s v="Mobile"/>
    <x v="1"/>
    <s v="Premium"/>
    <n v="0"/>
    <n v="0"/>
    <n v="0"/>
    <n v="0"/>
    <n v="0"/>
    <n v="0"/>
    <n v="0"/>
    <m/>
    <m/>
    <s v="Normal"/>
  </r>
  <r>
    <s v="USR-101317"/>
    <d v="2025-02-10T00:00:00"/>
    <x v="1"/>
    <s v="South"/>
    <s v="Mobile"/>
    <x v="1"/>
    <s v="Free"/>
    <n v="1"/>
    <n v="0"/>
    <n v="0"/>
    <n v="0"/>
    <n v="0"/>
    <n v="0"/>
    <n v="0"/>
    <m/>
    <n v="32.6"/>
    <s v="Normal"/>
  </r>
  <r>
    <s v="USR-101318"/>
    <d v="2025-04-13T00:00:00"/>
    <x v="1"/>
    <s v="South"/>
    <s v="Mobile"/>
    <x v="2"/>
    <s v="Free"/>
    <n v="1"/>
    <n v="0"/>
    <n v="0"/>
    <n v="0"/>
    <n v="0"/>
    <n v="0"/>
    <n v="0"/>
    <m/>
    <n v="73.900000000000006"/>
    <s v="Normal"/>
  </r>
  <r>
    <s v="USR-101319"/>
    <d v="2025-05-20T00:00:00"/>
    <x v="1"/>
    <s v="East"/>
    <s v="Mobile"/>
    <x v="1"/>
    <s v="Free"/>
    <n v="1"/>
    <n v="1"/>
    <n v="1"/>
    <n v="1"/>
    <n v="444.06"/>
    <n v="0"/>
    <n v="0"/>
    <n v="9"/>
    <n v="99.9"/>
    <s v="Normal"/>
  </r>
  <r>
    <s v="USR-101320"/>
    <d v="2025-05-13T00:00:00"/>
    <x v="1"/>
    <s v="South"/>
    <s v="Mobile"/>
    <x v="2"/>
    <s v="Basic"/>
    <n v="1"/>
    <n v="1"/>
    <n v="0"/>
    <n v="0"/>
    <n v="0"/>
    <n v="1"/>
    <n v="0"/>
    <m/>
    <n v="62.4"/>
    <s v="Normal"/>
  </r>
  <r>
    <s v="USR-101321"/>
    <d v="2025-05-28T00:00:00"/>
    <x v="1"/>
    <s v="South"/>
    <s v="Desktop"/>
    <x v="2"/>
    <s v="Basic"/>
    <n v="1"/>
    <n v="0"/>
    <n v="0"/>
    <n v="0"/>
    <n v="0"/>
    <n v="0"/>
    <n v="0"/>
    <m/>
    <n v="46.1"/>
    <s v="Normal"/>
  </r>
  <r>
    <s v="USR-101322"/>
    <d v="2025-03-19T00:00:00"/>
    <x v="1"/>
    <s v="West"/>
    <s v="Mobile"/>
    <x v="1"/>
    <s v="Free"/>
    <n v="1"/>
    <n v="1"/>
    <n v="1"/>
    <n v="1"/>
    <n v="2660.21"/>
    <n v="0"/>
    <n v="0"/>
    <n v="3"/>
    <n v="73.900000000000006"/>
    <s v="Outlier"/>
  </r>
  <r>
    <s v="USR-101323"/>
    <d v="2025-02-03T00:00:00"/>
    <x v="1"/>
    <s v="North"/>
    <s v="Mobile"/>
    <x v="0"/>
    <s v="Premium"/>
    <n v="0"/>
    <n v="0"/>
    <n v="0"/>
    <n v="0"/>
    <n v="0"/>
    <n v="0"/>
    <n v="0"/>
    <m/>
    <n v="90"/>
    <s v="Normal"/>
  </r>
  <r>
    <s v="USR-101324"/>
    <d v="2025-02-26T00:00:00"/>
    <x v="1"/>
    <s v="South"/>
    <s v="Mobile"/>
    <x v="0"/>
    <s v="Basic"/>
    <n v="1"/>
    <n v="0"/>
    <n v="0"/>
    <n v="0"/>
    <n v="0"/>
    <n v="1"/>
    <n v="0"/>
    <m/>
    <n v="68.8"/>
    <s v="Normal"/>
  </r>
  <r>
    <s v="USR-101325"/>
    <d v="2025-01-26T00:00:00"/>
    <x v="1"/>
    <s v="West"/>
    <s v="Mobile"/>
    <x v="2"/>
    <s v="Free"/>
    <n v="1"/>
    <n v="0"/>
    <n v="0"/>
    <n v="0"/>
    <n v="0"/>
    <n v="0"/>
    <n v="0"/>
    <m/>
    <n v="66.599999999999994"/>
    <s v="Normal"/>
  </r>
  <r>
    <s v="USR-101326"/>
    <d v="2025-05-13T00:00:00"/>
    <x v="1"/>
    <s v="North"/>
    <s v="Mobile"/>
    <x v="1"/>
    <s v="Premium"/>
    <n v="1"/>
    <n v="0"/>
    <n v="0"/>
    <n v="0"/>
    <n v="0"/>
    <n v="0"/>
    <n v="0"/>
    <m/>
    <n v="49.7"/>
    <s v="Normal"/>
  </r>
  <r>
    <s v="USR-101327"/>
    <d v="2025-02-02T00:00:00"/>
    <x v="1"/>
    <s v="South"/>
    <s v="Mobile"/>
    <x v="2"/>
    <s v="Basic"/>
    <n v="0"/>
    <n v="0"/>
    <n v="0"/>
    <n v="0"/>
    <n v="0"/>
    <n v="0"/>
    <n v="0"/>
    <m/>
    <n v="67.900000000000006"/>
    <s v="Normal"/>
  </r>
  <r>
    <s v="USR-101328"/>
    <d v="2025-04-30T00:00:00"/>
    <x v="1"/>
    <s v="West"/>
    <s v="Mobile"/>
    <x v="5"/>
    <s v="Basic"/>
    <n v="0"/>
    <n v="0"/>
    <n v="0"/>
    <n v="0"/>
    <n v="0"/>
    <n v="0"/>
    <n v="0"/>
    <m/>
    <n v="66.900000000000006"/>
    <s v="Normal"/>
  </r>
  <r>
    <s v="USR-101329"/>
    <d v="2025-03-29T00:00:00"/>
    <x v="1"/>
    <s v="East"/>
    <s v="Mobile"/>
    <x v="1"/>
    <s v="Free"/>
    <n v="0"/>
    <n v="0"/>
    <n v="0"/>
    <n v="0"/>
    <n v="0"/>
    <n v="0"/>
    <n v="0"/>
    <m/>
    <n v="46.1"/>
    <s v="Normal"/>
  </r>
  <r>
    <s v="USR-101330"/>
    <d v="2025-04-09T00:00:00"/>
    <x v="1"/>
    <s v="West"/>
    <s v="Desktop"/>
    <x v="3"/>
    <s v="Premium"/>
    <n v="1"/>
    <n v="0"/>
    <n v="0"/>
    <n v="0"/>
    <n v="0"/>
    <n v="0"/>
    <n v="0"/>
    <m/>
    <n v="85.6"/>
    <s v="Normal"/>
  </r>
  <r>
    <s v="USR-101331"/>
    <d v="2025-01-22T00:00:00"/>
    <x v="1"/>
    <s v="South"/>
    <s v="Tablet"/>
    <x v="1"/>
    <s v="Free"/>
    <n v="0"/>
    <n v="0"/>
    <n v="0"/>
    <n v="0"/>
    <n v="0"/>
    <n v="0"/>
    <n v="0"/>
    <m/>
    <n v="39.6"/>
    <s v="Normal"/>
  </r>
  <r>
    <s v="USR-101332"/>
    <d v="2025-01-27T00:00:00"/>
    <x v="1"/>
    <s v="South"/>
    <s v="Mobile"/>
    <x v="1"/>
    <s v="Basic"/>
    <n v="1"/>
    <n v="0"/>
    <n v="0"/>
    <n v="0"/>
    <n v="0"/>
    <n v="0"/>
    <n v="0"/>
    <m/>
    <n v="52.5"/>
    <s v="Normal"/>
  </r>
  <r>
    <s v="USR-101333"/>
    <d v="2025-01-22T00:00:00"/>
    <x v="1"/>
    <s v="East"/>
    <s v="Mobile"/>
    <x v="4"/>
    <s v="Premium"/>
    <n v="1"/>
    <n v="0"/>
    <n v="0"/>
    <n v="0"/>
    <n v="0"/>
    <n v="0"/>
    <n v="0"/>
    <m/>
    <n v="73.5"/>
    <s v="Normal"/>
  </r>
  <r>
    <s v="USR-101334"/>
    <d v="2025-01-06T00:00:00"/>
    <x v="1"/>
    <s v="West"/>
    <s v="Desktop"/>
    <x v="2"/>
    <s v="Free"/>
    <n v="0"/>
    <n v="0"/>
    <n v="0"/>
    <n v="0"/>
    <n v="0"/>
    <n v="0"/>
    <n v="0"/>
    <m/>
    <n v="62.5"/>
    <s v="Normal"/>
  </r>
  <r>
    <s v="USR-101335"/>
    <d v="2025-04-16T00:00:00"/>
    <x v="1"/>
    <s v="South"/>
    <s v="Unknown"/>
    <x v="1"/>
    <s v="Free"/>
    <n v="1"/>
    <n v="0"/>
    <n v="0"/>
    <n v="0"/>
    <n v="0"/>
    <n v="0"/>
    <n v="0"/>
    <m/>
    <n v="76.900000000000006"/>
    <s v="Normal"/>
  </r>
  <r>
    <s v="USR-101336"/>
    <d v="2025-04-14T00:00:00"/>
    <x v="1"/>
    <s v="South"/>
    <s v="Mobile"/>
    <x v="1"/>
    <s v="Free"/>
    <n v="1"/>
    <n v="0"/>
    <n v="0"/>
    <n v="0"/>
    <n v="0"/>
    <n v="0"/>
    <n v="0"/>
    <m/>
    <n v="51.4"/>
    <s v="Normal"/>
  </r>
  <r>
    <s v="USR-101337"/>
    <d v="2025-02-22T00:00:00"/>
    <x v="1"/>
    <s v="West"/>
    <s v="Mobile"/>
    <x v="2"/>
    <s v="Basic"/>
    <n v="1"/>
    <n v="0"/>
    <n v="0"/>
    <n v="0"/>
    <n v="0"/>
    <n v="0"/>
    <n v="0"/>
    <m/>
    <n v="59.3"/>
    <s v="Normal"/>
  </r>
  <r>
    <s v="USR-101338"/>
    <d v="2025-03-09T00:00:00"/>
    <x v="1"/>
    <s v="North"/>
    <s v="Mobile"/>
    <x v="1"/>
    <s v="Basic"/>
    <n v="0"/>
    <n v="0"/>
    <n v="0"/>
    <n v="0"/>
    <n v="0"/>
    <n v="0"/>
    <n v="0"/>
    <m/>
    <n v="74.900000000000006"/>
    <s v="Normal"/>
  </r>
  <r>
    <s v="USR-101339"/>
    <d v="2025-04-20T00:00:00"/>
    <x v="1"/>
    <s v="West"/>
    <s v="Desktop"/>
    <x v="1"/>
    <s v="Free"/>
    <n v="1"/>
    <n v="0"/>
    <n v="0"/>
    <n v="0"/>
    <n v="0"/>
    <n v="0"/>
    <n v="0"/>
    <m/>
    <n v="67"/>
    <s v="Normal"/>
  </r>
  <r>
    <s v="USR-101340"/>
    <d v="2025-03-10T00:00:00"/>
    <x v="1"/>
    <s v="South"/>
    <s v="Mobile"/>
    <x v="0"/>
    <s v="Free"/>
    <n v="0"/>
    <n v="0"/>
    <n v="0"/>
    <n v="0"/>
    <n v="0"/>
    <n v="0"/>
    <n v="0"/>
    <m/>
    <n v="63.6"/>
    <s v="Normal"/>
  </r>
  <r>
    <s v="USR-101341"/>
    <d v="2025-02-21T00:00:00"/>
    <x v="1"/>
    <s v="South"/>
    <s v="Mobile"/>
    <x v="0"/>
    <s v="Free"/>
    <n v="1"/>
    <n v="1"/>
    <n v="0"/>
    <n v="0"/>
    <n v="0"/>
    <n v="1"/>
    <n v="0"/>
    <m/>
    <n v="58.4"/>
    <s v="Normal"/>
  </r>
  <r>
    <s v="USR-101342"/>
    <d v="2025-01-06T00:00:00"/>
    <x v="1"/>
    <s v="North"/>
    <s v="Desktop"/>
    <x v="4"/>
    <s v="Free"/>
    <n v="1"/>
    <n v="0"/>
    <n v="0"/>
    <n v="0"/>
    <n v="0"/>
    <n v="0"/>
    <n v="0"/>
    <m/>
    <n v="36.799999999999997"/>
    <s v="Normal"/>
  </r>
  <r>
    <s v="USR-101343"/>
    <d v="2025-04-17T00:00:00"/>
    <x v="1"/>
    <s v="South"/>
    <s v="Mobile"/>
    <x v="1"/>
    <s v="Premium"/>
    <n v="1"/>
    <n v="0"/>
    <n v="0"/>
    <n v="0"/>
    <n v="0"/>
    <n v="0"/>
    <n v="0"/>
    <m/>
    <n v="71.599999999999994"/>
    <s v="Normal"/>
  </r>
  <r>
    <s v="USR-101344"/>
    <d v="2025-05-23T00:00:00"/>
    <x v="1"/>
    <s v="South"/>
    <s v="Mobile"/>
    <x v="0"/>
    <s v="Basic"/>
    <n v="1"/>
    <n v="1"/>
    <n v="0"/>
    <n v="0"/>
    <n v="0"/>
    <n v="1"/>
    <n v="0"/>
    <m/>
    <n v="79.7"/>
    <s v="Normal"/>
  </r>
  <r>
    <s v="USR-101345"/>
    <d v="2025-03-14T00:00:00"/>
    <x v="1"/>
    <s v="West"/>
    <s v="Desktop"/>
    <x v="1"/>
    <s v="Basic"/>
    <n v="1"/>
    <n v="0"/>
    <n v="0"/>
    <n v="0"/>
    <n v="0"/>
    <n v="1"/>
    <n v="0"/>
    <m/>
    <n v="56.5"/>
    <s v="Normal"/>
  </r>
  <r>
    <s v="USR-101346"/>
    <d v="2025-04-21T00:00:00"/>
    <x v="1"/>
    <s v="North"/>
    <s v="Mobile"/>
    <x v="4"/>
    <s v="Premium"/>
    <n v="1"/>
    <n v="0"/>
    <n v="0"/>
    <n v="0"/>
    <n v="0"/>
    <n v="0"/>
    <n v="0"/>
    <m/>
    <n v="44.7"/>
    <s v="Normal"/>
  </r>
  <r>
    <s v="USR-101347"/>
    <d v="2025-01-03T00:00:00"/>
    <x v="1"/>
    <s v="South"/>
    <s v="Mobile"/>
    <x v="4"/>
    <s v="Free"/>
    <n v="1"/>
    <n v="1"/>
    <n v="1"/>
    <n v="0"/>
    <n v="0"/>
    <n v="1"/>
    <n v="0"/>
    <m/>
    <n v="66"/>
    <s v="Normal"/>
  </r>
  <r>
    <s v="USR-101348"/>
    <d v="2025-05-09T00:00:00"/>
    <x v="1"/>
    <s v="North"/>
    <s v="Desktop"/>
    <x v="1"/>
    <s v="Basic"/>
    <n v="1"/>
    <n v="0"/>
    <n v="0"/>
    <n v="0"/>
    <n v="0"/>
    <n v="0"/>
    <n v="0"/>
    <m/>
    <n v="73"/>
    <s v="Normal"/>
  </r>
  <r>
    <s v="USR-101349"/>
    <d v="2025-05-22T00:00:00"/>
    <x v="1"/>
    <s v="South"/>
    <s v="Mobile"/>
    <x v="1"/>
    <s v="Basic"/>
    <n v="1"/>
    <n v="1"/>
    <n v="1"/>
    <n v="0"/>
    <n v="0"/>
    <n v="1"/>
    <n v="0"/>
    <m/>
    <n v="72.5"/>
    <s v="Normal"/>
  </r>
  <r>
    <s v="USR-101350"/>
    <d v="2025-05-07T00:00:00"/>
    <x v="1"/>
    <s v="South"/>
    <s v="Desktop"/>
    <x v="2"/>
    <s v="Free"/>
    <n v="1"/>
    <n v="1"/>
    <n v="1"/>
    <n v="1"/>
    <n v="323.60000000000002"/>
    <n v="0"/>
    <n v="0"/>
    <n v="6"/>
    <n v="100"/>
    <s v="Normal"/>
  </r>
  <r>
    <s v="USR-101351"/>
    <d v="2025-02-08T00:00:00"/>
    <x v="1"/>
    <s v="East"/>
    <s v="Mobile"/>
    <x v="4"/>
    <s v="Free"/>
    <n v="0"/>
    <n v="0"/>
    <n v="0"/>
    <n v="0"/>
    <n v="0"/>
    <n v="1"/>
    <n v="0"/>
    <m/>
    <n v="90.5"/>
    <s v="Normal"/>
  </r>
  <r>
    <s v="USR-101352"/>
    <d v="2025-04-03T00:00:00"/>
    <x v="1"/>
    <s v="North"/>
    <s v="Tablet"/>
    <x v="4"/>
    <s v="Basic"/>
    <n v="1"/>
    <n v="0"/>
    <n v="0"/>
    <n v="0"/>
    <n v="0"/>
    <n v="0"/>
    <n v="0"/>
    <m/>
    <n v="70.2"/>
    <s v="Normal"/>
  </r>
  <r>
    <s v="USR-101353"/>
    <d v="2025-04-17T00:00:00"/>
    <x v="1"/>
    <s v="East"/>
    <s v="Desktop"/>
    <x v="2"/>
    <s v="Free"/>
    <n v="1"/>
    <n v="0"/>
    <n v="0"/>
    <n v="0"/>
    <n v="0"/>
    <n v="1"/>
    <n v="0"/>
    <m/>
    <n v="67.099999999999994"/>
    <s v="Normal"/>
  </r>
  <r>
    <s v="USR-101354"/>
    <d v="2025-05-04T00:00:00"/>
    <x v="1"/>
    <s v="East"/>
    <s v="Mobile"/>
    <x v="1"/>
    <s v="Free"/>
    <n v="0"/>
    <n v="0"/>
    <n v="0"/>
    <n v="0"/>
    <n v="0"/>
    <n v="0"/>
    <n v="0"/>
    <m/>
    <n v="54.5"/>
    <s v="Normal"/>
  </r>
  <r>
    <s v="USR-101355"/>
    <d v="2025-05-11T00:00:00"/>
    <x v="1"/>
    <s v="West"/>
    <s v="Desktop"/>
    <x v="1"/>
    <s v="Free"/>
    <n v="1"/>
    <n v="0"/>
    <n v="0"/>
    <n v="0"/>
    <n v="0"/>
    <n v="0"/>
    <n v="0"/>
    <m/>
    <n v="63.4"/>
    <s v="Normal"/>
  </r>
  <r>
    <s v="USR-101356"/>
    <d v="2025-03-01T00:00:00"/>
    <x v="1"/>
    <s v="North"/>
    <s v="Desktop"/>
    <x v="5"/>
    <s v="Free"/>
    <n v="1"/>
    <n v="1"/>
    <n v="1"/>
    <n v="0"/>
    <n v="0"/>
    <n v="0"/>
    <n v="0"/>
    <m/>
    <n v="84.3"/>
    <s v="Normal"/>
  </r>
  <r>
    <s v="USR-101357"/>
    <d v="2025-02-20T00:00:00"/>
    <x v="1"/>
    <s v="West"/>
    <s v="Desktop"/>
    <x v="1"/>
    <s v="Free"/>
    <n v="1"/>
    <n v="0"/>
    <n v="0"/>
    <n v="0"/>
    <n v="0"/>
    <n v="1"/>
    <n v="0"/>
    <m/>
    <n v="55"/>
    <s v="Normal"/>
  </r>
  <r>
    <s v="USR-101358"/>
    <d v="2025-05-09T00:00:00"/>
    <x v="1"/>
    <s v="West"/>
    <s v="Mobile"/>
    <x v="4"/>
    <s v="Free"/>
    <n v="1"/>
    <n v="0"/>
    <n v="0"/>
    <n v="0"/>
    <n v="0"/>
    <n v="0"/>
    <n v="0"/>
    <m/>
    <n v="63.6"/>
    <s v="Normal"/>
  </r>
  <r>
    <s v="USR-101359"/>
    <d v="2025-04-30T00:00:00"/>
    <x v="1"/>
    <s v="West"/>
    <s v="Mobile"/>
    <x v="1"/>
    <s v="Free"/>
    <n v="1"/>
    <n v="0"/>
    <n v="0"/>
    <n v="0"/>
    <n v="0"/>
    <n v="0"/>
    <n v="0"/>
    <m/>
    <n v="55.5"/>
    <s v="Normal"/>
  </r>
  <r>
    <s v="USR-101360"/>
    <d v="2025-01-07T00:00:00"/>
    <x v="1"/>
    <s v="South"/>
    <s v="Mobile"/>
    <x v="4"/>
    <s v="Basic"/>
    <n v="0"/>
    <n v="0"/>
    <n v="0"/>
    <n v="0"/>
    <n v="0"/>
    <n v="0"/>
    <n v="0"/>
    <m/>
    <n v="50.5"/>
    <s v="Normal"/>
  </r>
  <r>
    <s v="USR-101361"/>
    <d v="2025-04-30T00:00:00"/>
    <x v="1"/>
    <s v="North"/>
    <s v="Mobile"/>
    <x v="4"/>
    <s v="Basic"/>
    <n v="1"/>
    <n v="0"/>
    <n v="0"/>
    <n v="0"/>
    <n v="0"/>
    <n v="0"/>
    <n v="0"/>
    <m/>
    <n v="45.3"/>
    <s v="Normal"/>
  </r>
  <r>
    <s v="USR-101362"/>
    <d v="2025-05-23T00:00:00"/>
    <x v="1"/>
    <s v="East"/>
    <s v="Mobile"/>
    <x v="1"/>
    <s v="Basic"/>
    <n v="1"/>
    <n v="0"/>
    <n v="0"/>
    <n v="0"/>
    <n v="0"/>
    <n v="0"/>
    <n v="0"/>
    <m/>
    <n v="33.6"/>
    <s v="Normal"/>
  </r>
  <r>
    <s v="USR-101363"/>
    <d v="2025-03-12T00:00:00"/>
    <x v="1"/>
    <s v="South"/>
    <s v="Mobile"/>
    <x v="2"/>
    <s v="Premium"/>
    <n v="1"/>
    <n v="1"/>
    <n v="1"/>
    <n v="0"/>
    <n v="0"/>
    <n v="0"/>
    <n v="0"/>
    <m/>
    <n v="88.2"/>
    <s v="Normal"/>
  </r>
  <r>
    <s v="USR-101364"/>
    <d v="2025-02-17T00:00:00"/>
    <x v="1"/>
    <s v="North"/>
    <s v="Mobile"/>
    <x v="1"/>
    <s v="Premium"/>
    <n v="1"/>
    <n v="0"/>
    <n v="0"/>
    <n v="0"/>
    <n v="0"/>
    <n v="0"/>
    <n v="0"/>
    <m/>
    <n v="51.8"/>
    <s v="Normal"/>
  </r>
  <r>
    <s v="USR-101365"/>
    <d v="2025-05-27T00:00:00"/>
    <x v="1"/>
    <s v="North"/>
    <s v="Desktop"/>
    <x v="1"/>
    <s v="Basic"/>
    <n v="0"/>
    <n v="0"/>
    <n v="0"/>
    <n v="0"/>
    <n v="0"/>
    <n v="0"/>
    <n v="0"/>
    <m/>
    <n v="87.9"/>
    <s v="Normal"/>
  </r>
  <r>
    <s v="USR-101366"/>
    <d v="2025-05-10T00:00:00"/>
    <x v="1"/>
    <s v="South"/>
    <s v="Mobile"/>
    <x v="4"/>
    <s v="Premium"/>
    <n v="1"/>
    <n v="0"/>
    <n v="0"/>
    <n v="0"/>
    <n v="0"/>
    <n v="2"/>
    <n v="0"/>
    <m/>
    <n v="70.5"/>
    <s v="Normal"/>
  </r>
  <r>
    <s v="USR-101367"/>
    <d v="2025-01-20T00:00:00"/>
    <x v="1"/>
    <s v="North"/>
    <s v="Mobile"/>
    <x v="1"/>
    <s v="Basic"/>
    <n v="1"/>
    <n v="1"/>
    <n v="0"/>
    <n v="0"/>
    <n v="0"/>
    <n v="2"/>
    <n v="0"/>
    <m/>
    <n v="58.5"/>
    <s v="Normal"/>
  </r>
  <r>
    <s v="USR-101368"/>
    <d v="2025-01-19T00:00:00"/>
    <x v="1"/>
    <s v="East"/>
    <s v="Mobile"/>
    <x v="3"/>
    <s v="Free"/>
    <n v="1"/>
    <n v="0"/>
    <n v="0"/>
    <n v="0"/>
    <n v="0"/>
    <n v="0"/>
    <n v="0"/>
    <m/>
    <n v="65.599999999999994"/>
    <s v="Normal"/>
  </r>
  <r>
    <s v="USR-101369"/>
    <d v="2025-03-07T00:00:00"/>
    <x v="1"/>
    <s v="West"/>
    <s v="Desktop"/>
    <x v="2"/>
    <s v="Basic"/>
    <n v="1"/>
    <n v="1"/>
    <n v="0"/>
    <n v="0"/>
    <n v="0"/>
    <n v="0"/>
    <n v="0"/>
    <m/>
    <n v="62.7"/>
    <s v="Normal"/>
  </r>
  <r>
    <s v="USR-101370"/>
    <d v="2025-02-02T00:00:00"/>
    <x v="1"/>
    <s v="East"/>
    <s v="Mobile"/>
    <x v="1"/>
    <s v="Free"/>
    <n v="0"/>
    <n v="0"/>
    <n v="0"/>
    <n v="0"/>
    <n v="0"/>
    <n v="1"/>
    <n v="0"/>
    <m/>
    <n v="50.9"/>
    <s v="Normal"/>
  </r>
  <r>
    <s v="USR-101371"/>
    <d v="2025-03-07T00:00:00"/>
    <x v="1"/>
    <s v="North"/>
    <s v="Mobile"/>
    <x v="1"/>
    <s v="Free"/>
    <n v="0"/>
    <n v="0"/>
    <n v="0"/>
    <n v="0"/>
    <n v="0"/>
    <n v="1"/>
    <n v="0"/>
    <m/>
    <n v="60.6"/>
    <s v="Normal"/>
  </r>
  <r>
    <s v="USR-101372"/>
    <d v="2025-03-30T00:00:00"/>
    <x v="1"/>
    <s v="East"/>
    <s v="Desktop"/>
    <x v="1"/>
    <s v="Free"/>
    <n v="1"/>
    <n v="1"/>
    <n v="1"/>
    <n v="0"/>
    <n v="0"/>
    <n v="0"/>
    <n v="0"/>
    <m/>
    <n v="76.599999999999994"/>
    <s v="Normal"/>
  </r>
  <r>
    <s v="USR-101373"/>
    <d v="2025-05-05T00:00:00"/>
    <x v="1"/>
    <s v="East"/>
    <s v="Desktop"/>
    <x v="2"/>
    <s v="Free"/>
    <n v="1"/>
    <n v="1"/>
    <n v="1"/>
    <n v="0"/>
    <n v="0"/>
    <n v="0"/>
    <n v="0"/>
    <m/>
    <n v="54.4"/>
    <s v="Normal"/>
  </r>
  <r>
    <s v="USR-101374"/>
    <d v="2025-04-11T00:00:00"/>
    <x v="1"/>
    <s v="South"/>
    <s v="Mobile"/>
    <x v="4"/>
    <s v="Free"/>
    <n v="1"/>
    <n v="0"/>
    <n v="0"/>
    <n v="0"/>
    <n v="0"/>
    <n v="0"/>
    <n v="0"/>
    <m/>
    <n v="31.2"/>
    <s v="Normal"/>
  </r>
  <r>
    <s v="USR-101375"/>
    <d v="2025-03-25T00:00:00"/>
    <x v="1"/>
    <s v="West"/>
    <s v="Desktop"/>
    <x v="0"/>
    <s v="Premium"/>
    <n v="1"/>
    <n v="0"/>
    <n v="0"/>
    <n v="0"/>
    <n v="0"/>
    <n v="0"/>
    <n v="0"/>
    <m/>
    <n v="72.400000000000006"/>
    <s v="Normal"/>
  </r>
  <r>
    <s v="USR-101376"/>
    <d v="2025-03-24T00:00:00"/>
    <x v="1"/>
    <s v="North"/>
    <s v="Mobile"/>
    <x v="1"/>
    <s v="Premium"/>
    <n v="1"/>
    <n v="0"/>
    <n v="0"/>
    <n v="0"/>
    <n v="0"/>
    <n v="0"/>
    <n v="0"/>
    <m/>
    <n v="74.5"/>
    <s v="Normal"/>
  </r>
  <r>
    <s v="USR-101377"/>
    <d v="2025-04-27T00:00:00"/>
    <x v="1"/>
    <s v="East"/>
    <s v="Mobile"/>
    <x v="1"/>
    <s v="Basic"/>
    <n v="0"/>
    <n v="0"/>
    <n v="0"/>
    <n v="0"/>
    <n v="0"/>
    <n v="0"/>
    <n v="0"/>
    <m/>
    <n v="52.6"/>
    <s v="Normal"/>
  </r>
  <r>
    <s v="USR-101378"/>
    <d v="2025-01-25T00:00:00"/>
    <x v="1"/>
    <s v="North"/>
    <s v="Desktop"/>
    <x v="2"/>
    <s v="Free"/>
    <n v="1"/>
    <n v="0"/>
    <n v="0"/>
    <n v="0"/>
    <n v="0"/>
    <n v="0"/>
    <n v="0"/>
    <m/>
    <n v="75.400000000000006"/>
    <s v="Normal"/>
  </r>
  <r>
    <s v="USR-101379"/>
    <d v="2025-02-17T00:00:00"/>
    <x v="1"/>
    <s v="North"/>
    <s v="Tablet"/>
    <x v="4"/>
    <s v="Basic"/>
    <n v="1"/>
    <n v="1"/>
    <n v="1"/>
    <n v="1"/>
    <n v="751.33"/>
    <n v="0"/>
    <n v="0"/>
    <n v="9"/>
    <n v="34"/>
    <s v="Normal"/>
  </r>
  <r>
    <s v="USR-101380"/>
    <d v="2025-04-13T00:00:00"/>
    <x v="1"/>
    <s v="South"/>
    <s v="Desktop"/>
    <x v="1"/>
    <s v="Free"/>
    <n v="1"/>
    <n v="0"/>
    <n v="0"/>
    <n v="0"/>
    <n v="0"/>
    <n v="0"/>
    <n v="0"/>
    <m/>
    <n v="67.099999999999994"/>
    <s v="Normal"/>
  </r>
  <r>
    <s v="USR-101381"/>
    <d v="2025-05-03T00:00:00"/>
    <x v="1"/>
    <s v="West"/>
    <s v="Desktop"/>
    <x v="2"/>
    <s v="Premium"/>
    <n v="1"/>
    <n v="0"/>
    <n v="0"/>
    <n v="0"/>
    <n v="0"/>
    <n v="0"/>
    <n v="0"/>
    <m/>
    <n v="37.299999999999997"/>
    <s v="Normal"/>
  </r>
  <r>
    <s v="USR-101382"/>
    <d v="2025-04-29T00:00:00"/>
    <x v="1"/>
    <s v="West"/>
    <s v="Mobile"/>
    <x v="0"/>
    <s v="Free"/>
    <n v="1"/>
    <n v="0"/>
    <n v="0"/>
    <n v="0"/>
    <n v="0"/>
    <n v="0"/>
    <n v="0"/>
    <m/>
    <n v="54.7"/>
    <s v="Normal"/>
  </r>
  <r>
    <s v="USR-101383"/>
    <d v="2025-05-03T00:00:00"/>
    <x v="1"/>
    <s v="East"/>
    <s v="Desktop"/>
    <x v="2"/>
    <s v="Free"/>
    <n v="1"/>
    <n v="0"/>
    <n v="0"/>
    <n v="0"/>
    <n v="0"/>
    <n v="0"/>
    <n v="0"/>
    <m/>
    <n v="51.8"/>
    <s v="Normal"/>
  </r>
  <r>
    <s v="USR-101384"/>
    <d v="2025-04-28T00:00:00"/>
    <x v="1"/>
    <s v="West"/>
    <s v="Mobile"/>
    <x v="2"/>
    <s v="Free"/>
    <n v="0"/>
    <n v="0"/>
    <n v="0"/>
    <n v="0"/>
    <n v="0"/>
    <n v="0"/>
    <n v="0"/>
    <m/>
    <n v="49.2"/>
    <s v="Normal"/>
  </r>
  <r>
    <s v="USR-101385"/>
    <d v="2025-01-21T00:00:00"/>
    <x v="1"/>
    <s v="West"/>
    <s v="Mobile"/>
    <x v="1"/>
    <s v="Free"/>
    <n v="1"/>
    <n v="0"/>
    <n v="0"/>
    <n v="0"/>
    <n v="0"/>
    <n v="2"/>
    <n v="0"/>
    <m/>
    <n v="58.8"/>
    <s v="Normal"/>
  </r>
  <r>
    <s v="USR-101386"/>
    <d v="2025-01-21T00:00:00"/>
    <x v="1"/>
    <s v="North"/>
    <s v="Tablet"/>
    <x v="2"/>
    <s v="Basic"/>
    <n v="0"/>
    <n v="0"/>
    <n v="0"/>
    <n v="0"/>
    <n v="0"/>
    <n v="1"/>
    <n v="0"/>
    <m/>
    <n v="59.1"/>
    <s v="Normal"/>
  </r>
  <r>
    <s v="USR-101387"/>
    <d v="2025-05-21T00:00:00"/>
    <x v="1"/>
    <s v="West"/>
    <s v="Desktop"/>
    <x v="2"/>
    <s v="Free"/>
    <n v="1"/>
    <n v="0"/>
    <n v="0"/>
    <n v="0"/>
    <n v="0"/>
    <n v="2"/>
    <n v="0"/>
    <m/>
    <n v="49.6"/>
    <s v="Normal"/>
  </r>
  <r>
    <s v="USR-101388"/>
    <d v="2025-01-05T00:00:00"/>
    <x v="1"/>
    <s v="North"/>
    <s v="Mobile"/>
    <x v="3"/>
    <s v="Free"/>
    <n v="0"/>
    <n v="0"/>
    <n v="0"/>
    <n v="0"/>
    <n v="0"/>
    <n v="0"/>
    <n v="0"/>
    <m/>
    <n v="58.2"/>
    <s v="Normal"/>
  </r>
  <r>
    <s v="USR-101389"/>
    <d v="2025-03-06T00:00:00"/>
    <x v="1"/>
    <s v="South"/>
    <s v="Desktop"/>
    <x v="1"/>
    <s v="Free"/>
    <n v="1"/>
    <n v="0"/>
    <n v="0"/>
    <n v="0"/>
    <n v="0"/>
    <n v="0"/>
    <n v="0"/>
    <m/>
    <n v="66.8"/>
    <s v="Normal"/>
  </r>
  <r>
    <s v="USR-101390"/>
    <d v="2025-04-18T00:00:00"/>
    <x v="1"/>
    <s v="North"/>
    <s v="Mobile"/>
    <x v="2"/>
    <s v="Free"/>
    <n v="1"/>
    <n v="0"/>
    <n v="0"/>
    <n v="0"/>
    <n v="0"/>
    <n v="3"/>
    <n v="0"/>
    <m/>
    <n v="58.3"/>
    <s v="Normal"/>
  </r>
  <r>
    <s v="USR-101391"/>
    <d v="2025-04-15T00:00:00"/>
    <x v="1"/>
    <s v="West"/>
    <s v="Mobile"/>
    <x v="1"/>
    <s v="Basic"/>
    <n v="1"/>
    <n v="1"/>
    <n v="1"/>
    <n v="0"/>
    <n v="0"/>
    <n v="0"/>
    <n v="0"/>
    <m/>
    <n v="38.5"/>
    <s v="Normal"/>
  </r>
  <r>
    <s v="USR-101392"/>
    <d v="2025-02-10T00:00:00"/>
    <x v="1"/>
    <s v="East"/>
    <s v="Mobile"/>
    <x v="2"/>
    <s v="Free"/>
    <n v="1"/>
    <n v="0"/>
    <n v="0"/>
    <n v="0"/>
    <n v="0"/>
    <n v="0"/>
    <n v="0"/>
    <m/>
    <n v="76.900000000000006"/>
    <s v="Normal"/>
  </r>
  <r>
    <s v="USR-101393"/>
    <d v="2025-05-08T00:00:00"/>
    <x v="1"/>
    <s v="East"/>
    <s v="Mobile"/>
    <x v="1"/>
    <s v="Free"/>
    <n v="1"/>
    <n v="0"/>
    <n v="0"/>
    <n v="0"/>
    <n v="0"/>
    <n v="0"/>
    <n v="0"/>
    <m/>
    <n v="54"/>
    <s v="Normal"/>
  </r>
  <r>
    <s v="USR-101394"/>
    <d v="2025-05-28T00:00:00"/>
    <x v="1"/>
    <s v="East"/>
    <s v="Tablet"/>
    <x v="1"/>
    <s v="Free"/>
    <n v="1"/>
    <n v="0"/>
    <n v="0"/>
    <n v="0"/>
    <n v="0"/>
    <n v="0"/>
    <n v="0"/>
    <m/>
    <n v="70.599999999999994"/>
    <s v="Normal"/>
  </r>
  <r>
    <s v="USR-101395"/>
    <d v="2025-04-25T00:00:00"/>
    <x v="1"/>
    <s v="North"/>
    <s v="Tablet"/>
    <x v="3"/>
    <s v="Premium"/>
    <n v="1"/>
    <n v="1"/>
    <n v="1"/>
    <n v="0"/>
    <n v="0"/>
    <n v="1"/>
    <n v="0"/>
    <m/>
    <n v="69.400000000000006"/>
    <s v="Normal"/>
  </r>
  <r>
    <s v="USR-101396"/>
    <d v="2025-02-11T00:00:00"/>
    <x v="1"/>
    <s v="South"/>
    <s v="Mobile"/>
    <x v="5"/>
    <s v="Premium"/>
    <n v="1"/>
    <n v="1"/>
    <n v="1"/>
    <n v="1"/>
    <n v="1009.9"/>
    <n v="0"/>
    <n v="0"/>
    <n v="6"/>
    <n v="89.7"/>
    <s v="Normal"/>
  </r>
  <r>
    <s v="USR-101397"/>
    <d v="2025-04-14T00:00:00"/>
    <x v="1"/>
    <s v="West"/>
    <s v="Mobile"/>
    <x v="1"/>
    <s v="Free"/>
    <n v="1"/>
    <n v="0"/>
    <n v="0"/>
    <n v="0"/>
    <n v="0"/>
    <n v="0"/>
    <n v="0"/>
    <m/>
    <n v="62.4"/>
    <s v="Normal"/>
  </r>
  <r>
    <s v="USR-101398"/>
    <d v="2025-02-04T00:00:00"/>
    <x v="1"/>
    <s v="West"/>
    <s v="Tablet"/>
    <x v="1"/>
    <s v="Premium"/>
    <n v="0"/>
    <n v="0"/>
    <n v="0"/>
    <n v="0"/>
    <n v="0"/>
    <n v="0"/>
    <n v="0"/>
    <m/>
    <n v="67.3"/>
    <s v="Normal"/>
  </r>
  <r>
    <s v="USR-101399"/>
    <d v="2025-03-22T00:00:00"/>
    <x v="1"/>
    <s v="East"/>
    <s v="Mobile"/>
    <x v="3"/>
    <s v="Free"/>
    <n v="1"/>
    <n v="0"/>
    <n v="0"/>
    <n v="0"/>
    <n v="0"/>
    <n v="0"/>
    <n v="0"/>
    <m/>
    <n v="54.9"/>
    <s v="Normal"/>
  </r>
  <r>
    <s v="USR-101400"/>
    <d v="2025-04-18T00:00:00"/>
    <x v="1"/>
    <s v="East"/>
    <s v="Desktop"/>
    <x v="4"/>
    <s v="Free"/>
    <n v="0"/>
    <n v="0"/>
    <n v="0"/>
    <n v="0"/>
    <n v="0"/>
    <n v="0"/>
    <n v="0"/>
    <m/>
    <n v="55.7"/>
    <s v="Norma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09F10F-D492-48B7-8013-254F246E5095}" name="PivotTable25" cacheId="7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lan Type">
  <location ref="A69:G75" firstHeaderRow="1" firstDataRow="3" firstDataCol="1"/>
  <pivotFields count="16">
    <pivotField dataField="1" showAll="0"/>
    <pivotField numFmtId="164" showAll="0"/>
    <pivotField axis="axisCol" showAll="0">
      <items count="3">
        <item x="0"/>
        <item x="1"/>
        <item t="default"/>
      </items>
    </pivotField>
    <pivotField showAll="0"/>
    <pivotField showAll="0"/>
    <pivotField showAll="0"/>
    <pivotField axis="axisRow" showAll="0">
      <items count="4">
        <item x="0"/>
        <item x="1"/>
        <item x="2"/>
        <item t="default"/>
      </items>
    </pivotField>
    <pivotField showAll="0"/>
    <pivotField showAll="0"/>
    <pivotField showAll="0"/>
    <pivotField dataField="1" showAll="0"/>
    <pivotField showAll="0"/>
    <pivotField showAll="0"/>
    <pivotField showAll="0"/>
    <pivotField showAll="0"/>
    <pivotField showAll="0"/>
  </pivotFields>
  <rowFields count="1">
    <field x="6"/>
  </rowFields>
  <rowItems count="4">
    <i>
      <x/>
    </i>
    <i>
      <x v="1"/>
    </i>
    <i>
      <x v="2"/>
    </i>
    <i t="grand">
      <x/>
    </i>
  </rowItems>
  <colFields count="2">
    <field x="2"/>
    <field x="-2"/>
  </colFields>
  <colItems count="6">
    <i>
      <x/>
      <x/>
    </i>
    <i r="1" i="1">
      <x v="1"/>
    </i>
    <i>
      <x v="1"/>
      <x/>
    </i>
    <i r="1" i="1">
      <x v="1"/>
    </i>
    <i t="grand">
      <x/>
    </i>
    <i t="grand" i="1">
      <x/>
    </i>
  </colItems>
  <dataFields count="2">
    <dataField name="User Count" fld="0" subtotal="count" baseField="0" baseItem="0"/>
    <dataField name="Converted to Paid" fld="10" baseField="0" baseItem="0"/>
  </dataFields>
  <formats count="1">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ED0A71-7F6B-441E-BDAD-CE1F4686B16A}" name="PivotTable24" cacheId="7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59:C64" firstHeaderRow="1" firstDataRow="2" firstDataCol="1"/>
  <pivotFields count="16">
    <pivotField showAll="0"/>
    <pivotField numFmtId="164" showAll="0"/>
    <pivotField axis="axisCol" showAll="0">
      <items count="3">
        <item x="0"/>
        <item x="1"/>
        <item t="default"/>
      </items>
    </pivotField>
    <pivotField showAll="0"/>
    <pivotField axis="axisRow" showAll="0">
      <items count="5">
        <item x="0"/>
        <item x="1"/>
        <item x="2"/>
        <item x="3"/>
        <item t="default"/>
      </items>
    </pivotField>
    <pivotField showAll="0"/>
    <pivotField showAll="0"/>
    <pivotField showAll="0"/>
    <pivotField showAll="0"/>
    <pivotField showAll="0"/>
    <pivotField showAll="0"/>
    <pivotField dataField="1" showAll="0"/>
    <pivotField showAll="0"/>
    <pivotField showAll="0"/>
    <pivotField showAll="0"/>
    <pivotField showAll="0"/>
  </pivotFields>
  <rowFields count="1">
    <field x="4"/>
  </rowFields>
  <rowItems count="4">
    <i>
      <x/>
    </i>
    <i>
      <x v="1"/>
    </i>
    <i>
      <x v="2"/>
    </i>
    <i>
      <x v="3"/>
    </i>
  </rowItems>
  <colFields count="1">
    <field x="2"/>
  </colFields>
  <colItems count="2">
    <i>
      <x/>
    </i>
    <i>
      <x v="1"/>
    </i>
  </colItems>
  <dataFields count="1">
    <dataField name="Average of revenue_30d" fld="11" subtotal="average" baseField="4" baseItem="0" numFmtId="2"/>
  </dataFields>
  <formats count="4">
    <format dxfId="30">
      <pivotArea outline="0" collapsedLevelsAreSubtotals="1" fieldPosition="0"/>
    </format>
    <format dxfId="29">
      <pivotArea dataOnly="0" labelOnly="1" fieldPosition="0">
        <references count="1">
          <reference field="2" count="0"/>
        </references>
      </pivotArea>
    </format>
    <format dxfId="28">
      <pivotArea dataOnly="0" labelOnly="1" grandCol="1" outline="0" fieldPosition="0"/>
    </format>
    <format dxfId="2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FE78D5-0176-42F9-861F-37EF14D7722E}" name="PivotTable23" cacheId="7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Traffic Source">
  <location ref="A47:C54" firstHeaderRow="1" firstDataRow="2" firstDataCol="1"/>
  <pivotFields count="17">
    <pivotField showAll="0"/>
    <pivotField numFmtId="164" showAll="0"/>
    <pivotField axis="axisCol" showAll="0">
      <items count="3">
        <item x="0"/>
        <item x="1"/>
        <item t="default"/>
      </items>
    </pivotField>
    <pivotField showAll="0"/>
    <pivotField showAll="0"/>
    <pivotField axis="axisRow" showAll="0">
      <items count="7">
        <item x="0"/>
        <item x="1"/>
        <item x="2"/>
        <item x="3"/>
        <item x="4"/>
        <item x="5"/>
        <item t="default"/>
      </items>
    </pivotField>
    <pivotField showAll="0"/>
    <pivotField showAll="0"/>
    <pivotField showAll="0"/>
    <pivotField showAll="0"/>
    <pivotField showAll="0"/>
    <pivotField showAll="0"/>
    <pivotField showAll="0"/>
    <pivotField showAll="0"/>
    <pivotField showAll="0"/>
    <pivotField dataField="1" showAll="0"/>
    <pivotField showAll="0"/>
  </pivotFields>
  <rowFields count="1">
    <field x="5"/>
  </rowFields>
  <rowItems count="6">
    <i>
      <x/>
    </i>
    <i>
      <x v="1"/>
    </i>
    <i>
      <x v="2"/>
    </i>
    <i>
      <x v="3"/>
    </i>
    <i>
      <x v="4"/>
    </i>
    <i>
      <x v="5"/>
    </i>
  </rowItems>
  <colFields count="1">
    <field x="2"/>
  </colFields>
  <colItems count="2">
    <i>
      <x/>
    </i>
    <i>
      <x v="1"/>
    </i>
  </colItems>
  <dataFields count="1">
    <dataField name="Average Engagement Score" fld="15" subtotal="average" baseField="0" baseItem="0" numFmtId="2"/>
  </dataFields>
  <formats count="3">
    <format dxfId="33">
      <pivotArea outline="0" collapsedLevelsAreSubtotals="1" fieldPosition="0"/>
    </format>
    <format dxfId="32">
      <pivotArea outline="0" collapsedLevelsAreSubtotals="1" fieldPosition="0"/>
    </format>
    <format dxfId="31">
      <pivotArea type="origin" dataOnly="0" labelOnly="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DC0EAC2-3F6A-4643-A900-FAD4B592E4A4}" name="PivotTable22" cacheId="78"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Region">
  <location ref="A36:G43" firstHeaderRow="1" firstDataRow="3" firstDataCol="1"/>
  <pivotFields count="16">
    <pivotField dataField="1" showAll="0"/>
    <pivotField numFmtId="164" showAll="0"/>
    <pivotField axis="axisCol" showAll="0">
      <items count="3">
        <item x="0"/>
        <item x="1"/>
        <item t="default"/>
      </items>
    </pivotField>
    <pivotField axis="axisRow" showAll="0">
      <items count="5">
        <item x="2"/>
        <item x="0"/>
        <item x="3"/>
        <item x="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3"/>
  </rowFields>
  <rowItems count="5">
    <i>
      <x/>
    </i>
    <i>
      <x v="1"/>
    </i>
    <i>
      <x v="2"/>
    </i>
    <i>
      <x v="3"/>
    </i>
    <i t="grand">
      <x/>
    </i>
  </rowItems>
  <colFields count="2">
    <field x="2"/>
    <field x="-2"/>
  </colFields>
  <colItems count="6">
    <i>
      <x/>
      <x/>
    </i>
    <i r="1" i="1">
      <x v="1"/>
    </i>
    <i>
      <x v="1"/>
      <x/>
    </i>
    <i r="1" i="1">
      <x v="1"/>
    </i>
    <i t="grand">
      <x/>
    </i>
    <i t="grand" i="1">
      <x/>
    </i>
  </colItems>
  <dataFields count="2">
    <dataField name="User Count" fld="0" subtotal="count" baseField="0" baseItem="0"/>
    <dataField name="Paid Converted" fld="10" baseField="0" baseItem="0"/>
  </dataFields>
  <formats count="17">
    <format dxfId="50">
      <pivotArea outline="0" collapsedLevelsAreSubtotals="1" fieldPosition="0"/>
    </format>
    <format dxfId="49">
      <pivotArea dataOnly="0" labelOnly="1" outline="0" fieldPosition="0">
        <references count="2">
          <reference field="4294967294" count="1">
            <x v="0"/>
          </reference>
          <reference field="2" count="1" selected="0">
            <x v="0"/>
          </reference>
        </references>
      </pivotArea>
    </format>
    <format dxfId="48">
      <pivotArea dataOnly="0" labelOnly="1" outline="0" fieldPosition="0">
        <references count="2">
          <reference field="4294967294" count="1">
            <x v="1"/>
          </reference>
          <reference field="2" count="1" selected="0">
            <x v="1"/>
          </reference>
        </references>
      </pivotArea>
    </format>
    <format dxfId="47">
      <pivotArea dataOnly="0" labelOnly="1" outline="0" fieldPosition="0">
        <references count="2">
          <reference field="4294967294" count="1">
            <x v="0"/>
          </reference>
          <reference field="2" count="1" selected="0">
            <x v="1"/>
          </reference>
        </references>
      </pivotArea>
    </format>
    <format dxfId="46">
      <pivotArea field="2" dataOnly="0" labelOnly="1" grandCol="1" outline="0" axis="axisCol" fieldPosition="0">
        <references count="1">
          <reference field="4294967294" count="1" selected="0">
            <x v="1"/>
          </reference>
        </references>
      </pivotArea>
    </format>
    <format dxfId="45">
      <pivotArea field="2" dataOnly="0" labelOnly="1" grandCol="1" outline="0" axis="axisCol" fieldPosition="0">
        <references count="1">
          <reference field="4294967294" count="1" selected="0">
            <x v="0"/>
          </reference>
        </references>
      </pivotArea>
    </format>
    <format dxfId="44">
      <pivotArea dataOnly="0" labelOnly="1" outline="0" fieldPosition="0">
        <references count="2">
          <reference field="4294967294" count="1">
            <x v="1"/>
          </reference>
          <reference field="2" count="1" selected="0">
            <x v="0"/>
          </reference>
        </references>
      </pivotArea>
    </format>
    <format dxfId="43">
      <pivotArea dataOnly="0" labelOnly="1" fieldPosition="0">
        <references count="1">
          <reference field="2" count="0"/>
        </references>
      </pivotArea>
    </format>
    <format dxfId="42">
      <pivotArea field="2" dataOnly="0" labelOnly="1" grandCol="1" outline="0" axis="axisCol" fieldPosition="0">
        <references count="1">
          <reference field="4294967294" count="1" selected="0">
            <x v="0"/>
          </reference>
        </references>
      </pivotArea>
    </format>
    <format dxfId="41">
      <pivotArea field="2" dataOnly="0" labelOnly="1" grandCol="1" outline="0" axis="axisCol" fieldPosition="0">
        <references count="1">
          <reference field="4294967294" count="1" selected="0">
            <x v="1"/>
          </reference>
        </references>
      </pivotArea>
    </format>
    <format dxfId="40">
      <pivotArea dataOnly="0" labelOnly="1" outline="0" fieldPosition="0">
        <references count="2">
          <reference field="4294967294" count="2">
            <x v="0"/>
            <x v="1"/>
          </reference>
          <reference field="2" count="1" selected="0">
            <x v="0"/>
          </reference>
        </references>
      </pivotArea>
    </format>
    <format dxfId="39">
      <pivotArea dataOnly="0" labelOnly="1" outline="0" fieldPosition="0">
        <references count="2">
          <reference field="4294967294" count="2">
            <x v="0"/>
            <x v="1"/>
          </reference>
          <reference field="2" count="1" selected="0">
            <x v="1"/>
          </reference>
        </references>
      </pivotArea>
    </format>
    <format dxfId="38">
      <pivotArea dataOnly="0" labelOnly="1" fieldPosition="0">
        <references count="1">
          <reference field="2" count="0"/>
        </references>
      </pivotArea>
    </format>
    <format dxfId="37">
      <pivotArea field="2" dataOnly="0" labelOnly="1" grandCol="1" outline="0" axis="axisCol" fieldPosition="0">
        <references count="1">
          <reference field="4294967294" count="1" selected="0">
            <x v="0"/>
          </reference>
        </references>
      </pivotArea>
    </format>
    <format dxfId="36">
      <pivotArea field="2" dataOnly="0" labelOnly="1" grandCol="1" outline="0" axis="axisCol" fieldPosition="0">
        <references count="1">
          <reference field="4294967294" count="1" selected="0">
            <x v="1"/>
          </reference>
        </references>
      </pivotArea>
    </format>
    <format dxfId="35">
      <pivotArea dataOnly="0" labelOnly="1" outline="0" fieldPosition="0">
        <references count="2">
          <reference field="4294967294" count="2">
            <x v="0"/>
            <x v="1"/>
          </reference>
          <reference field="2" count="1" selected="0">
            <x v="0"/>
          </reference>
        </references>
      </pivotArea>
    </format>
    <format dxfId="34">
      <pivotArea dataOnly="0" labelOnly="1" outline="0" fieldPosition="0">
        <references count="2">
          <reference field="4294967294" count="2">
            <x v="0"/>
            <x v="1"/>
          </reference>
          <reference field="2"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CDAFB40-545D-42E6-9745-B6EA2004F014}" name="PivotTable21" cacheId="7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J13:K15" firstHeaderRow="1" firstDataRow="1" firstDataCol="1"/>
  <pivotFields count="16">
    <pivotField showAll="0"/>
    <pivotField numFmtId="164"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2"/>
  </rowFields>
  <rowItems count="2">
    <i>
      <x/>
    </i>
    <i>
      <x v="1"/>
    </i>
  </rowItems>
  <colItems count="1">
    <i/>
  </colItems>
  <dataFields count="1">
    <dataField name="Average days to convert" fld="14" subtotal="average" baseField="2" baseItem="0" numFmtId="2"/>
  </dataFields>
  <formats count="5">
    <format dxfId="70">
      <pivotArea outline="0" collapsedLevelsAreSubtotals="1" fieldPosition="0"/>
    </format>
    <format dxfId="69">
      <pivotArea dataOnly="0" labelOnly="1" outline="0" axis="axisValues" fieldPosition="0"/>
    </format>
    <format dxfId="68">
      <pivotArea outline="0" collapsedLevelsAreSubtotals="1" fieldPosition="0"/>
    </format>
    <format dxfId="19">
      <pivotArea dataOnly="0" labelOnly="1" outline="0" axis="axisValues" fieldPosition="0"/>
    </format>
    <format dxfId="1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E94A06A-4725-4F3E-9765-1ADD421D7AFA}" name="PivotTable20" cacheId="7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Group">
  <location ref="J5:K7" firstHeaderRow="1" firstDataRow="1" firstDataCol="1"/>
  <pivotFields count="16">
    <pivotField showAll="0"/>
    <pivotField numFmtId="164" showAll="0"/>
    <pivotField axis="axisRow" showAll="0">
      <items count="3">
        <item x="0"/>
        <item x="1"/>
        <item t="default"/>
      </items>
    </pivotField>
    <pivotField showAll="0"/>
    <pivotField showAll="0">
      <items count="5">
        <item x="0"/>
        <item x="1"/>
        <item x="2"/>
        <item x="3"/>
        <item t="default"/>
      </items>
    </pivotField>
    <pivotField showAll="0"/>
    <pivotField showAll="0"/>
    <pivotField showAll="0"/>
    <pivotField showAll="0"/>
    <pivotField showAll="0"/>
    <pivotField showAll="0"/>
    <pivotField showAll="0"/>
    <pivotField showAll="0"/>
    <pivotField showAll="0"/>
    <pivotField showAll="0"/>
    <pivotField dataField="1" showAll="0">
      <items count="529">
        <item x="295"/>
        <item x="378"/>
        <item x="346"/>
        <item x="354"/>
        <item x="440"/>
        <item x="360"/>
        <item x="357"/>
        <item x="402"/>
        <item x="342"/>
        <item x="33"/>
        <item x="487"/>
        <item x="383"/>
        <item x="281"/>
        <item x="438"/>
        <item x="254"/>
        <item x="261"/>
        <item x="144"/>
        <item x="204"/>
        <item x="64"/>
        <item x="310"/>
        <item x="215"/>
        <item x="480"/>
        <item x="377"/>
        <item x="238"/>
        <item x="523"/>
        <item x="317"/>
        <item x="116"/>
        <item x="269"/>
        <item x="372"/>
        <item x="513"/>
        <item x="181"/>
        <item x="259"/>
        <item x="111"/>
        <item x="130"/>
        <item x="210"/>
        <item x="520"/>
        <item x="375"/>
        <item x="199"/>
        <item x="525"/>
        <item x="491"/>
        <item x="388"/>
        <item x="428"/>
        <item x="493"/>
        <item x="36"/>
        <item x="245"/>
        <item x="2"/>
        <item x="315"/>
        <item x="280"/>
        <item x="105"/>
        <item x="151"/>
        <item x="7"/>
        <item x="504"/>
        <item x="344"/>
        <item x="326"/>
        <item x="503"/>
        <item x="337"/>
        <item x="249"/>
        <item x="498"/>
        <item x="83"/>
        <item x="158"/>
        <item x="368"/>
        <item x="390"/>
        <item x="404"/>
        <item x="71"/>
        <item x="485"/>
        <item x="175"/>
        <item x="318"/>
        <item x="148"/>
        <item x="526"/>
        <item x="225"/>
        <item x="123"/>
        <item x="195"/>
        <item x="101"/>
        <item x="229"/>
        <item x="417"/>
        <item x="371"/>
        <item x="516"/>
        <item x="186"/>
        <item x="334"/>
        <item x="350"/>
        <item x="364"/>
        <item x="239"/>
        <item x="218"/>
        <item x="169"/>
        <item x="5"/>
        <item x="29"/>
        <item x="415"/>
        <item x="122"/>
        <item x="275"/>
        <item x="38"/>
        <item x="358"/>
        <item x="385"/>
        <item x="129"/>
        <item x="135"/>
        <item x="113"/>
        <item x="81"/>
        <item x="352"/>
        <item x="366"/>
        <item x="214"/>
        <item x="217"/>
        <item x="47"/>
        <item x="263"/>
        <item x="125"/>
        <item x="198"/>
        <item x="114"/>
        <item x="507"/>
        <item x="305"/>
        <item x="268"/>
        <item x="102"/>
        <item x="289"/>
        <item x="439"/>
        <item x="72"/>
        <item x="307"/>
        <item x="141"/>
        <item x="288"/>
        <item x="466"/>
        <item x="376"/>
        <item x="224"/>
        <item x="200"/>
        <item x="153"/>
        <item x="308"/>
        <item x="336"/>
        <item x="173"/>
        <item x="276"/>
        <item x="0"/>
        <item x="454"/>
        <item x="188"/>
        <item x="251"/>
        <item x="160"/>
        <item x="339"/>
        <item x="170"/>
        <item x="66"/>
        <item x="353"/>
        <item x="60"/>
        <item x="197"/>
        <item x="48"/>
        <item x="348"/>
        <item x="331"/>
        <item x="316"/>
        <item x="394"/>
        <item x="324"/>
        <item x="380"/>
        <item x="409"/>
        <item x="492"/>
        <item x="106"/>
        <item x="53"/>
        <item x="189"/>
        <item x="262"/>
        <item x="70"/>
        <item x="502"/>
        <item x="1"/>
        <item x="298"/>
        <item x="219"/>
        <item x="37"/>
        <item x="270"/>
        <item x="329"/>
        <item x="287"/>
        <item x="18"/>
        <item x="396"/>
        <item x="432"/>
        <item x="51"/>
        <item x="447"/>
        <item x="482"/>
        <item x="282"/>
        <item x="52"/>
        <item x="278"/>
        <item x="57"/>
        <item x="293"/>
        <item x="302"/>
        <item x="17"/>
        <item x="138"/>
        <item x="252"/>
        <item x="76"/>
        <item x="77"/>
        <item x="95"/>
        <item x="508"/>
        <item x="294"/>
        <item x="518"/>
        <item x="39"/>
        <item x="23"/>
        <item x="369"/>
        <item x="361"/>
        <item x="427"/>
        <item x="382"/>
        <item x="152"/>
        <item x="292"/>
        <item x="193"/>
        <item x="283"/>
        <item x="180"/>
        <item x="159"/>
        <item x="21"/>
        <item x="253"/>
        <item x="296"/>
        <item x="145"/>
        <item x="413"/>
        <item x="40"/>
        <item x="174"/>
        <item x="343"/>
        <item x="86"/>
        <item x="50"/>
        <item x="55"/>
        <item x="405"/>
        <item x="121"/>
        <item x="22"/>
        <item x="267"/>
        <item x="65"/>
        <item x="157"/>
        <item x="115"/>
        <item x="67"/>
        <item x="332"/>
        <item x="161"/>
        <item x="120"/>
        <item x="146"/>
        <item x="384"/>
        <item x="501"/>
        <item x="395"/>
        <item x="62"/>
        <item x="8"/>
        <item x="248"/>
        <item x="41"/>
        <item x="132"/>
        <item x="184"/>
        <item x="88"/>
        <item x="208"/>
        <item x="149"/>
        <item x="63"/>
        <item x="44"/>
        <item x="156"/>
        <item x="54"/>
        <item x="408"/>
        <item x="410"/>
        <item x="313"/>
        <item x="108"/>
        <item x="370"/>
        <item x="6"/>
        <item x="164"/>
        <item x="9"/>
        <item x="452"/>
        <item x="211"/>
        <item x="373"/>
        <item x="191"/>
        <item x="311"/>
        <item x="274"/>
        <item x="59"/>
        <item x="45"/>
        <item x="147"/>
        <item x="126"/>
        <item x="222"/>
        <item x="68"/>
        <item x="131"/>
        <item x="420"/>
        <item x="26"/>
        <item x="265"/>
        <item x="176"/>
        <item x="118"/>
        <item x="291"/>
        <item x="355"/>
        <item x="244"/>
        <item x="320"/>
        <item x="314"/>
        <item x="139"/>
        <item x="233"/>
        <item x="103"/>
        <item x="365"/>
        <item x="28"/>
        <item x="91"/>
        <item x="475"/>
        <item x="61"/>
        <item x="221"/>
        <item x="522"/>
        <item x="426"/>
        <item x="309"/>
        <item x="19"/>
        <item x="94"/>
        <item x="351"/>
        <item x="14"/>
        <item x="231"/>
        <item x="242"/>
        <item x="100"/>
        <item x="196"/>
        <item x="142"/>
        <item x="79"/>
        <item x="247"/>
        <item x="203"/>
        <item x="172"/>
        <item x="56"/>
        <item x="341"/>
        <item x="12"/>
        <item x="107"/>
        <item x="150"/>
        <item x="20"/>
        <item x="202"/>
        <item x="484"/>
        <item x="49"/>
        <item x="319"/>
        <item x="87"/>
        <item x="237"/>
        <item x="99"/>
        <item x="89"/>
        <item x="10"/>
        <item x="216"/>
        <item x="74"/>
        <item x="419"/>
        <item x="32"/>
        <item x="449"/>
        <item x="171"/>
        <item x="328"/>
        <item x="300"/>
        <item x="443"/>
        <item x="3"/>
        <item x="75"/>
        <item x="136"/>
        <item x="133"/>
        <item x="43"/>
        <item x="345"/>
        <item x="333"/>
        <item x="367"/>
        <item x="285"/>
        <item x="205"/>
        <item x="255"/>
        <item x="459"/>
        <item x="78"/>
        <item x="163"/>
        <item x="414"/>
        <item x="455"/>
        <item x="230"/>
        <item x="322"/>
        <item x="246"/>
        <item x="327"/>
        <item x="4"/>
        <item x="416"/>
        <item x="234"/>
        <item x="24"/>
        <item x="177"/>
        <item x="411"/>
        <item x="92"/>
        <item x="400"/>
        <item x="25"/>
        <item x="154"/>
        <item x="31"/>
        <item x="290"/>
        <item x="297"/>
        <item x="112"/>
        <item x="85"/>
        <item x="240"/>
        <item x="284"/>
        <item x="446"/>
        <item x="437"/>
        <item x="379"/>
        <item x="299"/>
        <item x="235"/>
        <item x="15"/>
        <item x="258"/>
        <item x="273"/>
        <item x="392"/>
        <item x="167"/>
        <item x="183"/>
        <item x="430"/>
        <item x="168"/>
        <item x="279"/>
        <item x="127"/>
        <item x="187"/>
        <item x="226"/>
        <item x="476"/>
        <item x="213"/>
        <item x="458"/>
        <item x="256"/>
        <item x="209"/>
        <item x="182"/>
        <item x="478"/>
        <item x="194"/>
        <item x="117"/>
        <item x="140"/>
        <item x="228"/>
        <item x="477"/>
        <item x="104"/>
        <item x="509"/>
        <item x="389"/>
        <item x="185"/>
        <item x="16"/>
        <item x="471"/>
        <item x="137"/>
        <item x="80"/>
        <item x="134"/>
        <item x="236"/>
        <item x="442"/>
        <item x="277"/>
        <item x="468"/>
        <item x="363"/>
        <item x="444"/>
        <item x="42"/>
        <item x="374"/>
        <item x="386"/>
        <item x="243"/>
        <item x="406"/>
        <item x="393"/>
        <item x="488"/>
        <item x="27"/>
        <item x="463"/>
        <item x="98"/>
        <item x="178"/>
        <item x="162"/>
        <item x="58"/>
        <item x="90"/>
        <item x="206"/>
        <item x="448"/>
        <item x="356"/>
        <item x="495"/>
        <item x="349"/>
        <item x="472"/>
        <item x="109"/>
        <item x="524"/>
        <item x="470"/>
        <item x="362"/>
        <item x="35"/>
        <item x="266"/>
        <item x="499"/>
        <item x="82"/>
        <item x="407"/>
        <item x="260"/>
        <item x="271"/>
        <item x="124"/>
        <item x="323"/>
        <item x="335"/>
        <item x="517"/>
        <item x="381"/>
        <item x="479"/>
        <item x="460"/>
        <item x="166"/>
        <item x="486"/>
        <item x="227"/>
        <item x="433"/>
        <item x="397"/>
        <item x="340"/>
        <item x="312"/>
        <item x="286"/>
        <item x="494"/>
        <item x="306"/>
        <item x="347"/>
        <item x="321"/>
        <item x="192"/>
        <item x="110"/>
        <item x="257"/>
        <item x="399"/>
        <item x="506"/>
        <item x="423"/>
        <item x="93"/>
        <item x="223"/>
        <item x="434"/>
        <item x="155"/>
        <item x="451"/>
        <item x="272"/>
        <item x="30"/>
        <item x="11"/>
        <item x="165"/>
        <item x="119"/>
        <item x="391"/>
        <item x="46"/>
        <item x="435"/>
        <item x="465"/>
        <item x="190"/>
        <item x="73"/>
        <item x="143"/>
        <item x="403"/>
        <item x="511"/>
        <item x="325"/>
        <item x="505"/>
        <item x="441"/>
        <item x="445"/>
        <item x="97"/>
        <item x="398"/>
        <item x="13"/>
        <item x="489"/>
        <item x="418"/>
        <item x="387"/>
        <item x="467"/>
        <item x="401"/>
        <item x="450"/>
        <item x="453"/>
        <item x="496"/>
        <item x="412"/>
        <item x="232"/>
        <item x="473"/>
        <item x="84"/>
        <item x="330"/>
        <item x="490"/>
        <item x="461"/>
        <item x="179"/>
        <item x="69"/>
        <item x="431"/>
        <item x="34"/>
        <item x="421"/>
        <item x="212"/>
        <item x="303"/>
        <item x="241"/>
        <item x="457"/>
        <item x="201"/>
        <item x="469"/>
        <item x="436"/>
        <item x="207"/>
        <item x="304"/>
        <item x="359"/>
        <item x="456"/>
        <item x="422"/>
        <item x="500"/>
        <item x="521"/>
        <item x="510"/>
        <item x="429"/>
        <item x="425"/>
        <item x="497"/>
        <item x="220"/>
        <item x="527"/>
        <item x="338"/>
        <item x="515"/>
        <item x="519"/>
        <item x="483"/>
        <item x="481"/>
        <item x="512"/>
        <item x="250"/>
        <item x="264"/>
        <item x="96"/>
        <item x="474"/>
        <item x="424"/>
        <item x="462"/>
        <item x="464"/>
        <item x="514"/>
        <item x="301"/>
        <item x="128"/>
        <item t="default"/>
      </items>
    </pivotField>
  </pivotFields>
  <rowFields count="1">
    <field x="2"/>
  </rowFields>
  <rowItems count="2">
    <i>
      <x/>
    </i>
    <i>
      <x v="1"/>
    </i>
  </rowItems>
  <colItems count="1">
    <i/>
  </colItems>
  <dataFields count="1">
    <dataField name="Average Engagement Score" fld="15" subtotal="average" baseField="2" baseItem="0" numFmtId="2"/>
  </dataFields>
  <formats count="9">
    <format dxfId="1">
      <pivotArea outline="0" collapsedLevelsAreSubtotals="1" fieldPosition="0"/>
    </format>
    <format dxfId="2">
      <pivotArea dataOnly="0" labelOnly="1" outline="0" axis="axisValues" fieldPosition="0"/>
    </format>
    <format dxfId="3">
      <pivotArea outline="0" collapsedLevelsAreSubtotals="1" fieldPosition="0"/>
    </format>
    <format dxfId="4">
      <pivotArea dataOnly="0" fieldPosition="0">
        <references count="1">
          <reference field="2" count="0"/>
        </references>
      </pivotArea>
    </format>
    <format dxfId="5">
      <pivotArea dataOnly="0" outline="0" axis="axisValues" fieldPosition="0"/>
    </format>
    <format dxfId="6">
      <pivotArea dataOnly="0" labelOnly="1" fieldPosition="0">
        <references count="1">
          <reference field="2" count="0"/>
        </references>
      </pivotArea>
    </format>
    <format dxfId="7">
      <pivotArea type="origin" dataOnly="0" labelOnly="1" outline="0" fieldPosition="0"/>
    </format>
    <format dxfId="8">
      <pivotArea dataOnly="0" labelOnly="1" outline="0" axis="axisValues" fieldPosition="0"/>
    </format>
    <format dxfId="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F322F3B-0296-422A-8DEC-DF8E3C19DEF2}" name="PivotTable19" cacheId="7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Support Tickets">
  <location ref="F24:H30" firstHeaderRow="1" firstDataRow="2" firstDataCol="1"/>
  <pivotFields count="16">
    <pivotField dataField="1" showAll="0"/>
    <pivotField numFmtId="164" showAll="0"/>
    <pivotField axis="axisCol" showAll="0">
      <items count="3">
        <item x="0"/>
        <item x="1"/>
        <item t="default"/>
      </items>
    </pivotField>
    <pivotField showAll="0"/>
    <pivotField showAll="0"/>
    <pivotField showAll="0"/>
    <pivotField showAll="0"/>
    <pivotField showAll="0"/>
    <pivotField showAll="0"/>
    <pivotField showAll="0"/>
    <pivotField showAll="0"/>
    <pivotField showAll="0"/>
    <pivotField axis="axisRow" showAll="0">
      <items count="6">
        <item x="0"/>
        <item x="1"/>
        <item x="2"/>
        <item x="3"/>
        <item x="4"/>
        <item t="default"/>
      </items>
    </pivotField>
    <pivotField showAll="0"/>
    <pivotField showAll="0"/>
    <pivotField showAll="0"/>
  </pivotFields>
  <rowFields count="1">
    <field x="12"/>
  </rowFields>
  <rowItems count="5">
    <i>
      <x/>
    </i>
    <i>
      <x v="1"/>
    </i>
    <i>
      <x v="2"/>
    </i>
    <i>
      <x v="3"/>
    </i>
    <i>
      <x v="4"/>
    </i>
  </rowItems>
  <colFields count="1">
    <field x="2"/>
  </colFields>
  <colItems count="2">
    <i>
      <x/>
    </i>
    <i>
      <x v="1"/>
    </i>
  </colItems>
  <dataFields count="1">
    <dataField name="User Count" fld="0" subtotal="count" showDataAs="percentOfCol" baseField="0" baseItem="0" numFmtId="10"/>
  </dataFields>
  <formats count="4">
    <format dxfId="73">
      <pivotArea outline="0" collapsedLevelsAreSubtotals="1" fieldPosition="0"/>
    </format>
    <format dxfId="72">
      <pivotArea dataOnly="0" labelOnly="1" fieldPosition="0">
        <references count="1">
          <reference field="12" count="0"/>
        </references>
      </pivotArea>
    </format>
    <format dxfId="71">
      <pivotArea outline="0" fieldPosition="0">
        <references count="1">
          <reference field="4294967294" count="1">
            <x v="0"/>
          </reference>
        </references>
      </pivotArea>
    </format>
    <format dxfId="20">
      <pivotArea field="12"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3C5D834-87B7-40CB-AE21-EBDAE9C4441C}" name="PivotTable18" cacheId="7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Refund Requested">
  <location ref="F18:H21" firstHeaderRow="1" firstDataRow="2" firstDataCol="1"/>
  <pivotFields count="16">
    <pivotField dataField="1" showAll="0"/>
    <pivotField numFmtId="164" showAll="0"/>
    <pivotField axis="axisCol"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s>
  <rowFields count="1">
    <field x="13"/>
  </rowFields>
  <rowItems count="2">
    <i>
      <x/>
    </i>
    <i>
      <x v="1"/>
    </i>
  </rowItems>
  <colFields count="1">
    <field x="2"/>
  </colFields>
  <colItems count="2">
    <i>
      <x/>
    </i>
    <i>
      <x v="1"/>
    </i>
  </colItems>
  <dataFields count="1">
    <dataField name="User Count" fld="0" subtotal="count" showDataAs="percentOfCol" baseField="0" baseItem="0" numFmtId="10"/>
  </dataFields>
  <formats count="7">
    <format dxfId="10">
      <pivotArea dataOnly="0" fieldPosition="0">
        <references count="1">
          <reference field="13" count="0"/>
        </references>
      </pivotArea>
    </format>
    <format dxfId="11">
      <pivotArea grandRow="1" outline="0" collapsedLevelsAreSubtotals="1" fieldPosition="0"/>
    </format>
    <format dxfId="12">
      <pivotArea outline="0" collapsedLevelsAreSubtotals="1" fieldPosition="0"/>
    </format>
    <format dxfId="13">
      <pivotArea dataOnly="0" labelOnly="1" fieldPosition="0">
        <references count="1">
          <reference field="2" count="0"/>
        </references>
      </pivotArea>
    </format>
    <format dxfId="14">
      <pivotArea dataOnly="0" labelOnly="1" grandCol="1" outline="0" fieldPosition="0"/>
    </format>
    <format dxfId="15">
      <pivotArea outline="0" fieldPosition="0">
        <references count="1">
          <reference field="4294967294" count="1">
            <x v="0"/>
          </reference>
        </references>
      </pivotArea>
    </format>
    <format dxfId="16">
      <pivotArea field="13"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3BC8588-7FBA-47F0-B937-E21642DC4F0A}" name="PivotTable17" cacheId="7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Group">
  <location ref="F13:G15" firstHeaderRow="1" firstDataRow="1" firstDataCol="1" rowPageCount="1" colPageCount="1"/>
  <pivotFields count="16">
    <pivotField showAll="0"/>
    <pivotField numFmtId="164" showAll="0"/>
    <pivotField axis="axisRow" showAll="0">
      <items count="3">
        <item x="0"/>
        <item x="1"/>
        <item t="default"/>
      </items>
    </pivotField>
    <pivotField showAll="0"/>
    <pivotField showAll="0"/>
    <pivotField showAll="0"/>
    <pivotField showAll="0"/>
    <pivotField showAll="0"/>
    <pivotField showAll="0"/>
    <pivotField showAll="0"/>
    <pivotField axis="axisPage" multipleItemSelectionAllowed="1" showAll="0">
      <items count="3">
        <item h="1" x="0"/>
        <item x="1"/>
        <item t="default"/>
      </items>
    </pivotField>
    <pivotField dataField="1" showAll="0"/>
    <pivotField showAll="0"/>
    <pivotField showAll="0"/>
    <pivotField showAll="0"/>
    <pivotField showAll="0"/>
  </pivotFields>
  <rowFields count="1">
    <field x="2"/>
  </rowFields>
  <rowItems count="2">
    <i>
      <x/>
    </i>
    <i>
      <x v="1"/>
    </i>
  </rowItems>
  <colItems count="1">
    <i/>
  </colItems>
  <pageFields count="1">
    <pageField fld="10" hier="-1"/>
  </pageFields>
  <dataFields count="1">
    <dataField name="Average Revenue" fld="11" subtotal="average" baseField="2" baseItem="0"/>
  </dataFields>
  <formats count="7">
    <format dxfId="80">
      <pivotArea outline="0" collapsedLevelsAreSubtotals="1" fieldPosition="0"/>
    </format>
    <format dxfId="79">
      <pivotArea dataOnly="0" labelOnly="1" outline="0" axis="axisValues" fieldPosition="0"/>
    </format>
    <format dxfId="78">
      <pivotArea collapsedLevelsAreSubtotals="1" fieldPosition="0">
        <references count="1">
          <reference field="2" count="1">
            <x v="0"/>
          </reference>
        </references>
      </pivotArea>
    </format>
    <format dxfId="77">
      <pivotArea collapsedLevelsAreSubtotals="1" fieldPosition="0">
        <references count="1">
          <reference field="2" count="1">
            <x v="1"/>
          </reference>
        </references>
      </pivotArea>
    </format>
    <format dxfId="76">
      <pivotArea grandRow="1" outline="0" collapsedLevelsAreSubtotals="1" fieldPosition="0"/>
    </format>
    <format dxfId="75">
      <pivotArea dataOnly="0" labelOnly="1" outline="0" axis="axisValues" fieldPosition="0"/>
    </format>
    <format dxfId="21">
      <pivotArea field="10" type="button" dataOnly="0" labelOnly="1" outline="0" axis="axisPage"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2793035-9117-4300-9BE9-48153E0F4021}" name="PivotTable16" cacheId="7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Group">
  <location ref="F5:G7" firstHeaderRow="1" firstDataRow="1" firstDataCol="1"/>
  <pivotFields count="16">
    <pivotField showAll="0"/>
    <pivotField numFmtId="164" showAll="0"/>
    <pivotField axis="axisRow" showAll="0">
      <items count="3">
        <item x="0"/>
        <item x="1"/>
        <item t="default"/>
      </items>
    </pivotField>
    <pivotField showAll="0"/>
    <pivotField showAll="0"/>
    <pivotField showAll="0"/>
    <pivotField showAll="0"/>
    <pivotField showAll="0"/>
    <pivotField showAll="0"/>
    <pivotField showAll="0"/>
    <pivotField showAll="0"/>
    <pivotField dataField="1" showAll="0">
      <items count="74">
        <item x="0"/>
        <item x="46"/>
        <item x="1"/>
        <item x="59"/>
        <item x="49"/>
        <item x="25"/>
        <item x="30"/>
        <item x="56"/>
        <item x="44"/>
        <item x="70"/>
        <item x="43"/>
        <item x="51"/>
        <item x="40"/>
        <item x="22"/>
        <item x="60"/>
        <item x="61"/>
        <item x="3"/>
        <item x="37"/>
        <item x="29"/>
        <item x="6"/>
        <item x="14"/>
        <item x="54"/>
        <item x="65"/>
        <item x="53"/>
        <item x="15"/>
        <item x="67"/>
        <item x="36"/>
        <item x="35"/>
        <item x="50"/>
        <item x="27"/>
        <item x="68"/>
        <item x="23"/>
        <item x="2"/>
        <item x="31"/>
        <item x="42"/>
        <item x="41"/>
        <item x="20"/>
        <item x="24"/>
        <item x="10"/>
        <item x="7"/>
        <item x="26"/>
        <item x="63"/>
        <item x="71"/>
        <item x="21"/>
        <item x="52"/>
        <item x="32"/>
        <item x="16"/>
        <item x="55"/>
        <item x="64"/>
        <item x="72"/>
        <item x="34"/>
        <item x="9"/>
        <item x="62"/>
        <item x="38"/>
        <item x="33"/>
        <item x="12"/>
        <item x="11"/>
        <item x="8"/>
        <item x="66"/>
        <item x="28"/>
        <item x="19"/>
        <item x="58"/>
        <item x="45"/>
        <item x="57"/>
        <item x="48"/>
        <item x="47"/>
        <item x="39"/>
        <item x="18"/>
        <item x="17"/>
        <item x="69"/>
        <item x="4"/>
        <item x="13"/>
        <item x="5"/>
        <item t="default"/>
      </items>
    </pivotField>
    <pivotField showAll="0"/>
    <pivotField showAll="0"/>
    <pivotField showAll="0"/>
    <pivotField showAll="0"/>
  </pivotFields>
  <rowFields count="1">
    <field x="2"/>
  </rowFields>
  <rowItems count="2">
    <i>
      <x/>
    </i>
    <i>
      <x v="1"/>
    </i>
  </rowItems>
  <colItems count="1">
    <i/>
  </colItems>
  <dataFields count="1">
    <dataField name="Average Revenue" fld="11" subtotal="average" baseField="2" baseItem="0"/>
  </dataFields>
  <formats count="8">
    <format dxfId="86">
      <pivotArea collapsedLevelsAreSubtotals="1" fieldPosition="0">
        <references count="1">
          <reference field="2" count="0"/>
        </references>
      </pivotArea>
    </format>
    <format dxfId="85">
      <pivotArea dataOnly="0" labelOnly="1" fieldPosition="0">
        <references count="1">
          <reference field="2" count="0"/>
        </references>
      </pivotArea>
    </format>
    <format dxfId="84">
      <pivotArea grandRow="1" outline="0" collapsedLevelsAreSubtotals="1" fieldPosition="0"/>
    </format>
    <format dxfId="83">
      <pivotArea dataOnly="0" labelOnly="1" outline="0" axis="axisValues" fieldPosition="0"/>
    </format>
    <format dxfId="82">
      <pivotArea collapsedLevelsAreSubtotals="1" fieldPosition="0">
        <references count="1">
          <reference field="2" count="0"/>
        </references>
      </pivotArea>
    </format>
    <format dxfId="81">
      <pivotArea grandRow="1" outline="0" collapsedLevelsAreSubtotals="1" fieldPosition="0"/>
    </format>
    <format dxfId="74">
      <pivotArea field="2" type="button" dataOnly="0" labelOnly="1" outline="0" axis="axisRow" fieldPosition="0"/>
    </format>
    <format dxfId="2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8C5BEF5-5B6B-4A79-8A74-751BE08BAE1A}" name="PivotTable15" cacheId="78"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rowHeaderCaption="Onboarding Completion">
  <location ref="A18:C21" firstHeaderRow="1" firstDataRow="2" firstDataCol="1"/>
  <pivotFields count="16">
    <pivotField dataField="1" showAll="0"/>
    <pivotField numFmtId="164" showAll="0"/>
    <pivotField axis="axisCol" showAll="0">
      <items count="3">
        <item x="0"/>
        <item x="1"/>
        <item t="default"/>
      </items>
    </pivotField>
    <pivotField showAll="0"/>
    <pivotField showAll="0"/>
    <pivotField showAll="0">
      <items count="7">
        <item x="0"/>
        <item x="1"/>
        <item x="2"/>
        <item x="3"/>
        <item x="4"/>
        <item x="5"/>
        <item t="default"/>
      </items>
    </pivotField>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s>
  <rowFields count="1">
    <field x="9"/>
  </rowFields>
  <rowItems count="2">
    <i>
      <x/>
    </i>
    <i>
      <x v="1"/>
    </i>
  </rowItems>
  <colFields count="1">
    <field x="2"/>
  </colFields>
  <colItems count="2">
    <i>
      <x/>
    </i>
    <i>
      <x v="1"/>
    </i>
  </colItems>
  <dataFields count="1">
    <dataField name="Count of user_id" fld="0" subtotal="count" showDataAs="percentOfCol" baseField="0" baseItem="0" numFmtId="10"/>
  </dataFields>
  <formats count="7">
    <format dxfId="57">
      <pivotArea collapsedLevelsAreSubtotals="1" fieldPosition="0">
        <references count="1">
          <reference field="9" count="0"/>
        </references>
      </pivotArea>
    </format>
    <format dxfId="58">
      <pivotArea dataOnly="0" labelOnly="1" fieldPosition="0">
        <references count="1">
          <reference field="9" count="0"/>
        </references>
      </pivotArea>
    </format>
    <format dxfId="59">
      <pivotArea dataOnly="0" labelOnly="1" fieldPosition="0">
        <references count="1">
          <reference field="2" count="0"/>
        </references>
      </pivotArea>
    </format>
    <format dxfId="60">
      <pivotArea dataOnly="0" labelOnly="1" grandCol="1" outline="0" fieldPosition="0"/>
    </format>
    <format dxfId="61">
      <pivotArea grandRow="1" outline="0" collapsedLevelsAreSubtotals="1" fieldPosition="0"/>
    </format>
    <format dxfId="62">
      <pivotArea outline="0" fieldPosition="0">
        <references count="1">
          <reference field="4294967294" count="1">
            <x v="0"/>
          </reference>
        </references>
      </pivotArea>
    </format>
    <format dxfId="24">
      <pivotArea field="9"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0599E13-22D9-4F2F-B8DF-D7167E1DC672}" name="PivotTable14" cacheId="7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Paid Conversion">
  <location ref="A25:C28" firstHeaderRow="1" firstDataRow="2" firstDataCol="1"/>
  <pivotFields count="16">
    <pivotField dataField="1" showAll="0"/>
    <pivotField numFmtId="164" showAll="0"/>
    <pivotField axis="axisCol" showAll="0">
      <items count="3">
        <item x="0"/>
        <item x="1"/>
        <item t="default"/>
      </items>
    </pivotField>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s>
  <rowFields count="1">
    <field x="10"/>
  </rowFields>
  <rowItems count="2">
    <i>
      <x/>
    </i>
    <i>
      <x v="1"/>
    </i>
  </rowItems>
  <colFields count="1">
    <field x="2"/>
  </colFields>
  <colItems count="2">
    <i>
      <x/>
    </i>
    <i>
      <x v="1"/>
    </i>
  </colItems>
  <dataFields count="1">
    <dataField name="User Count" fld="0" subtotal="count" baseField="0" baseItem="0"/>
  </dataFields>
  <formats count="6">
    <format dxfId="90">
      <pivotArea outline="0" collapsedLevelsAreSubtotals="1" fieldPosition="0"/>
    </format>
    <format dxfId="89">
      <pivotArea dataOnly="0" labelOnly="1" fieldPosition="0">
        <references count="1">
          <reference field="2" count="0"/>
        </references>
      </pivotArea>
    </format>
    <format dxfId="88">
      <pivotArea dataOnly="0" labelOnly="1" grandCol="1" outline="0" fieldPosition="0"/>
    </format>
    <format dxfId="87">
      <pivotArea dataOnly="0" labelOnly="1" fieldPosition="0">
        <references count="1">
          <reference field="10" count="0"/>
        </references>
      </pivotArea>
    </format>
    <format dxfId="23">
      <pivotArea field="10" type="button" dataOnly="0" labelOnly="1" outline="0" axis="axisRow" fieldPosition="0"/>
    </format>
    <format dxfId="0">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E67A2E9-8870-41A4-8C17-98D862584BD0}" name="PivotTable13" cacheId="7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Started Trial">
  <location ref="A11:C14" firstHeaderRow="1" firstDataRow="2" firstDataCol="1"/>
  <pivotFields count="16">
    <pivotField dataField="1" showAll="0"/>
    <pivotField numFmtId="164" showAll="0"/>
    <pivotField axis="axisCol" showAll="0">
      <items count="3">
        <item x="0"/>
        <item x="1"/>
        <item t="default"/>
      </items>
    </pivotField>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s>
  <rowFields count="1">
    <field x="8"/>
  </rowFields>
  <rowItems count="2">
    <i>
      <x/>
    </i>
    <i>
      <x v="1"/>
    </i>
  </rowItems>
  <colFields count="1">
    <field x="2"/>
  </colFields>
  <colItems count="2">
    <i>
      <x/>
    </i>
    <i>
      <x v="1"/>
    </i>
  </colItems>
  <dataFields count="1">
    <dataField name="User Count" fld="0" subtotal="count" showDataAs="percentOfCol" baseField="0" baseItem="0" numFmtId="10"/>
  </dataFields>
  <formats count="6">
    <format dxfId="63">
      <pivotArea outline="0" collapsedLevelsAreSubtotals="1" fieldPosition="0"/>
    </format>
    <format dxfId="64">
      <pivotArea dataOnly="0" labelOnly="1" fieldPosition="0">
        <references count="1">
          <reference field="8" count="0"/>
        </references>
      </pivotArea>
    </format>
    <format dxfId="65">
      <pivotArea outline="0" fieldPosition="0">
        <references count="1">
          <reference field="4294967294" count="1">
            <x v="0"/>
          </reference>
        </references>
      </pivotArea>
    </format>
    <format dxfId="66">
      <pivotArea dataOnly="0" labelOnly="1" fieldPosition="0">
        <references count="1">
          <reference field="2" count="0"/>
        </references>
      </pivotArea>
    </format>
    <format dxfId="67">
      <pivotArea dataOnly="0" labelOnly="1" grandCol="1" outline="0" fieldPosition="0"/>
    </format>
    <format dxfId="25">
      <pivotArea field="8"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EEEBEE8-B59C-4BEB-90B5-EBA2BA8E6B61}" name="PivotTable12" cacheId="7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Visited Landing Page">
  <location ref="A3:C6" firstHeaderRow="1" firstDataRow="2" firstDataCol="1"/>
  <pivotFields count="16">
    <pivotField dataField="1" showAll="0"/>
    <pivotField numFmtId="164" showAll="0"/>
    <pivotField axis="axisCol" showAll="0">
      <items count="3">
        <item x="0"/>
        <item x="1"/>
        <item t="default"/>
      </items>
    </pivotField>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s>
  <rowFields count="1">
    <field x="7"/>
  </rowFields>
  <rowItems count="2">
    <i>
      <x/>
    </i>
    <i>
      <x v="1"/>
    </i>
  </rowItems>
  <colFields count="1">
    <field x="2"/>
  </colFields>
  <colItems count="2">
    <i>
      <x/>
    </i>
    <i>
      <x v="1"/>
    </i>
  </colItems>
  <dataFields count="1">
    <dataField name="User Count" fld="0" subtotal="count" showDataAs="percentOfCol" baseField="0" baseItem="0" numFmtId="10"/>
  </dataFields>
  <formats count="5">
    <format dxfId="92">
      <pivotArea dataOnly="0" labelOnly="1" fieldPosition="0">
        <references count="1">
          <reference field="7" count="0"/>
        </references>
      </pivotArea>
    </format>
    <format dxfId="93">
      <pivotArea outline="0" fieldPosition="0">
        <references count="1">
          <reference field="4294967294" count="1">
            <x v="0"/>
          </reference>
        </references>
      </pivotArea>
    </format>
    <format dxfId="94">
      <pivotArea outline="0" collapsedLevelsAreSubtotals="1" fieldPosition="0"/>
    </format>
    <format dxfId="91">
      <pivotArea dataOnly="0" labelOnly="1" fieldPosition="0">
        <references count="1">
          <reference field="2" count="0"/>
        </references>
      </pivotArea>
    </format>
    <format dxfId="26">
      <pivotArea field="7"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8A85ABC-4C30-4B9D-A258-27BC3F097012}" name="PivotTable10" cacheId="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lan Type">
  <location ref="G15:I20" firstHeaderRow="1" firstDataRow="2" firstDataCol="1"/>
  <pivotFields count="16">
    <pivotField dataField="1" showAll="0"/>
    <pivotField numFmtId="164" showAll="0"/>
    <pivotField axis="axisCol" showAll="0">
      <items count="2">
        <item x="0"/>
        <item t="default"/>
      </items>
    </pivotField>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s>
  <rowFields count="1">
    <field x="6"/>
  </rowFields>
  <rowItems count="4">
    <i>
      <x/>
    </i>
    <i>
      <x v="1"/>
    </i>
    <i>
      <x v="2"/>
    </i>
    <i t="grand">
      <x/>
    </i>
  </rowItems>
  <colFields count="1">
    <field x="2"/>
  </colFields>
  <colItems count="2">
    <i>
      <x/>
    </i>
    <i t="grand">
      <x/>
    </i>
  </colItems>
  <dataFields count="1">
    <dataField name="User Count" fld="0" subtotal="count" showDataAs="percentOfCol" baseField="0" baseItem="0" numFmtId="10"/>
  </dataFields>
  <formats count="3">
    <format dxfId="97">
      <pivotArea field="6" type="button" dataOnly="0" labelOnly="1" outline="0" axis="axisRow" fieldPosition="0"/>
    </format>
    <format dxfId="96">
      <pivotArea outline="0" collapsedLevelsAreSubtotals="1" fieldPosition="0"/>
    </format>
    <format dxfId="95">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31E6B1C-DE4C-4283-ABDC-909C93A8499E}" name="PivotTable9" cacheId="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raffic Source">
  <location ref="A15:C22" firstHeaderRow="1" firstDataRow="2" firstDataCol="1"/>
  <pivotFields count="16">
    <pivotField dataField="1" showAll="0"/>
    <pivotField numFmtId="164" showAll="0"/>
    <pivotField axis="axisCol" showAll="0">
      <items count="2">
        <item x="0"/>
        <item t="default"/>
      </items>
    </pivotField>
    <pivotField showAll="0"/>
    <pivotField showAll="0"/>
    <pivotField axis="axisRow" showAll="0">
      <items count="6">
        <item x="0"/>
        <item x="1"/>
        <item x="2"/>
        <item x="3"/>
        <item x="4"/>
        <item t="default"/>
      </items>
    </pivotField>
    <pivotField showAll="0"/>
    <pivotField showAll="0"/>
    <pivotField showAll="0"/>
    <pivotField showAll="0"/>
    <pivotField showAll="0"/>
    <pivotField showAll="0"/>
    <pivotField showAll="0"/>
    <pivotField showAll="0"/>
    <pivotField showAll="0"/>
    <pivotField showAll="0"/>
  </pivotFields>
  <rowFields count="1">
    <field x="5"/>
  </rowFields>
  <rowItems count="6">
    <i>
      <x/>
    </i>
    <i>
      <x v="1"/>
    </i>
    <i>
      <x v="2"/>
    </i>
    <i>
      <x v="3"/>
    </i>
    <i>
      <x v="4"/>
    </i>
    <i t="grand">
      <x/>
    </i>
  </rowItems>
  <colFields count="1">
    <field x="2"/>
  </colFields>
  <colItems count="2">
    <i>
      <x/>
    </i>
    <i t="grand">
      <x/>
    </i>
  </colItems>
  <dataFields count="1">
    <dataField name="User Count" fld="0" subtotal="count" showDataAs="percentOfCol" baseField="0" baseItem="0" numFmtId="10"/>
  </dataFields>
  <formats count="3">
    <format dxfId="100">
      <pivotArea outline="0" collapsedLevelsAreSubtotals="1" fieldPosition="0"/>
    </format>
    <format dxfId="99">
      <pivotArea outline="0" fieldPosition="0">
        <references count="1">
          <reference field="4294967294" count="1">
            <x v="0"/>
          </reference>
        </references>
      </pivotArea>
    </format>
    <format dxfId="98">
      <pivotArea field="5"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42CC486-98F3-4AF1-A727-AAE45CAF9F9C}" name="PivotTable8" cacheId="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vice Type">
  <location ref="G4:I10" firstHeaderRow="1" firstDataRow="2" firstDataCol="1"/>
  <pivotFields count="16">
    <pivotField dataField="1" showAll="0"/>
    <pivotField numFmtId="164" showAll="0"/>
    <pivotField axis="axisCol" showAll="0">
      <items count="2">
        <item x="0"/>
        <item t="default"/>
      </items>
    </pivotField>
    <pivotField showAll="0"/>
    <pivotField axis="axisRow" showAll="0">
      <items count="5">
        <item x="0"/>
        <item x="1"/>
        <item x="2"/>
        <item x="3"/>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5">
    <i>
      <x/>
    </i>
    <i>
      <x v="1"/>
    </i>
    <i>
      <x v="2"/>
    </i>
    <i>
      <x v="3"/>
    </i>
    <i t="grand">
      <x/>
    </i>
  </rowItems>
  <colFields count="1">
    <field x="2"/>
  </colFields>
  <colItems count="2">
    <i>
      <x/>
    </i>
    <i t="grand">
      <x/>
    </i>
  </colItems>
  <dataFields count="1">
    <dataField name="User Count" fld="0" subtotal="count" showDataAs="percentOfCol" baseField="0" baseItem="0" numFmtId="10"/>
  </dataFields>
  <formats count="3">
    <format dxfId="103">
      <pivotArea outline="0" collapsedLevelsAreSubtotals="1" fieldPosition="0"/>
    </format>
    <format dxfId="102">
      <pivotArea outline="0" fieldPosition="0">
        <references count="1">
          <reference field="4294967294" count="1">
            <x v="0"/>
          </reference>
        </references>
      </pivotArea>
    </format>
    <format dxfId="101">
      <pivotArea field="4"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4F0830A-69CB-4B0E-AD2E-E2159E1BBD5B}" name="PivotTable7" cacheId="7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A4:D10" firstHeaderRow="1" firstDataRow="2" firstDataCol="1"/>
  <pivotFields count="16">
    <pivotField dataField="1" showAll="0"/>
    <pivotField numFmtId="164" showAll="0"/>
    <pivotField axis="axisCol" showAll="0">
      <items count="3">
        <item x="0"/>
        <item x="1"/>
        <item t="default"/>
      </items>
    </pivotField>
    <pivotField axis="axisRow" showAll="0">
      <items count="5">
        <item x="2"/>
        <item x="0"/>
        <item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5">
    <i>
      <x/>
    </i>
    <i>
      <x v="1"/>
    </i>
    <i>
      <x v="2"/>
    </i>
    <i>
      <x v="3"/>
    </i>
    <i t="grand">
      <x/>
    </i>
  </rowItems>
  <colFields count="1">
    <field x="2"/>
  </colFields>
  <colItems count="3">
    <i>
      <x/>
    </i>
    <i>
      <x v="1"/>
    </i>
    <i t="grand">
      <x/>
    </i>
  </colItems>
  <dataFields count="1">
    <dataField name="User Count" fld="0" subtotal="count" showDataAs="percentOfCol" baseField="0" baseItem="0" numFmtId="10"/>
  </dataFields>
  <formats count="3">
    <format dxfId="106">
      <pivotArea field="3" type="button" dataOnly="0" labelOnly="1" outline="0" axis="axisRow" fieldPosition="0"/>
    </format>
    <format dxfId="105">
      <pivotArea outline="0" collapsedLevelsAreSubtotals="1" fieldPosition="0"/>
    </format>
    <format dxfId="104">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D18F5589-3290-46B7-97A5-3601B22FC27B}"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A22:AB31" firstHeaderRow="1" firstDataRow="1" firstDataCol="1"/>
  <pivotFields count="16">
    <pivotField axis="axisRow" dataField="1" showAll="0" measureFilter="1">
      <items count="1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t="default"/>
      </items>
    </pivotField>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9">
    <i>
      <x v="95"/>
    </i>
    <i>
      <x v="432"/>
    </i>
    <i>
      <x v="540"/>
    </i>
    <i>
      <x v="916"/>
    </i>
    <i>
      <x v="1058"/>
    </i>
    <i>
      <x v="1209"/>
    </i>
    <i>
      <x v="1231"/>
    </i>
    <i>
      <x v="1361"/>
    </i>
    <i t="grand">
      <x/>
    </i>
  </rowItems>
  <colItems count="1">
    <i/>
  </colItems>
  <dataFields count="1">
    <dataField name="Count of user_id" fld="0" subtotal="count" baseField="0" baseItem="0"/>
  </dataFields>
  <pivotTableStyleInfo name="PivotStyleLight16" showRowHeaders="1" showColHeaders="1" showRowStripes="0" showColStripes="0" showLastColumn="1"/>
  <filters count="1">
    <filter fld="0" type="valueGreaterThan" evalOrder="-1" id="1" iMeasureFld="0">
      <autoFilter ref="A1">
        <filterColumn colId="0">
          <customFilters>
            <customFilter operator="greaterThan" val="1"/>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7.xml"/><Relationship Id="rId2" Type="http://schemas.openxmlformats.org/officeDocument/2006/relationships/pivotTable" Target="../pivotTables/pivotTable16.xml"/><Relationship Id="rId1" Type="http://schemas.openxmlformats.org/officeDocument/2006/relationships/pivotTable" Target="../pivotTables/pivotTable15.xml"/><Relationship Id="rId4" Type="http://schemas.openxmlformats.org/officeDocument/2006/relationships/pivotTable" Target="../pivotTables/pivotTable18.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070CD-BA1D-4503-A253-44C7E7BD395E}">
  <dimension ref="A1:Y1409"/>
  <sheetViews>
    <sheetView tabSelected="1" workbookViewId="0">
      <selection activeCell="E5" sqref="E5"/>
    </sheetView>
  </sheetViews>
  <sheetFormatPr defaultRowHeight="13.8"/>
  <cols>
    <col min="1" max="12" width="16" style="7" customWidth="1"/>
    <col min="13" max="13" width="18.3984375" style="7" customWidth="1"/>
    <col min="14" max="14" width="17" style="7" customWidth="1"/>
    <col min="15" max="15" width="16" style="7" customWidth="1"/>
    <col min="16" max="16" width="19.59765625" style="7" customWidth="1"/>
    <col min="17" max="17" width="17.796875" style="7" customWidth="1"/>
    <col min="18" max="18" width="30.3984375" style="21" customWidth="1"/>
    <col min="19" max="19" width="17.796875" style="22" customWidth="1"/>
    <col min="20" max="22" width="16" style="7" customWidth="1"/>
    <col min="24" max="24" width="19.69921875" customWidth="1"/>
    <col min="25" max="25" width="8.796875" style="7"/>
    <col min="30" max="31" width="13.09765625" bestFit="1" customWidth="1"/>
    <col min="32" max="32" width="15.3984375" bestFit="1" customWidth="1"/>
  </cols>
  <sheetData>
    <row r="1" spans="1:25" ht="59.4" customHeight="1">
      <c r="A1" s="1" t="s">
        <v>0</v>
      </c>
      <c r="B1" s="1" t="s">
        <v>1</v>
      </c>
      <c r="C1" s="1" t="s">
        <v>2</v>
      </c>
      <c r="D1" s="1" t="s">
        <v>3</v>
      </c>
      <c r="E1" s="11" t="s">
        <v>4</v>
      </c>
      <c r="F1" s="11" t="s">
        <v>5</v>
      </c>
      <c r="G1" s="1" t="s">
        <v>6</v>
      </c>
      <c r="H1" s="1" t="s">
        <v>7</v>
      </c>
      <c r="I1" s="1" t="s">
        <v>8</v>
      </c>
      <c r="J1" s="1" t="s">
        <v>9</v>
      </c>
      <c r="K1" s="1" t="s">
        <v>10</v>
      </c>
      <c r="L1" s="1" t="s">
        <v>11</v>
      </c>
      <c r="M1" s="1" t="s">
        <v>12</v>
      </c>
      <c r="N1" s="1" t="s">
        <v>13</v>
      </c>
      <c r="O1" s="11" t="s">
        <v>14</v>
      </c>
      <c r="P1" s="11" t="s">
        <v>15</v>
      </c>
      <c r="Q1" s="1" t="s">
        <v>1462</v>
      </c>
      <c r="R1" s="1" t="s">
        <v>1477</v>
      </c>
      <c r="S1" s="1" t="s">
        <v>1476</v>
      </c>
      <c r="T1" s="11" t="s">
        <v>1481</v>
      </c>
      <c r="U1" s="11" t="s">
        <v>1480</v>
      </c>
      <c r="V1" s="11"/>
    </row>
    <row r="2" spans="1:25" ht="41.4">
      <c r="A2" s="22" t="s">
        <v>16</v>
      </c>
      <c r="B2" s="25">
        <v>45732</v>
      </c>
      <c r="C2" s="22" t="s">
        <v>17</v>
      </c>
      <c r="D2" s="22" t="s">
        <v>18</v>
      </c>
      <c r="E2" s="22" t="s">
        <v>19</v>
      </c>
      <c r="F2" s="22" t="s">
        <v>20</v>
      </c>
      <c r="G2" s="22" t="s">
        <v>21</v>
      </c>
      <c r="H2" s="22">
        <v>0</v>
      </c>
      <c r="I2" s="22">
        <v>0</v>
      </c>
      <c r="J2" s="22">
        <v>0</v>
      </c>
      <c r="K2" s="22">
        <v>0</v>
      </c>
      <c r="L2" s="22">
        <v>0</v>
      </c>
      <c r="M2" s="22">
        <v>0</v>
      </c>
      <c r="N2" s="22">
        <v>0</v>
      </c>
      <c r="O2" s="22"/>
      <c r="P2" s="22">
        <v>45.7</v>
      </c>
      <c r="Q2" s="22" t="str">
        <f>IF(OR(L2&lt;$Y$18,L2&gt;$Y$19),"Outlier","Normal")</f>
        <v>Normal</v>
      </c>
      <c r="R2" s="26" t="str">
        <f>A2&amp;B2&amp;C2&amp;D2&amp;E2&amp;F2&amp;G2&amp;H2&amp;I2&amp;J2&amp;K2&amp;L2&amp;M2&amp;N2&amp;O2&amp;P2</f>
        <v>USR-10000145732ControlNorthDesktopEmailBasic000000045.7</v>
      </c>
      <c r="S2" s="22" t="str">
        <f>IF(COUNTIF($R$2:$R$1409,R2)=1,"OK",IF(COUNTIF($R$2:$R$1409,R2)&gt;1,"Exact Duplicate","Review Required"))</f>
        <v>OK</v>
      </c>
      <c r="T2" s="22" t="s">
        <v>19</v>
      </c>
      <c r="U2" s="22" t="s">
        <v>20</v>
      </c>
      <c r="V2" s="22"/>
      <c r="X2" s="28"/>
      <c r="Y2" s="28"/>
    </row>
    <row r="3" spans="1:25" ht="41.4">
      <c r="A3" s="22" t="s">
        <v>22</v>
      </c>
      <c r="B3" s="25">
        <v>45724</v>
      </c>
      <c r="C3" s="22" t="s">
        <v>17</v>
      </c>
      <c r="D3" s="22" t="s">
        <v>23</v>
      </c>
      <c r="E3" s="22" t="s">
        <v>24</v>
      </c>
      <c r="F3" s="22" t="s">
        <v>25</v>
      </c>
      <c r="G3" s="22" t="s">
        <v>26</v>
      </c>
      <c r="H3" s="22">
        <v>1</v>
      </c>
      <c r="I3" s="22">
        <v>0</v>
      </c>
      <c r="J3" s="22">
        <v>0</v>
      </c>
      <c r="K3" s="22">
        <v>0</v>
      </c>
      <c r="L3" s="22">
        <v>0</v>
      </c>
      <c r="M3" s="22">
        <v>0</v>
      </c>
      <c r="N3" s="22">
        <v>0</v>
      </c>
      <c r="O3" s="22"/>
      <c r="P3" s="22">
        <v>48.6</v>
      </c>
      <c r="Q3" s="22" t="str">
        <f>IF(OR(L3&lt;$Y$18,L3&gt;$Y$19),"Outlier","Normal")</f>
        <v>Normal</v>
      </c>
      <c r="R3" s="26" t="str">
        <f>A3&amp;B3&amp;C3&amp;D3&amp;E3&amp;F3&amp;G3&amp;H3&amp;I3&amp;J3&amp;K3&amp;L3&amp;M3&amp;N3&amp;O3&amp;P3</f>
        <v>USR-10000245724ControlWestMobileOrganicFree100000048.6</v>
      </c>
      <c r="S3" s="22" t="str">
        <f>IF(COUNTIF($R$2:$R$1409,R3)=1,"OK",IF(COUNTIF($R$2:$R$1409,R3)&gt;1,"Exact Duplicate","Review Required"))</f>
        <v>OK</v>
      </c>
      <c r="T3" s="22" t="s">
        <v>24</v>
      </c>
      <c r="U3" s="22" t="s">
        <v>25</v>
      </c>
      <c r="V3" s="22"/>
      <c r="X3" s="10" t="s">
        <v>1455</v>
      </c>
      <c r="Y3" s="10"/>
    </row>
    <row r="4" spans="1:25" ht="41.4">
      <c r="A4" s="22" t="s">
        <v>27</v>
      </c>
      <c r="B4" s="25">
        <v>45771</v>
      </c>
      <c r="C4" s="22" t="s">
        <v>17</v>
      </c>
      <c r="D4" s="22" t="s">
        <v>28</v>
      </c>
      <c r="E4" s="22" t="s">
        <v>24</v>
      </c>
      <c r="F4" s="22" t="s">
        <v>29</v>
      </c>
      <c r="G4" s="22" t="s">
        <v>30</v>
      </c>
      <c r="H4" s="22">
        <v>1</v>
      </c>
      <c r="I4" s="22">
        <v>0</v>
      </c>
      <c r="J4" s="22">
        <v>0</v>
      </c>
      <c r="K4" s="22">
        <v>0</v>
      </c>
      <c r="L4" s="22">
        <v>0</v>
      </c>
      <c r="M4" s="22">
        <v>1</v>
      </c>
      <c r="N4" s="22">
        <v>0</v>
      </c>
      <c r="O4" s="22"/>
      <c r="P4" s="22">
        <v>35.4</v>
      </c>
      <c r="Q4" s="22" t="str">
        <f>IF(OR(L4&lt;$Y$18,L4&gt;$Y$19),"Outlier","Normal")</f>
        <v>Normal</v>
      </c>
      <c r="R4" s="26" t="str">
        <f>A4&amp;B4&amp;C4&amp;D4&amp;E4&amp;F4&amp;G4&amp;H4&amp;I4&amp;J4&amp;K4&amp;L4&amp;M4&amp;N4&amp;O4&amp;P4</f>
        <v>USR-10000345771ControlEastMobilePaid SearchPremium100001035.4</v>
      </c>
      <c r="S4" s="22" t="str">
        <f>IF(COUNTIF($R$2:$R$1409,R4)=1,"OK",IF(COUNTIF($R$2:$R$1409,R4)&gt;1,"Exact Duplicate","Review Required"))</f>
        <v>OK</v>
      </c>
      <c r="T4" s="22" t="s">
        <v>24</v>
      </c>
      <c r="U4" s="22" t="s">
        <v>29</v>
      </c>
      <c r="V4" s="22"/>
      <c r="X4" s="4" t="s">
        <v>17</v>
      </c>
      <c r="Y4" s="23">
        <f>COUNTIF(C:C,"Control")</f>
        <v>690</v>
      </c>
    </row>
    <row r="5" spans="1:25" ht="41.4">
      <c r="A5" s="22" t="s">
        <v>31</v>
      </c>
      <c r="B5" s="25">
        <v>45781</v>
      </c>
      <c r="C5" s="22" t="s">
        <v>17</v>
      </c>
      <c r="D5" s="22" t="s">
        <v>32</v>
      </c>
      <c r="E5" s="22" t="s">
        <v>24</v>
      </c>
      <c r="F5" s="22" t="s">
        <v>20</v>
      </c>
      <c r="G5" s="22" t="s">
        <v>21</v>
      </c>
      <c r="H5" s="22">
        <v>1</v>
      </c>
      <c r="I5" s="22">
        <v>0</v>
      </c>
      <c r="J5" s="22">
        <v>0</v>
      </c>
      <c r="K5" s="22">
        <v>0</v>
      </c>
      <c r="L5" s="22">
        <v>0</v>
      </c>
      <c r="M5" s="22">
        <v>0</v>
      </c>
      <c r="N5" s="22">
        <v>0</v>
      </c>
      <c r="O5" s="22"/>
      <c r="P5" s="22">
        <v>64.599999999999994</v>
      </c>
      <c r="Q5" s="22" t="str">
        <f>IF(OR(L5&lt;$Y$18,L5&gt;$Y$19),"Outlier","Normal")</f>
        <v>Normal</v>
      </c>
      <c r="R5" s="26" t="str">
        <f>A5&amp;B5&amp;C5&amp;D5&amp;E5&amp;F5&amp;G5&amp;H5&amp;I5&amp;J5&amp;K5&amp;L5&amp;M5&amp;N5&amp;O5&amp;P5</f>
        <v>USR-10000445781ControlSouthMobileEmailBasic100000064.6</v>
      </c>
      <c r="S5" s="22" t="str">
        <f>IF(COUNTIF($R$2:$R$1409,R5)=1,"OK",IF(COUNTIF($R$2:$R$1409,R5)&gt;1,"Exact Duplicate","Review Required"))</f>
        <v>OK</v>
      </c>
      <c r="T5" s="22" t="s">
        <v>24</v>
      </c>
      <c r="U5" s="22" t="s">
        <v>20</v>
      </c>
      <c r="V5" s="22"/>
      <c r="X5" s="4" t="s">
        <v>723</v>
      </c>
      <c r="Y5" s="23">
        <f>COUNTIF(C:C,"Treatment")</f>
        <v>710</v>
      </c>
    </row>
    <row r="6" spans="1:25" ht="41.4">
      <c r="A6" s="22" t="s">
        <v>33</v>
      </c>
      <c r="B6" s="25">
        <v>45700</v>
      </c>
      <c r="C6" s="22" t="s">
        <v>17</v>
      </c>
      <c r="D6" s="22" t="s">
        <v>18</v>
      </c>
      <c r="E6" s="22" t="s">
        <v>34</v>
      </c>
      <c r="F6" s="22" t="s">
        <v>25</v>
      </c>
      <c r="G6" s="22" t="s">
        <v>26</v>
      </c>
      <c r="H6" s="22">
        <v>0</v>
      </c>
      <c r="I6" s="22">
        <v>0</v>
      </c>
      <c r="J6" s="22">
        <v>0</v>
      </c>
      <c r="K6" s="22">
        <v>0</v>
      </c>
      <c r="L6" s="22">
        <v>0</v>
      </c>
      <c r="M6" s="22">
        <v>0</v>
      </c>
      <c r="N6" s="22">
        <v>0</v>
      </c>
      <c r="O6" s="22"/>
      <c r="P6" s="22">
        <v>66.599999999999994</v>
      </c>
      <c r="Q6" s="22" t="str">
        <f>IF(OR(L6&lt;$Y$18,L6&gt;$Y$19),"Outlier","Normal")</f>
        <v>Normal</v>
      </c>
      <c r="R6" s="26" t="str">
        <f>A6&amp;B6&amp;C6&amp;D6&amp;E6&amp;F6&amp;G6&amp;H6&amp;I6&amp;J6&amp;K6&amp;L6&amp;M6&amp;N6&amp;O6&amp;P6</f>
        <v>USR-10000545700ControlNorthTabletOrganicFree000000066.6</v>
      </c>
      <c r="S6" s="22" t="str">
        <f>IF(COUNTIF($R$2:$R$1409,R6)=1,"OK",IF(COUNTIF($R$2:$R$1409,R6)&gt;1,"Exact Duplicate","Review Required"))</f>
        <v>OK</v>
      </c>
      <c r="T6" s="22" t="s">
        <v>34</v>
      </c>
      <c r="U6" s="22" t="s">
        <v>25</v>
      </c>
      <c r="V6" s="22"/>
      <c r="X6" s="12"/>
      <c r="Y6" s="27"/>
    </row>
    <row r="7" spans="1:25" ht="41.4">
      <c r="A7" s="22" t="s">
        <v>35</v>
      </c>
      <c r="B7" s="25">
        <v>45685</v>
      </c>
      <c r="C7" s="22" t="s">
        <v>17</v>
      </c>
      <c r="D7" s="22" t="s">
        <v>28</v>
      </c>
      <c r="E7" s="22" t="s">
        <v>24</v>
      </c>
      <c r="F7" s="22" t="s">
        <v>25</v>
      </c>
      <c r="G7" s="22" t="s">
        <v>30</v>
      </c>
      <c r="H7" s="22">
        <v>1</v>
      </c>
      <c r="I7" s="22">
        <v>0</v>
      </c>
      <c r="J7" s="22">
        <v>0</v>
      </c>
      <c r="K7" s="22">
        <v>0</v>
      </c>
      <c r="L7" s="22">
        <v>0</v>
      </c>
      <c r="M7" s="22">
        <v>0</v>
      </c>
      <c r="N7" s="22">
        <v>0</v>
      </c>
      <c r="O7" s="22"/>
      <c r="P7" s="22">
        <v>40.799999999999997</v>
      </c>
      <c r="Q7" s="22" t="str">
        <f>IF(OR(L7&lt;$Y$18,L7&gt;$Y$19),"Outlier","Normal")</f>
        <v>Normal</v>
      </c>
      <c r="R7" s="26" t="str">
        <f>A7&amp;B7&amp;C7&amp;D7&amp;E7&amp;F7&amp;G7&amp;H7&amp;I7&amp;J7&amp;K7&amp;L7&amp;M7&amp;N7&amp;O7&amp;P7</f>
        <v>USR-10000645685ControlEastMobileOrganicPremium100000040.8</v>
      </c>
      <c r="S7" s="22" t="str">
        <f>IF(COUNTIF($R$2:$R$1409,R7)=1,"OK",IF(COUNTIF($R$2:$R$1409,R7)&gt;1,"Exact Duplicate","Review Required"))</f>
        <v>OK</v>
      </c>
      <c r="T7" s="22" t="s">
        <v>24</v>
      </c>
      <c r="U7" s="22" t="s">
        <v>25</v>
      </c>
      <c r="V7" s="22"/>
      <c r="X7" s="10" t="s">
        <v>1459</v>
      </c>
      <c r="Y7" s="10"/>
    </row>
    <row r="8" spans="1:25" ht="41.4">
      <c r="A8" s="22" t="s">
        <v>36</v>
      </c>
      <c r="B8" s="25">
        <v>45755</v>
      </c>
      <c r="C8" s="22" t="s">
        <v>17</v>
      </c>
      <c r="D8" s="22" t="s">
        <v>28</v>
      </c>
      <c r="E8" s="22" t="s">
        <v>24</v>
      </c>
      <c r="F8" s="22" t="s">
        <v>29</v>
      </c>
      <c r="G8" s="22" t="s">
        <v>21</v>
      </c>
      <c r="H8" s="22">
        <v>1</v>
      </c>
      <c r="I8" s="22">
        <v>1</v>
      </c>
      <c r="J8" s="22">
        <v>0</v>
      </c>
      <c r="K8" s="22">
        <v>0</v>
      </c>
      <c r="L8" s="22">
        <v>0</v>
      </c>
      <c r="M8" s="22">
        <v>0</v>
      </c>
      <c r="N8" s="22">
        <v>0</v>
      </c>
      <c r="O8" s="22"/>
      <c r="P8" s="22">
        <v>57.1</v>
      </c>
      <c r="Q8" s="22" t="str">
        <f>IF(OR(L8&lt;$Y$18,L8&gt;$Y$19),"Outlier","Normal")</f>
        <v>Normal</v>
      </c>
      <c r="R8" s="26" t="str">
        <f>A8&amp;B8&amp;C8&amp;D8&amp;E8&amp;F8&amp;G8&amp;H8&amp;I8&amp;J8&amp;K8&amp;L8&amp;M8&amp;N8&amp;O8&amp;P8</f>
        <v>USR-10000745755ControlEastMobilePaid SearchBasic110000057.1</v>
      </c>
      <c r="S8" s="22" t="str">
        <f>IF(COUNTIF($R$2:$R$1409,R8)=1,"OK",IF(COUNTIF($R$2:$R$1409,R8)&gt;1,"Exact Duplicate","Review Required"))</f>
        <v>OK</v>
      </c>
      <c r="T8" s="22" t="s">
        <v>24</v>
      </c>
      <c r="U8" s="22" t="s">
        <v>29</v>
      </c>
      <c r="V8" s="22"/>
      <c r="X8" s="18" t="s">
        <v>7</v>
      </c>
      <c r="Y8" s="8">
        <f>COUNTIFS(H2:H1409,"&lt;&gt;0",H2:H1409,"&lt;&gt;1",H2:H1409,"&lt;&gt;")</f>
        <v>0</v>
      </c>
    </row>
    <row r="9" spans="1:25" ht="41.4">
      <c r="A9" s="22" t="s">
        <v>37</v>
      </c>
      <c r="B9" s="25">
        <v>45794</v>
      </c>
      <c r="C9" s="22" t="s">
        <v>17</v>
      </c>
      <c r="D9" s="22" t="s">
        <v>32</v>
      </c>
      <c r="E9" s="22" t="s">
        <v>24</v>
      </c>
      <c r="F9" s="22" t="s">
        <v>29</v>
      </c>
      <c r="G9" s="22" t="s">
        <v>26</v>
      </c>
      <c r="H9" s="22">
        <v>0</v>
      </c>
      <c r="I9" s="22">
        <v>0</v>
      </c>
      <c r="J9" s="22">
        <v>0</v>
      </c>
      <c r="K9" s="22">
        <v>0</v>
      </c>
      <c r="L9" s="22">
        <v>0</v>
      </c>
      <c r="M9" s="22">
        <v>0</v>
      </c>
      <c r="N9" s="22">
        <v>0</v>
      </c>
      <c r="O9" s="22"/>
      <c r="P9" s="22">
        <v>36.4</v>
      </c>
      <c r="Q9" s="22" t="str">
        <f>IF(OR(L9&lt;$Y$18,L9&gt;$Y$19),"Outlier","Normal")</f>
        <v>Normal</v>
      </c>
      <c r="R9" s="26" t="str">
        <f>A9&amp;B9&amp;C9&amp;D9&amp;E9&amp;F9&amp;G9&amp;H9&amp;I9&amp;J9&amp;K9&amp;L9&amp;M9&amp;N9&amp;O9&amp;P9</f>
        <v>USR-10000845794ControlSouthMobilePaid SearchFree000000036.4</v>
      </c>
      <c r="S9" s="22" t="str">
        <f>IF(COUNTIF($R$2:$R$1409,R9)=1,"OK",IF(COUNTIF($R$2:$R$1409,R9)&gt;1,"Exact Duplicate","Review Required"))</f>
        <v>OK</v>
      </c>
      <c r="T9" s="22" t="s">
        <v>24</v>
      </c>
      <c r="U9" s="22" t="s">
        <v>29</v>
      </c>
      <c r="V9" s="22"/>
      <c r="X9" s="18" t="s">
        <v>8</v>
      </c>
      <c r="Y9" s="8">
        <f>COUNTIFS(I2:I1409,"&lt;&gt;0",I2:I1409,"&lt;&gt;1",I2:I1409,"&lt;&gt;")</f>
        <v>0</v>
      </c>
    </row>
    <row r="10" spans="1:25" ht="41.4">
      <c r="A10" s="22" t="s">
        <v>38</v>
      </c>
      <c r="B10" s="25">
        <v>45711</v>
      </c>
      <c r="C10" s="22" t="s">
        <v>17</v>
      </c>
      <c r="D10" s="22" t="s">
        <v>32</v>
      </c>
      <c r="E10" s="22" t="s">
        <v>34</v>
      </c>
      <c r="F10" s="22" t="s">
        <v>39</v>
      </c>
      <c r="G10" s="22" t="s">
        <v>21</v>
      </c>
      <c r="H10" s="22">
        <v>0</v>
      </c>
      <c r="I10" s="22">
        <v>0</v>
      </c>
      <c r="J10" s="22">
        <v>0</v>
      </c>
      <c r="K10" s="22">
        <v>0</v>
      </c>
      <c r="L10" s="22">
        <v>0</v>
      </c>
      <c r="M10" s="22">
        <v>0</v>
      </c>
      <c r="N10" s="22">
        <v>0</v>
      </c>
      <c r="O10" s="22"/>
      <c r="P10" s="22">
        <v>55.4</v>
      </c>
      <c r="Q10" s="22" t="str">
        <f>IF(OR(L10&lt;$Y$18,L10&gt;$Y$19),"Outlier","Normal")</f>
        <v>Normal</v>
      </c>
      <c r="R10" s="26" t="str">
        <f>A10&amp;B10&amp;C10&amp;D10&amp;E10&amp;F10&amp;G10&amp;H10&amp;I10&amp;J10&amp;K10&amp;L10&amp;M10&amp;N10&amp;O10&amp;P10</f>
        <v>USR-10000945711ControlSouthTabletReferralBasic000000055.4</v>
      </c>
      <c r="S10" s="22" t="str">
        <f>IF(COUNTIF($R$2:$R$1409,R10)=1,"OK",IF(COUNTIF($R$2:$R$1409,R10)&gt;1,"Exact Duplicate","Review Required"))</f>
        <v>OK</v>
      </c>
      <c r="T10" s="22" t="s">
        <v>34</v>
      </c>
      <c r="U10" s="22" t="s">
        <v>39</v>
      </c>
      <c r="V10" s="22"/>
      <c r="X10" s="18" t="s">
        <v>9</v>
      </c>
      <c r="Y10" s="8">
        <f>COUNTIFS(J2:J1409,"&lt;&gt;0",J2:J1409,"&lt;&gt;1",J2:J1409,"&lt;&gt;")</f>
        <v>0</v>
      </c>
    </row>
    <row r="11" spans="1:25" ht="41.4">
      <c r="A11" s="22" t="s">
        <v>40</v>
      </c>
      <c r="B11" s="25">
        <v>45806</v>
      </c>
      <c r="C11" s="22" t="s">
        <v>17</v>
      </c>
      <c r="D11" s="22" t="s">
        <v>23</v>
      </c>
      <c r="E11" s="22" t="s">
        <v>19</v>
      </c>
      <c r="F11" s="22" t="s">
        <v>41</v>
      </c>
      <c r="G11" s="22" t="s">
        <v>26</v>
      </c>
      <c r="H11" s="22">
        <v>1</v>
      </c>
      <c r="I11" s="22">
        <v>0</v>
      </c>
      <c r="J11" s="22">
        <v>0</v>
      </c>
      <c r="K11" s="22">
        <v>0</v>
      </c>
      <c r="L11" s="22">
        <v>0</v>
      </c>
      <c r="M11" s="22">
        <v>0</v>
      </c>
      <c r="N11" s="22">
        <v>0</v>
      </c>
      <c r="O11" s="22"/>
      <c r="P11" s="22">
        <v>57.3</v>
      </c>
      <c r="Q11" s="22" t="str">
        <f>IF(OR(L11&lt;$Y$18,L11&gt;$Y$19),"Outlier","Normal")</f>
        <v>Normal</v>
      </c>
      <c r="R11" s="26" t="str">
        <f>A11&amp;B11&amp;C11&amp;D11&amp;E11&amp;F11&amp;G11&amp;H11&amp;I11&amp;J11&amp;K11&amp;L11&amp;M11&amp;N11&amp;O11&amp;P11</f>
        <v>USR-10001045806ControlWestDesktopSocialFree100000057.3</v>
      </c>
      <c r="S11" s="22" t="str">
        <f>IF(COUNTIF($R$2:$R$1409,R11)=1,"OK",IF(COUNTIF($R$2:$R$1409,R11)&gt;1,"Exact Duplicate","Review Required"))</f>
        <v>OK</v>
      </c>
      <c r="T11" s="22" t="s">
        <v>19</v>
      </c>
      <c r="U11" s="22" t="s">
        <v>41</v>
      </c>
      <c r="V11" s="22"/>
      <c r="X11" s="18" t="s">
        <v>10</v>
      </c>
      <c r="Y11" s="8">
        <f>COUNTIFS(K2:K1409,"&lt;&gt;0",K2:K1409,"&lt;&gt;1",K2:K1409,"&lt;&gt;")</f>
        <v>0</v>
      </c>
    </row>
    <row r="12" spans="1:25" ht="41.4">
      <c r="A12" s="22" t="s">
        <v>42</v>
      </c>
      <c r="B12" s="25">
        <v>45777</v>
      </c>
      <c r="C12" s="22" t="s">
        <v>17</v>
      </c>
      <c r="D12" s="22" t="s">
        <v>28</v>
      </c>
      <c r="E12" s="22" t="s">
        <v>24</v>
      </c>
      <c r="F12" s="22" t="s">
        <v>29</v>
      </c>
      <c r="G12" s="22" t="s">
        <v>21</v>
      </c>
      <c r="H12" s="22">
        <v>1</v>
      </c>
      <c r="I12" s="22">
        <v>1</v>
      </c>
      <c r="J12" s="22">
        <v>1</v>
      </c>
      <c r="K12" s="22">
        <v>0</v>
      </c>
      <c r="L12" s="22">
        <v>0</v>
      </c>
      <c r="M12" s="22">
        <v>0</v>
      </c>
      <c r="N12" s="22">
        <v>0</v>
      </c>
      <c r="O12" s="22"/>
      <c r="P12" s="22">
        <v>63.6</v>
      </c>
      <c r="Q12" s="22" t="str">
        <f>IF(OR(L12&lt;$Y$18,L12&gt;$Y$19),"Outlier","Normal")</f>
        <v>Normal</v>
      </c>
      <c r="R12" s="26" t="str">
        <f>A12&amp;B12&amp;C12&amp;D12&amp;E12&amp;F12&amp;G12&amp;H12&amp;I12&amp;J12&amp;K12&amp;L12&amp;M12&amp;N12&amp;O12&amp;P12</f>
        <v>USR-10001145777ControlEastMobilePaid SearchBasic111000063.6</v>
      </c>
      <c r="S12" s="22" t="str">
        <f>IF(COUNTIF($R$2:$R$1409,R12)=1,"OK",IF(COUNTIF($R$2:$R$1409,R12)&gt;1,"Exact Duplicate","Review Required"))</f>
        <v>OK</v>
      </c>
      <c r="T12" s="22" t="s">
        <v>24</v>
      </c>
      <c r="U12" s="22" t="s">
        <v>29</v>
      </c>
      <c r="V12" s="22"/>
      <c r="X12" s="18" t="s">
        <v>13</v>
      </c>
      <c r="Y12" s="8">
        <f>COUNTIFS(N2:N1409,"&lt;&gt;0",N2:N1409,"&lt;&gt;1",N2:N1409,"&lt;&gt;")</f>
        <v>0</v>
      </c>
    </row>
    <row r="13" spans="1:25" ht="41.4">
      <c r="A13" s="22" t="s">
        <v>43</v>
      </c>
      <c r="B13" s="25">
        <v>45732</v>
      </c>
      <c r="C13" s="22" t="s">
        <v>17</v>
      </c>
      <c r="D13" s="22" t="s">
        <v>28</v>
      </c>
      <c r="E13" s="22" t="s">
        <v>24</v>
      </c>
      <c r="F13" s="22" t="s">
        <v>41</v>
      </c>
      <c r="G13" s="22" t="s">
        <v>30</v>
      </c>
      <c r="H13" s="22">
        <v>1</v>
      </c>
      <c r="I13" s="22">
        <v>1</v>
      </c>
      <c r="J13" s="22">
        <v>1</v>
      </c>
      <c r="K13" s="22">
        <v>0</v>
      </c>
      <c r="L13" s="22">
        <v>0</v>
      </c>
      <c r="M13" s="22">
        <v>1</v>
      </c>
      <c r="N13" s="22">
        <v>0</v>
      </c>
      <c r="O13" s="22"/>
      <c r="P13" s="22">
        <v>80.400000000000006</v>
      </c>
      <c r="Q13" s="22" t="str">
        <f>IF(OR(L13&lt;$Y$18,L13&gt;$Y$19),"Outlier","Normal")</f>
        <v>Normal</v>
      </c>
      <c r="R13" s="26" t="str">
        <f>A13&amp;B13&amp;C13&amp;D13&amp;E13&amp;F13&amp;G13&amp;H13&amp;I13&amp;J13&amp;K13&amp;L13&amp;M13&amp;N13&amp;O13&amp;P13</f>
        <v>USR-10001245732ControlEastMobileSocialPremium111001080.4</v>
      </c>
      <c r="S13" s="22" t="str">
        <f>IF(COUNTIF($R$2:$R$1409,R13)=1,"OK",IF(COUNTIF($R$2:$R$1409,R13)&gt;1,"Exact Duplicate","Review Required"))</f>
        <v>OK</v>
      </c>
      <c r="T13" s="22" t="s">
        <v>24</v>
      </c>
      <c r="U13" s="22" t="s">
        <v>41</v>
      </c>
      <c r="V13" s="22"/>
      <c r="X13" s="17"/>
    </row>
    <row r="14" spans="1:25" ht="41.4">
      <c r="A14" s="22" t="s">
        <v>44</v>
      </c>
      <c r="B14" s="25">
        <v>45695</v>
      </c>
      <c r="C14" s="22" t="s">
        <v>17</v>
      </c>
      <c r="D14" s="22" t="s">
        <v>32</v>
      </c>
      <c r="E14" s="22" t="s">
        <v>19</v>
      </c>
      <c r="F14" s="22" t="s">
        <v>20</v>
      </c>
      <c r="G14" s="22" t="s">
        <v>21</v>
      </c>
      <c r="H14" s="22">
        <v>1</v>
      </c>
      <c r="I14" s="22">
        <v>0</v>
      </c>
      <c r="J14" s="22">
        <v>0</v>
      </c>
      <c r="K14" s="22">
        <v>0</v>
      </c>
      <c r="L14" s="22">
        <v>0</v>
      </c>
      <c r="M14" s="22">
        <v>0</v>
      </c>
      <c r="N14" s="22">
        <v>0</v>
      </c>
      <c r="O14" s="22"/>
      <c r="P14" s="22">
        <v>62.4</v>
      </c>
      <c r="Q14" s="22" t="str">
        <f>IF(OR(L14&lt;$Y$18,L14&gt;$Y$19),"Outlier","Normal")</f>
        <v>Normal</v>
      </c>
      <c r="R14" s="26" t="str">
        <f>A14&amp;B14&amp;C14&amp;D14&amp;E14&amp;F14&amp;G14&amp;H14&amp;I14&amp;J14&amp;K14&amp;L14&amp;M14&amp;N14&amp;O14&amp;P14</f>
        <v>USR-10001345695ControlSouthDesktopEmailBasic100000062.4</v>
      </c>
      <c r="S14" s="22" t="str">
        <f>IF(COUNTIF($R$2:$R$1409,R14)=1,"OK",IF(COUNTIF($R$2:$R$1409,R14)&gt;1,"Exact Duplicate","Review Required"))</f>
        <v>OK</v>
      </c>
      <c r="T14" s="22" t="s">
        <v>19</v>
      </c>
      <c r="U14" s="22" t="s">
        <v>20</v>
      </c>
      <c r="V14" s="22"/>
      <c r="X14" s="10" t="s">
        <v>1460</v>
      </c>
      <c r="Y14" s="10"/>
    </row>
    <row r="15" spans="1:25" ht="41.4">
      <c r="A15" s="22" t="s">
        <v>45</v>
      </c>
      <c r="B15" s="25">
        <v>45718</v>
      </c>
      <c r="C15" s="22" t="s">
        <v>17</v>
      </c>
      <c r="D15" s="22" t="s">
        <v>23</v>
      </c>
      <c r="E15" s="22" t="s">
        <v>24</v>
      </c>
      <c r="F15" s="22" t="s">
        <v>41</v>
      </c>
      <c r="G15" s="22" t="s">
        <v>21</v>
      </c>
      <c r="H15" s="22">
        <v>1</v>
      </c>
      <c r="I15" s="22">
        <v>0</v>
      </c>
      <c r="J15" s="22">
        <v>0</v>
      </c>
      <c r="K15" s="22">
        <v>0</v>
      </c>
      <c r="L15" s="22">
        <v>0</v>
      </c>
      <c r="M15" s="22">
        <v>0</v>
      </c>
      <c r="N15" s="22">
        <v>0</v>
      </c>
      <c r="O15" s="22"/>
      <c r="P15" s="22">
        <v>82.4</v>
      </c>
      <c r="Q15" s="22" t="str">
        <f>IF(OR(L15&lt;$Y$18,L15&gt;$Y$19),"Outlier","Normal")</f>
        <v>Normal</v>
      </c>
      <c r="R15" s="26" t="str">
        <f>A15&amp;B15&amp;C15&amp;D15&amp;E15&amp;F15&amp;G15&amp;H15&amp;I15&amp;J15&amp;K15&amp;L15&amp;M15&amp;N15&amp;O15&amp;P15</f>
        <v>USR-10001445718ControlWestMobileSocialBasic100000082.4</v>
      </c>
      <c r="S15" s="22" t="str">
        <f>IF(COUNTIF($R$2:$R$1409,R15)=1,"OK",IF(COUNTIF($R$2:$R$1409,R15)&gt;1,"Exact Duplicate","Review Required"))</f>
        <v>OK</v>
      </c>
      <c r="T15" s="22" t="s">
        <v>24</v>
      </c>
      <c r="U15" s="22" t="s">
        <v>41</v>
      </c>
      <c r="V15" s="22"/>
      <c r="X15" s="18" t="s">
        <v>1463</v>
      </c>
      <c r="Y15" s="8" cm="1">
        <f t="array" ref="Y15">_xlfn.QUARTILE.INC(_xlfn._xlws.FILTER(L2:L1409,K2:K1409=1),1)</f>
        <v>404.02</v>
      </c>
    </row>
    <row r="16" spans="1:25" ht="41.4">
      <c r="A16" s="22" t="s">
        <v>46</v>
      </c>
      <c r="B16" s="25">
        <v>45807</v>
      </c>
      <c r="C16" s="22" t="s">
        <v>17</v>
      </c>
      <c r="D16" s="22" t="s">
        <v>32</v>
      </c>
      <c r="E16" s="22" t="s">
        <v>24</v>
      </c>
      <c r="F16" s="22" t="s">
        <v>25</v>
      </c>
      <c r="G16" s="22" t="s">
        <v>21</v>
      </c>
      <c r="H16" s="22">
        <v>0</v>
      </c>
      <c r="I16" s="22">
        <v>0</v>
      </c>
      <c r="J16" s="22">
        <v>0</v>
      </c>
      <c r="K16" s="22">
        <v>0</v>
      </c>
      <c r="L16" s="22">
        <v>0</v>
      </c>
      <c r="M16" s="22">
        <v>0</v>
      </c>
      <c r="N16" s="22">
        <v>0</v>
      </c>
      <c r="O16" s="22"/>
      <c r="P16" s="22">
        <v>61.2</v>
      </c>
      <c r="Q16" s="22" t="str">
        <f>IF(OR(L16&lt;$Y$18,L16&gt;$Y$19),"Outlier","Normal")</f>
        <v>Normal</v>
      </c>
      <c r="R16" s="26" t="str">
        <f>A16&amp;B16&amp;C16&amp;D16&amp;E16&amp;F16&amp;G16&amp;H16&amp;I16&amp;J16&amp;K16&amp;L16&amp;M16&amp;N16&amp;O16&amp;P16</f>
        <v>USR-10001545807ControlSouthMobileOrganicBasic000000061.2</v>
      </c>
      <c r="S16" s="22" t="str">
        <f>IF(COUNTIF($R$2:$R$1409,R16)=1,"OK",IF(COUNTIF($R$2:$R$1409,R16)&gt;1,"Exact Duplicate","Review Required"))</f>
        <v>OK</v>
      </c>
      <c r="T16" s="22" t="s">
        <v>24</v>
      </c>
      <c r="U16" s="22" t="s">
        <v>25</v>
      </c>
      <c r="V16" s="22"/>
      <c r="X16" s="18" t="s">
        <v>1464</v>
      </c>
      <c r="Y16" s="8" cm="1">
        <f t="array" ref="Y16">_xlfn.QUARTILE.INC(_xlfn._xlws.FILTER(L2:L1409,K2:K1409=1),3)</f>
        <v>1178.665</v>
      </c>
    </row>
    <row r="17" spans="1:25" ht="41.4">
      <c r="A17" s="22" t="s">
        <v>47</v>
      </c>
      <c r="B17" s="25">
        <v>45741</v>
      </c>
      <c r="C17" s="22" t="s">
        <v>17</v>
      </c>
      <c r="D17" s="22" t="s">
        <v>32</v>
      </c>
      <c r="E17" s="22" t="s">
        <v>24</v>
      </c>
      <c r="F17" s="22" t="s">
        <v>41</v>
      </c>
      <c r="G17" s="22" t="s">
        <v>21</v>
      </c>
      <c r="H17" s="22">
        <v>1</v>
      </c>
      <c r="I17" s="22">
        <v>0</v>
      </c>
      <c r="J17" s="22">
        <v>0</v>
      </c>
      <c r="K17" s="22">
        <v>0</v>
      </c>
      <c r="L17" s="22">
        <v>0</v>
      </c>
      <c r="M17" s="22">
        <v>0</v>
      </c>
      <c r="N17" s="22">
        <v>0</v>
      </c>
      <c r="O17" s="22"/>
      <c r="P17" s="22">
        <v>68.900000000000006</v>
      </c>
      <c r="Q17" s="22" t="str">
        <f>IF(OR(L17&lt;$Y$18,L17&gt;$Y$19),"Outlier","Normal")</f>
        <v>Normal</v>
      </c>
      <c r="R17" s="26" t="str">
        <f>A17&amp;B17&amp;C17&amp;D17&amp;E17&amp;F17&amp;G17&amp;H17&amp;I17&amp;J17&amp;K17&amp;L17&amp;M17&amp;N17&amp;O17&amp;P17</f>
        <v>USR-10001645741ControlSouthMobileSocialBasic100000068.9</v>
      </c>
      <c r="S17" s="22" t="str">
        <f>IF(COUNTIF($R$2:$R$1409,R17)=1,"OK",IF(COUNTIF($R$2:$R$1409,R17)&gt;1,"Exact Duplicate","Review Required"))</f>
        <v>OK</v>
      </c>
      <c r="T17" s="22" t="s">
        <v>24</v>
      </c>
      <c r="U17" s="22" t="s">
        <v>41</v>
      </c>
      <c r="V17" s="22"/>
      <c r="X17" s="18" t="s">
        <v>1465</v>
      </c>
      <c r="Y17" s="8">
        <f>Y16-Y15</f>
        <v>774.64499999999998</v>
      </c>
    </row>
    <row r="18" spans="1:25" ht="41.4">
      <c r="A18" s="22" t="s">
        <v>48</v>
      </c>
      <c r="B18" s="25">
        <v>45743</v>
      </c>
      <c r="C18" s="22" t="s">
        <v>17</v>
      </c>
      <c r="D18" s="22" t="s">
        <v>28</v>
      </c>
      <c r="E18" s="22" t="s">
        <v>19</v>
      </c>
      <c r="F18" s="22" t="s">
        <v>29</v>
      </c>
      <c r="G18" s="22" t="s">
        <v>26</v>
      </c>
      <c r="H18" s="22">
        <v>1</v>
      </c>
      <c r="I18" s="22">
        <v>1</v>
      </c>
      <c r="J18" s="22">
        <v>1</v>
      </c>
      <c r="K18" s="22">
        <v>0</v>
      </c>
      <c r="L18" s="22">
        <v>0</v>
      </c>
      <c r="M18" s="22">
        <v>0</v>
      </c>
      <c r="N18" s="22">
        <v>0</v>
      </c>
      <c r="O18" s="22"/>
      <c r="P18" s="22">
        <v>71.900000000000006</v>
      </c>
      <c r="Q18" s="22" t="str">
        <f>IF(OR(L18&lt;$Y$18,L18&gt;$Y$19),"Outlier","Normal")</f>
        <v>Normal</v>
      </c>
      <c r="R18" s="26" t="str">
        <f>A18&amp;B18&amp;C18&amp;D18&amp;E18&amp;F18&amp;G18&amp;H18&amp;I18&amp;J18&amp;K18&amp;L18&amp;M18&amp;N18&amp;O18&amp;P18</f>
        <v>USR-10001745743ControlEastDesktopPaid SearchFree111000071.9</v>
      </c>
      <c r="S18" s="22" t="str">
        <f>IF(COUNTIF($R$2:$R$1409,R18)=1,"OK",IF(COUNTIF($R$2:$R$1409,R18)&gt;1,"Exact Duplicate","Review Required"))</f>
        <v>OK</v>
      </c>
      <c r="T18" s="22" t="s">
        <v>19</v>
      </c>
      <c r="U18" s="22" t="s">
        <v>29</v>
      </c>
      <c r="V18" s="22"/>
      <c r="X18" s="18" t="s">
        <v>1466</v>
      </c>
      <c r="Y18" s="8">
        <f>Y15-1.5*Y17</f>
        <v>-757.94749999999999</v>
      </c>
    </row>
    <row r="19" spans="1:25" ht="41.4">
      <c r="A19" s="22" t="s">
        <v>49</v>
      </c>
      <c r="B19" s="25">
        <v>45805</v>
      </c>
      <c r="C19" s="22" t="s">
        <v>17</v>
      </c>
      <c r="D19" s="22" t="s">
        <v>32</v>
      </c>
      <c r="E19" s="22" t="s">
        <v>19</v>
      </c>
      <c r="F19" s="22" t="s">
        <v>29</v>
      </c>
      <c r="G19" s="22" t="s">
        <v>26</v>
      </c>
      <c r="H19" s="22">
        <v>0</v>
      </c>
      <c r="I19" s="22">
        <v>0</v>
      </c>
      <c r="J19" s="22">
        <v>0</v>
      </c>
      <c r="K19" s="22">
        <v>0</v>
      </c>
      <c r="L19" s="22">
        <v>0</v>
      </c>
      <c r="M19" s="22">
        <v>0</v>
      </c>
      <c r="N19" s="22">
        <v>0</v>
      </c>
      <c r="O19" s="22"/>
      <c r="P19" s="22">
        <v>50.5</v>
      </c>
      <c r="Q19" s="22" t="str">
        <f>IF(OR(L19&lt;$Y$18,L19&gt;$Y$19),"Outlier","Normal")</f>
        <v>Normal</v>
      </c>
      <c r="R19" s="26" t="str">
        <f>A19&amp;B19&amp;C19&amp;D19&amp;E19&amp;F19&amp;G19&amp;H19&amp;I19&amp;J19&amp;K19&amp;L19&amp;M19&amp;N19&amp;O19&amp;P19</f>
        <v>USR-10001845805ControlSouthDesktopPaid SearchFree000000050.5</v>
      </c>
      <c r="S19" s="22" t="str">
        <f>IF(COUNTIF($R$2:$R$1409,R19)=1,"OK",IF(COUNTIF($R$2:$R$1409,R19)&gt;1,"Exact Duplicate","Review Required"))</f>
        <v>OK</v>
      </c>
      <c r="T19" s="22" t="s">
        <v>19</v>
      </c>
      <c r="U19" s="22" t="s">
        <v>29</v>
      </c>
      <c r="V19" s="22"/>
      <c r="X19" s="5" t="s">
        <v>1467</v>
      </c>
      <c r="Y19" s="8">
        <f>Y16+1.5*Y17</f>
        <v>2340.6324999999997</v>
      </c>
    </row>
    <row r="20" spans="1:25" ht="41.4">
      <c r="A20" s="22" t="s">
        <v>50</v>
      </c>
      <c r="B20" s="25">
        <v>45703</v>
      </c>
      <c r="C20" s="22" t="s">
        <v>17</v>
      </c>
      <c r="D20" s="22" t="s">
        <v>18</v>
      </c>
      <c r="E20" s="22" t="s">
        <v>19</v>
      </c>
      <c r="F20" s="22" t="s">
        <v>29</v>
      </c>
      <c r="G20" s="22" t="s">
        <v>21</v>
      </c>
      <c r="H20" s="22">
        <v>0</v>
      </c>
      <c r="I20" s="22">
        <v>0</v>
      </c>
      <c r="J20" s="22">
        <v>0</v>
      </c>
      <c r="K20" s="22">
        <v>0</v>
      </c>
      <c r="L20" s="22">
        <v>0</v>
      </c>
      <c r="M20" s="22">
        <v>0</v>
      </c>
      <c r="N20" s="22">
        <v>0</v>
      </c>
      <c r="O20" s="22"/>
      <c r="P20" s="22">
        <v>49.3</v>
      </c>
      <c r="Q20" s="22" t="str">
        <f>IF(OR(L20&lt;$Y$18,L20&gt;$Y$19),"Outlier","Normal")</f>
        <v>Normal</v>
      </c>
      <c r="R20" s="26" t="str">
        <f>A20&amp;B20&amp;C20&amp;D20&amp;E20&amp;F20&amp;G20&amp;H20&amp;I20&amp;J20&amp;K20&amp;L20&amp;M20&amp;N20&amp;O20&amp;P20</f>
        <v>USR-10001945703ControlNorthDesktopPaid SearchBasic000000049.3</v>
      </c>
      <c r="S20" s="22" t="str">
        <f>IF(COUNTIF($R$2:$R$1409,R20)=1,"OK",IF(COUNTIF($R$2:$R$1409,R20)&gt;1,"Exact Duplicate","Review Required"))</f>
        <v>OK</v>
      </c>
      <c r="T20" s="22" t="s">
        <v>19</v>
      </c>
      <c r="U20" s="22" t="s">
        <v>29</v>
      </c>
      <c r="V20" s="22"/>
    </row>
    <row r="21" spans="1:25" ht="41.4">
      <c r="A21" s="22" t="s">
        <v>51</v>
      </c>
      <c r="B21" s="25">
        <v>45782</v>
      </c>
      <c r="C21" s="22" t="s">
        <v>17</v>
      </c>
      <c r="D21" s="22" t="s">
        <v>23</v>
      </c>
      <c r="E21" s="22" t="s">
        <v>19</v>
      </c>
      <c r="F21" s="22" t="s">
        <v>25</v>
      </c>
      <c r="G21" s="22" t="s">
        <v>21</v>
      </c>
      <c r="H21" s="22">
        <v>0</v>
      </c>
      <c r="I21" s="22">
        <v>0</v>
      </c>
      <c r="J21" s="22">
        <v>0</v>
      </c>
      <c r="K21" s="22">
        <v>0</v>
      </c>
      <c r="L21" s="22">
        <v>0</v>
      </c>
      <c r="M21" s="22">
        <v>2</v>
      </c>
      <c r="N21" s="22">
        <v>0</v>
      </c>
      <c r="O21" s="22"/>
      <c r="P21" s="22">
        <v>60.9</v>
      </c>
      <c r="Q21" s="22" t="str">
        <f>IF(OR(L21&lt;$Y$18,L21&gt;$Y$19),"Outlier","Normal")</f>
        <v>Normal</v>
      </c>
      <c r="R21" s="26" t="str">
        <f>A21&amp;B21&amp;C21&amp;D21&amp;E21&amp;F21&amp;G21&amp;H21&amp;I21&amp;J21&amp;K21&amp;L21&amp;M21&amp;N21&amp;O21&amp;P21</f>
        <v>USR-10002045782ControlWestDesktopOrganicBasic000002060.9</v>
      </c>
      <c r="S21" s="22" t="str">
        <f>IF(COUNTIF($R$2:$R$1409,R21)=1,"OK",IF(COUNTIF($R$2:$R$1409,R21)&gt;1,"Exact Duplicate","Review Required"))</f>
        <v>OK</v>
      </c>
      <c r="T21" s="22" t="s">
        <v>19</v>
      </c>
      <c r="U21" s="22" t="s">
        <v>25</v>
      </c>
      <c r="V21" s="22"/>
      <c r="X21" s="18" t="s">
        <v>1468</v>
      </c>
      <c r="Y21" s="23">
        <f>COUNTIF(Q:Q,"Outlier")</f>
        <v>4</v>
      </c>
    </row>
    <row r="22" spans="1:25" ht="41.4">
      <c r="A22" s="22" t="s">
        <v>52</v>
      </c>
      <c r="B22" s="25">
        <v>45760</v>
      </c>
      <c r="C22" s="22" t="s">
        <v>17</v>
      </c>
      <c r="D22" s="22" t="s">
        <v>28</v>
      </c>
      <c r="E22" s="22" t="s">
        <v>24</v>
      </c>
      <c r="F22" s="22" t="s">
        <v>41</v>
      </c>
      <c r="G22" s="22" t="s">
        <v>26</v>
      </c>
      <c r="H22" s="22">
        <v>1</v>
      </c>
      <c r="I22" s="22">
        <v>0</v>
      </c>
      <c r="J22" s="22">
        <v>0</v>
      </c>
      <c r="K22" s="22">
        <v>0</v>
      </c>
      <c r="L22" s="22">
        <v>0</v>
      </c>
      <c r="M22" s="22">
        <v>0</v>
      </c>
      <c r="N22" s="22">
        <v>0</v>
      </c>
      <c r="O22" s="22"/>
      <c r="P22" s="22">
        <v>62.7</v>
      </c>
      <c r="Q22" s="22" t="str">
        <f>IF(OR(L22&lt;$Y$18,L22&gt;$Y$19),"Outlier","Normal")</f>
        <v>Normal</v>
      </c>
      <c r="R22" s="26" t="str">
        <f>A22&amp;B22&amp;C22&amp;D22&amp;E22&amp;F22&amp;G22&amp;H22&amp;I22&amp;J22&amp;K22&amp;L22&amp;M22&amp;N22&amp;O22&amp;P22</f>
        <v>USR-10002145760ControlEastMobileSocialFree100000062.7</v>
      </c>
      <c r="S22" s="22" t="str">
        <f>IF(COUNTIF($R$2:$R$1409,R22)=1,"OK",IF(COUNTIF($R$2:$R$1409,R22)&gt;1,"Exact Duplicate","Review Required"))</f>
        <v>OK</v>
      </c>
      <c r="T22" s="22" t="s">
        <v>24</v>
      </c>
      <c r="U22" s="22" t="s">
        <v>41</v>
      </c>
      <c r="V22" s="22"/>
      <c r="X22" s="18" t="s">
        <v>1469</v>
      </c>
      <c r="Y22" s="23">
        <f>COUNTIF(Q:Q,"Normal")</f>
        <v>1396</v>
      </c>
    </row>
    <row r="23" spans="1:25" ht="41.4">
      <c r="A23" s="22" t="s">
        <v>53</v>
      </c>
      <c r="B23" s="25">
        <v>45784</v>
      </c>
      <c r="C23" s="22" t="s">
        <v>17</v>
      </c>
      <c r="D23" s="22" t="s">
        <v>18</v>
      </c>
      <c r="E23" s="22" t="s">
        <v>19</v>
      </c>
      <c r="F23" s="22" t="s">
        <v>29</v>
      </c>
      <c r="G23" s="22" t="s">
        <v>26</v>
      </c>
      <c r="H23" s="22">
        <v>0</v>
      </c>
      <c r="I23" s="22">
        <v>0</v>
      </c>
      <c r="J23" s="22">
        <v>0</v>
      </c>
      <c r="K23" s="22">
        <v>0</v>
      </c>
      <c r="L23" s="22">
        <v>0</v>
      </c>
      <c r="M23" s="22">
        <v>0</v>
      </c>
      <c r="N23" s="22">
        <v>0</v>
      </c>
      <c r="O23" s="22"/>
      <c r="P23" s="22">
        <v>52.7</v>
      </c>
      <c r="Q23" s="22" t="str">
        <f>IF(OR(L23&lt;$Y$18,L23&gt;$Y$19),"Outlier","Normal")</f>
        <v>Normal</v>
      </c>
      <c r="R23" s="26" t="str">
        <f>A23&amp;B23&amp;C23&amp;D23&amp;E23&amp;F23&amp;G23&amp;H23&amp;I23&amp;J23&amp;K23&amp;L23&amp;M23&amp;N23&amp;O23&amp;P23</f>
        <v>USR-10002245784ControlNorthDesktopPaid SearchFree000000052.7</v>
      </c>
      <c r="S23" s="22" t="str">
        <f>IF(COUNTIF($R$2:$R$1409,R23)=1,"OK",IF(COUNTIF($R$2:$R$1409,R23)&gt;1,"Exact Duplicate","Review Required"))</f>
        <v>OK</v>
      </c>
      <c r="T23" s="22" t="s">
        <v>19</v>
      </c>
      <c r="U23" s="22" t="s">
        <v>29</v>
      </c>
      <c r="V23" s="22"/>
    </row>
    <row r="24" spans="1:25" ht="41.4">
      <c r="A24" s="22" t="s">
        <v>54</v>
      </c>
      <c r="B24" s="25">
        <v>45802</v>
      </c>
      <c r="C24" s="22" t="s">
        <v>17</v>
      </c>
      <c r="D24" s="22" t="s">
        <v>18</v>
      </c>
      <c r="E24" s="22" t="s">
        <v>19</v>
      </c>
      <c r="F24" s="22" t="s">
        <v>25</v>
      </c>
      <c r="G24" s="22" t="s">
        <v>26</v>
      </c>
      <c r="H24" s="22">
        <v>0</v>
      </c>
      <c r="I24" s="22">
        <v>0</v>
      </c>
      <c r="J24" s="22">
        <v>0</v>
      </c>
      <c r="K24" s="22">
        <v>0</v>
      </c>
      <c r="L24" s="22">
        <v>0</v>
      </c>
      <c r="M24" s="22">
        <v>0</v>
      </c>
      <c r="N24" s="22">
        <v>0</v>
      </c>
      <c r="O24" s="22"/>
      <c r="P24" s="22">
        <v>54</v>
      </c>
      <c r="Q24" s="22" t="str">
        <f>IF(OR(L24&lt;$Y$18,L24&gt;$Y$19),"Outlier","Normal")</f>
        <v>Normal</v>
      </c>
      <c r="R24" s="26" t="str">
        <f>A24&amp;B24&amp;C24&amp;D24&amp;E24&amp;F24&amp;G24&amp;H24&amp;I24&amp;J24&amp;K24&amp;L24&amp;M24&amp;N24&amp;O24&amp;P24</f>
        <v>USR-10002345802ControlNorthDesktopOrganicFree000000054</v>
      </c>
      <c r="S24" s="22" t="str">
        <f>IF(COUNTIF($R$2:$R$1409,R24)=1,"OK",IF(COUNTIF($R$2:$R$1409,R24)&gt;1,"Exact Duplicate","Review Required"))</f>
        <v>OK</v>
      </c>
      <c r="T24" s="22" t="s">
        <v>19</v>
      </c>
      <c r="U24" s="22" t="s">
        <v>25</v>
      </c>
      <c r="V24" s="22"/>
    </row>
    <row r="25" spans="1:25" ht="41.4">
      <c r="A25" s="22" t="s">
        <v>55</v>
      </c>
      <c r="B25" s="25">
        <v>45748</v>
      </c>
      <c r="C25" s="22" t="s">
        <v>17</v>
      </c>
      <c r="D25" s="22" t="s">
        <v>28</v>
      </c>
      <c r="E25" s="22" t="s">
        <v>24</v>
      </c>
      <c r="F25" s="22" t="s">
        <v>29</v>
      </c>
      <c r="G25" s="22" t="s">
        <v>30</v>
      </c>
      <c r="H25" s="22">
        <v>1</v>
      </c>
      <c r="I25" s="22">
        <v>1</v>
      </c>
      <c r="J25" s="22">
        <v>0</v>
      </c>
      <c r="K25" s="22">
        <v>0</v>
      </c>
      <c r="L25" s="22">
        <v>0</v>
      </c>
      <c r="M25" s="22">
        <v>0</v>
      </c>
      <c r="N25" s="22">
        <v>0</v>
      </c>
      <c r="O25" s="22"/>
      <c r="P25" s="22">
        <v>51.6</v>
      </c>
      <c r="Q25" s="22" t="str">
        <f>IF(OR(L25&lt;$Y$18,L25&gt;$Y$19),"Outlier","Normal")</f>
        <v>Normal</v>
      </c>
      <c r="R25" s="26" t="str">
        <f>A25&amp;B25&amp;C25&amp;D25&amp;E25&amp;F25&amp;G25&amp;H25&amp;I25&amp;J25&amp;K25&amp;L25&amp;M25&amp;N25&amp;O25&amp;P25</f>
        <v>USR-10002445748ControlEastMobilePaid SearchPremium110000051.6</v>
      </c>
      <c r="S25" s="22" t="str">
        <f>IF(COUNTIF($R$2:$R$1409,R25)=1,"OK",IF(COUNTIF($R$2:$R$1409,R25)&gt;1,"Exact Duplicate","Review Required"))</f>
        <v>OK</v>
      </c>
      <c r="T25" s="22" t="s">
        <v>24</v>
      </c>
      <c r="U25" s="22" t="s">
        <v>29</v>
      </c>
      <c r="V25" s="22"/>
    </row>
    <row r="26" spans="1:25" ht="41.4">
      <c r="A26" s="22" t="s">
        <v>56</v>
      </c>
      <c r="B26" s="25">
        <v>45710</v>
      </c>
      <c r="C26" s="22" t="s">
        <v>17</v>
      </c>
      <c r="D26" s="22" t="s">
        <v>18</v>
      </c>
      <c r="E26" s="22" t="s">
        <v>24</v>
      </c>
      <c r="F26" s="22" t="s">
        <v>29</v>
      </c>
      <c r="G26" s="22" t="s">
        <v>30</v>
      </c>
      <c r="H26" s="22">
        <v>0</v>
      </c>
      <c r="I26" s="22">
        <v>0</v>
      </c>
      <c r="J26" s="22">
        <v>0</v>
      </c>
      <c r="K26" s="22">
        <v>0</v>
      </c>
      <c r="L26" s="22">
        <v>0</v>
      </c>
      <c r="M26" s="22">
        <v>2</v>
      </c>
      <c r="N26" s="22">
        <v>0</v>
      </c>
      <c r="O26" s="22"/>
      <c r="P26" s="22">
        <v>66.900000000000006</v>
      </c>
      <c r="Q26" s="22" t="str">
        <f>IF(OR(L26&lt;$Y$18,L26&gt;$Y$19),"Outlier","Normal")</f>
        <v>Normal</v>
      </c>
      <c r="R26" s="26" t="str">
        <f>A26&amp;B26&amp;C26&amp;D26&amp;E26&amp;F26&amp;G26&amp;H26&amp;I26&amp;J26&amp;K26&amp;L26&amp;M26&amp;N26&amp;O26&amp;P26</f>
        <v>USR-10002545710ControlNorthMobilePaid SearchPremium000002066.9</v>
      </c>
      <c r="S26" s="22" t="str">
        <f>IF(COUNTIF($R$2:$R$1409,R26)=1,"OK",IF(COUNTIF($R$2:$R$1409,R26)&gt;1,"Exact Duplicate","Review Required"))</f>
        <v>OK</v>
      </c>
      <c r="T26" s="22" t="s">
        <v>24</v>
      </c>
      <c r="U26" s="22" t="s">
        <v>29</v>
      </c>
      <c r="V26" s="22"/>
      <c r="X26" s="12"/>
      <c r="Y26" s="29"/>
    </row>
    <row r="27" spans="1:25" ht="41.4">
      <c r="A27" s="22" t="s">
        <v>57</v>
      </c>
      <c r="B27" s="25">
        <v>45740</v>
      </c>
      <c r="C27" s="22" t="s">
        <v>17</v>
      </c>
      <c r="D27" s="22" t="s">
        <v>28</v>
      </c>
      <c r="E27" s="22" t="s">
        <v>24</v>
      </c>
      <c r="F27" s="22" t="s">
        <v>25</v>
      </c>
      <c r="G27" s="22" t="s">
        <v>21</v>
      </c>
      <c r="H27" s="22">
        <v>0</v>
      </c>
      <c r="I27" s="22">
        <v>0</v>
      </c>
      <c r="J27" s="22">
        <v>0</v>
      </c>
      <c r="K27" s="22">
        <v>0</v>
      </c>
      <c r="L27" s="22">
        <v>0</v>
      </c>
      <c r="M27" s="22">
        <v>0</v>
      </c>
      <c r="N27" s="22">
        <v>0</v>
      </c>
      <c r="O27" s="22"/>
      <c r="P27" s="22">
        <v>67.400000000000006</v>
      </c>
      <c r="Q27" s="22" t="str">
        <f>IF(OR(L27&lt;$Y$18,L27&gt;$Y$19),"Outlier","Normal")</f>
        <v>Normal</v>
      </c>
      <c r="R27" s="26" t="str">
        <f>A27&amp;B27&amp;C27&amp;D27&amp;E27&amp;F27&amp;G27&amp;H27&amp;I27&amp;J27&amp;K27&amp;L27&amp;M27&amp;N27&amp;O27&amp;P27</f>
        <v>USR-10002645740ControlEastMobileOrganicBasic000000067.4</v>
      </c>
      <c r="S27" s="22" t="str">
        <f>IF(COUNTIF($R$2:$R$1409,R27)=1,"OK",IF(COUNTIF($R$2:$R$1409,R27)&gt;1,"Exact Duplicate","Review Required"))</f>
        <v>OK</v>
      </c>
      <c r="T27" s="22" t="s">
        <v>24</v>
      </c>
      <c r="U27" s="22" t="s">
        <v>25</v>
      </c>
      <c r="V27" s="22"/>
    </row>
    <row r="28" spans="1:25" ht="41.4">
      <c r="A28" s="22" t="s">
        <v>58</v>
      </c>
      <c r="B28" s="25">
        <v>45701</v>
      </c>
      <c r="C28" s="22" t="s">
        <v>17</v>
      </c>
      <c r="D28" s="22" t="s">
        <v>18</v>
      </c>
      <c r="E28" s="22" t="s">
        <v>24</v>
      </c>
      <c r="F28" s="22" t="s">
        <v>25</v>
      </c>
      <c r="G28" s="22" t="s">
        <v>26</v>
      </c>
      <c r="H28" s="22">
        <v>0</v>
      </c>
      <c r="I28" s="22">
        <v>0</v>
      </c>
      <c r="J28" s="22">
        <v>0</v>
      </c>
      <c r="K28" s="22">
        <v>0</v>
      </c>
      <c r="L28" s="22">
        <v>0</v>
      </c>
      <c r="M28" s="22">
        <v>0</v>
      </c>
      <c r="N28" s="22">
        <v>0</v>
      </c>
      <c r="O28" s="22"/>
      <c r="P28" s="22">
        <v>58.8</v>
      </c>
      <c r="Q28" s="22" t="str">
        <f>IF(OR(L28&lt;$Y$18,L28&gt;$Y$19),"Outlier","Normal")</f>
        <v>Normal</v>
      </c>
      <c r="R28" s="26" t="str">
        <f>A28&amp;B28&amp;C28&amp;D28&amp;E28&amp;F28&amp;G28&amp;H28&amp;I28&amp;J28&amp;K28&amp;L28&amp;M28&amp;N28&amp;O28&amp;P28</f>
        <v>USR-10002745701ControlNorthMobileOrganicFree000000058.8</v>
      </c>
      <c r="S28" s="22" t="str">
        <f>IF(COUNTIF($R$2:$R$1409,R28)=1,"OK",IF(COUNTIF($R$2:$R$1409,R28)&gt;1,"Exact Duplicate","Review Required"))</f>
        <v>OK</v>
      </c>
      <c r="T28" s="22" t="s">
        <v>24</v>
      </c>
      <c r="U28" s="22" t="s">
        <v>25</v>
      </c>
      <c r="V28" s="22"/>
    </row>
    <row r="29" spans="1:25" ht="41.4">
      <c r="A29" s="22" t="s">
        <v>59</v>
      </c>
      <c r="B29" s="25">
        <v>45807</v>
      </c>
      <c r="C29" s="22" t="s">
        <v>17</v>
      </c>
      <c r="D29" s="22" t="s">
        <v>32</v>
      </c>
      <c r="E29" s="22" t="s">
        <v>24</v>
      </c>
      <c r="F29" s="22" t="s">
        <v>25</v>
      </c>
      <c r="G29" s="22" t="s">
        <v>26</v>
      </c>
      <c r="H29" s="22">
        <v>1</v>
      </c>
      <c r="I29" s="22">
        <v>0</v>
      </c>
      <c r="J29" s="22">
        <v>0</v>
      </c>
      <c r="K29" s="22">
        <v>0</v>
      </c>
      <c r="L29" s="22">
        <v>0</v>
      </c>
      <c r="M29" s="22">
        <v>0</v>
      </c>
      <c r="N29" s="22">
        <v>0</v>
      </c>
      <c r="O29" s="22"/>
      <c r="P29" s="22">
        <v>73.8</v>
      </c>
      <c r="Q29" s="22" t="str">
        <f>IF(OR(L29&lt;$Y$18,L29&gt;$Y$19),"Outlier","Normal")</f>
        <v>Normal</v>
      </c>
      <c r="R29" s="26" t="str">
        <f>A29&amp;B29&amp;C29&amp;D29&amp;E29&amp;F29&amp;G29&amp;H29&amp;I29&amp;J29&amp;K29&amp;L29&amp;M29&amp;N29&amp;O29&amp;P29</f>
        <v>USR-10002845807ControlSouthMobileOrganicFree100000073.8</v>
      </c>
      <c r="S29" s="22" t="str">
        <f>IF(COUNTIF($R$2:$R$1409,R29)=1,"OK",IF(COUNTIF($R$2:$R$1409,R29)&gt;1,"Exact Duplicate","Review Required"))</f>
        <v>OK</v>
      </c>
      <c r="T29" s="22" t="s">
        <v>24</v>
      </c>
      <c r="U29" s="22" t="s">
        <v>25</v>
      </c>
      <c r="V29" s="22"/>
    </row>
    <row r="30" spans="1:25" ht="41.4">
      <c r="A30" s="22" t="s">
        <v>60</v>
      </c>
      <c r="B30" s="25">
        <v>45677</v>
      </c>
      <c r="C30" s="22" t="s">
        <v>17</v>
      </c>
      <c r="D30" s="22" t="s">
        <v>28</v>
      </c>
      <c r="E30" s="22" t="s">
        <v>34</v>
      </c>
      <c r="F30" s="22" t="s">
        <v>25</v>
      </c>
      <c r="G30" s="22" t="s">
        <v>21</v>
      </c>
      <c r="H30" s="22">
        <v>0</v>
      </c>
      <c r="I30" s="22">
        <v>0</v>
      </c>
      <c r="J30" s="22">
        <v>0</v>
      </c>
      <c r="K30" s="22">
        <v>0</v>
      </c>
      <c r="L30" s="22">
        <v>0</v>
      </c>
      <c r="M30" s="22">
        <v>0</v>
      </c>
      <c r="N30" s="22">
        <v>0</v>
      </c>
      <c r="O30" s="22"/>
      <c r="P30" s="22">
        <v>60.1</v>
      </c>
      <c r="Q30" s="22" t="str">
        <f>IF(OR(L30&lt;$Y$18,L30&gt;$Y$19),"Outlier","Normal")</f>
        <v>Normal</v>
      </c>
      <c r="R30" s="26" t="str">
        <f>A30&amp;B30&amp;C30&amp;D30&amp;E30&amp;F30&amp;G30&amp;H30&amp;I30&amp;J30&amp;K30&amp;L30&amp;M30&amp;N30&amp;O30&amp;P30</f>
        <v>USR-10002945677ControlEastTabletOrganicBasic000000060.1</v>
      </c>
      <c r="S30" s="22" t="str">
        <f>IF(COUNTIF($R$2:$R$1409,R30)=1,"OK",IF(COUNTIF($R$2:$R$1409,R30)&gt;1,"Exact Duplicate","Review Required"))</f>
        <v>OK</v>
      </c>
      <c r="T30" s="22" t="s">
        <v>34</v>
      </c>
      <c r="U30" s="22" t="s">
        <v>25</v>
      </c>
      <c r="V30" s="22"/>
    </row>
    <row r="31" spans="1:25" ht="41.4">
      <c r="A31" s="22" t="s">
        <v>61</v>
      </c>
      <c r="B31" s="25">
        <v>45796</v>
      </c>
      <c r="C31" s="22" t="s">
        <v>17</v>
      </c>
      <c r="D31" s="22" t="s">
        <v>28</v>
      </c>
      <c r="E31" s="22" t="s">
        <v>24</v>
      </c>
      <c r="F31" s="22" t="s">
        <v>41</v>
      </c>
      <c r="G31" s="22" t="s">
        <v>21</v>
      </c>
      <c r="H31" s="22">
        <v>1</v>
      </c>
      <c r="I31" s="22">
        <v>1</v>
      </c>
      <c r="J31" s="22">
        <v>1</v>
      </c>
      <c r="K31" s="22">
        <v>0</v>
      </c>
      <c r="L31" s="22">
        <v>0</v>
      </c>
      <c r="M31" s="22">
        <v>0</v>
      </c>
      <c r="N31" s="22">
        <v>0</v>
      </c>
      <c r="O31" s="22"/>
      <c r="P31" s="22">
        <v>41</v>
      </c>
      <c r="Q31" s="22" t="str">
        <f>IF(OR(L31&lt;$Y$18,L31&gt;$Y$19),"Outlier","Normal")</f>
        <v>Normal</v>
      </c>
      <c r="R31" s="26" t="str">
        <f>A31&amp;B31&amp;C31&amp;D31&amp;E31&amp;F31&amp;G31&amp;H31&amp;I31&amp;J31&amp;K31&amp;L31&amp;M31&amp;N31&amp;O31&amp;P31</f>
        <v>USR-10003045796ControlEastMobileSocialBasic111000041</v>
      </c>
      <c r="S31" s="22" t="str">
        <f>IF(COUNTIF($R$2:$R$1409,R31)=1,"OK",IF(COUNTIF($R$2:$R$1409,R31)&gt;1,"Exact Duplicate","Review Required"))</f>
        <v>OK</v>
      </c>
      <c r="T31" s="22" t="s">
        <v>24</v>
      </c>
      <c r="U31" s="22" t="s">
        <v>41</v>
      </c>
      <c r="V31" s="22"/>
    </row>
    <row r="32" spans="1:25" ht="41.4">
      <c r="A32" s="22" t="s">
        <v>62</v>
      </c>
      <c r="B32" s="25">
        <v>45706</v>
      </c>
      <c r="C32" s="22" t="s">
        <v>17</v>
      </c>
      <c r="D32" s="22" t="s">
        <v>32</v>
      </c>
      <c r="E32" s="22" t="s">
        <v>24</v>
      </c>
      <c r="F32" s="22" t="s">
        <v>25</v>
      </c>
      <c r="G32" s="22" t="s">
        <v>21</v>
      </c>
      <c r="H32" s="22">
        <v>1</v>
      </c>
      <c r="I32" s="22">
        <v>0</v>
      </c>
      <c r="J32" s="22">
        <v>0</v>
      </c>
      <c r="K32" s="22">
        <v>0</v>
      </c>
      <c r="L32" s="22">
        <v>0</v>
      </c>
      <c r="M32" s="22">
        <v>0</v>
      </c>
      <c r="N32" s="22">
        <v>0</v>
      </c>
      <c r="O32" s="22"/>
      <c r="P32" s="22">
        <v>80.3</v>
      </c>
      <c r="Q32" s="22" t="str">
        <f>IF(OR(L32&lt;$Y$18,L32&gt;$Y$19),"Outlier","Normal")</f>
        <v>Normal</v>
      </c>
      <c r="R32" s="26" t="str">
        <f>A32&amp;B32&amp;C32&amp;D32&amp;E32&amp;F32&amp;G32&amp;H32&amp;I32&amp;J32&amp;K32&amp;L32&amp;M32&amp;N32&amp;O32&amp;P32</f>
        <v>USR-10003145706ControlSouthMobileOrganicBasic100000080.3</v>
      </c>
      <c r="S32" s="22" t="str">
        <f>IF(COUNTIF($R$2:$R$1409,R32)=1,"OK",IF(COUNTIF($R$2:$R$1409,R32)&gt;1,"Exact Duplicate","Review Required"))</f>
        <v>OK</v>
      </c>
      <c r="T32" s="22" t="s">
        <v>24</v>
      </c>
      <c r="U32" s="22" t="s">
        <v>25</v>
      </c>
      <c r="V32" s="22"/>
    </row>
    <row r="33" spans="1:25" ht="41.4">
      <c r="A33" s="22" t="s">
        <v>63</v>
      </c>
      <c r="B33" s="25">
        <v>45701</v>
      </c>
      <c r="C33" s="22" t="s">
        <v>17</v>
      </c>
      <c r="D33" s="22" t="s">
        <v>28</v>
      </c>
      <c r="E33" s="22" t="s">
        <v>24</v>
      </c>
      <c r="F33" s="22" t="s">
        <v>25</v>
      </c>
      <c r="G33" s="22" t="s">
        <v>26</v>
      </c>
      <c r="H33" s="22">
        <v>0</v>
      </c>
      <c r="I33" s="22">
        <v>0</v>
      </c>
      <c r="J33" s="22">
        <v>0</v>
      </c>
      <c r="K33" s="22">
        <v>0</v>
      </c>
      <c r="L33" s="22">
        <v>0</v>
      </c>
      <c r="M33" s="22">
        <v>0</v>
      </c>
      <c r="N33" s="22">
        <v>0</v>
      </c>
      <c r="O33" s="22"/>
      <c r="P33" s="22">
        <v>67.599999999999994</v>
      </c>
      <c r="Q33" s="22" t="str">
        <f>IF(OR(L33&lt;$Y$18,L33&gt;$Y$19),"Outlier","Normal")</f>
        <v>Normal</v>
      </c>
      <c r="R33" s="26" t="str">
        <f>A33&amp;B33&amp;C33&amp;D33&amp;E33&amp;F33&amp;G33&amp;H33&amp;I33&amp;J33&amp;K33&amp;L33&amp;M33&amp;N33&amp;O33&amp;P33</f>
        <v>USR-10003245701ControlEastMobileOrganicFree000000067.6</v>
      </c>
      <c r="S33" s="22" t="str">
        <f>IF(COUNTIF($R$2:$R$1409,R33)=1,"OK",IF(COUNTIF($R$2:$R$1409,R33)&gt;1,"Exact Duplicate","Review Required"))</f>
        <v>OK</v>
      </c>
      <c r="T33" s="22" t="s">
        <v>24</v>
      </c>
      <c r="U33" s="22" t="s">
        <v>25</v>
      </c>
      <c r="V33" s="22"/>
    </row>
    <row r="34" spans="1:25" ht="41.4">
      <c r="A34" s="22" t="s">
        <v>64</v>
      </c>
      <c r="B34" s="25">
        <v>45724</v>
      </c>
      <c r="C34" s="22" t="s">
        <v>17</v>
      </c>
      <c r="D34" s="22" t="s">
        <v>28</v>
      </c>
      <c r="E34" s="22" t="s">
        <v>19</v>
      </c>
      <c r="F34" s="22" t="s">
        <v>39</v>
      </c>
      <c r="G34" s="22" t="s">
        <v>30</v>
      </c>
      <c r="H34" s="22">
        <v>0</v>
      </c>
      <c r="I34" s="22">
        <v>0</v>
      </c>
      <c r="J34" s="22">
        <v>0</v>
      </c>
      <c r="K34" s="22">
        <v>0</v>
      </c>
      <c r="L34" s="22">
        <v>0</v>
      </c>
      <c r="M34" s="22">
        <v>0</v>
      </c>
      <c r="N34" s="22">
        <v>0</v>
      </c>
      <c r="O34" s="22"/>
      <c r="P34" s="22">
        <v>64</v>
      </c>
      <c r="Q34" s="22" t="str">
        <f>IF(OR(L34&lt;$Y$18,L34&gt;$Y$19),"Outlier","Normal")</f>
        <v>Normal</v>
      </c>
      <c r="R34" s="26" t="str">
        <f>A34&amp;B34&amp;C34&amp;D34&amp;E34&amp;F34&amp;G34&amp;H34&amp;I34&amp;J34&amp;K34&amp;L34&amp;M34&amp;N34&amp;O34&amp;P34</f>
        <v>USR-10003345724ControlEastDesktopReferralPremium000000064</v>
      </c>
      <c r="S34" s="22" t="str">
        <f>IF(COUNTIF($R$2:$R$1409,R34)=1,"OK",IF(COUNTIF($R$2:$R$1409,R34)&gt;1,"Exact Duplicate","Review Required"))</f>
        <v>OK</v>
      </c>
      <c r="T34" s="22" t="s">
        <v>19</v>
      </c>
      <c r="U34" s="22" t="s">
        <v>39</v>
      </c>
      <c r="V34" s="22"/>
    </row>
    <row r="35" spans="1:25" ht="41.4">
      <c r="A35" s="22" t="s">
        <v>65</v>
      </c>
      <c r="B35" s="25">
        <v>45668</v>
      </c>
      <c r="C35" s="22" t="s">
        <v>17</v>
      </c>
      <c r="D35" s="22" t="s">
        <v>18</v>
      </c>
      <c r="E35" s="22" t="s">
        <v>24</v>
      </c>
      <c r="F35" s="22" t="s">
        <v>29</v>
      </c>
      <c r="G35" s="22" t="s">
        <v>26</v>
      </c>
      <c r="H35" s="22">
        <v>1</v>
      </c>
      <c r="I35" s="22">
        <v>1</v>
      </c>
      <c r="J35" s="22">
        <v>0</v>
      </c>
      <c r="K35" s="22">
        <v>0</v>
      </c>
      <c r="L35" s="22">
        <v>0</v>
      </c>
      <c r="M35" s="22">
        <v>0</v>
      </c>
      <c r="N35" s="22">
        <v>0</v>
      </c>
      <c r="O35" s="22"/>
      <c r="P35" s="22">
        <v>27.2</v>
      </c>
      <c r="Q35" s="22" t="str">
        <f>IF(OR(L35&lt;$Y$18,L35&gt;$Y$19),"Outlier","Normal")</f>
        <v>Normal</v>
      </c>
      <c r="R35" s="26" t="str">
        <f>A35&amp;B35&amp;C35&amp;D35&amp;E35&amp;F35&amp;G35&amp;H35&amp;I35&amp;J35&amp;K35&amp;L35&amp;M35&amp;N35&amp;O35&amp;P35</f>
        <v>USR-10003445668ControlNorthMobilePaid SearchFree110000027.2</v>
      </c>
      <c r="S35" s="22" t="str">
        <f>IF(COUNTIF($R$2:$R$1409,R35)=1,"OK",IF(COUNTIF($R$2:$R$1409,R35)&gt;1,"Exact Duplicate","Review Required"))</f>
        <v>OK</v>
      </c>
      <c r="T35" s="22" t="s">
        <v>24</v>
      </c>
      <c r="U35" s="22" t="s">
        <v>29</v>
      </c>
      <c r="V35" s="22"/>
    </row>
    <row r="36" spans="1:25" ht="41.4">
      <c r="A36" s="22" t="s">
        <v>66</v>
      </c>
      <c r="B36" s="25">
        <v>45700</v>
      </c>
      <c r="C36" s="22" t="s">
        <v>17</v>
      </c>
      <c r="D36" s="22" t="s">
        <v>18</v>
      </c>
      <c r="E36" s="22" t="s">
        <v>19</v>
      </c>
      <c r="F36" s="22" t="s">
        <v>25</v>
      </c>
      <c r="G36" s="22" t="s">
        <v>26</v>
      </c>
      <c r="H36" s="22">
        <v>1</v>
      </c>
      <c r="I36" s="22">
        <v>0</v>
      </c>
      <c r="J36" s="22">
        <v>0</v>
      </c>
      <c r="K36" s="22">
        <v>0</v>
      </c>
      <c r="L36" s="22">
        <v>0</v>
      </c>
      <c r="M36" s="22">
        <v>0</v>
      </c>
      <c r="N36" s="22">
        <v>0</v>
      </c>
      <c r="O36" s="22"/>
      <c r="P36" s="22">
        <v>85.4</v>
      </c>
      <c r="Q36" s="22" t="str">
        <f>IF(OR(L36&lt;$Y$18,L36&gt;$Y$19),"Outlier","Normal")</f>
        <v>Normal</v>
      </c>
      <c r="R36" s="26" t="str">
        <f>A36&amp;B36&amp;C36&amp;D36&amp;E36&amp;F36&amp;G36&amp;H36&amp;I36&amp;J36&amp;K36&amp;L36&amp;M36&amp;N36&amp;O36&amp;P36</f>
        <v>USR-10003545700ControlNorthDesktopOrganicFree100000085.4</v>
      </c>
      <c r="S36" s="22" t="str">
        <f>IF(COUNTIF($R$2:$R$1409,R36)=1,"OK",IF(COUNTIF($R$2:$R$1409,R36)&gt;1,"Exact Duplicate","Review Required"))</f>
        <v>OK</v>
      </c>
      <c r="T36" s="22" t="s">
        <v>19</v>
      </c>
      <c r="U36" s="22" t="s">
        <v>25</v>
      </c>
      <c r="V36" s="22"/>
    </row>
    <row r="37" spans="1:25" ht="41.4">
      <c r="A37" s="22" t="s">
        <v>67</v>
      </c>
      <c r="B37" s="25">
        <v>45760</v>
      </c>
      <c r="C37" s="22" t="s">
        <v>17</v>
      </c>
      <c r="D37" s="22" t="s">
        <v>28</v>
      </c>
      <c r="E37" s="22" t="s">
        <v>19</v>
      </c>
      <c r="F37" s="22" t="s">
        <v>25</v>
      </c>
      <c r="G37" s="22" t="s">
        <v>21</v>
      </c>
      <c r="H37" s="22">
        <v>1</v>
      </c>
      <c r="I37" s="22">
        <v>0</v>
      </c>
      <c r="J37" s="22">
        <v>0</v>
      </c>
      <c r="K37" s="22">
        <v>0</v>
      </c>
      <c r="L37" s="22">
        <v>0</v>
      </c>
      <c r="M37" s="22">
        <v>0</v>
      </c>
      <c r="N37" s="22">
        <v>0</v>
      </c>
      <c r="O37" s="22"/>
      <c r="P37" s="22">
        <v>75.900000000000006</v>
      </c>
      <c r="Q37" s="22" t="str">
        <f>IF(OR(L37&lt;$Y$18,L37&gt;$Y$19),"Outlier","Normal")</f>
        <v>Normal</v>
      </c>
      <c r="R37" s="26" t="str">
        <f>A37&amp;B37&amp;C37&amp;D37&amp;E37&amp;F37&amp;G37&amp;H37&amp;I37&amp;J37&amp;K37&amp;L37&amp;M37&amp;N37&amp;O37&amp;P37</f>
        <v>USR-10003645760ControlEastDesktopOrganicBasic100000075.9</v>
      </c>
      <c r="S37" s="22" t="str">
        <f>IF(COUNTIF($R$2:$R$1409,R37)=1,"OK",IF(COUNTIF($R$2:$R$1409,R37)&gt;1,"Exact Duplicate","Review Required"))</f>
        <v>OK</v>
      </c>
      <c r="T37" s="22" t="s">
        <v>19</v>
      </c>
      <c r="U37" s="22" t="s">
        <v>25</v>
      </c>
      <c r="V37" s="22"/>
    </row>
    <row r="38" spans="1:25" ht="41.4">
      <c r="A38" s="22" t="s">
        <v>68</v>
      </c>
      <c r="B38" s="25">
        <v>45786</v>
      </c>
      <c r="C38" s="22" t="s">
        <v>17</v>
      </c>
      <c r="D38" s="22" t="s">
        <v>28</v>
      </c>
      <c r="E38" s="22" t="s">
        <v>24</v>
      </c>
      <c r="F38" s="22" t="s">
        <v>25</v>
      </c>
      <c r="G38" s="22" t="s">
        <v>30</v>
      </c>
      <c r="H38" s="22">
        <v>1</v>
      </c>
      <c r="I38" s="22">
        <v>0</v>
      </c>
      <c r="J38" s="22">
        <v>0</v>
      </c>
      <c r="K38" s="22">
        <v>0</v>
      </c>
      <c r="L38" s="22">
        <v>0</v>
      </c>
      <c r="M38" s="22">
        <v>1</v>
      </c>
      <c r="N38" s="22">
        <v>0</v>
      </c>
      <c r="O38" s="22"/>
      <c r="P38" s="22">
        <v>34.799999999999997</v>
      </c>
      <c r="Q38" s="22" t="str">
        <f>IF(OR(L38&lt;$Y$18,L38&gt;$Y$19),"Outlier","Normal")</f>
        <v>Normal</v>
      </c>
      <c r="R38" s="26" t="str">
        <f>A38&amp;B38&amp;C38&amp;D38&amp;E38&amp;F38&amp;G38&amp;H38&amp;I38&amp;J38&amp;K38&amp;L38&amp;M38&amp;N38&amp;O38&amp;P38</f>
        <v>USR-10003745786ControlEastMobileOrganicPremium100001034.8</v>
      </c>
      <c r="S38" s="22" t="str">
        <f>IF(COUNTIF($R$2:$R$1409,R38)=1,"OK",IF(COUNTIF($R$2:$R$1409,R38)&gt;1,"Exact Duplicate","Review Required"))</f>
        <v>OK</v>
      </c>
      <c r="T38" s="22" t="s">
        <v>24</v>
      </c>
      <c r="U38" s="22" t="s">
        <v>25</v>
      </c>
      <c r="V38" s="22"/>
    </row>
    <row r="39" spans="1:25" ht="41.4">
      <c r="A39" s="22" t="s">
        <v>69</v>
      </c>
      <c r="B39" s="25">
        <v>45677</v>
      </c>
      <c r="C39" s="22" t="s">
        <v>17</v>
      </c>
      <c r="D39" s="22" t="s">
        <v>28</v>
      </c>
      <c r="E39" s="22" t="s">
        <v>24</v>
      </c>
      <c r="F39" s="22" t="s">
        <v>25</v>
      </c>
      <c r="G39" s="22" t="s">
        <v>26</v>
      </c>
      <c r="H39" s="22">
        <v>1</v>
      </c>
      <c r="I39" s="22">
        <v>1</v>
      </c>
      <c r="J39" s="22">
        <v>1</v>
      </c>
      <c r="K39" s="22">
        <v>0</v>
      </c>
      <c r="L39" s="22">
        <v>0</v>
      </c>
      <c r="M39" s="22">
        <v>3</v>
      </c>
      <c r="N39" s="22">
        <v>0</v>
      </c>
      <c r="O39" s="22"/>
      <c r="P39" s="22">
        <v>48.9</v>
      </c>
      <c r="Q39" s="22" t="str">
        <f>IF(OR(L39&lt;$Y$18,L39&gt;$Y$19),"Outlier","Normal")</f>
        <v>Normal</v>
      </c>
      <c r="R39" s="26" t="str">
        <f>A39&amp;B39&amp;C39&amp;D39&amp;E39&amp;F39&amp;G39&amp;H39&amp;I39&amp;J39&amp;K39&amp;L39&amp;M39&amp;N39&amp;O39&amp;P39</f>
        <v>USR-10003845677ControlEastMobileOrganicFree111003048.9</v>
      </c>
      <c r="S39" s="22" t="str">
        <f>IF(COUNTIF($R$2:$R$1409,R39)=1,"OK",IF(COUNTIF($R$2:$R$1409,R39)&gt;1,"Exact Duplicate","Review Required"))</f>
        <v>OK</v>
      </c>
      <c r="T39" s="22" t="s">
        <v>24</v>
      </c>
      <c r="U39" s="22" t="s">
        <v>25</v>
      </c>
      <c r="V39" s="22"/>
    </row>
    <row r="40" spans="1:25" ht="41.4">
      <c r="A40" s="22" t="s">
        <v>70</v>
      </c>
      <c r="B40" s="25">
        <v>45790</v>
      </c>
      <c r="C40" s="22" t="s">
        <v>17</v>
      </c>
      <c r="D40" s="22" t="s">
        <v>28</v>
      </c>
      <c r="E40" s="22" t="s">
        <v>24</v>
      </c>
      <c r="F40" s="22" t="s">
        <v>20</v>
      </c>
      <c r="G40" s="22" t="s">
        <v>30</v>
      </c>
      <c r="H40" s="22">
        <v>1</v>
      </c>
      <c r="I40" s="22">
        <v>0</v>
      </c>
      <c r="J40" s="22">
        <v>0</v>
      </c>
      <c r="K40" s="22">
        <v>0</v>
      </c>
      <c r="L40" s="22">
        <v>0</v>
      </c>
      <c r="M40" s="22">
        <v>0</v>
      </c>
      <c r="N40" s="22">
        <v>0</v>
      </c>
      <c r="O40" s="22"/>
      <c r="P40" s="22">
        <v>41.5</v>
      </c>
      <c r="Q40" s="22" t="str">
        <f>IF(OR(L40&lt;$Y$18,L40&gt;$Y$19),"Outlier","Normal")</f>
        <v>Normal</v>
      </c>
      <c r="R40" s="26" t="str">
        <f>A40&amp;B40&amp;C40&amp;D40&amp;E40&amp;F40&amp;G40&amp;H40&amp;I40&amp;J40&amp;K40&amp;L40&amp;M40&amp;N40&amp;O40&amp;P40</f>
        <v>USR-10003945790ControlEastMobileEmailPremium100000041.5</v>
      </c>
      <c r="S40" s="22" t="str">
        <f>IF(COUNTIF($R$2:$R$1409,R40)=1,"OK",IF(COUNTIF($R$2:$R$1409,R40)&gt;1,"Exact Duplicate","Review Required"))</f>
        <v>OK</v>
      </c>
      <c r="T40" s="22" t="s">
        <v>24</v>
      </c>
      <c r="U40" s="22" t="s">
        <v>20</v>
      </c>
      <c r="V40" s="22"/>
    </row>
    <row r="41" spans="1:25" ht="41.4">
      <c r="A41" s="22" t="s">
        <v>71</v>
      </c>
      <c r="B41" s="25">
        <v>45754</v>
      </c>
      <c r="C41" s="22" t="s">
        <v>17</v>
      </c>
      <c r="D41" s="22" t="s">
        <v>18</v>
      </c>
      <c r="E41" s="22" t="s">
        <v>19</v>
      </c>
      <c r="F41" s="22" t="s">
        <v>25</v>
      </c>
      <c r="G41" s="22" t="s">
        <v>21</v>
      </c>
      <c r="H41" s="22">
        <v>1</v>
      </c>
      <c r="I41" s="22">
        <v>0</v>
      </c>
      <c r="J41" s="22">
        <v>0</v>
      </c>
      <c r="K41" s="22">
        <v>0</v>
      </c>
      <c r="L41" s="22">
        <v>0</v>
      </c>
      <c r="M41" s="22">
        <v>0</v>
      </c>
      <c r="N41" s="22">
        <v>0</v>
      </c>
      <c r="O41" s="22"/>
      <c r="P41" s="22">
        <v>51.5</v>
      </c>
      <c r="Q41" s="22" t="str">
        <f>IF(OR(L41&lt;$Y$18,L41&gt;$Y$19),"Outlier","Normal")</f>
        <v>Normal</v>
      </c>
      <c r="R41" s="26" t="str">
        <f>A41&amp;B41&amp;C41&amp;D41&amp;E41&amp;F41&amp;G41&amp;H41&amp;I41&amp;J41&amp;K41&amp;L41&amp;M41&amp;N41&amp;O41&amp;P41</f>
        <v>USR-10004045754ControlNorthDesktopOrganicBasic100000051.5</v>
      </c>
      <c r="S41" s="22" t="str">
        <f>IF(COUNTIF($R$2:$R$1409,R41)=1,"OK",IF(COUNTIF($R$2:$R$1409,R41)&gt;1,"Exact Duplicate","Review Required"))</f>
        <v>OK</v>
      </c>
      <c r="T41" s="22" t="s">
        <v>19</v>
      </c>
      <c r="U41" s="22" t="s">
        <v>25</v>
      </c>
      <c r="V41" s="22"/>
    </row>
    <row r="42" spans="1:25" ht="41.4">
      <c r="A42" s="22" t="s">
        <v>72</v>
      </c>
      <c r="B42" s="25">
        <v>45747</v>
      </c>
      <c r="C42" s="22" t="s">
        <v>17</v>
      </c>
      <c r="D42" s="22" t="s">
        <v>18</v>
      </c>
      <c r="E42" s="22" t="s">
        <v>19</v>
      </c>
      <c r="F42" s="22" t="s">
        <v>25</v>
      </c>
      <c r="G42" s="22" t="s">
        <v>26</v>
      </c>
      <c r="H42" s="22">
        <v>0</v>
      </c>
      <c r="I42" s="22">
        <v>0</v>
      </c>
      <c r="J42" s="22">
        <v>0</v>
      </c>
      <c r="K42" s="22">
        <v>0</v>
      </c>
      <c r="L42" s="22">
        <v>0</v>
      </c>
      <c r="M42" s="22">
        <v>0</v>
      </c>
      <c r="N42" s="22">
        <v>0</v>
      </c>
      <c r="O42" s="22"/>
      <c r="P42" s="22">
        <v>53.2</v>
      </c>
      <c r="Q42" s="22" t="str">
        <f>IF(OR(L42&lt;$Y$18,L42&gt;$Y$19),"Outlier","Normal")</f>
        <v>Normal</v>
      </c>
      <c r="R42" s="26" t="str">
        <f>A42&amp;B42&amp;C42&amp;D42&amp;E42&amp;F42&amp;G42&amp;H42&amp;I42&amp;J42&amp;K42&amp;L42&amp;M42&amp;N42&amp;O42&amp;P42</f>
        <v>USR-10004145747ControlNorthDesktopOrganicFree000000053.2</v>
      </c>
      <c r="S42" s="22" t="str">
        <f>IF(COUNTIF($R$2:$R$1409,R42)=1,"OK",IF(COUNTIF($R$2:$R$1409,R42)&gt;1,"Exact Duplicate","Review Required"))</f>
        <v>OK</v>
      </c>
      <c r="T42" s="22" t="s">
        <v>19</v>
      </c>
      <c r="U42" s="22" t="s">
        <v>25</v>
      </c>
      <c r="V42" s="22"/>
    </row>
    <row r="43" spans="1:25" ht="41.4">
      <c r="A43" s="22" t="s">
        <v>73</v>
      </c>
      <c r="B43" s="25">
        <v>45682</v>
      </c>
      <c r="C43" s="22" t="s">
        <v>17</v>
      </c>
      <c r="D43" s="22" t="s">
        <v>28</v>
      </c>
      <c r="E43" s="22" t="s">
        <v>24</v>
      </c>
      <c r="F43" s="22" t="s">
        <v>20</v>
      </c>
      <c r="G43" s="22" t="s">
        <v>30</v>
      </c>
      <c r="H43" s="22">
        <v>0</v>
      </c>
      <c r="I43" s="22">
        <v>0</v>
      </c>
      <c r="J43" s="22">
        <v>0</v>
      </c>
      <c r="K43" s="22">
        <v>0</v>
      </c>
      <c r="L43" s="22">
        <v>0</v>
      </c>
      <c r="M43" s="22">
        <v>0</v>
      </c>
      <c r="N43" s="22">
        <v>0</v>
      </c>
      <c r="O43" s="22"/>
      <c r="P43" s="22">
        <v>55.6</v>
      </c>
      <c r="Q43" s="22" t="str">
        <f>IF(OR(L43&lt;$Y$18,L43&gt;$Y$19),"Outlier","Normal")</f>
        <v>Normal</v>
      </c>
      <c r="R43" s="26" t="str">
        <f>A43&amp;B43&amp;C43&amp;D43&amp;E43&amp;F43&amp;G43&amp;H43&amp;I43&amp;J43&amp;K43&amp;L43&amp;M43&amp;N43&amp;O43&amp;P43</f>
        <v>USR-10004245682ControlEastMobileEmailPremium000000055.6</v>
      </c>
      <c r="S43" s="22" t="str">
        <f>IF(COUNTIF($R$2:$R$1409,R43)=1,"OK",IF(COUNTIF($R$2:$R$1409,R43)&gt;1,"Exact Duplicate","Review Required"))</f>
        <v>OK</v>
      </c>
      <c r="T43" s="22" t="s">
        <v>24</v>
      </c>
      <c r="U43" s="22" t="s">
        <v>20</v>
      </c>
      <c r="V43" s="22"/>
    </row>
    <row r="44" spans="1:25" ht="41.4">
      <c r="A44" s="22" t="s">
        <v>74</v>
      </c>
      <c r="B44" s="25">
        <v>45702</v>
      </c>
      <c r="C44" s="22" t="s">
        <v>17</v>
      </c>
      <c r="D44" s="22" t="s">
        <v>32</v>
      </c>
      <c r="E44" s="22" t="s">
        <v>19</v>
      </c>
      <c r="F44" s="22" t="s">
        <v>25</v>
      </c>
      <c r="G44" s="22" t="s">
        <v>26</v>
      </c>
      <c r="H44" s="22">
        <v>0</v>
      </c>
      <c r="I44" s="22">
        <v>0</v>
      </c>
      <c r="J44" s="22">
        <v>0</v>
      </c>
      <c r="K44" s="22">
        <v>0</v>
      </c>
      <c r="L44" s="22">
        <v>0</v>
      </c>
      <c r="M44" s="22">
        <v>0</v>
      </c>
      <c r="N44" s="22">
        <v>0</v>
      </c>
      <c r="O44" s="22"/>
      <c r="P44" s="22">
        <v>73</v>
      </c>
      <c r="Q44" s="22" t="str">
        <f>IF(OR(L44&lt;$Y$18,L44&gt;$Y$19),"Outlier","Normal")</f>
        <v>Normal</v>
      </c>
      <c r="R44" s="26" t="str">
        <f>A44&amp;B44&amp;C44&amp;D44&amp;E44&amp;F44&amp;G44&amp;H44&amp;I44&amp;J44&amp;K44&amp;L44&amp;M44&amp;N44&amp;O44&amp;P44</f>
        <v>USR-10004345702ControlSouthDesktopOrganicFree000000073</v>
      </c>
      <c r="S44" s="22" t="str">
        <f>IF(COUNTIF($R$2:$R$1409,R44)=1,"OK",IF(COUNTIF($R$2:$R$1409,R44)&gt;1,"Exact Duplicate","Review Required"))</f>
        <v>OK</v>
      </c>
      <c r="T44" s="22" t="s">
        <v>19</v>
      </c>
      <c r="U44" s="22" t="s">
        <v>25</v>
      </c>
      <c r="V44" s="22"/>
    </row>
    <row r="45" spans="1:25" ht="41.4">
      <c r="A45" s="22" t="s">
        <v>75</v>
      </c>
      <c r="B45" s="25">
        <v>45715</v>
      </c>
      <c r="C45" s="22" t="s">
        <v>17</v>
      </c>
      <c r="D45" s="22" t="s">
        <v>28</v>
      </c>
      <c r="E45" s="22" t="s">
        <v>24</v>
      </c>
      <c r="F45" s="22" t="s">
        <v>20</v>
      </c>
      <c r="G45" s="22" t="s">
        <v>26</v>
      </c>
      <c r="H45" s="22">
        <v>1</v>
      </c>
      <c r="I45" s="22">
        <v>0</v>
      </c>
      <c r="J45" s="22">
        <v>0</v>
      </c>
      <c r="K45" s="22">
        <v>0</v>
      </c>
      <c r="L45" s="22">
        <v>0</v>
      </c>
      <c r="M45" s="22">
        <v>0</v>
      </c>
      <c r="N45" s="22">
        <v>0</v>
      </c>
      <c r="O45" s="22"/>
      <c r="P45" s="22">
        <v>65</v>
      </c>
      <c r="Q45" s="22" t="str">
        <f>IF(OR(L45&lt;$Y$18,L45&gt;$Y$19),"Outlier","Normal")</f>
        <v>Normal</v>
      </c>
      <c r="R45" s="26" t="str">
        <f>A45&amp;B45&amp;C45&amp;D45&amp;E45&amp;F45&amp;G45&amp;H45&amp;I45&amp;J45&amp;K45&amp;L45&amp;M45&amp;N45&amp;O45&amp;P45</f>
        <v>USR-10004445715ControlEastMobileEmailFree100000065</v>
      </c>
      <c r="S45" s="22" t="str">
        <f>IF(COUNTIF($R$2:$R$1409,R45)=1,"OK",IF(COUNTIF($R$2:$R$1409,R45)&gt;1,"Exact Duplicate","Review Required"))</f>
        <v>OK</v>
      </c>
      <c r="T45" s="22" t="s">
        <v>24</v>
      </c>
      <c r="U45" s="22" t="s">
        <v>20</v>
      </c>
      <c r="V45" s="22"/>
    </row>
    <row r="46" spans="1:25" ht="41.4">
      <c r="A46" s="22" t="s">
        <v>76</v>
      </c>
      <c r="B46" s="25">
        <v>45744</v>
      </c>
      <c r="C46" s="22" t="s">
        <v>17</v>
      </c>
      <c r="D46" s="22" t="s">
        <v>28</v>
      </c>
      <c r="E46" s="22" t="s">
        <v>24</v>
      </c>
      <c r="F46" s="22" t="s">
        <v>41</v>
      </c>
      <c r="G46" s="22" t="s">
        <v>26</v>
      </c>
      <c r="H46" s="22">
        <v>1</v>
      </c>
      <c r="I46" s="22">
        <v>0</v>
      </c>
      <c r="J46" s="22">
        <v>0</v>
      </c>
      <c r="K46" s="22">
        <v>0</v>
      </c>
      <c r="L46" s="22">
        <v>0</v>
      </c>
      <c r="M46" s="22">
        <v>4</v>
      </c>
      <c r="N46" s="22">
        <v>0</v>
      </c>
      <c r="O46" s="22"/>
      <c r="P46" s="22">
        <v>56.3</v>
      </c>
      <c r="Q46" s="22" t="str">
        <f>IF(OR(L46&lt;$Y$18,L46&gt;$Y$19),"Outlier","Normal")</f>
        <v>Normal</v>
      </c>
      <c r="R46" s="26" t="str">
        <f>A46&amp;B46&amp;C46&amp;D46&amp;E46&amp;F46&amp;G46&amp;H46&amp;I46&amp;J46&amp;K46&amp;L46&amp;M46&amp;N46&amp;O46&amp;P46</f>
        <v>USR-10004545744ControlEastMobileSocialFree100004056.3</v>
      </c>
      <c r="S46" s="22" t="str">
        <f>IF(COUNTIF($R$2:$R$1409,R46)=1,"OK",IF(COUNTIF($R$2:$R$1409,R46)&gt;1,"Exact Duplicate","Review Required"))</f>
        <v>OK</v>
      </c>
      <c r="T46" s="22" t="s">
        <v>24</v>
      </c>
      <c r="U46" s="22" t="s">
        <v>41</v>
      </c>
      <c r="V46" s="22"/>
      <c r="X46" s="30"/>
      <c r="Y46" s="29"/>
    </row>
    <row r="47" spans="1:25" ht="41.4">
      <c r="A47" s="22" t="s">
        <v>77</v>
      </c>
      <c r="B47" s="25">
        <v>45802</v>
      </c>
      <c r="C47" s="22" t="s">
        <v>17</v>
      </c>
      <c r="D47" s="22" t="s">
        <v>28</v>
      </c>
      <c r="E47" s="22" t="s">
        <v>24</v>
      </c>
      <c r="F47" s="22" t="s">
        <v>39</v>
      </c>
      <c r="G47" s="22" t="s">
        <v>30</v>
      </c>
      <c r="H47" s="22">
        <v>1</v>
      </c>
      <c r="I47" s="22">
        <v>0</v>
      </c>
      <c r="J47" s="22">
        <v>0</v>
      </c>
      <c r="K47" s="22">
        <v>0</v>
      </c>
      <c r="L47" s="22">
        <v>0</v>
      </c>
      <c r="M47" s="22">
        <v>0</v>
      </c>
      <c r="N47" s="22">
        <v>0</v>
      </c>
      <c r="O47" s="22"/>
      <c r="P47" s="22">
        <v>62.4</v>
      </c>
      <c r="Q47" s="22" t="str">
        <f>IF(OR(L47&lt;$Y$18,L47&gt;$Y$19),"Outlier","Normal")</f>
        <v>Normal</v>
      </c>
      <c r="R47" s="26" t="str">
        <f>A47&amp;B47&amp;C47&amp;D47&amp;E47&amp;F47&amp;G47&amp;H47&amp;I47&amp;J47&amp;K47&amp;L47&amp;M47&amp;N47&amp;O47&amp;P47</f>
        <v>USR-10004645802ControlEastMobileReferralPremium100000062.4</v>
      </c>
      <c r="S47" s="22" t="str">
        <f>IF(COUNTIF($R$2:$R$1409,R47)=1,"OK",IF(COUNTIF($R$2:$R$1409,R47)&gt;1,"Exact Duplicate","Review Required"))</f>
        <v>OK</v>
      </c>
      <c r="T47" s="22" t="s">
        <v>24</v>
      </c>
      <c r="U47" s="22" t="s">
        <v>39</v>
      </c>
      <c r="V47" s="22"/>
      <c r="X47" s="30"/>
      <c r="Y47" s="29"/>
    </row>
    <row r="48" spans="1:25" ht="41.4">
      <c r="A48" s="22" t="s">
        <v>78</v>
      </c>
      <c r="B48" s="25">
        <v>45782</v>
      </c>
      <c r="C48" s="22" t="s">
        <v>17</v>
      </c>
      <c r="D48" s="22" t="s">
        <v>23</v>
      </c>
      <c r="E48" s="22" t="s">
        <v>19</v>
      </c>
      <c r="F48" s="22" t="s">
        <v>25</v>
      </c>
      <c r="G48" s="22" t="s">
        <v>26</v>
      </c>
      <c r="H48" s="22">
        <v>1</v>
      </c>
      <c r="I48" s="22">
        <v>1</v>
      </c>
      <c r="J48" s="22">
        <v>1</v>
      </c>
      <c r="K48" s="22">
        <v>0</v>
      </c>
      <c r="L48" s="22">
        <v>0</v>
      </c>
      <c r="M48" s="22">
        <v>0</v>
      </c>
      <c r="N48" s="22">
        <v>0</v>
      </c>
      <c r="O48" s="22"/>
      <c r="P48" s="22">
        <v>58.1</v>
      </c>
      <c r="Q48" s="22" t="str">
        <f>IF(OR(L48&lt;$Y$18,L48&gt;$Y$19),"Outlier","Normal")</f>
        <v>Normal</v>
      </c>
      <c r="R48" s="26" t="str">
        <f>A48&amp;B48&amp;C48&amp;D48&amp;E48&amp;F48&amp;G48&amp;H48&amp;I48&amp;J48&amp;K48&amp;L48&amp;M48&amp;N48&amp;O48&amp;P48</f>
        <v>USR-10004745782ControlWestDesktopOrganicFree111000058.1</v>
      </c>
      <c r="S48" s="22" t="str">
        <f>IF(COUNTIF($R$2:$R$1409,R48)=1,"OK",IF(COUNTIF($R$2:$R$1409,R48)&gt;1,"Exact Duplicate","Review Required"))</f>
        <v>OK</v>
      </c>
      <c r="T48" s="22" t="s">
        <v>19</v>
      </c>
      <c r="U48" s="22" t="s">
        <v>25</v>
      </c>
      <c r="V48" s="22"/>
    </row>
    <row r="49" spans="1:22" ht="41.4">
      <c r="A49" s="22" t="s">
        <v>79</v>
      </c>
      <c r="B49" s="25">
        <v>45793</v>
      </c>
      <c r="C49" s="22" t="s">
        <v>17</v>
      </c>
      <c r="D49" s="22" t="s">
        <v>18</v>
      </c>
      <c r="E49" s="22" t="s">
        <v>24</v>
      </c>
      <c r="F49" s="22" t="s">
        <v>25</v>
      </c>
      <c r="G49" s="22" t="s">
        <v>26</v>
      </c>
      <c r="H49" s="22">
        <v>1</v>
      </c>
      <c r="I49" s="22">
        <v>1</v>
      </c>
      <c r="J49" s="22">
        <v>1</v>
      </c>
      <c r="K49" s="22">
        <v>0</v>
      </c>
      <c r="L49" s="22">
        <v>0</v>
      </c>
      <c r="M49" s="22">
        <v>0</v>
      </c>
      <c r="N49" s="22">
        <v>0</v>
      </c>
      <c r="O49" s="22"/>
      <c r="P49" s="22">
        <v>80.8</v>
      </c>
      <c r="Q49" s="22" t="str">
        <f>IF(OR(L49&lt;$Y$18,L49&gt;$Y$19),"Outlier","Normal")</f>
        <v>Normal</v>
      </c>
      <c r="R49" s="26" t="str">
        <f>A49&amp;B49&amp;C49&amp;D49&amp;E49&amp;F49&amp;G49&amp;H49&amp;I49&amp;J49&amp;K49&amp;L49&amp;M49&amp;N49&amp;O49&amp;P49</f>
        <v>USR-10004845793ControlNorthMobileOrganicFree111000080.8</v>
      </c>
      <c r="S49" s="22" t="str">
        <f>IF(COUNTIF($R$2:$R$1409,R49)=1,"OK",IF(COUNTIF($R$2:$R$1409,R49)&gt;1,"Exact Duplicate","Review Required"))</f>
        <v>OK</v>
      </c>
      <c r="T49" s="22" t="s">
        <v>24</v>
      </c>
      <c r="U49" s="22" t="s">
        <v>25</v>
      </c>
      <c r="V49" s="22"/>
    </row>
    <row r="50" spans="1:22" ht="41.4">
      <c r="A50" s="22" t="s">
        <v>80</v>
      </c>
      <c r="B50" s="25">
        <v>45665</v>
      </c>
      <c r="C50" s="22" t="s">
        <v>17</v>
      </c>
      <c r="D50" s="22" t="s">
        <v>18</v>
      </c>
      <c r="E50" s="22" t="s">
        <v>24</v>
      </c>
      <c r="F50" s="22" t="s">
        <v>41</v>
      </c>
      <c r="G50" s="22" t="s">
        <v>26</v>
      </c>
      <c r="H50" s="22">
        <v>1</v>
      </c>
      <c r="I50" s="22">
        <v>1</v>
      </c>
      <c r="J50" s="22">
        <v>0</v>
      </c>
      <c r="K50" s="22">
        <v>0</v>
      </c>
      <c r="L50" s="22">
        <v>0</v>
      </c>
      <c r="M50" s="22">
        <v>0</v>
      </c>
      <c r="N50" s="22">
        <v>0</v>
      </c>
      <c r="O50" s="22"/>
      <c r="P50" s="22">
        <v>42.9</v>
      </c>
      <c r="Q50" s="22" t="str">
        <f>IF(OR(L50&lt;$Y$18,L50&gt;$Y$19),"Outlier","Normal")</f>
        <v>Normal</v>
      </c>
      <c r="R50" s="26" t="str">
        <f>A50&amp;B50&amp;C50&amp;D50&amp;E50&amp;F50&amp;G50&amp;H50&amp;I50&amp;J50&amp;K50&amp;L50&amp;M50&amp;N50&amp;O50&amp;P50</f>
        <v>USR-10004945665ControlNorthMobileSocialFree110000042.9</v>
      </c>
      <c r="S50" s="22" t="str">
        <f>IF(COUNTIF($R$2:$R$1409,R50)=1,"OK",IF(COUNTIF($R$2:$R$1409,R50)&gt;1,"Exact Duplicate","Review Required"))</f>
        <v>OK</v>
      </c>
      <c r="T50" s="22" t="s">
        <v>24</v>
      </c>
      <c r="U50" s="22" t="s">
        <v>41</v>
      </c>
      <c r="V50" s="22"/>
    </row>
    <row r="51" spans="1:22" ht="41.4">
      <c r="A51" s="22" t="s">
        <v>81</v>
      </c>
      <c r="B51" s="25">
        <v>45663</v>
      </c>
      <c r="C51" s="22" t="s">
        <v>17</v>
      </c>
      <c r="D51" s="22" t="s">
        <v>23</v>
      </c>
      <c r="E51" s="22" t="s">
        <v>19</v>
      </c>
      <c r="F51" s="22" t="s">
        <v>29</v>
      </c>
      <c r="G51" s="22" t="s">
        <v>26</v>
      </c>
      <c r="H51" s="22">
        <v>1</v>
      </c>
      <c r="I51" s="22">
        <v>0</v>
      </c>
      <c r="J51" s="22">
        <v>0</v>
      </c>
      <c r="K51" s="22">
        <v>0</v>
      </c>
      <c r="L51" s="22">
        <v>0</v>
      </c>
      <c r="M51" s="22">
        <v>0</v>
      </c>
      <c r="N51" s="22">
        <v>0</v>
      </c>
      <c r="O51" s="22"/>
      <c r="P51" s="22">
        <v>52.7</v>
      </c>
      <c r="Q51" s="22" t="str">
        <f>IF(OR(L51&lt;$Y$18,L51&gt;$Y$19),"Outlier","Normal")</f>
        <v>Normal</v>
      </c>
      <c r="R51" s="26" t="str">
        <f>A51&amp;B51&amp;C51&amp;D51&amp;E51&amp;F51&amp;G51&amp;H51&amp;I51&amp;J51&amp;K51&amp;L51&amp;M51&amp;N51&amp;O51&amp;P51</f>
        <v>USR-10005045663ControlWestDesktopPaid SearchFree100000052.7</v>
      </c>
      <c r="S51" s="22" t="str">
        <f>IF(COUNTIF($R$2:$R$1409,R51)=1,"OK",IF(COUNTIF($R$2:$R$1409,R51)&gt;1,"Exact Duplicate","Review Required"))</f>
        <v>OK</v>
      </c>
      <c r="T51" s="22" t="s">
        <v>19</v>
      </c>
      <c r="U51" s="22" t="s">
        <v>29</v>
      </c>
      <c r="V51" s="22"/>
    </row>
    <row r="52" spans="1:22" ht="41.4">
      <c r="A52" s="22" t="s">
        <v>82</v>
      </c>
      <c r="B52" s="25">
        <v>45669</v>
      </c>
      <c r="C52" s="22" t="s">
        <v>17</v>
      </c>
      <c r="D52" s="22" t="s">
        <v>18</v>
      </c>
      <c r="E52" s="22" t="s">
        <v>24</v>
      </c>
      <c r="F52" s="22" t="s">
        <v>41</v>
      </c>
      <c r="G52" s="22" t="s">
        <v>21</v>
      </c>
      <c r="H52" s="22">
        <v>0</v>
      </c>
      <c r="I52" s="22">
        <v>0</v>
      </c>
      <c r="J52" s="22">
        <v>0</v>
      </c>
      <c r="K52" s="22">
        <v>0</v>
      </c>
      <c r="L52" s="22">
        <v>0</v>
      </c>
      <c r="M52" s="22">
        <v>0</v>
      </c>
      <c r="N52" s="22">
        <v>0</v>
      </c>
      <c r="O52" s="22"/>
      <c r="P52" s="22">
        <v>46.9</v>
      </c>
      <c r="Q52" s="22" t="str">
        <f>IF(OR(L52&lt;$Y$18,L52&gt;$Y$19),"Outlier","Normal")</f>
        <v>Normal</v>
      </c>
      <c r="R52" s="26" t="str">
        <f>A52&amp;B52&amp;C52&amp;D52&amp;E52&amp;F52&amp;G52&amp;H52&amp;I52&amp;J52&amp;K52&amp;L52&amp;M52&amp;N52&amp;O52&amp;P52</f>
        <v>USR-10005145669ControlNorthMobileSocialBasic000000046.9</v>
      </c>
      <c r="S52" s="22" t="str">
        <f>IF(COUNTIF($R$2:$R$1409,R52)=1,"OK",IF(COUNTIF($R$2:$R$1409,R52)&gt;1,"Exact Duplicate","Review Required"))</f>
        <v>OK</v>
      </c>
      <c r="T52" s="22" t="s">
        <v>24</v>
      </c>
      <c r="U52" s="22" t="s">
        <v>41</v>
      </c>
      <c r="V52" s="22"/>
    </row>
    <row r="53" spans="1:22" ht="41.4">
      <c r="A53" s="22" t="s">
        <v>83</v>
      </c>
      <c r="B53" s="25">
        <v>45702</v>
      </c>
      <c r="C53" s="22" t="s">
        <v>17</v>
      </c>
      <c r="D53" s="22" t="s">
        <v>28</v>
      </c>
      <c r="E53" s="22" t="s">
        <v>19</v>
      </c>
      <c r="F53" s="22" t="s">
        <v>20</v>
      </c>
      <c r="G53" s="22" t="s">
        <v>30</v>
      </c>
      <c r="H53" s="22">
        <v>1</v>
      </c>
      <c r="I53" s="22">
        <v>0</v>
      </c>
      <c r="J53" s="22">
        <v>0</v>
      </c>
      <c r="K53" s="22">
        <v>0</v>
      </c>
      <c r="L53" s="22">
        <v>0</v>
      </c>
      <c r="M53" s="22">
        <v>0</v>
      </c>
      <c r="N53" s="22">
        <v>0</v>
      </c>
      <c r="O53" s="22"/>
      <c r="P53" s="22">
        <v>63</v>
      </c>
      <c r="Q53" s="22" t="str">
        <f>IF(OR(L53&lt;$Y$18,L53&gt;$Y$19),"Outlier","Normal")</f>
        <v>Normal</v>
      </c>
      <c r="R53" s="26" t="str">
        <f>A53&amp;B53&amp;C53&amp;D53&amp;E53&amp;F53&amp;G53&amp;H53&amp;I53&amp;J53&amp;K53&amp;L53&amp;M53&amp;N53&amp;O53&amp;P53</f>
        <v>USR-10005245702ControlEastDesktopEmailPremium100000063</v>
      </c>
      <c r="S53" s="22" t="str">
        <f>IF(COUNTIF($R$2:$R$1409,R53)=1,"OK",IF(COUNTIF($R$2:$R$1409,R53)&gt;1,"Exact Duplicate","Review Required"))</f>
        <v>OK</v>
      </c>
      <c r="T53" s="22" t="s">
        <v>19</v>
      </c>
      <c r="U53" s="22" t="s">
        <v>20</v>
      </c>
      <c r="V53" s="22"/>
    </row>
    <row r="54" spans="1:22" ht="41.4">
      <c r="A54" s="22" t="s">
        <v>84</v>
      </c>
      <c r="B54" s="25">
        <v>45726</v>
      </c>
      <c r="C54" s="22" t="s">
        <v>17</v>
      </c>
      <c r="D54" s="22" t="s">
        <v>32</v>
      </c>
      <c r="E54" s="22" t="s">
        <v>34</v>
      </c>
      <c r="F54" s="22" t="s">
        <v>25</v>
      </c>
      <c r="G54" s="22" t="s">
        <v>26</v>
      </c>
      <c r="H54" s="22">
        <v>0</v>
      </c>
      <c r="I54" s="22">
        <v>0</v>
      </c>
      <c r="J54" s="22">
        <v>0</v>
      </c>
      <c r="K54" s="22">
        <v>0</v>
      </c>
      <c r="L54" s="22">
        <v>0</v>
      </c>
      <c r="M54" s="22">
        <v>0</v>
      </c>
      <c r="N54" s="22">
        <v>0</v>
      </c>
      <c r="O54" s="22"/>
      <c r="P54" s="22">
        <v>53.6</v>
      </c>
      <c r="Q54" s="22" t="str">
        <f>IF(OR(L54&lt;$Y$18,L54&gt;$Y$19),"Outlier","Normal")</f>
        <v>Normal</v>
      </c>
      <c r="R54" s="26" t="str">
        <f>A54&amp;B54&amp;C54&amp;D54&amp;E54&amp;F54&amp;G54&amp;H54&amp;I54&amp;J54&amp;K54&amp;L54&amp;M54&amp;N54&amp;O54&amp;P54</f>
        <v>USR-10005345726ControlSouthTabletOrganicFree000000053.6</v>
      </c>
      <c r="S54" s="22" t="str">
        <f>IF(COUNTIF($R$2:$R$1409,R54)=1,"OK",IF(COUNTIF($R$2:$R$1409,R54)&gt;1,"Exact Duplicate","Review Required"))</f>
        <v>OK</v>
      </c>
      <c r="T54" s="22" t="s">
        <v>34</v>
      </c>
      <c r="U54" s="22" t="s">
        <v>25</v>
      </c>
      <c r="V54" s="22"/>
    </row>
    <row r="55" spans="1:22" ht="41.4">
      <c r="A55" s="22" t="s">
        <v>85</v>
      </c>
      <c r="B55" s="25">
        <v>45767</v>
      </c>
      <c r="C55" s="22" t="s">
        <v>17</v>
      </c>
      <c r="D55" s="22" t="s">
        <v>23</v>
      </c>
      <c r="E55" s="22" t="s">
        <v>19</v>
      </c>
      <c r="F55" s="22" t="s">
        <v>25</v>
      </c>
      <c r="G55" s="22" t="s">
        <v>21</v>
      </c>
      <c r="H55" s="22">
        <v>0</v>
      </c>
      <c r="I55" s="22">
        <v>0</v>
      </c>
      <c r="J55" s="22">
        <v>0</v>
      </c>
      <c r="K55" s="22">
        <v>0</v>
      </c>
      <c r="L55" s="22">
        <v>0</v>
      </c>
      <c r="M55" s="22">
        <v>0</v>
      </c>
      <c r="N55" s="22">
        <v>0</v>
      </c>
      <c r="O55" s="22"/>
      <c r="P55" s="22">
        <v>49.6</v>
      </c>
      <c r="Q55" s="22" t="str">
        <f>IF(OR(L55&lt;$Y$18,L55&gt;$Y$19),"Outlier","Normal")</f>
        <v>Normal</v>
      </c>
      <c r="R55" s="26" t="str">
        <f>A55&amp;B55&amp;C55&amp;D55&amp;E55&amp;F55&amp;G55&amp;H55&amp;I55&amp;J55&amp;K55&amp;L55&amp;M55&amp;N55&amp;O55&amp;P55</f>
        <v>USR-10005445767ControlWestDesktopOrganicBasic000000049.6</v>
      </c>
      <c r="S55" s="22" t="str">
        <f>IF(COUNTIF($R$2:$R$1409,R55)=1,"OK",IF(COUNTIF($R$2:$R$1409,R55)&gt;1,"Exact Duplicate","Review Required"))</f>
        <v>OK</v>
      </c>
      <c r="T55" s="22" t="s">
        <v>19</v>
      </c>
      <c r="U55" s="22" t="s">
        <v>25</v>
      </c>
      <c r="V55" s="22"/>
    </row>
    <row r="56" spans="1:22" ht="41.4">
      <c r="A56" s="22" t="s">
        <v>86</v>
      </c>
      <c r="B56" s="25">
        <v>45707</v>
      </c>
      <c r="C56" s="22" t="s">
        <v>17</v>
      </c>
      <c r="D56" s="22" t="s">
        <v>32</v>
      </c>
      <c r="E56" s="22" t="s">
        <v>24</v>
      </c>
      <c r="F56" s="22" t="s">
        <v>25</v>
      </c>
      <c r="G56" s="22" t="s">
        <v>26</v>
      </c>
      <c r="H56" s="22">
        <v>0</v>
      </c>
      <c r="I56" s="22">
        <v>0</v>
      </c>
      <c r="J56" s="22">
        <v>0</v>
      </c>
      <c r="K56" s="22">
        <v>0</v>
      </c>
      <c r="L56" s="22">
        <v>0</v>
      </c>
      <c r="M56" s="22">
        <v>0</v>
      </c>
      <c r="N56" s="22">
        <v>0</v>
      </c>
      <c r="O56" s="22"/>
      <c r="P56" s="22">
        <v>54</v>
      </c>
      <c r="Q56" s="22" t="str">
        <f>IF(OR(L56&lt;$Y$18,L56&gt;$Y$19),"Outlier","Normal")</f>
        <v>Normal</v>
      </c>
      <c r="R56" s="26" t="str">
        <f>A56&amp;B56&amp;C56&amp;D56&amp;E56&amp;F56&amp;G56&amp;H56&amp;I56&amp;J56&amp;K56&amp;L56&amp;M56&amp;N56&amp;O56&amp;P56</f>
        <v>USR-10005545707ControlSouthMobileOrganicFree000000054</v>
      </c>
      <c r="S56" s="22" t="str">
        <f>IF(COUNTIF($R$2:$R$1409,R56)=1,"OK",IF(COUNTIF($R$2:$R$1409,R56)&gt;1,"Exact Duplicate","Review Required"))</f>
        <v>OK</v>
      </c>
      <c r="T56" s="22" t="s">
        <v>24</v>
      </c>
      <c r="U56" s="22" t="s">
        <v>25</v>
      </c>
      <c r="V56" s="22"/>
    </row>
    <row r="57" spans="1:22" ht="41.4">
      <c r="A57" s="22" t="s">
        <v>87</v>
      </c>
      <c r="B57" s="25">
        <v>45794</v>
      </c>
      <c r="C57" s="22" t="s">
        <v>17</v>
      </c>
      <c r="D57" s="22" t="s">
        <v>32</v>
      </c>
      <c r="E57" s="22" t="s">
        <v>24</v>
      </c>
      <c r="F57" s="22" t="s">
        <v>41</v>
      </c>
      <c r="G57" s="22" t="s">
        <v>21</v>
      </c>
      <c r="H57" s="22">
        <v>1</v>
      </c>
      <c r="I57" s="22">
        <v>0</v>
      </c>
      <c r="J57" s="22">
        <v>0</v>
      </c>
      <c r="K57" s="22">
        <v>0</v>
      </c>
      <c r="L57" s="22">
        <v>0</v>
      </c>
      <c r="M57" s="22">
        <v>2</v>
      </c>
      <c r="N57" s="22">
        <v>0</v>
      </c>
      <c r="O57" s="22"/>
      <c r="P57" s="22">
        <v>50</v>
      </c>
      <c r="Q57" s="22" t="str">
        <f>IF(OR(L57&lt;$Y$18,L57&gt;$Y$19),"Outlier","Normal")</f>
        <v>Normal</v>
      </c>
      <c r="R57" s="26" t="str">
        <f>A57&amp;B57&amp;C57&amp;D57&amp;E57&amp;F57&amp;G57&amp;H57&amp;I57&amp;J57&amp;K57&amp;L57&amp;M57&amp;N57&amp;O57&amp;P57</f>
        <v>USR-10005645794ControlSouthMobileSocialBasic100002050</v>
      </c>
      <c r="S57" s="22" t="str">
        <f>IF(COUNTIF($R$2:$R$1409,R57)=1,"OK",IF(COUNTIF($R$2:$R$1409,R57)&gt;1,"Exact Duplicate","Review Required"))</f>
        <v>OK</v>
      </c>
      <c r="T57" s="22" t="s">
        <v>24</v>
      </c>
      <c r="U57" s="22" t="s">
        <v>41</v>
      </c>
      <c r="V57" s="22"/>
    </row>
    <row r="58" spans="1:22" ht="41.4">
      <c r="A58" s="22" t="s">
        <v>88</v>
      </c>
      <c r="B58" s="25">
        <v>45748</v>
      </c>
      <c r="C58" s="22" t="s">
        <v>17</v>
      </c>
      <c r="D58" s="22" t="s">
        <v>28</v>
      </c>
      <c r="E58" s="22" t="s">
        <v>24</v>
      </c>
      <c r="F58" s="22" t="s">
        <v>41</v>
      </c>
      <c r="G58" s="22" t="s">
        <v>21</v>
      </c>
      <c r="H58" s="22">
        <v>0</v>
      </c>
      <c r="I58" s="22">
        <v>0</v>
      </c>
      <c r="J58" s="22">
        <v>0</v>
      </c>
      <c r="K58" s="22">
        <v>0</v>
      </c>
      <c r="L58" s="22">
        <v>0</v>
      </c>
      <c r="M58" s="22">
        <v>0</v>
      </c>
      <c r="N58" s="22">
        <v>0</v>
      </c>
      <c r="O58" s="22"/>
      <c r="P58" s="22">
        <v>48.1</v>
      </c>
      <c r="Q58" s="22" t="str">
        <f>IF(OR(L58&lt;$Y$18,L58&gt;$Y$19),"Outlier","Normal")</f>
        <v>Normal</v>
      </c>
      <c r="R58" s="26" t="str">
        <f>A58&amp;B58&amp;C58&amp;D58&amp;E58&amp;F58&amp;G58&amp;H58&amp;I58&amp;J58&amp;K58&amp;L58&amp;M58&amp;N58&amp;O58&amp;P58</f>
        <v>USR-10005745748ControlEastMobileSocialBasic000000048.1</v>
      </c>
      <c r="S58" s="22" t="str">
        <f>IF(COUNTIF($R$2:$R$1409,R58)=1,"OK",IF(COUNTIF($R$2:$R$1409,R58)&gt;1,"Exact Duplicate","Review Required"))</f>
        <v>OK</v>
      </c>
      <c r="T58" s="22" t="s">
        <v>24</v>
      </c>
      <c r="U58" s="22" t="s">
        <v>41</v>
      </c>
      <c r="V58" s="22"/>
    </row>
    <row r="59" spans="1:22" ht="41.4">
      <c r="A59" s="22" t="s">
        <v>89</v>
      </c>
      <c r="B59" s="25">
        <v>45692</v>
      </c>
      <c r="C59" s="22" t="s">
        <v>17</v>
      </c>
      <c r="D59" s="22" t="s">
        <v>18</v>
      </c>
      <c r="E59" s="22" t="s">
        <v>19</v>
      </c>
      <c r="F59" s="22" t="s">
        <v>25</v>
      </c>
      <c r="G59" s="22" t="s">
        <v>26</v>
      </c>
      <c r="H59" s="22">
        <v>1</v>
      </c>
      <c r="I59" s="22">
        <v>0</v>
      </c>
      <c r="J59" s="22">
        <v>0</v>
      </c>
      <c r="K59" s="22">
        <v>0</v>
      </c>
      <c r="L59" s="22">
        <v>0</v>
      </c>
      <c r="M59" s="22">
        <v>0</v>
      </c>
      <c r="N59" s="22">
        <v>0</v>
      </c>
      <c r="O59" s="22"/>
      <c r="P59" s="22">
        <v>49.6</v>
      </c>
      <c r="Q59" s="22" t="str">
        <f>IF(OR(L59&lt;$Y$18,L59&gt;$Y$19),"Outlier","Normal")</f>
        <v>Normal</v>
      </c>
      <c r="R59" s="26" t="str">
        <f>A59&amp;B59&amp;C59&amp;D59&amp;E59&amp;F59&amp;G59&amp;H59&amp;I59&amp;J59&amp;K59&amp;L59&amp;M59&amp;N59&amp;O59&amp;P59</f>
        <v>USR-10005845692ControlNorthDesktopOrganicFree100000049.6</v>
      </c>
      <c r="S59" s="22" t="str">
        <f>IF(COUNTIF($R$2:$R$1409,R59)=1,"OK",IF(COUNTIF($R$2:$R$1409,R59)&gt;1,"Exact Duplicate","Review Required"))</f>
        <v>OK</v>
      </c>
      <c r="T59" s="22" t="s">
        <v>19</v>
      </c>
      <c r="U59" s="22" t="s">
        <v>25</v>
      </c>
      <c r="V59" s="22"/>
    </row>
    <row r="60" spans="1:22" ht="41.4">
      <c r="A60" s="22" t="s">
        <v>90</v>
      </c>
      <c r="B60" s="25">
        <v>45761</v>
      </c>
      <c r="C60" s="22" t="s">
        <v>17</v>
      </c>
      <c r="D60" s="22" t="s">
        <v>18</v>
      </c>
      <c r="E60" s="22" t="s">
        <v>24</v>
      </c>
      <c r="F60" s="22" t="s">
        <v>41</v>
      </c>
      <c r="G60" s="22" t="s">
        <v>26</v>
      </c>
      <c r="H60" s="22">
        <v>0</v>
      </c>
      <c r="I60" s="22">
        <v>0</v>
      </c>
      <c r="J60" s="22">
        <v>0</v>
      </c>
      <c r="K60" s="22">
        <v>0</v>
      </c>
      <c r="L60" s="22">
        <v>0</v>
      </c>
      <c r="M60" s="22">
        <v>2</v>
      </c>
      <c r="N60" s="22">
        <v>0</v>
      </c>
      <c r="O60" s="22"/>
      <c r="P60" s="22">
        <v>48.9</v>
      </c>
      <c r="Q60" s="22" t="str">
        <f>IF(OR(L60&lt;$Y$18,L60&gt;$Y$19),"Outlier","Normal")</f>
        <v>Normal</v>
      </c>
      <c r="R60" s="26" t="str">
        <f>A60&amp;B60&amp;C60&amp;D60&amp;E60&amp;F60&amp;G60&amp;H60&amp;I60&amp;J60&amp;K60&amp;L60&amp;M60&amp;N60&amp;O60&amp;P60</f>
        <v>USR-10005945761ControlNorthMobileSocialFree000002048.9</v>
      </c>
      <c r="S60" s="22" t="str">
        <f>IF(COUNTIF($R$2:$R$1409,R60)=1,"OK",IF(COUNTIF($R$2:$R$1409,R60)&gt;1,"Exact Duplicate","Review Required"))</f>
        <v>OK</v>
      </c>
      <c r="T60" s="22" t="s">
        <v>24</v>
      </c>
      <c r="U60" s="22" t="s">
        <v>41</v>
      </c>
      <c r="V60" s="22"/>
    </row>
    <row r="61" spans="1:22" ht="41.4">
      <c r="A61" s="22" t="s">
        <v>91</v>
      </c>
      <c r="B61" s="25">
        <v>45658</v>
      </c>
      <c r="C61" s="22" t="s">
        <v>17</v>
      </c>
      <c r="D61" s="22" t="s">
        <v>23</v>
      </c>
      <c r="E61" s="22" t="s">
        <v>24</v>
      </c>
      <c r="F61" s="22" t="s">
        <v>41</v>
      </c>
      <c r="G61" s="22" t="s">
        <v>26</v>
      </c>
      <c r="H61" s="22">
        <v>1</v>
      </c>
      <c r="I61" s="22">
        <v>1</v>
      </c>
      <c r="J61" s="22">
        <v>1</v>
      </c>
      <c r="K61" s="22">
        <v>1</v>
      </c>
      <c r="L61" s="22">
        <v>240.42</v>
      </c>
      <c r="M61" s="22">
        <v>0</v>
      </c>
      <c r="N61" s="22">
        <v>0</v>
      </c>
      <c r="O61" s="22">
        <v>16</v>
      </c>
      <c r="P61" s="22">
        <v>56.5</v>
      </c>
      <c r="Q61" s="22" t="str">
        <f>IF(OR(L61&lt;$Y$18,L61&gt;$Y$19),"Outlier","Normal")</f>
        <v>Normal</v>
      </c>
      <c r="R61" s="26" t="str">
        <f>A61&amp;B61&amp;C61&amp;D61&amp;E61&amp;F61&amp;G61&amp;H61&amp;I61&amp;J61&amp;K61&amp;L61&amp;M61&amp;N61&amp;O61&amp;P61</f>
        <v>USR-10006045658ControlWestMobileSocialFree1111240.42001656.5</v>
      </c>
      <c r="S61" s="22" t="str">
        <f>IF(COUNTIF($R$2:$R$1409,R61)=1,"OK",IF(COUNTIF($R$2:$R$1409,R61)&gt;1,"Exact Duplicate","Review Required"))</f>
        <v>OK</v>
      </c>
      <c r="T61" s="22" t="s">
        <v>24</v>
      </c>
      <c r="U61" s="22" t="s">
        <v>41</v>
      </c>
      <c r="V61" s="22"/>
    </row>
    <row r="62" spans="1:22" ht="41.4">
      <c r="A62" s="22" t="s">
        <v>92</v>
      </c>
      <c r="B62" s="25">
        <v>45749</v>
      </c>
      <c r="C62" s="22" t="s">
        <v>17</v>
      </c>
      <c r="D62" s="22" t="s">
        <v>32</v>
      </c>
      <c r="E62" s="22" t="s">
        <v>24</v>
      </c>
      <c r="F62" s="22" t="s">
        <v>39</v>
      </c>
      <c r="G62" s="22" t="s">
        <v>26</v>
      </c>
      <c r="H62" s="22">
        <v>1</v>
      </c>
      <c r="I62" s="22">
        <v>0</v>
      </c>
      <c r="J62" s="22">
        <v>0</v>
      </c>
      <c r="K62" s="22">
        <v>0</v>
      </c>
      <c r="L62" s="22">
        <v>0</v>
      </c>
      <c r="M62" s="22">
        <v>0</v>
      </c>
      <c r="N62" s="22">
        <v>0</v>
      </c>
      <c r="O62" s="22"/>
      <c r="P62" s="22">
        <v>53.7</v>
      </c>
      <c r="Q62" s="22" t="str">
        <f>IF(OR(L62&lt;$Y$18,L62&gt;$Y$19),"Outlier","Normal")</f>
        <v>Normal</v>
      </c>
      <c r="R62" s="26" t="str">
        <f>A62&amp;B62&amp;C62&amp;D62&amp;E62&amp;F62&amp;G62&amp;H62&amp;I62&amp;J62&amp;K62&amp;L62&amp;M62&amp;N62&amp;O62&amp;P62</f>
        <v>USR-10006145749ControlSouthMobileReferralFree100000053.7</v>
      </c>
      <c r="S62" s="22" t="str">
        <f>IF(COUNTIF($R$2:$R$1409,R62)=1,"OK",IF(COUNTIF($R$2:$R$1409,R62)&gt;1,"Exact Duplicate","Review Required"))</f>
        <v>OK</v>
      </c>
      <c r="T62" s="22" t="s">
        <v>24</v>
      </c>
      <c r="U62" s="22" t="s">
        <v>39</v>
      </c>
      <c r="V62" s="22"/>
    </row>
    <row r="63" spans="1:22" ht="41.4">
      <c r="A63" s="22" t="s">
        <v>93</v>
      </c>
      <c r="B63" s="25">
        <v>45745</v>
      </c>
      <c r="C63" s="22" t="s">
        <v>17</v>
      </c>
      <c r="D63" s="22" t="s">
        <v>18</v>
      </c>
      <c r="E63" s="22" t="s">
        <v>24</v>
      </c>
      <c r="F63" s="22" t="s">
        <v>41</v>
      </c>
      <c r="G63" s="22" t="s">
        <v>30</v>
      </c>
      <c r="H63" s="22">
        <v>0</v>
      </c>
      <c r="I63" s="22">
        <v>0</v>
      </c>
      <c r="J63" s="22">
        <v>0</v>
      </c>
      <c r="K63" s="22">
        <v>0</v>
      </c>
      <c r="L63" s="22">
        <v>0</v>
      </c>
      <c r="M63" s="22">
        <v>0</v>
      </c>
      <c r="N63" s="22">
        <v>0</v>
      </c>
      <c r="O63" s="22"/>
      <c r="P63" s="22">
        <v>62.2</v>
      </c>
      <c r="Q63" s="22" t="str">
        <f>IF(OR(L63&lt;$Y$18,L63&gt;$Y$19),"Outlier","Normal")</f>
        <v>Normal</v>
      </c>
      <c r="R63" s="26" t="str">
        <f>A63&amp;B63&amp;C63&amp;D63&amp;E63&amp;F63&amp;G63&amp;H63&amp;I63&amp;J63&amp;K63&amp;L63&amp;M63&amp;N63&amp;O63&amp;P63</f>
        <v>USR-10006245745ControlNorthMobileSocialPremium000000062.2</v>
      </c>
      <c r="S63" s="22" t="str">
        <f>IF(COUNTIF($R$2:$R$1409,R63)=1,"OK",IF(COUNTIF($R$2:$R$1409,R63)&gt;1,"Exact Duplicate","Review Required"))</f>
        <v>OK</v>
      </c>
      <c r="T63" s="22" t="s">
        <v>24</v>
      </c>
      <c r="U63" s="22" t="s">
        <v>41</v>
      </c>
      <c r="V63" s="22"/>
    </row>
    <row r="64" spans="1:22" ht="41.4">
      <c r="A64" s="22" t="s">
        <v>94</v>
      </c>
      <c r="B64" s="25">
        <v>45792</v>
      </c>
      <c r="C64" s="22" t="s">
        <v>17</v>
      </c>
      <c r="D64" s="22" t="s">
        <v>32</v>
      </c>
      <c r="E64" s="22" t="s">
        <v>19</v>
      </c>
      <c r="F64" s="22" t="s">
        <v>25</v>
      </c>
      <c r="G64" s="22" t="s">
        <v>26</v>
      </c>
      <c r="H64" s="22">
        <v>1</v>
      </c>
      <c r="I64" s="22">
        <v>0</v>
      </c>
      <c r="J64" s="22">
        <v>0</v>
      </c>
      <c r="K64" s="22">
        <v>0</v>
      </c>
      <c r="L64" s="22">
        <v>0</v>
      </c>
      <c r="M64" s="22">
        <v>0</v>
      </c>
      <c r="N64" s="22">
        <v>0</v>
      </c>
      <c r="O64" s="22"/>
      <c r="P64" s="22">
        <v>50.2</v>
      </c>
      <c r="Q64" s="22" t="str">
        <f>IF(OR(L64&lt;$Y$18,L64&gt;$Y$19),"Outlier","Normal")</f>
        <v>Normal</v>
      </c>
      <c r="R64" s="26" t="str">
        <f>A64&amp;B64&amp;C64&amp;D64&amp;E64&amp;F64&amp;G64&amp;H64&amp;I64&amp;J64&amp;K64&amp;L64&amp;M64&amp;N64&amp;O64&amp;P64</f>
        <v>USR-10006345792ControlSouthDesktopOrganicFree100000050.2</v>
      </c>
      <c r="S64" s="22" t="str">
        <f>IF(COUNTIF($R$2:$R$1409,R64)=1,"OK",IF(COUNTIF($R$2:$R$1409,R64)&gt;1,"Exact Duplicate","Review Required"))</f>
        <v>OK</v>
      </c>
      <c r="T64" s="22" t="s">
        <v>19</v>
      </c>
      <c r="U64" s="22" t="s">
        <v>25</v>
      </c>
      <c r="V64" s="22"/>
    </row>
    <row r="65" spans="1:22" ht="41.4">
      <c r="A65" s="22" t="s">
        <v>95</v>
      </c>
      <c r="B65" s="25">
        <v>45758</v>
      </c>
      <c r="C65" s="22" t="s">
        <v>17</v>
      </c>
      <c r="D65" s="22" t="s">
        <v>18</v>
      </c>
      <c r="E65" s="22" t="s">
        <v>24</v>
      </c>
      <c r="F65" s="22" t="s">
        <v>25</v>
      </c>
      <c r="G65" s="22" t="s">
        <v>21</v>
      </c>
      <c r="H65" s="22">
        <v>1</v>
      </c>
      <c r="I65" s="22">
        <v>0</v>
      </c>
      <c r="J65" s="22">
        <v>0</v>
      </c>
      <c r="K65" s="22">
        <v>0</v>
      </c>
      <c r="L65" s="22">
        <v>0</v>
      </c>
      <c r="M65" s="22">
        <v>0</v>
      </c>
      <c r="N65" s="22">
        <v>0</v>
      </c>
      <c r="O65" s="22"/>
      <c r="P65" s="22">
        <v>74.3</v>
      </c>
      <c r="Q65" s="22" t="str">
        <f>IF(OR(L65&lt;$Y$18,L65&gt;$Y$19),"Outlier","Normal")</f>
        <v>Normal</v>
      </c>
      <c r="R65" s="26" t="str">
        <f>A65&amp;B65&amp;C65&amp;D65&amp;E65&amp;F65&amp;G65&amp;H65&amp;I65&amp;J65&amp;K65&amp;L65&amp;M65&amp;N65&amp;O65&amp;P65</f>
        <v>USR-10006445758ControlNorthMobileOrganicBasic100000074.3</v>
      </c>
      <c r="S65" s="22" t="str">
        <f>IF(COUNTIF($R$2:$R$1409,R65)=1,"OK",IF(COUNTIF($R$2:$R$1409,R65)&gt;1,"Exact Duplicate","Review Required"))</f>
        <v>OK</v>
      </c>
      <c r="T65" s="22" t="s">
        <v>24</v>
      </c>
      <c r="U65" s="22" t="s">
        <v>25</v>
      </c>
      <c r="V65" s="22"/>
    </row>
    <row r="66" spans="1:22" ht="41.4">
      <c r="A66" s="22" t="s">
        <v>96</v>
      </c>
      <c r="B66" s="25">
        <v>45723</v>
      </c>
      <c r="C66" s="22" t="s">
        <v>17</v>
      </c>
      <c r="D66" s="22" t="s">
        <v>32</v>
      </c>
      <c r="E66" s="22" t="s">
        <v>19</v>
      </c>
      <c r="F66" s="22" t="s">
        <v>29</v>
      </c>
      <c r="G66" s="22" t="s">
        <v>26</v>
      </c>
      <c r="H66" s="22">
        <v>1</v>
      </c>
      <c r="I66" s="22">
        <v>0</v>
      </c>
      <c r="J66" s="22">
        <v>0</v>
      </c>
      <c r="K66" s="22">
        <v>0</v>
      </c>
      <c r="L66" s="22">
        <v>0</v>
      </c>
      <c r="M66" s="22">
        <v>0</v>
      </c>
      <c r="N66" s="22">
        <v>0</v>
      </c>
      <c r="O66" s="22"/>
      <c r="P66" s="22">
        <v>58</v>
      </c>
      <c r="Q66" s="22" t="str">
        <f>IF(OR(L66&lt;$Y$18,L66&gt;$Y$19),"Outlier","Normal")</f>
        <v>Normal</v>
      </c>
      <c r="R66" s="26" t="str">
        <f>A66&amp;B66&amp;C66&amp;D66&amp;E66&amp;F66&amp;G66&amp;H66&amp;I66&amp;J66&amp;K66&amp;L66&amp;M66&amp;N66&amp;O66&amp;P66</f>
        <v>USR-10006545723ControlSouthDesktopPaid SearchFree100000058</v>
      </c>
      <c r="S66" s="22" t="str">
        <f>IF(COUNTIF($R$2:$R$1409,R66)=1,"OK",IF(COUNTIF($R$2:$R$1409,R66)&gt;1,"Exact Duplicate","Review Required"))</f>
        <v>OK</v>
      </c>
      <c r="T66" s="22" t="s">
        <v>19</v>
      </c>
      <c r="U66" s="22" t="s">
        <v>29</v>
      </c>
      <c r="V66" s="22"/>
    </row>
    <row r="67" spans="1:22" ht="41.4">
      <c r="A67" s="22" t="s">
        <v>97</v>
      </c>
      <c r="B67" s="25">
        <v>45807</v>
      </c>
      <c r="C67" s="22" t="s">
        <v>17</v>
      </c>
      <c r="D67" s="22" t="s">
        <v>32</v>
      </c>
      <c r="E67" s="22" t="s">
        <v>24</v>
      </c>
      <c r="F67" s="22" t="s">
        <v>25</v>
      </c>
      <c r="G67" s="22" t="s">
        <v>26</v>
      </c>
      <c r="H67" s="22">
        <v>0</v>
      </c>
      <c r="I67" s="22">
        <v>0</v>
      </c>
      <c r="J67" s="22">
        <v>0</v>
      </c>
      <c r="K67" s="22">
        <v>0</v>
      </c>
      <c r="L67" s="22">
        <v>0</v>
      </c>
      <c r="M67" s="22">
        <v>0</v>
      </c>
      <c r="N67" s="22">
        <v>0</v>
      </c>
      <c r="O67" s="22"/>
      <c r="P67" s="22">
        <v>46.7</v>
      </c>
      <c r="Q67" s="22" t="str">
        <f>IF(OR(L67&lt;$Y$18,L67&gt;$Y$19),"Outlier","Normal")</f>
        <v>Normal</v>
      </c>
      <c r="R67" s="26" t="str">
        <f>A67&amp;B67&amp;C67&amp;D67&amp;E67&amp;F67&amp;G67&amp;H67&amp;I67&amp;J67&amp;K67&amp;L67&amp;M67&amp;N67&amp;O67&amp;P67</f>
        <v>USR-10006645807ControlSouthMobileOrganicFree000000046.7</v>
      </c>
      <c r="S67" s="22" t="str">
        <f>IF(COUNTIF($R$2:$R$1409,R67)=1,"OK",IF(COUNTIF($R$2:$R$1409,R67)&gt;1,"Exact Duplicate","Review Required"))</f>
        <v>OK</v>
      </c>
      <c r="T67" s="22" t="s">
        <v>24</v>
      </c>
      <c r="U67" s="22" t="s">
        <v>25</v>
      </c>
      <c r="V67" s="22"/>
    </row>
    <row r="68" spans="1:22" ht="41.4">
      <c r="A68" s="22" t="s">
        <v>98</v>
      </c>
      <c r="B68" s="25">
        <v>45664</v>
      </c>
      <c r="C68" s="22" t="s">
        <v>17</v>
      </c>
      <c r="D68" s="22" t="s">
        <v>32</v>
      </c>
      <c r="E68" s="22" t="s">
        <v>19</v>
      </c>
      <c r="F68" s="22" t="s">
        <v>25</v>
      </c>
      <c r="G68" s="22" t="s">
        <v>30</v>
      </c>
      <c r="H68" s="22">
        <v>1</v>
      </c>
      <c r="I68" s="22">
        <v>0</v>
      </c>
      <c r="J68" s="22">
        <v>0</v>
      </c>
      <c r="K68" s="22">
        <v>0</v>
      </c>
      <c r="L68" s="22">
        <v>0</v>
      </c>
      <c r="M68" s="22">
        <v>1</v>
      </c>
      <c r="N68" s="22">
        <v>0</v>
      </c>
      <c r="O68" s="22"/>
      <c r="P68" s="22">
        <v>49.6</v>
      </c>
      <c r="Q68" s="22" t="str">
        <f>IF(OR(L68&lt;$Y$18,L68&gt;$Y$19),"Outlier","Normal")</f>
        <v>Normal</v>
      </c>
      <c r="R68" s="26" t="str">
        <f>A68&amp;B68&amp;C68&amp;D68&amp;E68&amp;F68&amp;G68&amp;H68&amp;I68&amp;J68&amp;K68&amp;L68&amp;M68&amp;N68&amp;O68&amp;P68</f>
        <v>USR-10006745664ControlSouthDesktopOrganicPremium100001049.6</v>
      </c>
      <c r="S68" s="22" t="str">
        <f>IF(COUNTIF($R$2:$R$1409,R68)=1,"OK",IF(COUNTIF($R$2:$R$1409,R68)&gt;1,"Exact Duplicate","Review Required"))</f>
        <v>OK</v>
      </c>
      <c r="T68" s="22" t="s">
        <v>19</v>
      </c>
      <c r="U68" s="22" t="s">
        <v>25</v>
      </c>
      <c r="V68" s="22"/>
    </row>
    <row r="69" spans="1:22" ht="41.4">
      <c r="A69" s="22" t="s">
        <v>99</v>
      </c>
      <c r="B69" s="25">
        <v>45785</v>
      </c>
      <c r="C69" s="22" t="s">
        <v>17</v>
      </c>
      <c r="D69" s="22" t="s">
        <v>23</v>
      </c>
      <c r="E69" s="22" t="s">
        <v>24</v>
      </c>
      <c r="F69" s="22" t="s">
        <v>41</v>
      </c>
      <c r="G69" s="22" t="s">
        <v>26</v>
      </c>
      <c r="H69" s="22">
        <v>0</v>
      </c>
      <c r="I69" s="22">
        <v>0</v>
      </c>
      <c r="J69" s="22">
        <v>0</v>
      </c>
      <c r="K69" s="22">
        <v>0</v>
      </c>
      <c r="L69" s="22">
        <v>0</v>
      </c>
      <c r="M69" s="22">
        <v>0</v>
      </c>
      <c r="N69" s="22">
        <v>0</v>
      </c>
      <c r="O69" s="22"/>
      <c r="P69" s="22">
        <v>60.4</v>
      </c>
      <c r="Q69" s="22" t="str">
        <f>IF(OR(L69&lt;$Y$18,L69&gt;$Y$19),"Outlier","Normal")</f>
        <v>Normal</v>
      </c>
      <c r="R69" s="26" t="str">
        <f>A69&amp;B69&amp;C69&amp;D69&amp;E69&amp;F69&amp;G69&amp;H69&amp;I69&amp;J69&amp;K69&amp;L69&amp;M69&amp;N69&amp;O69&amp;P69</f>
        <v>USR-10006845785ControlWestMobileSocialFree000000060.4</v>
      </c>
      <c r="S69" s="22" t="str">
        <f>IF(COUNTIF($R$2:$R$1409,R69)=1,"OK",IF(COUNTIF($R$2:$R$1409,R69)&gt;1,"Exact Duplicate","Review Required"))</f>
        <v>OK</v>
      </c>
      <c r="T69" s="22" t="s">
        <v>24</v>
      </c>
      <c r="U69" s="22" t="s">
        <v>41</v>
      </c>
      <c r="V69" s="22"/>
    </row>
    <row r="70" spans="1:22" ht="41.4">
      <c r="A70" s="22" t="s">
        <v>100</v>
      </c>
      <c r="B70" s="25">
        <v>45735</v>
      </c>
      <c r="C70" s="22" t="s">
        <v>17</v>
      </c>
      <c r="D70" s="22" t="s">
        <v>28</v>
      </c>
      <c r="E70" s="22" t="s">
        <v>19</v>
      </c>
      <c r="F70" s="22" t="s">
        <v>20</v>
      </c>
      <c r="G70" s="22" t="s">
        <v>26</v>
      </c>
      <c r="H70" s="22">
        <v>1</v>
      </c>
      <c r="I70" s="22">
        <v>1</v>
      </c>
      <c r="J70" s="22">
        <v>1</v>
      </c>
      <c r="K70" s="22">
        <v>0</v>
      </c>
      <c r="L70" s="22">
        <v>0</v>
      </c>
      <c r="M70" s="22">
        <v>0</v>
      </c>
      <c r="N70" s="22">
        <v>0</v>
      </c>
      <c r="O70" s="22"/>
      <c r="P70" s="22">
        <v>55.3</v>
      </c>
      <c r="Q70" s="22" t="str">
        <f>IF(OR(L70&lt;$Y$18,L70&gt;$Y$19),"Outlier","Normal")</f>
        <v>Normal</v>
      </c>
      <c r="R70" s="26" t="str">
        <f>A70&amp;B70&amp;C70&amp;D70&amp;E70&amp;F70&amp;G70&amp;H70&amp;I70&amp;J70&amp;K70&amp;L70&amp;M70&amp;N70&amp;O70&amp;P70</f>
        <v>USR-10006945735ControlEastDesktopEmailFree111000055.3</v>
      </c>
      <c r="S70" s="22" t="str">
        <f>IF(COUNTIF($R$2:$R$1409,R70)=1,"OK",IF(COUNTIF($R$2:$R$1409,R70)&gt;1,"Exact Duplicate","Review Required"))</f>
        <v>OK</v>
      </c>
      <c r="T70" s="22" t="s">
        <v>19</v>
      </c>
      <c r="U70" s="22" t="s">
        <v>20</v>
      </c>
      <c r="V70" s="22"/>
    </row>
    <row r="71" spans="1:22" ht="41.4">
      <c r="A71" s="22" t="s">
        <v>101</v>
      </c>
      <c r="B71" s="25">
        <v>45793</v>
      </c>
      <c r="C71" s="22" t="s">
        <v>17</v>
      </c>
      <c r="D71" s="22" t="s">
        <v>18</v>
      </c>
      <c r="E71" s="22" t="s">
        <v>19</v>
      </c>
      <c r="F71" s="22" t="s">
        <v>25</v>
      </c>
      <c r="G71" s="22" t="s">
        <v>26</v>
      </c>
      <c r="H71" s="22">
        <v>0</v>
      </c>
      <c r="I71" s="22">
        <v>0</v>
      </c>
      <c r="J71" s="22">
        <v>0</v>
      </c>
      <c r="K71" s="22">
        <v>0</v>
      </c>
      <c r="L71" s="22">
        <v>0</v>
      </c>
      <c r="M71" s="22">
        <v>0</v>
      </c>
      <c r="N71" s="22">
        <v>0</v>
      </c>
      <c r="O71" s="22"/>
      <c r="P71" s="22">
        <v>56.2</v>
      </c>
      <c r="Q71" s="22" t="str">
        <f>IF(OR(L71&lt;$Y$18,L71&gt;$Y$19),"Outlier","Normal")</f>
        <v>Normal</v>
      </c>
      <c r="R71" s="26" t="str">
        <f>A71&amp;B71&amp;C71&amp;D71&amp;E71&amp;F71&amp;G71&amp;H71&amp;I71&amp;J71&amp;K71&amp;L71&amp;M71&amp;N71&amp;O71&amp;P71</f>
        <v>USR-10007045793ControlNorthDesktopOrganicFree000000056.2</v>
      </c>
      <c r="S71" s="22" t="str">
        <f>IF(COUNTIF($R$2:$R$1409,R71)=1,"OK",IF(COUNTIF($R$2:$R$1409,R71)&gt;1,"Exact Duplicate","Review Required"))</f>
        <v>OK</v>
      </c>
      <c r="T71" s="22" t="s">
        <v>19</v>
      </c>
      <c r="U71" s="22" t="s">
        <v>25</v>
      </c>
      <c r="V71" s="22"/>
    </row>
    <row r="72" spans="1:22" ht="41.4">
      <c r="A72" s="22" t="s">
        <v>102</v>
      </c>
      <c r="B72" s="25">
        <v>45724</v>
      </c>
      <c r="C72" s="22" t="s">
        <v>17</v>
      </c>
      <c r="D72" s="22" t="s">
        <v>23</v>
      </c>
      <c r="E72" s="22" t="s">
        <v>24</v>
      </c>
      <c r="F72" s="22" t="s">
        <v>20</v>
      </c>
      <c r="G72" s="22" t="s">
        <v>26</v>
      </c>
      <c r="H72" s="22">
        <v>0</v>
      </c>
      <c r="I72" s="22">
        <v>0</v>
      </c>
      <c r="J72" s="22">
        <v>0</v>
      </c>
      <c r="K72" s="22">
        <v>0</v>
      </c>
      <c r="L72" s="22">
        <v>0</v>
      </c>
      <c r="M72" s="22">
        <v>0</v>
      </c>
      <c r="N72" s="22">
        <v>0</v>
      </c>
      <c r="O72" s="22"/>
      <c r="P72" s="22">
        <v>29.4</v>
      </c>
      <c r="Q72" s="22" t="str">
        <f>IF(OR(L72&lt;$Y$18,L72&gt;$Y$19),"Outlier","Normal")</f>
        <v>Normal</v>
      </c>
      <c r="R72" s="26" t="str">
        <f>A72&amp;B72&amp;C72&amp;D72&amp;E72&amp;F72&amp;G72&amp;H72&amp;I72&amp;J72&amp;K72&amp;L72&amp;M72&amp;N72&amp;O72&amp;P72</f>
        <v>USR-10007145724ControlWestMobileEmailFree000000029.4</v>
      </c>
      <c r="S72" s="22" t="str">
        <f>IF(COUNTIF($R$2:$R$1409,R72)=1,"OK",IF(COUNTIF($R$2:$R$1409,R72)&gt;1,"Exact Duplicate","Review Required"))</f>
        <v>OK</v>
      </c>
      <c r="T72" s="22" t="s">
        <v>24</v>
      </c>
      <c r="U72" s="22" t="s">
        <v>20</v>
      </c>
      <c r="V72" s="22"/>
    </row>
    <row r="73" spans="1:22" ht="41.4">
      <c r="A73" s="22" t="s">
        <v>103</v>
      </c>
      <c r="B73" s="25">
        <v>45724</v>
      </c>
      <c r="C73" s="22" t="s">
        <v>17</v>
      </c>
      <c r="D73" s="22" t="s">
        <v>28</v>
      </c>
      <c r="E73" s="22" t="s">
        <v>24</v>
      </c>
      <c r="F73" s="22" t="s">
        <v>20</v>
      </c>
      <c r="G73" s="22" t="s">
        <v>26</v>
      </c>
      <c r="H73" s="22">
        <v>1</v>
      </c>
      <c r="I73" s="22">
        <v>0</v>
      </c>
      <c r="J73" s="22">
        <v>0</v>
      </c>
      <c r="K73" s="22">
        <v>0</v>
      </c>
      <c r="L73" s="22">
        <v>0</v>
      </c>
      <c r="M73" s="22">
        <v>0</v>
      </c>
      <c r="N73" s="22">
        <v>0</v>
      </c>
      <c r="O73" s="22"/>
      <c r="P73" s="22">
        <v>54.2</v>
      </c>
      <c r="Q73" s="22" t="str">
        <f>IF(OR(L73&lt;$Y$18,L73&gt;$Y$19),"Outlier","Normal")</f>
        <v>Normal</v>
      </c>
      <c r="R73" s="26" t="str">
        <f>A73&amp;B73&amp;C73&amp;D73&amp;E73&amp;F73&amp;G73&amp;H73&amp;I73&amp;J73&amp;K73&amp;L73&amp;M73&amp;N73&amp;O73&amp;P73</f>
        <v>USR-10007245724ControlEastMobileEmailFree100000054.2</v>
      </c>
      <c r="S73" s="22" t="str">
        <f>IF(COUNTIF($R$2:$R$1409,R73)=1,"OK",IF(COUNTIF($R$2:$R$1409,R73)&gt;1,"Exact Duplicate","Review Required"))</f>
        <v>OK</v>
      </c>
      <c r="T73" s="22" t="s">
        <v>24</v>
      </c>
      <c r="U73" s="22" t="s">
        <v>20</v>
      </c>
      <c r="V73" s="22"/>
    </row>
    <row r="74" spans="1:22" ht="41.4">
      <c r="A74" s="22" t="s">
        <v>104</v>
      </c>
      <c r="B74" s="25">
        <v>45671</v>
      </c>
      <c r="C74" s="22" t="s">
        <v>17</v>
      </c>
      <c r="D74" s="22" t="s">
        <v>28</v>
      </c>
      <c r="E74" s="22" t="s">
        <v>19</v>
      </c>
      <c r="F74" s="22" t="s">
        <v>29</v>
      </c>
      <c r="G74" s="22" t="s">
        <v>21</v>
      </c>
      <c r="H74" s="22">
        <v>0</v>
      </c>
      <c r="I74" s="22">
        <v>0</v>
      </c>
      <c r="J74" s="22">
        <v>0</v>
      </c>
      <c r="K74" s="22">
        <v>0</v>
      </c>
      <c r="L74" s="22">
        <v>0</v>
      </c>
      <c r="M74" s="22">
        <v>0</v>
      </c>
      <c r="N74" s="22">
        <v>0</v>
      </c>
      <c r="O74" s="22"/>
      <c r="P74" s="22">
        <v>46.4</v>
      </c>
      <c r="Q74" s="22" t="str">
        <f>IF(OR(L74&lt;$Y$18,L74&gt;$Y$19),"Outlier","Normal")</f>
        <v>Normal</v>
      </c>
      <c r="R74" s="26" t="str">
        <f>A74&amp;B74&amp;C74&amp;D74&amp;E74&amp;F74&amp;G74&amp;H74&amp;I74&amp;J74&amp;K74&amp;L74&amp;M74&amp;N74&amp;O74&amp;P74</f>
        <v>USR-10007345671ControlEastDesktopPaid SearchBasic000000046.4</v>
      </c>
      <c r="S74" s="22" t="str">
        <f>IF(COUNTIF($R$2:$R$1409,R74)=1,"OK",IF(COUNTIF($R$2:$R$1409,R74)&gt;1,"Exact Duplicate","Review Required"))</f>
        <v>OK</v>
      </c>
      <c r="T74" s="22" t="s">
        <v>19</v>
      </c>
      <c r="U74" s="22" t="s">
        <v>29</v>
      </c>
      <c r="V74" s="22"/>
    </row>
    <row r="75" spans="1:22" ht="41.4">
      <c r="A75" s="22" t="s">
        <v>105</v>
      </c>
      <c r="B75" s="25">
        <v>45698</v>
      </c>
      <c r="C75" s="22" t="s">
        <v>17</v>
      </c>
      <c r="D75" s="22" t="s">
        <v>32</v>
      </c>
      <c r="E75" s="22" t="s">
        <v>24</v>
      </c>
      <c r="F75" s="22" t="s">
        <v>29</v>
      </c>
      <c r="G75" s="22" t="s">
        <v>21</v>
      </c>
      <c r="H75" s="22">
        <v>0</v>
      </c>
      <c r="I75" s="22">
        <v>0</v>
      </c>
      <c r="J75" s="22">
        <v>0</v>
      </c>
      <c r="K75" s="22">
        <v>0</v>
      </c>
      <c r="L75" s="22">
        <v>0</v>
      </c>
      <c r="M75" s="22">
        <v>0</v>
      </c>
      <c r="N75" s="22">
        <v>0</v>
      </c>
      <c r="O75" s="22"/>
      <c r="P75" s="22">
        <v>54.5</v>
      </c>
      <c r="Q75" s="22" t="str">
        <f>IF(OR(L75&lt;$Y$18,L75&gt;$Y$19),"Outlier","Normal")</f>
        <v>Normal</v>
      </c>
      <c r="R75" s="26" t="str">
        <f>A75&amp;B75&amp;C75&amp;D75&amp;E75&amp;F75&amp;G75&amp;H75&amp;I75&amp;J75&amp;K75&amp;L75&amp;M75&amp;N75&amp;O75&amp;P75</f>
        <v>USR-10007445698ControlSouthMobilePaid SearchBasic000000054.5</v>
      </c>
      <c r="S75" s="22" t="str">
        <f>IF(COUNTIF($R$2:$R$1409,R75)=1,"OK",IF(COUNTIF($R$2:$R$1409,R75)&gt;1,"Exact Duplicate","Review Required"))</f>
        <v>OK</v>
      </c>
      <c r="T75" s="22" t="s">
        <v>24</v>
      </c>
      <c r="U75" s="22" t="s">
        <v>29</v>
      </c>
      <c r="V75" s="22"/>
    </row>
    <row r="76" spans="1:22" ht="41.4">
      <c r="A76" s="22" t="s">
        <v>106</v>
      </c>
      <c r="B76" s="25">
        <v>45733</v>
      </c>
      <c r="C76" s="22" t="s">
        <v>17</v>
      </c>
      <c r="D76" s="22" t="s">
        <v>18</v>
      </c>
      <c r="E76" s="22" t="s">
        <v>24</v>
      </c>
      <c r="F76" s="22" t="s">
        <v>25</v>
      </c>
      <c r="G76" s="22" t="s">
        <v>26</v>
      </c>
      <c r="H76" s="22">
        <v>0</v>
      </c>
      <c r="I76" s="22">
        <v>0</v>
      </c>
      <c r="J76" s="22">
        <v>0</v>
      </c>
      <c r="K76" s="22">
        <v>0</v>
      </c>
      <c r="L76" s="22">
        <v>0</v>
      </c>
      <c r="M76" s="22">
        <v>0</v>
      </c>
      <c r="N76" s="22">
        <v>0</v>
      </c>
      <c r="O76" s="22"/>
      <c r="P76" s="22">
        <v>58.5</v>
      </c>
      <c r="Q76" s="22" t="str">
        <f>IF(OR(L76&lt;$Y$18,L76&gt;$Y$19),"Outlier","Normal")</f>
        <v>Normal</v>
      </c>
      <c r="R76" s="26" t="str">
        <f>A76&amp;B76&amp;C76&amp;D76&amp;E76&amp;F76&amp;G76&amp;H76&amp;I76&amp;J76&amp;K76&amp;L76&amp;M76&amp;N76&amp;O76&amp;P76</f>
        <v>USR-10007545733ControlNorthMobileOrganicFree000000058.5</v>
      </c>
      <c r="S76" s="22" t="str">
        <f>IF(COUNTIF($R$2:$R$1409,R76)=1,"OK",IF(COUNTIF($R$2:$R$1409,R76)&gt;1,"Exact Duplicate","Review Required"))</f>
        <v>OK</v>
      </c>
      <c r="T76" s="22" t="s">
        <v>24</v>
      </c>
      <c r="U76" s="22" t="s">
        <v>25</v>
      </c>
      <c r="V76" s="22"/>
    </row>
    <row r="77" spans="1:22" ht="41.4">
      <c r="A77" s="22" t="s">
        <v>107</v>
      </c>
      <c r="B77" s="25">
        <v>45666</v>
      </c>
      <c r="C77" s="22" t="s">
        <v>17</v>
      </c>
      <c r="D77" s="22" t="s">
        <v>32</v>
      </c>
      <c r="E77" s="22" t="s">
        <v>24</v>
      </c>
      <c r="F77" s="22" t="s">
        <v>20</v>
      </c>
      <c r="G77" s="22" t="s">
        <v>26</v>
      </c>
      <c r="H77" s="22">
        <v>0</v>
      </c>
      <c r="I77" s="22">
        <v>0</v>
      </c>
      <c r="J77" s="22">
        <v>0</v>
      </c>
      <c r="K77" s="22">
        <v>0</v>
      </c>
      <c r="L77" s="22">
        <v>0</v>
      </c>
      <c r="M77" s="22">
        <v>0</v>
      </c>
      <c r="N77" s="22">
        <v>0</v>
      </c>
      <c r="O77" s="22"/>
      <c r="P77" s="22">
        <v>75.900000000000006</v>
      </c>
      <c r="Q77" s="22" t="str">
        <f>IF(OR(L77&lt;$Y$18,L77&gt;$Y$19),"Outlier","Normal")</f>
        <v>Normal</v>
      </c>
      <c r="R77" s="26" t="str">
        <f>A77&amp;B77&amp;C77&amp;D77&amp;E77&amp;F77&amp;G77&amp;H77&amp;I77&amp;J77&amp;K77&amp;L77&amp;M77&amp;N77&amp;O77&amp;P77</f>
        <v>USR-10007645666ControlSouthMobileEmailFree000000075.9</v>
      </c>
      <c r="S77" s="22" t="str">
        <f>IF(COUNTIF($R$2:$R$1409,R77)=1,"OK",IF(COUNTIF($R$2:$R$1409,R77)&gt;1,"Exact Duplicate","Review Required"))</f>
        <v>OK</v>
      </c>
      <c r="T77" s="22" t="s">
        <v>24</v>
      </c>
      <c r="U77" s="22" t="s">
        <v>20</v>
      </c>
      <c r="V77" s="22"/>
    </row>
    <row r="78" spans="1:22" ht="41.4">
      <c r="A78" s="22" t="s">
        <v>108</v>
      </c>
      <c r="B78" s="25">
        <v>45764</v>
      </c>
      <c r="C78" s="22" t="s">
        <v>17</v>
      </c>
      <c r="D78" s="22" t="s">
        <v>18</v>
      </c>
      <c r="E78" s="22" t="s">
        <v>24</v>
      </c>
      <c r="F78" s="22" t="s">
        <v>39</v>
      </c>
      <c r="G78" s="22" t="s">
        <v>26</v>
      </c>
      <c r="H78" s="22">
        <v>0</v>
      </c>
      <c r="I78" s="22">
        <v>0</v>
      </c>
      <c r="J78" s="22">
        <v>0</v>
      </c>
      <c r="K78" s="22">
        <v>0</v>
      </c>
      <c r="L78" s="22">
        <v>0</v>
      </c>
      <c r="M78" s="22">
        <v>1</v>
      </c>
      <c r="N78" s="22">
        <v>0</v>
      </c>
      <c r="O78" s="22"/>
      <c r="P78" s="22">
        <v>84.9</v>
      </c>
      <c r="Q78" s="22" t="str">
        <f>IF(OR(L78&lt;$Y$18,L78&gt;$Y$19),"Outlier","Normal")</f>
        <v>Normal</v>
      </c>
      <c r="R78" s="26" t="str">
        <f>A78&amp;B78&amp;C78&amp;D78&amp;E78&amp;F78&amp;G78&amp;H78&amp;I78&amp;J78&amp;K78&amp;L78&amp;M78&amp;N78&amp;O78&amp;P78</f>
        <v>USR-10007745764ControlNorthMobileReferralFree000001084.9</v>
      </c>
      <c r="S78" s="22" t="str">
        <f>IF(COUNTIF($R$2:$R$1409,R78)=1,"OK",IF(COUNTIF($R$2:$R$1409,R78)&gt;1,"Exact Duplicate","Review Required"))</f>
        <v>OK</v>
      </c>
      <c r="T78" s="22" t="s">
        <v>24</v>
      </c>
      <c r="U78" s="22" t="s">
        <v>39</v>
      </c>
      <c r="V78" s="22"/>
    </row>
    <row r="79" spans="1:22" ht="41.4">
      <c r="A79" s="22" t="s">
        <v>109</v>
      </c>
      <c r="B79" s="25">
        <v>45673</v>
      </c>
      <c r="C79" s="22" t="s">
        <v>17</v>
      </c>
      <c r="D79" s="22" t="s">
        <v>18</v>
      </c>
      <c r="E79" s="22" t="s">
        <v>24</v>
      </c>
      <c r="F79" s="22" t="s">
        <v>25</v>
      </c>
      <c r="G79" s="22" t="s">
        <v>26</v>
      </c>
      <c r="H79" s="22">
        <v>0</v>
      </c>
      <c r="I79" s="22">
        <v>0</v>
      </c>
      <c r="J79" s="22">
        <v>0</v>
      </c>
      <c r="K79" s="22">
        <v>0</v>
      </c>
      <c r="L79" s="22">
        <v>0</v>
      </c>
      <c r="M79" s="22">
        <v>2</v>
      </c>
      <c r="N79" s="22">
        <v>0</v>
      </c>
      <c r="O79" s="22"/>
      <c r="P79" s="22">
        <v>48.4</v>
      </c>
      <c r="Q79" s="22" t="str">
        <f>IF(OR(L79&lt;$Y$18,L79&gt;$Y$19),"Outlier","Normal")</f>
        <v>Normal</v>
      </c>
      <c r="R79" s="26" t="str">
        <f>A79&amp;B79&amp;C79&amp;D79&amp;E79&amp;F79&amp;G79&amp;H79&amp;I79&amp;J79&amp;K79&amp;L79&amp;M79&amp;N79&amp;O79&amp;P79</f>
        <v>USR-10007845673ControlNorthMobileOrganicFree000002048.4</v>
      </c>
      <c r="S79" s="22" t="str">
        <f>IF(COUNTIF($R$2:$R$1409,R79)=1,"OK",IF(COUNTIF($R$2:$R$1409,R79)&gt;1,"Exact Duplicate","Review Required"))</f>
        <v>OK</v>
      </c>
      <c r="T79" s="22" t="s">
        <v>24</v>
      </c>
      <c r="U79" s="22" t="s">
        <v>25</v>
      </c>
      <c r="V79" s="22"/>
    </row>
    <row r="80" spans="1:22" ht="41.4">
      <c r="A80" s="22" t="s">
        <v>110</v>
      </c>
      <c r="B80" s="25">
        <v>45708</v>
      </c>
      <c r="C80" s="22" t="s">
        <v>17</v>
      </c>
      <c r="D80" s="22" t="s">
        <v>23</v>
      </c>
      <c r="E80" s="22" t="s">
        <v>19</v>
      </c>
      <c r="F80" s="22" t="s">
        <v>25</v>
      </c>
      <c r="G80" s="22" t="s">
        <v>26</v>
      </c>
      <c r="H80" s="22">
        <v>1</v>
      </c>
      <c r="I80" s="22">
        <v>1</v>
      </c>
      <c r="J80" s="22">
        <v>1</v>
      </c>
      <c r="K80" s="22">
        <v>1</v>
      </c>
      <c r="L80" s="22">
        <v>457.51</v>
      </c>
      <c r="M80" s="22">
        <v>0</v>
      </c>
      <c r="N80" s="22">
        <v>0</v>
      </c>
      <c r="O80" s="22">
        <v>7</v>
      </c>
      <c r="P80" s="22">
        <v>38</v>
      </c>
      <c r="Q80" s="22" t="str">
        <f>IF(OR(L80&lt;$Y$18,L80&gt;$Y$19),"Outlier","Normal")</f>
        <v>Normal</v>
      </c>
      <c r="R80" s="26" t="str">
        <f>A80&amp;B80&amp;C80&amp;D80&amp;E80&amp;F80&amp;G80&amp;H80&amp;I80&amp;J80&amp;K80&amp;L80&amp;M80&amp;N80&amp;O80&amp;P80</f>
        <v>USR-10007945708ControlWestDesktopOrganicFree1111457.5100738</v>
      </c>
      <c r="S80" s="22" t="str">
        <f>IF(COUNTIF($R$2:$R$1409,R80)=1,"OK",IF(COUNTIF($R$2:$R$1409,R80)&gt;1,"Exact Duplicate","Review Required"))</f>
        <v>OK</v>
      </c>
      <c r="T80" s="22" t="s">
        <v>19</v>
      </c>
      <c r="U80" s="22" t="s">
        <v>25</v>
      </c>
      <c r="V80" s="22"/>
    </row>
    <row r="81" spans="1:22" ht="41.4">
      <c r="A81" s="22" t="s">
        <v>111</v>
      </c>
      <c r="B81" s="25">
        <v>45798</v>
      </c>
      <c r="C81" s="22" t="s">
        <v>17</v>
      </c>
      <c r="D81" s="22" t="s">
        <v>28</v>
      </c>
      <c r="E81" s="22" t="s">
        <v>24</v>
      </c>
      <c r="F81" s="22" t="s">
        <v>41</v>
      </c>
      <c r="G81" s="22" t="s">
        <v>26</v>
      </c>
      <c r="H81" s="22">
        <v>1</v>
      </c>
      <c r="I81" s="22">
        <v>0</v>
      </c>
      <c r="J81" s="22">
        <v>0</v>
      </c>
      <c r="K81" s="22">
        <v>0</v>
      </c>
      <c r="L81" s="22">
        <v>0</v>
      </c>
      <c r="M81" s="22">
        <v>0</v>
      </c>
      <c r="N81" s="22">
        <v>0</v>
      </c>
      <c r="O81" s="22"/>
      <c r="P81" s="22">
        <v>44.2</v>
      </c>
      <c r="Q81" s="22" t="str">
        <f>IF(OR(L81&lt;$Y$18,L81&gt;$Y$19),"Outlier","Normal")</f>
        <v>Normal</v>
      </c>
      <c r="R81" s="26" t="str">
        <f>A81&amp;B81&amp;C81&amp;D81&amp;E81&amp;F81&amp;G81&amp;H81&amp;I81&amp;J81&amp;K81&amp;L81&amp;M81&amp;N81&amp;O81&amp;P81</f>
        <v>USR-10008045798ControlEastMobileSocialFree100000044.2</v>
      </c>
      <c r="S81" s="22" t="str">
        <f>IF(COUNTIF($R$2:$R$1409,R81)=1,"OK",IF(COUNTIF($R$2:$R$1409,R81)&gt;1,"Exact Duplicate","Review Required"))</f>
        <v>OK</v>
      </c>
      <c r="T81" s="22" t="s">
        <v>24</v>
      </c>
      <c r="U81" s="22" t="s">
        <v>41</v>
      </c>
      <c r="V81" s="22"/>
    </row>
    <row r="82" spans="1:22" ht="41.4">
      <c r="A82" s="22" t="s">
        <v>112</v>
      </c>
      <c r="B82" s="25">
        <v>45785</v>
      </c>
      <c r="C82" s="22" t="s">
        <v>17</v>
      </c>
      <c r="D82" s="22" t="s">
        <v>32</v>
      </c>
      <c r="E82" s="22" t="s">
        <v>24</v>
      </c>
      <c r="F82" s="22" t="s">
        <v>25</v>
      </c>
      <c r="G82" s="22" t="s">
        <v>26</v>
      </c>
      <c r="H82" s="22">
        <v>1</v>
      </c>
      <c r="I82" s="22">
        <v>1</v>
      </c>
      <c r="J82" s="22">
        <v>1</v>
      </c>
      <c r="K82" s="22">
        <v>0</v>
      </c>
      <c r="L82" s="22">
        <v>0</v>
      </c>
      <c r="M82" s="22">
        <v>0</v>
      </c>
      <c r="N82" s="22">
        <v>0</v>
      </c>
      <c r="O82" s="22"/>
      <c r="P82" s="22">
        <v>81.2</v>
      </c>
      <c r="Q82" s="22" t="str">
        <f>IF(OR(L82&lt;$Y$18,L82&gt;$Y$19),"Outlier","Normal")</f>
        <v>Normal</v>
      </c>
      <c r="R82" s="26" t="str">
        <f>A82&amp;B82&amp;C82&amp;D82&amp;E82&amp;F82&amp;G82&amp;H82&amp;I82&amp;J82&amp;K82&amp;L82&amp;M82&amp;N82&amp;O82&amp;P82</f>
        <v>USR-10008145785ControlSouthMobileOrganicFree111000081.2</v>
      </c>
      <c r="S82" s="22" t="str">
        <f>IF(COUNTIF($R$2:$R$1409,R82)=1,"OK",IF(COUNTIF($R$2:$R$1409,R82)&gt;1,"Exact Duplicate","Review Required"))</f>
        <v>OK</v>
      </c>
      <c r="T82" s="22" t="s">
        <v>24</v>
      </c>
      <c r="U82" s="22" t="s">
        <v>25</v>
      </c>
      <c r="V82" s="22"/>
    </row>
    <row r="83" spans="1:22" ht="41.4">
      <c r="A83" s="22" t="s">
        <v>113</v>
      </c>
      <c r="B83" s="25">
        <v>45724</v>
      </c>
      <c r="C83" s="22" t="s">
        <v>17</v>
      </c>
      <c r="D83" s="22" t="s">
        <v>32</v>
      </c>
      <c r="E83" s="22" t="s">
        <v>24</v>
      </c>
      <c r="F83" s="22" t="s">
        <v>39</v>
      </c>
      <c r="G83" s="22" t="s">
        <v>26</v>
      </c>
      <c r="H83" s="22">
        <v>1</v>
      </c>
      <c r="I83" s="22">
        <v>1</v>
      </c>
      <c r="J83" s="22">
        <v>0</v>
      </c>
      <c r="K83" s="22">
        <v>0</v>
      </c>
      <c r="L83" s="22">
        <v>0</v>
      </c>
      <c r="M83" s="22">
        <v>0</v>
      </c>
      <c r="N83" s="22">
        <v>0</v>
      </c>
      <c r="O83" s="22"/>
      <c r="P83" s="22">
        <v>63.8</v>
      </c>
      <c r="Q83" s="22" t="str">
        <f>IF(OR(L83&lt;$Y$18,L83&gt;$Y$19),"Outlier","Normal")</f>
        <v>Normal</v>
      </c>
      <c r="R83" s="26" t="str">
        <f>A83&amp;B83&amp;C83&amp;D83&amp;E83&amp;F83&amp;G83&amp;H83&amp;I83&amp;J83&amp;K83&amp;L83&amp;M83&amp;N83&amp;O83&amp;P83</f>
        <v>USR-10008245724ControlSouthMobileReferralFree110000063.8</v>
      </c>
      <c r="S83" s="22" t="str">
        <f>IF(COUNTIF($R$2:$R$1409,R83)=1,"OK",IF(COUNTIF($R$2:$R$1409,R83)&gt;1,"Exact Duplicate","Review Required"))</f>
        <v>OK</v>
      </c>
      <c r="T83" s="22" t="s">
        <v>24</v>
      </c>
      <c r="U83" s="22" t="s">
        <v>39</v>
      </c>
      <c r="V83" s="22"/>
    </row>
    <row r="84" spans="1:22" ht="41.4">
      <c r="A84" s="22" t="s">
        <v>114</v>
      </c>
      <c r="B84" s="25">
        <v>45748</v>
      </c>
      <c r="C84" s="22" t="s">
        <v>17</v>
      </c>
      <c r="D84" s="22" t="s">
        <v>32</v>
      </c>
      <c r="E84" s="22" t="s">
        <v>19</v>
      </c>
      <c r="F84" s="22" t="s">
        <v>20</v>
      </c>
      <c r="G84" s="22" t="s">
        <v>26</v>
      </c>
      <c r="H84" s="22">
        <v>0</v>
      </c>
      <c r="I84" s="22">
        <v>0</v>
      </c>
      <c r="J84" s="22">
        <v>0</v>
      </c>
      <c r="K84" s="22">
        <v>0</v>
      </c>
      <c r="L84" s="22">
        <v>0</v>
      </c>
      <c r="M84" s="22">
        <v>0</v>
      </c>
      <c r="N84" s="22">
        <v>0</v>
      </c>
      <c r="O84" s="22"/>
      <c r="P84" s="22">
        <v>64.7</v>
      </c>
      <c r="Q84" s="22" t="str">
        <f>IF(OR(L84&lt;$Y$18,L84&gt;$Y$19),"Outlier","Normal")</f>
        <v>Normal</v>
      </c>
      <c r="R84" s="26" t="str">
        <f>A84&amp;B84&amp;C84&amp;D84&amp;E84&amp;F84&amp;G84&amp;H84&amp;I84&amp;J84&amp;K84&amp;L84&amp;M84&amp;N84&amp;O84&amp;P84</f>
        <v>USR-10008345748ControlSouthDesktopEmailFree000000064.7</v>
      </c>
      <c r="S84" s="22" t="str">
        <f>IF(COUNTIF($R$2:$R$1409,R84)=1,"OK",IF(COUNTIF($R$2:$R$1409,R84)&gt;1,"Exact Duplicate","Review Required"))</f>
        <v>OK</v>
      </c>
      <c r="T84" s="22" t="s">
        <v>19</v>
      </c>
      <c r="U84" s="22" t="s">
        <v>20</v>
      </c>
      <c r="V84" s="22"/>
    </row>
    <row r="85" spans="1:22" ht="41.4">
      <c r="A85" s="22" t="s">
        <v>115</v>
      </c>
      <c r="B85" s="25">
        <v>45719</v>
      </c>
      <c r="C85" s="22" t="s">
        <v>17</v>
      </c>
      <c r="D85" s="22" t="s">
        <v>23</v>
      </c>
      <c r="E85" s="22" t="s">
        <v>24</v>
      </c>
      <c r="F85" s="22" t="s">
        <v>41</v>
      </c>
      <c r="G85" s="22" t="s">
        <v>21</v>
      </c>
      <c r="H85" s="22">
        <v>0</v>
      </c>
      <c r="I85" s="22">
        <v>0</v>
      </c>
      <c r="J85" s="22">
        <v>0</v>
      </c>
      <c r="K85" s="22">
        <v>0</v>
      </c>
      <c r="L85" s="22">
        <v>0</v>
      </c>
      <c r="M85" s="22">
        <v>0</v>
      </c>
      <c r="N85" s="22">
        <v>0</v>
      </c>
      <c r="O85" s="22"/>
      <c r="P85" s="22">
        <v>60.4</v>
      </c>
      <c r="Q85" s="22" t="str">
        <f>IF(OR(L85&lt;$Y$18,L85&gt;$Y$19),"Outlier","Normal")</f>
        <v>Normal</v>
      </c>
      <c r="R85" s="26" t="str">
        <f>A85&amp;B85&amp;C85&amp;D85&amp;E85&amp;F85&amp;G85&amp;H85&amp;I85&amp;J85&amp;K85&amp;L85&amp;M85&amp;N85&amp;O85&amp;P85</f>
        <v>USR-10008445719ControlWestMobileSocialBasic000000060.4</v>
      </c>
      <c r="S85" s="22" t="str">
        <f>IF(COUNTIF($R$2:$R$1409,R85)=1,"OK",IF(COUNTIF($R$2:$R$1409,R85)&gt;1,"Exact Duplicate","Review Required"))</f>
        <v>OK</v>
      </c>
      <c r="T85" s="22" t="s">
        <v>24</v>
      </c>
      <c r="U85" s="22" t="s">
        <v>41</v>
      </c>
      <c r="V85" s="22"/>
    </row>
    <row r="86" spans="1:22" ht="41.4">
      <c r="A86" s="22" t="s">
        <v>116</v>
      </c>
      <c r="B86" s="25">
        <v>45763</v>
      </c>
      <c r="C86" s="22" t="s">
        <v>17</v>
      </c>
      <c r="D86" s="22" t="s">
        <v>32</v>
      </c>
      <c r="E86" s="22" t="s">
        <v>24</v>
      </c>
      <c r="F86" s="22" t="s">
        <v>29</v>
      </c>
      <c r="G86" s="22" t="s">
        <v>26</v>
      </c>
      <c r="H86" s="22">
        <v>0</v>
      </c>
      <c r="I86" s="22">
        <v>0</v>
      </c>
      <c r="J86" s="22">
        <v>0</v>
      </c>
      <c r="K86" s="22">
        <v>0</v>
      </c>
      <c r="L86" s="22">
        <v>0</v>
      </c>
      <c r="M86" s="22">
        <v>0</v>
      </c>
      <c r="N86" s="22">
        <v>0</v>
      </c>
      <c r="O86" s="22"/>
      <c r="P86" s="22">
        <v>66.599999999999994</v>
      </c>
      <c r="Q86" s="22" t="str">
        <f>IF(OR(L86&lt;$Y$18,L86&gt;$Y$19),"Outlier","Normal")</f>
        <v>Normal</v>
      </c>
      <c r="R86" s="26" t="str">
        <f>A86&amp;B86&amp;C86&amp;D86&amp;E86&amp;F86&amp;G86&amp;H86&amp;I86&amp;J86&amp;K86&amp;L86&amp;M86&amp;N86&amp;O86&amp;P86</f>
        <v>USR-10008545763ControlSouthMobilePaid SearchFree000000066.6</v>
      </c>
      <c r="S86" s="22" t="str">
        <f>IF(COUNTIF($R$2:$R$1409,R86)=1,"OK",IF(COUNTIF($R$2:$R$1409,R86)&gt;1,"Exact Duplicate","Review Required"))</f>
        <v>OK</v>
      </c>
      <c r="T86" s="22" t="s">
        <v>24</v>
      </c>
      <c r="U86" s="22" t="s">
        <v>29</v>
      </c>
      <c r="V86" s="22"/>
    </row>
    <row r="87" spans="1:22" ht="41.4">
      <c r="A87" s="22" t="s">
        <v>117</v>
      </c>
      <c r="B87" s="25">
        <v>45666</v>
      </c>
      <c r="C87" s="22" t="s">
        <v>17</v>
      </c>
      <c r="D87" s="22" t="s">
        <v>18</v>
      </c>
      <c r="E87" s="22" t="s">
        <v>19</v>
      </c>
      <c r="F87" s="22" t="s">
        <v>25</v>
      </c>
      <c r="G87" s="22" t="s">
        <v>26</v>
      </c>
      <c r="H87" s="22">
        <v>1</v>
      </c>
      <c r="I87" s="22">
        <v>0</v>
      </c>
      <c r="J87" s="22">
        <v>0</v>
      </c>
      <c r="K87" s="22">
        <v>0</v>
      </c>
      <c r="L87" s="22">
        <v>0</v>
      </c>
      <c r="M87" s="22">
        <v>0</v>
      </c>
      <c r="N87" s="22">
        <v>0</v>
      </c>
      <c r="O87" s="22"/>
      <c r="P87" s="22">
        <v>50.9</v>
      </c>
      <c r="Q87" s="22" t="str">
        <f>IF(OR(L87&lt;$Y$18,L87&gt;$Y$19),"Outlier","Normal")</f>
        <v>Normal</v>
      </c>
      <c r="R87" s="26" t="str">
        <f>A87&amp;B87&amp;C87&amp;D87&amp;E87&amp;F87&amp;G87&amp;H87&amp;I87&amp;J87&amp;K87&amp;L87&amp;M87&amp;N87&amp;O87&amp;P87</f>
        <v>USR-10008645666ControlNorthDesktopOrganicFree100000050.9</v>
      </c>
      <c r="S87" s="22" t="str">
        <f>IF(COUNTIF($R$2:$R$1409,R87)=1,"OK",IF(COUNTIF($R$2:$R$1409,R87)&gt;1,"Exact Duplicate","Review Required"))</f>
        <v>OK</v>
      </c>
      <c r="T87" s="22" t="s">
        <v>19</v>
      </c>
      <c r="U87" s="22" t="s">
        <v>25</v>
      </c>
      <c r="V87" s="22"/>
    </row>
    <row r="88" spans="1:22" ht="41.4">
      <c r="A88" s="22" t="s">
        <v>118</v>
      </c>
      <c r="B88" s="25">
        <v>45679</v>
      </c>
      <c r="C88" s="22" t="s">
        <v>17</v>
      </c>
      <c r="D88" s="22" t="s">
        <v>23</v>
      </c>
      <c r="E88" s="22" t="s">
        <v>19</v>
      </c>
      <c r="F88" s="22" t="s">
        <v>41</v>
      </c>
      <c r="G88" s="22" t="s">
        <v>21</v>
      </c>
      <c r="H88" s="22">
        <v>0</v>
      </c>
      <c r="I88" s="22">
        <v>0</v>
      </c>
      <c r="J88" s="22">
        <v>0</v>
      </c>
      <c r="K88" s="22">
        <v>0</v>
      </c>
      <c r="L88" s="22">
        <v>0</v>
      </c>
      <c r="M88" s="22">
        <v>0</v>
      </c>
      <c r="N88" s="22">
        <v>0</v>
      </c>
      <c r="O88" s="22"/>
      <c r="P88" s="22">
        <v>51</v>
      </c>
      <c r="Q88" s="22" t="str">
        <f>IF(OR(L88&lt;$Y$18,L88&gt;$Y$19),"Outlier","Normal")</f>
        <v>Normal</v>
      </c>
      <c r="R88" s="26" t="str">
        <f>A88&amp;B88&amp;C88&amp;D88&amp;E88&amp;F88&amp;G88&amp;H88&amp;I88&amp;J88&amp;K88&amp;L88&amp;M88&amp;N88&amp;O88&amp;P88</f>
        <v>USR-10008745679ControlWestDesktopSocialBasic000000051</v>
      </c>
      <c r="S88" s="22" t="str">
        <f>IF(COUNTIF($R$2:$R$1409,R88)=1,"OK",IF(COUNTIF($R$2:$R$1409,R88)&gt;1,"Exact Duplicate","Review Required"))</f>
        <v>OK</v>
      </c>
      <c r="T88" s="22" t="s">
        <v>19</v>
      </c>
      <c r="U88" s="22" t="s">
        <v>41</v>
      </c>
      <c r="V88" s="22"/>
    </row>
    <row r="89" spans="1:22" ht="41.4">
      <c r="A89" s="22" t="s">
        <v>119</v>
      </c>
      <c r="B89" s="25">
        <v>45777</v>
      </c>
      <c r="C89" s="22" t="s">
        <v>17</v>
      </c>
      <c r="D89" s="22" t="s">
        <v>32</v>
      </c>
      <c r="E89" s="22" t="s">
        <v>24</v>
      </c>
      <c r="F89" s="22" t="s">
        <v>20</v>
      </c>
      <c r="G89" s="22" t="s">
        <v>30</v>
      </c>
      <c r="H89" s="22">
        <v>0</v>
      </c>
      <c r="I89" s="22">
        <v>0</v>
      </c>
      <c r="J89" s="22">
        <v>0</v>
      </c>
      <c r="K89" s="22">
        <v>0</v>
      </c>
      <c r="L89" s="22">
        <v>0</v>
      </c>
      <c r="M89" s="22">
        <v>0</v>
      </c>
      <c r="N89" s="22">
        <v>0</v>
      </c>
      <c r="O89" s="22"/>
      <c r="P89" s="22">
        <v>65.8</v>
      </c>
      <c r="Q89" s="22" t="str">
        <f>IF(OR(L89&lt;$Y$18,L89&gt;$Y$19),"Outlier","Normal")</f>
        <v>Normal</v>
      </c>
      <c r="R89" s="26" t="str">
        <f>A89&amp;B89&amp;C89&amp;D89&amp;E89&amp;F89&amp;G89&amp;H89&amp;I89&amp;J89&amp;K89&amp;L89&amp;M89&amp;N89&amp;O89&amp;P89</f>
        <v>USR-10008845777ControlSouthMobileEmailPremium000000065.8</v>
      </c>
      <c r="S89" s="22" t="str">
        <f>IF(COUNTIF($R$2:$R$1409,R89)=1,"OK",IF(COUNTIF($R$2:$R$1409,R89)&gt;1,"Exact Duplicate","Review Required"))</f>
        <v>OK</v>
      </c>
      <c r="T89" s="22" t="s">
        <v>24</v>
      </c>
      <c r="U89" s="22" t="s">
        <v>20</v>
      </c>
      <c r="V89" s="22"/>
    </row>
    <row r="90" spans="1:22" ht="41.4">
      <c r="A90" s="22" t="s">
        <v>120</v>
      </c>
      <c r="B90" s="25">
        <v>45772</v>
      </c>
      <c r="C90" s="22" t="s">
        <v>17</v>
      </c>
      <c r="D90" s="22" t="s">
        <v>18</v>
      </c>
      <c r="E90" s="22" t="s">
        <v>24</v>
      </c>
      <c r="F90" s="22" t="s">
        <v>39</v>
      </c>
      <c r="G90" s="22" t="s">
        <v>21</v>
      </c>
      <c r="H90" s="22">
        <v>1</v>
      </c>
      <c r="I90" s="22">
        <v>0</v>
      </c>
      <c r="J90" s="22">
        <v>0</v>
      </c>
      <c r="K90" s="22">
        <v>0</v>
      </c>
      <c r="L90" s="22">
        <v>0</v>
      </c>
      <c r="M90" s="22">
        <v>0</v>
      </c>
      <c r="N90" s="22">
        <v>0</v>
      </c>
      <c r="O90" s="22"/>
      <c r="P90" s="22">
        <v>61.8</v>
      </c>
      <c r="Q90" s="22" t="str">
        <f>IF(OR(L90&lt;$Y$18,L90&gt;$Y$19),"Outlier","Normal")</f>
        <v>Normal</v>
      </c>
      <c r="R90" s="26" t="str">
        <f>A90&amp;B90&amp;C90&amp;D90&amp;E90&amp;F90&amp;G90&amp;H90&amp;I90&amp;J90&amp;K90&amp;L90&amp;M90&amp;N90&amp;O90&amp;P90</f>
        <v>USR-10008945772ControlNorthMobileReferralBasic100000061.8</v>
      </c>
      <c r="S90" s="22" t="str">
        <f>IF(COUNTIF($R$2:$R$1409,R90)=1,"OK",IF(COUNTIF($R$2:$R$1409,R90)&gt;1,"Exact Duplicate","Review Required"))</f>
        <v>OK</v>
      </c>
      <c r="T90" s="22" t="s">
        <v>24</v>
      </c>
      <c r="U90" s="22" t="s">
        <v>39</v>
      </c>
      <c r="V90" s="22"/>
    </row>
    <row r="91" spans="1:22" ht="41.4">
      <c r="A91" s="22" t="s">
        <v>121</v>
      </c>
      <c r="B91" s="25">
        <v>45689</v>
      </c>
      <c r="C91" s="22" t="s">
        <v>17</v>
      </c>
      <c r="D91" s="22" t="s">
        <v>18</v>
      </c>
      <c r="E91" s="22" t="s">
        <v>24</v>
      </c>
      <c r="F91" s="22" t="s">
        <v>25</v>
      </c>
      <c r="G91" s="22" t="s">
        <v>21</v>
      </c>
      <c r="H91" s="22">
        <v>1</v>
      </c>
      <c r="I91" s="22">
        <v>0</v>
      </c>
      <c r="J91" s="22">
        <v>0</v>
      </c>
      <c r="K91" s="22">
        <v>0</v>
      </c>
      <c r="L91" s="22">
        <v>0</v>
      </c>
      <c r="M91" s="22">
        <v>0</v>
      </c>
      <c r="N91" s="22">
        <v>0</v>
      </c>
      <c r="O91" s="22"/>
      <c r="P91" s="22">
        <v>54.5</v>
      </c>
      <c r="Q91" s="22" t="str">
        <f>IF(OR(L91&lt;$Y$18,L91&gt;$Y$19),"Outlier","Normal")</f>
        <v>Normal</v>
      </c>
      <c r="R91" s="26" t="str">
        <f>A91&amp;B91&amp;C91&amp;D91&amp;E91&amp;F91&amp;G91&amp;H91&amp;I91&amp;J91&amp;K91&amp;L91&amp;M91&amp;N91&amp;O91&amp;P91</f>
        <v>USR-10009045689ControlNorthMobileOrganicBasic100000054.5</v>
      </c>
      <c r="S91" s="22" t="str">
        <f>IF(COUNTIF($R$2:$R$1409,R91)=1,"OK",IF(COUNTIF($R$2:$R$1409,R91)&gt;1,"Exact Duplicate","Review Required"))</f>
        <v>OK</v>
      </c>
      <c r="T91" s="22" t="s">
        <v>24</v>
      </c>
      <c r="U91" s="22" t="s">
        <v>25</v>
      </c>
      <c r="V91" s="22"/>
    </row>
    <row r="92" spans="1:22" ht="41.4">
      <c r="A92" s="22" t="s">
        <v>122</v>
      </c>
      <c r="B92" s="25">
        <v>45770</v>
      </c>
      <c r="C92" s="22" t="s">
        <v>17</v>
      </c>
      <c r="D92" s="22" t="s">
        <v>32</v>
      </c>
      <c r="E92" s="22" t="s">
        <v>19</v>
      </c>
      <c r="F92" s="22" t="s">
        <v>25</v>
      </c>
      <c r="G92" s="22" t="s">
        <v>26</v>
      </c>
      <c r="H92" s="22">
        <v>1</v>
      </c>
      <c r="I92" s="22">
        <v>0</v>
      </c>
      <c r="J92" s="22">
        <v>0</v>
      </c>
      <c r="K92" s="22">
        <v>0</v>
      </c>
      <c r="L92" s="22">
        <v>0</v>
      </c>
      <c r="M92" s="22">
        <v>0</v>
      </c>
      <c r="N92" s="22">
        <v>0</v>
      </c>
      <c r="O92" s="22"/>
      <c r="P92" s="22">
        <v>72.2</v>
      </c>
      <c r="Q92" s="22" t="str">
        <f>IF(OR(L92&lt;$Y$18,L92&gt;$Y$19),"Outlier","Normal")</f>
        <v>Normal</v>
      </c>
      <c r="R92" s="26" t="str">
        <f>A92&amp;B92&amp;C92&amp;D92&amp;E92&amp;F92&amp;G92&amp;H92&amp;I92&amp;J92&amp;K92&amp;L92&amp;M92&amp;N92&amp;O92&amp;P92</f>
        <v>USR-10009145770ControlSouthDesktopOrganicFree100000072.2</v>
      </c>
      <c r="S92" s="22" t="str">
        <f>IF(COUNTIF($R$2:$R$1409,R92)=1,"OK",IF(COUNTIF($R$2:$R$1409,R92)&gt;1,"Exact Duplicate","Review Required"))</f>
        <v>OK</v>
      </c>
      <c r="T92" s="22" t="s">
        <v>19</v>
      </c>
      <c r="U92" s="22" t="s">
        <v>25</v>
      </c>
      <c r="V92" s="22"/>
    </row>
    <row r="93" spans="1:22" ht="41.4">
      <c r="A93" s="22" t="s">
        <v>123</v>
      </c>
      <c r="B93" s="25">
        <v>45715</v>
      </c>
      <c r="C93" s="22" t="s">
        <v>17</v>
      </c>
      <c r="D93" s="22" t="s">
        <v>32</v>
      </c>
      <c r="E93" s="22" t="s">
        <v>24</v>
      </c>
      <c r="F93" s="22" t="s">
        <v>41</v>
      </c>
      <c r="G93" s="22" t="s">
        <v>26</v>
      </c>
      <c r="H93" s="22">
        <v>1</v>
      </c>
      <c r="I93" s="22">
        <v>0</v>
      </c>
      <c r="J93" s="22">
        <v>0</v>
      </c>
      <c r="K93" s="22">
        <v>0</v>
      </c>
      <c r="L93" s="22">
        <v>0</v>
      </c>
      <c r="M93" s="22">
        <v>0</v>
      </c>
      <c r="N93" s="22">
        <v>0</v>
      </c>
      <c r="O93" s="22"/>
      <c r="P93" s="22">
        <v>42.3</v>
      </c>
      <c r="Q93" s="22" t="str">
        <f>IF(OR(L93&lt;$Y$18,L93&gt;$Y$19),"Outlier","Normal")</f>
        <v>Normal</v>
      </c>
      <c r="R93" s="26" t="str">
        <f>A93&amp;B93&amp;C93&amp;D93&amp;E93&amp;F93&amp;G93&amp;H93&amp;I93&amp;J93&amp;K93&amp;L93&amp;M93&amp;N93&amp;O93&amp;P93</f>
        <v>USR-10009245715ControlSouthMobileSocialFree100000042.3</v>
      </c>
      <c r="S93" s="22" t="str">
        <f>IF(COUNTIF($R$2:$R$1409,R93)=1,"OK",IF(COUNTIF($R$2:$R$1409,R93)&gt;1,"Exact Duplicate","Review Required"))</f>
        <v>OK</v>
      </c>
      <c r="T93" s="22" t="s">
        <v>24</v>
      </c>
      <c r="U93" s="22" t="s">
        <v>41</v>
      </c>
      <c r="V93" s="22"/>
    </row>
    <row r="94" spans="1:22" ht="41.4">
      <c r="A94" s="22" t="s">
        <v>124</v>
      </c>
      <c r="B94" s="25">
        <v>45756</v>
      </c>
      <c r="C94" s="22" t="s">
        <v>17</v>
      </c>
      <c r="D94" s="22" t="s">
        <v>28</v>
      </c>
      <c r="E94" s="22" t="s">
        <v>19</v>
      </c>
      <c r="F94" s="22" t="s">
        <v>25</v>
      </c>
      <c r="G94" s="22" t="s">
        <v>21</v>
      </c>
      <c r="H94" s="22">
        <v>1</v>
      </c>
      <c r="I94" s="22">
        <v>0</v>
      </c>
      <c r="J94" s="22">
        <v>0</v>
      </c>
      <c r="K94" s="22">
        <v>0</v>
      </c>
      <c r="L94" s="22">
        <v>0</v>
      </c>
      <c r="M94" s="22">
        <v>0</v>
      </c>
      <c r="N94" s="22">
        <v>0</v>
      </c>
      <c r="O94" s="22"/>
      <c r="P94" s="22">
        <v>76.2</v>
      </c>
      <c r="Q94" s="22" t="str">
        <f>IF(OR(L94&lt;$Y$18,L94&gt;$Y$19),"Outlier","Normal")</f>
        <v>Normal</v>
      </c>
      <c r="R94" s="26" t="str">
        <f>A94&amp;B94&amp;C94&amp;D94&amp;E94&amp;F94&amp;G94&amp;H94&amp;I94&amp;J94&amp;K94&amp;L94&amp;M94&amp;N94&amp;O94&amp;P94</f>
        <v>USR-10009345756ControlEastDesktopOrganicBasic100000076.2</v>
      </c>
      <c r="S94" s="22" t="str">
        <f>IF(COUNTIF($R$2:$R$1409,R94)=1,"OK",IF(COUNTIF($R$2:$R$1409,R94)&gt;1,"Exact Duplicate","Review Required"))</f>
        <v>OK</v>
      </c>
      <c r="T94" s="22" t="s">
        <v>19</v>
      </c>
      <c r="U94" s="22" t="s">
        <v>25</v>
      </c>
      <c r="V94" s="22"/>
    </row>
    <row r="95" spans="1:22" ht="41.4">
      <c r="A95" s="22" t="s">
        <v>125</v>
      </c>
      <c r="B95" s="25">
        <v>45790</v>
      </c>
      <c r="C95" s="22" t="s">
        <v>17</v>
      </c>
      <c r="D95" s="22" t="s">
        <v>32</v>
      </c>
      <c r="E95" s="22" t="s">
        <v>34</v>
      </c>
      <c r="F95" s="22" t="s">
        <v>25</v>
      </c>
      <c r="G95" s="22" t="s">
        <v>30</v>
      </c>
      <c r="H95" s="22">
        <v>1</v>
      </c>
      <c r="I95" s="22">
        <v>1</v>
      </c>
      <c r="J95" s="22">
        <v>1</v>
      </c>
      <c r="K95" s="22">
        <v>0</v>
      </c>
      <c r="L95" s="22">
        <v>0</v>
      </c>
      <c r="M95" s="22">
        <v>1</v>
      </c>
      <c r="N95" s="22">
        <v>0</v>
      </c>
      <c r="O95" s="22"/>
      <c r="P95" s="22">
        <v>37.4</v>
      </c>
      <c r="Q95" s="22" t="str">
        <f>IF(OR(L95&lt;$Y$18,L95&gt;$Y$19),"Outlier","Normal")</f>
        <v>Normal</v>
      </c>
      <c r="R95" s="26" t="str">
        <f>A95&amp;B95&amp;C95&amp;D95&amp;E95&amp;F95&amp;G95&amp;H95&amp;I95&amp;J95&amp;K95&amp;L95&amp;M95&amp;N95&amp;O95&amp;P95</f>
        <v>USR-10009445790ControlSouthTabletOrganicPremium111001037.4</v>
      </c>
      <c r="S95" s="22" t="str">
        <f>IF(COUNTIF($R$2:$R$1409,R95)=1,"OK",IF(COUNTIF($R$2:$R$1409,R95)&gt;1,"Exact Duplicate","Review Required"))</f>
        <v>OK</v>
      </c>
      <c r="T95" s="22" t="s">
        <v>34</v>
      </c>
      <c r="U95" s="22" t="s">
        <v>25</v>
      </c>
      <c r="V95" s="22"/>
    </row>
    <row r="96" spans="1:22" ht="41.4">
      <c r="A96" s="22" t="s">
        <v>126</v>
      </c>
      <c r="B96" s="25">
        <v>45760</v>
      </c>
      <c r="C96" s="22" t="s">
        <v>17</v>
      </c>
      <c r="D96" s="22" t="s">
        <v>28</v>
      </c>
      <c r="E96" s="22" t="s">
        <v>24</v>
      </c>
      <c r="F96" s="22" t="s">
        <v>25</v>
      </c>
      <c r="G96" s="22" t="s">
        <v>26</v>
      </c>
      <c r="H96" s="22">
        <v>0</v>
      </c>
      <c r="I96" s="22">
        <v>0</v>
      </c>
      <c r="J96" s="22">
        <v>0</v>
      </c>
      <c r="K96" s="22">
        <v>0</v>
      </c>
      <c r="L96" s="22">
        <v>0</v>
      </c>
      <c r="M96" s="22">
        <v>0</v>
      </c>
      <c r="N96" s="22">
        <v>0</v>
      </c>
      <c r="O96" s="22"/>
      <c r="P96" s="22">
        <v>84.2</v>
      </c>
      <c r="Q96" s="22" t="str">
        <f>IF(OR(L96&lt;$Y$18,L96&gt;$Y$19),"Outlier","Normal")</f>
        <v>Normal</v>
      </c>
      <c r="R96" s="26" t="str">
        <f>A96&amp;B96&amp;C96&amp;D96&amp;E96&amp;F96&amp;G96&amp;H96&amp;I96&amp;J96&amp;K96&amp;L96&amp;M96&amp;N96&amp;O96&amp;P96</f>
        <v>USR-10009545760ControlEastMobileOrganicFree000000084.2</v>
      </c>
      <c r="S96" s="22" t="str">
        <f>IF(COUNTIF($R$2:$R$1409,R96)=1,"OK",IF(COUNTIF($R$2:$R$1409,R96)&gt;1,"Exact Duplicate","Review Required"))</f>
        <v>OK</v>
      </c>
      <c r="T96" s="22" t="s">
        <v>24</v>
      </c>
      <c r="U96" s="22" t="s">
        <v>25</v>
      </c>
      <c r="V96" s="22"/>
    </row>
    <row r="97" spans="1:22" ht="41.4">
      <c r="A97" s="22" t="s">
        <v>127</v>
      </c>
      <c r="B97" s="25">
        <v>45693</v>
      </c>
      <c r="C97" s="22" t="s">
        <v>17</v>
      </c>
      <c r="D97" s="22" t="s">
        <v>28</v>
      </c>
      <c r="E97" s="22" t="s">
        <v>24</v>
      </c>
      <c r="F97" s="22" t="s">
        <v>41</v>
      </c>
      <c r="G97" s="22" t="s">
        <v>26</v>
      </c>
      <c r="H97" s="22">
        <v>0</v>
      </c>
      <c r="I97" s="22">
        <v>0</v>
      </c>
      <c r="J97" s="22">
        <v>0</v>
      </c>
      <c r="K97" s="22">
        <v>0</v>
      </c>
      <c r="L97" s="22">
        <v>0</v>
      </c>
      <c r="M97" s="22">
        <v>0</v>
      </c>
      <c r="N97" s="22">
        <v>0</v>
      </c>
      <c r="O97" s="22"/>
      <c r="P97" s="22">
        <v>68</v>
      </c>
      <c r="Q97" s="22" t="str">
        <f>IF(OR(L97&lt;$Y$18,L97&gt;$Y$19),"Outlier","Normal")</f>
        <v>Normal</v>
      </c>
      <c r="R97" s="26" t="str">
        <f>A97&amp;B97&amp;C97&amp;D97&amp;E97&amp;F97&amp;G97&amp;H97&amp;I97&amp;J97&amp;K97&amp;L97&amp;M97&amp;N97&amp;O97&amp;P97</f>
        <v>USR-10009645693ControlEastMobileSocialFree000000068</v>
      </c>
      <c r="S97" s="22" t="str">
        <f>IF(COUNTIF($R$2:$R$1409,R97)=1,"OK",IF(COUNTIF($R$2:$R$1409,R97)&gt;1,"Exact Duplicate","Review Required"))</f>
        <v>OK</v>
      </c>
      <c r="T97" s="22" t="s">
        <v>24</v>
      </c>
      <c r="U97" s="22" t="s">
        <v>41</v>
      </c>
      <c r="V97" s="22"/>
    </row>
    <row r="98" spans="1:22" ht="41.4">
      <c r="A98" s="22" t="s">
        <v>128</v>
      </c>
      <c r="B98" s="25">
        <v>45702</v>
      </c>
      <c r="C98" s="22" t="s">
        <v>17</v>
      </c>
      <c r="D98" s="22" t="s">
        <v>23</v>
      </c>
      <c r="E98" s="22" t="s">
        <v>24</v>
      </c>
      <c r="F98" s="22" t="s">
        <v>25</v>
      </c>
      <c r="G98" s="22" t="s">
        <v>21</v>
      </c>
      <c r="H98" s="22">
        <v>1</v>
      </c>
      <c r="I98" s="22">
        <v>0</v>
      </c>
      <c r="J98" s="22">
        <v>0</v>
      </c>
      <c r="K98" s="22">
        <v>0</v>
      </c>
      <c r="L98" s="22">
        <v>0</v>
      </c>
      <c r="M98" s="22">
        <v>0</v>
      </c>
      <c r="N98" s="22">
        <v>0</v>
      </c>
      <c r="O98" s="22"/>
      <c r="P98" s="22">
        <v>53.5</v>
      </c>
      <c r="Q98" s="22" t="str">
        <f>IF(OR(L98&lt;$Y$18,L98&gt;$Y$19),"Outlier","Normal")</f>
        <v>Normal</v>
      </c>
      <c r="R98" s="26" t="str">
        <f>A98&amp;B98&amp;C98&amp;D98&amp;E98&amp;F98&amp;G98&amp;H98&amp;I98&amp;J98&amp;K98&amp;L98&amp;M98&amp;N98&amp;O98&amp;P98</f>
        <v>USR-10009745702ControlWestMobileOrganicBasic100000053.5</v>
      </c>
      <c r="S98" s="22" t="str">
        <f>IF(COUNTIF($R$2:$R$1409,R98)=1,"OK",IF(COUNTIF($R$2:$R$1409,R98)&gt;1,"Exact Duplicate","Review Required"))</f>
        <v>OK</v>
      </c>
      <c r="T98" s="22" t="s">
        <v>24</v>
      </c>
      <c r="U98" s="22" t="s">
        <v>25</v>
      </c>
      <c r="V98" s="22"/>
    </row>
    <row r="99" spans="1:22" ht="41.4">
      <c r="A99" s="22" t="s">
        <v>129</v>
      </c>
      <c r="B99" s="25">
        <v>45699</v>
      </c>
      <c r="C99" s="22" t="s">
        <v>17</v>
      </c>
      <c r="D99" s="22" t="s">
        <v>18</v>
      </c>
      <c r="E99" s="22" t="s">
        <v>19</v>
      </c>
      <c r="F99" s="22" t="s">
        <v>25</v>
      </c>
      <c r="G99" s="22" t="s">
        <v>30</v>
      </c>
      <c r="H99" s="22">
        <v>1</v>
      </c>
      <c r="I99" s="22">
        <v>0</v>
      </c>
      <c r="J99" s="22">
        <v>0</v>
      </c>
      <c r="K99" s="22">
        <v>0</v>
      </c>
      <c r="L99" s="22">
        <v>0</v>
      </c>
      <c r="M99" s="22">
        <v>0</v>
      </c>
      <c r="N99" s="22">
        <v>0</v>
      </c>
      <c r="O99" s="22"/>
      <c r="P99" s="22">
        <v>63.2</v>
      </c>
      <c r="Q99" s="22" t="str">
        <f>IF(OR(L99&lt;$Y$18,L99&gt;$Y$19),"Outlier","Normal")</f>
        <v>Normal</v>
      </c>
      <c r="R99" s="26" t="str">
        <f>A99&amp;B99&amp;C99&amp;D99&amp;E99&amp;F99&amp;G99&amp;H99&amp;I99&amp;J99&amp;K99&amp;L99&amp;M99&amp;N99&amp;O99&amp;P99</f>
        <v>USR-10009845699ControlNorthDesktopOrganicPremium100000063.2</v>
      </c>
      <c r="S99" s="22" t="str">
        <f>IF(COUNTIF($R$2:$R$1409,R99)=1,"OK",IF(COUNTIF($R$2:$R$1409,R99)&gt;1,"Exact Duplicate","Review Required"))</f>
        <v>OK</v>
      </c>
      <c r="T99" s="22" t="s">
        <v>19</v>
      </c>
      <c r="U99" s="22" t="s">
        <v>25</v>
      </c>
      <c r="V99" s="22"/>
    </row>
    <row r="100" spans="1:22" ht="41.4">
      <c r="A100" s="22" t="s">
        <v>130</v>
      </c>
      <c r="B100" s="25">
        <v>45699</v>
      </c>
      <c r="C100" s="22" t="s">
        <v>17</v>
      </c>
      <c r="D100" s="22" t="s">
        <v>28</v>
      </c>
      <c r="E100" s="22" t="s">
        <v>19</v>
      </c>
      <c r="F100" s="22" t="s">
        <v>41</v>
      </c>
      <c r="G100" s="22" t="s">
        <v>26</v>
      </c>
      <c r="H100" s="22">
        <v>1</v>
      </c>
      <c r="I100" s="22">
        <v>1</v>
      </c>
      <c r="J100" s="22">
        <v>1</v>
      </c>
      <c r="K100" s="22">
        <v>1</v>
      </c>
      <c r="L100" s="22">
        <v>363.32</v>
      </c>
      <c r="M100" s="22">
        <v>0</v>
      </c>
      <c r="N100" s="22">
        <v>0</v>
      </c>
      <c r="O100" s="22">
        <v>9</v>
      </c>
      <c r="P100" s="22">
        <v>55.9</v>
      </c>
      <c r="Q100" s="22" t="str">
        <f>IF(OR(L100&lt;$Y$18,L100&gt;$Y$19),"Outlier","Normal")</f>
        <v>Normal</v>
      </c>
      <c r="R100" s="26" t="str">
        <f>A100&amp;B100&amp;C100&amp;D100&amp;E100&amp;F100&amp;G100&amp;H100&amp;I100&amp;J100&amp;K100&amp;L100&amp;M100&amp;N100&amp;O100&amp;P100</f>
        <v>USR-10009945699ControlEastDesktopSocialFree1111363.3200955.9</v>
      </c>
      <c r="S100" s="22" t="str">
        <f>IF(COUNTIF($R$2:$R$1409,R100)=1,"OK",IF(COUNTIF($R$2:$R$1409,R100)&gt;1,"Exact Duplicate","Review Required"))</f>
        <v>OK</v>
      </c>
      <c r="T100" s="22" t="s">
        <v>19</v>
      </c>
      <c r="U100" s="22" t="s">
        <v>41</v>
      </c>
      <c r="V100" s="22"/>
    </row>
    <row r="101" spans="1:22" ht="41.4">
      <c r="A101" s="22" t="s">
        <v>131</v>
      </c>
      <c r="B101" s="25">
        <v>45803</v>
      </c>
      <c r="C101" s="22" t="s">
        <v>17</v>
      </c>
      <c r="D101" s="22" t="s">
        <v>18</v>
      </c>
      <c r="E101" s="22" t="s">
        <v>24</v>
      </c>
      <c r="F101" s="22" t="s">
        <v>25</v>
      </c>
      <c r="G101" s="22" t="s">
        <v>26</v>
      </c>
      <c r="H101" s="22">
        <v>1</v>
      </c>
      <c r="I101" s="22">
        <v>0</v>
      </c>
      <c r="J101" s="22">
        <v>0</v>
      </c>
      <c r="K101" s="22">
        <v>0</v>
      </c>
      <c r="L101" s="22">
        <v>0</v>
      </c>
      <c r="M101" s="22">
        <v>0</v>
      </c>
      <c r="N101" s="22">
        <v>0</v>
      </c>
      <c r="O101" s="22"/>
      <c r="P101" s="22">
        <v>63.5</v>
      </c>
      <c r="Q101" s="22" t="str">
        <f>IF(OR(L101&lt;$Y$18,L101&gt;$Y$19),"Outlier","Normal")</f>
        <v>Normal</v>
      </c>
      <c r="R101" s="26" t="str">
        <f>A101&amp;B101&amp;C101&amp;D101&amp;E101&amp;F101&amp;G101&amp;H101&amp;I101&amp;J101&amp;K101&amp;L101&amp;M101&amp;N101&amp;O101&amp;P101</f>
        <v>USR-10010045803ControlNorthMobileOrganicFree100000063.5</v>
      </c>
      <c r="S101" s="22" t="str">
        <f>IF(COUNTIF($R$2:$R$1409,R101)=1,"OK",IF(COUNTIF($R$2:$R$1409,R101)&gt;1,"Exact Duplicate","Review Required"))</f>
        <v>OK</v>
      </c>
      <c r="T101" s="22" t="s">
        <v>24</v>
      </c>
      <c r="U101" s="22" t="s">
        <v>25</v>
      </c>
      <c r="V101" s="22"/>
    </row>
    <row r="102" spans="1:22" ht="41.4">
      <c r="A102" s="22" t="s">
        <v>132</v>
      </c>
      <c r="B102" s="25">
        <v>45738</v>
      </c>
      <c r="C102" s="22" t="s">
        <v>17</v>
      </c>
      <c r="D102" s="22" t="s">
        <v>18</v>
      </c>
      <c r="E102" s="22" t="s">
        <v>24</v>
      </c>
      <c r="F102" s="22" t="s">
        <v>29</v>
      </c>
      <c r="G102" s="22" t="s">
        <v>21</v>
      </c>
      <c r="H102" s="22">
        <v>1</v>
      </c>
      <c r="I102" s="22">
        <v>0</v>
      </c>
      <c r="J102" s="22">
        <v>0</v>
      </c>
      <c r="K102" s="22">
        <v>0</v>
      </c>
      <c r="L102" s="22">
        <v>0</v>
      </c>
      <c r="M102" s="22">
        <v>0</v>
      </c>
      <c r="N102" s="22">
        <v>0</v>
      </c>
      <c r="O102" s="22"/>
      <c r="P102" s="22">
        <v>51.5</v>
      </c>
      <c r="Q102" s="22" t="str">
        <f>IF(OR(L102&lt;$Y$18,L102&gt;$Y$19),"Outlier","Normal")</f>
        <v>Normal</v>
      </c>
      <c r="R102" s="26" t="str">
        <f>A102&amp;B102&amp;C102&amp;D102&amp;E102&amp;F102&amp;G102&amp;H102&amp;I102&amp;J102&amp;K102&amp;L102&amp;M102&amp;N102&amp;O102&amp;P102</f>
        <v>USR-10010145738ControlNorthMobilePaid SearchBasic100000051.5</v>
      </c>
      <c r="S102" s="22" t="str">
        <f>IF(COUNTIF($R$2:$R$1409,R102)=1,"OK",IF(COUNTIF($R$2:$R$1409,R102)&gt;1,"Exact Duplicate","Review Required"))</f>
        <v>OK</v>
      </c>
      <c r="T102" s="22" t="s">
        <v>24</v>
      </c>
      <c r="U102" s="22" t="s">
        <v>29</v>
      </c>
      <c r="V102" s="22"/>
    </row>
    <row r="103" spans="1:22" ht="41.4">
      <c r="A103" s="22" t="s">
        <v>133</v>
      </c>
      <c r="B103" s="25">
        <v>45755</v>
      </c>
      <c r="C103" s="22" t="s">
        <v>17</v>
      </c>
      <c r="D103" s="22" t="s">
        <v>23</v>
      </c>
      <c r="E103" s="22" t="s">
        <v>24</v>
      </c>
      <c r="F103" s="22" t="s">
        <v>29</v>
      </c>
      <c r="G103" s="22" t="s">
        <v>26</v>
      </c>
      <c r="H103" s="22">
        <v>1</v>
      </c>
      <c r="I103" s="22">
        <v>0</v>
      </c>
      <c r="J103" s="22">
        <v>0</v>
      </c>
      <c r="K103" s="22">
        <v>0</v>
      </c>
      <c r="L103" s="22">
        <v>0</v>
      </c>
      <c r="M103" s="22">
        <v>0</v>
      </c>
      <c r="N103" s="22">
        <v>0</v>
      </c>
      <c r="O103" s="22"/>
      <c r="P103" s="22">
        <v>74.400000000000006</v>
      </c>
      <c r="Q103" s="22" t="str">
        <f>IF(OR(L103&lt;$Y$18,L103&gt;$Y$19),"Outlier","Normal")</f>
        <v>Normal</v>
      </c>
      <c r="R103" s="26" t="str">
        <f>A103&amp;B103&amp;C103&amp;D103&amp;E103&amp;F103&amp;G103&amp;H103&amp;I103&amp;J103&amp;K103&amp;L103&amp;M103&amp;N103&amp;O103&amp;P103</f>
        <v>USR-10010245755ControlWestMobilePaid SearchFree100000074.4</v>
      </c>
      <c r="S103" s="22" t="str">
        <f>IF(COUNTIF($R$2:$R$1409,R103)=1,"OK",IF(COUNTIF($R$2:$R$1409,R103)&gt;1,"Exact Duplicate","Review Required"))</f>
        <v>OK</v>
      </c>
      <c r="T103" s="22" t="s">
        <v>24</v>
      </c>
      <c r="U103" s="22" t="s">
        <v>29</v>
      </c>
      <c r="V103" s="22"/>
    </row>
    <row r="104" spans="1:22" ht="41.4">
      <c r="A104" s="22" t="s">
        <v>134</v>
      </c>
      <c r="B104" s="25">
        <v>45761</v>
      </c>
      <c r="C104" s="22" t="s">
        <v>17</v>
      </c>
      <c r="D104" s="22" t="s">
        <v>18</v>
      </c>
      <c r="E104" s="22" t="s">
        <v>19</v>
      </c>
      <c r="F104" s="22" t="s">
        <v>41</v>
      </c>
      <c r="G104" s="22" t="s">
        <v>26</v>
      </c>
      <c r="H104" s="22">
        <v>1</v>
      </c>
      <c r="I104" s="22">
        <v>1</v>
      </c>
      <c r="J104" s="22">
        <v>1</v>
      </c>
      <c r="K104" s="22">
        <v>1</v>
      </c>
      <c r="L104" s="22">
        <v>3887.98</v>
      </c>
      <c r="M104" s="22">
        <v>0</v>
      </c>
      <c r="N104" s="22">
        <v>0</v>
      </c>
      <c r="O104" s="22">
        <v>13</v>
      </c>
      <c r="P104" s="22">
        <v>60.2</v>
      </c>
      <c r="Q104" s="22" t="str">
        <f>IF(OR(L104&lt;$Y$18,L104&gt;$Y$19),"Outlier","Normal")</f>
        <v>Outlier</v>
      </c>
      <c r="R104" s="26" t="str">
        <f>A104&amp;B104&amp;C104&amp;D104&amp;E104&amp;F104&amp;G104&amp;H104&amp;I104&amp;J104&amp;K104&amp;L104&amp;M104&amp;N104&amp;O104&amp;P104</f>
        <v>USR-10010345761ControlNorthDesktopSocialFree11113887.98001360.2</v>
      </c>
      <c r="S104" s="22" t="str">
        <f>IF(COUNTIF($R$2:$R$1409,R104)=1,"OK",IF(COUNTIF($R$2:$R$1409,R104)&gt;1,"Exact Duplicate","Review Required"))</f>
        <v>OK</v>
      </c>
      <c r="T104" s="22" t="s">
        <v>19</v>
      </c>
      <c r="U104" s="22" t="s">
        <v>41</v>
      </c>
      <c r="V104" s="22"/>
    </row>
    <row r="105" spans="1:22" ht="41.4">
      <c r="A105" s="22" t="s">
        <v>135</v>
      </c>
      <c r="B105" s="25">
        <v>45743</v>
      </c>
      <c r="C105" s="22" t="s">
        <v>17</v>
      </c>
      <c r="D105" s="22" t="s">
        <v>32</v>
      </c>
      <c r="E105" s="22" t="s">
        <v>24</v>
      </c>
      <c r="F105" s="22" t="s">
        <v>20</v>
      </c>
      <c r="G105" s="22" t="s">
        <v>26</v>
      </c>
      <c r="H105" s="22">
        <v>1</v>
      </c>
      <c r="I105" s="22">
        <v>0</v>
      </c>
      <c r="J105" s="22">
        <v>0</v>
      </c>
      <c r="K105" s="22">
        <v>0</v>
      </c>
      <c r="L105" s="22">
        <v>0</v>
      </c>
      <c r="M105" s="22">
        <v>1</v>
      </c>
      <c r="N105" s="22">
        <v>0</v>
      </c>
      <c r="O105" s="22"/>
      <c r="P105" s="22">
        <v>67.2</v>
      </c>
      <c r="Q105" s="22" t="str">
        <f>IF(OR(L105&lt;$Y$18,L105&gt;$Y$19),"Outlier","Normal")</f>
        <v>Normal</v>
      </c>
      <c r="R105" s="26" t="str">
        <f>A105&amp;B105&amp;C105&amp;D105&amp;E105&amp;F105&amp;G105&amp;H105&amp;I105&amp;J105&amp;K105&amp;L105&amp;M105&amp;N105&amp;O105&amp;P105</f>
        <v>USR-10010445743ControlSouthMobileEmailFree100001067.2</v>
      </c>
      <c r="S105" s="22" t="str">
        <f>IF(COUNTIF($R$2:$R$1409,R105)=1,"OK",IF(COUNTIF($R$2:$R$1409,R105)&gt;1,"Exact Duplicate","Review Required"))</f>
        <v>OK</v>
      </c>
      <c r="T105" s="22" t="s">
        <v>24</v>
      </c>
      <c r="U105" s="22" t="s">
        <v>20</v>
      </c>
      <c r="V105" s="22"/>
    </row>
    <row r="106" spans="1:22" ht="41.4">
      <c r="A106" s="22" t="s">
        <v>136</v>
      </c>
      <c r="B106" s="25">
        <v>45662</v>
      </c>
      <c r="C106" s="22" t="s">
        <v>17</v>
      </c>
      <c r="D106" s="22" t="s">
        <v>32</v>
      </c>
      <c r="E106" s="22" t="s">
        <v>24</v>
      </c>
      <c r="F106" s="22" t="s">
        <v>41</v>
      </c>
      <c r="G106" s="22" t="s">
        <v>26</v>
      </c>
      <c r="H106" s="22">
        <v>1</v>
      </c>
      <c r="I106" s="22">
        <v>1</v>
      </c>
      <c r="J106" s="22">
        <v>1</v>
      </c>
      <c r="K106" s="22">
        <v>0</v>
      </c>
      <c r="L106" s="22">
        <v>0</v>
      </c>
      <c r="M106" s="22">
        <v>0</v>
      </c>
      <c r="N106" s="22">
        <v>0</v>
      </c>
      <c r="O106" s="22"/>
      <c r="P106" s="22">
        <v>79.599999999999994</v>
      </c>
      <c r="Q106" s="22" t="str">
        <f>IF(OR(L106&lt;$Y$18,L106&gt;$Y$19),"Outlier","Normal")</f>
        <v>Normal</v>
      </c>
      <c r="R106" s="26" t="str">
        <f>A106&amp;B106&amp;C106&amp;D106&amp;E106&amp;F106&amp;G106&amp;H106&amp;I106&amp;J106&amp;K106&amp;L106&amp;M106&amp;N106&amp;O106&amp;P106</f>
        <v>USR-10010545662ControlSouthMobileSocialFree111000079.6</v>
      </c>
      <c r="S106" s="22" t="str">
        <f>IF(COUNTIF($R$2:$R$1409,R106)=1,"OK",IF(COUNTIF($R$2:$R$1409,R106)&gt;1,"Exact Duplicate","Review Required"))</f>
        <v>OK</v>
      </c>
      <c r="T106" s="22" t="s">
        <v>24</v>
      </c>
      <c r="U106" s="22" t="s">
        <v>41</v>
      </c>
      <c r="V106" s="22"/>
    </row>
    <row r="107" spans="1:22" ht="41.4">
      <c r="A107" s="22" t="s">
        <v>137</v>
      </c>
      <c r="B107" s="25">
        <v>45682</v>
      </c>
      <c r="C107" s="22" t="s">
        <v>17</v>
      </c>
      <c r="D107" s="22" t="s">
        <v>32</v>
      </c>
      <c r="E107" s="22" t="s">
        <v>24</v>
      </c>
      <c r="F107" s="22" t="s">
        <v>41</v>
      </c>
      <c r="G107" s="22" t="s">
        <v>21</v>
      </c>
      <c r="H107" s="22">
        <v>1</v>
      </c>
      <c r="I107" s="22">
        <v>1</v>
      </c>
      <c r="J107" s="22">
        <v>1</v>
      </c>
      <c r="K107" s="22">
        <v>1</v>
      </c>
      <c r="L107" s="22">
        <v>8610.7199999999993</v>
      </c>
      <c r="M107" s="22">
        <v>0</v>
      </c>
      <c r="N107" s="22">
        <v>0</v>
      </c>
      <c r="O107" s="22">
        <v>6</v>
      </c>
      <c r="P107" s="22">
        <v>61</v>
      </c>
      <c r="Q107" s="22" t="str">
        <f>IF(OR(L107&lt;$Y$18,L107&gt;$Y$19),"Outlier","Normal")</f>
        <v>Outlier</v>
      </c>
      <c r="R107" s="26" t="str">
        <f>A107&amp;B107&amp;C107&amp;D107&amp;E107&amp;F107&amp;G107&amp;H107&amp;I107&amp;J107&amp;K107&amp;L107&amp;M107&amp;N107&amp;O107&amp;P107</f>
        <v>USR-10010645682ControlSouthMobileSocialBasic11118610.7200661</v>
      </c>
      <c r="S107" s="22" t="str">
        <f>IF(COUNTIF($R$2:$R$1409,R107)=1,"OK",IF(COUNTIF($R$2:$R$1409,R107)&gt;1,"Exact Duplicate","Review Required"))</f>
        <v>OK</v>
      </c>
      <c r="T107" s="22" t="s">
        <v>24</v>
      </c>
      <c r="U107" s="22" t="s">
        <v>41</v>
      </c>
      <c r="V107" s="22"/>
    </row>
    <row r="108" spans="1:22" ht="41.4">
      <c r="A108" s="22" t="s">
        <v>138</v>
      </c>
      <c r="B108" s="25">
        <v>45680</v>
      </c>
      <c r="C108" s="22" t="s">
        <v>17</v>
      </c>
      <c r="D108" s="22" t="s">
        <v>23</v>
      </c>
      <c r="E108" s="22" t="s">
        <v>24</v>
      </c>
      <c r="F108" s="22" t="s">
        <v>20</v>
      </c>
      <c r="G108" s="22" t="s">
        <v>26</v>
      </c>
      <c r="H108" s="22">
        <v>1</v>
      </c>
      <c r="I108" s="22">
        <v>1</v>
      </c>
      <c r="J108" s="22">
        <v>1</v>
      </c>
      <c r="K108" s="22">
        <v>0</v>
      </c>
      <c r="L108" s="22">
        <v>0</v>
      </c>
      <c r="M108" s="22">
        <v>4</v>
      </c>
      <c r="N108" s="22">
        <v>0</v>
      </c>
      <c r="O108" s="22"/>
      <c r="P108" s="22">
        <v>51.1</v>
      </c>
      <c r="Q108" s="22" t="str">
        <f>IF(OR(L108&lt;$Y$18,L108&gt;$Y$19),"Outlier","Normal")</f>
        <v>Normal</v>
      </c>
      <c r="R108" s="26" t="str">
        <f>A108&amp;B108&amp;C108&amp;D108&amp;E108&amp;F108&amp;G108&amp;H108&amp;I108&amp;J108&amp;K108&amp;L108&amp;M108&amp;N108&amp;O108&amp;P108</f>
        <v>USR-10010745680ControlWestMobileEmailFree111004051.1</v>
      </c>
      <c r="S108" s="22" t="str">
        <f>IF(COUNTIF($R$2:$R$1409,R108)=1,"OK",IF(COUNTIF($R$2:$R$1409,R108)&gt;1,"Exact Duplicate","Review Required"))</f>
        <v>OK</v>
      </c>
      <c r="T108" s="22" t="s">
        <v>24</v>
      </c>
      <c r="U108" s="22" t="s">
        <v>20</v>
      </c>
      <c r="V108" s="22"/>
    </row>
    <row r="109" spans="1:22" ht="41.4">
      <c r="A109" s="22" t="s">
        <v>139</v>
      </c>
      <c r="B109" s="25">
        <v>45802</v>
      </c>
      <c r="C109" s="22" t="s">
        <v>17</v>
      </c>
      <c r="D109" s="22" t="s">
        <v>28</v>
      </c>
      <c r="E109" s="22" t="s">
        <v>19</v>
      </c>
      <c r="F109" s="22" t="s">
        <v>39</v>
      </c>
      <c r="G109" s="22" t="s">
        <v>26</v>
      </c>
      <c r="H109" s="22">
        <v>1</v>
      </c>
      <c r="I109" s="22">
        <v>0</v>
      </c>
      <c r="J109" s="22">
        <v>0</v>
      </c>
      <c r="K109" s="22">
        <v>0</v>
      </c>
      <c r="L109" s="22">
        <v>0</v>
      </c>
      <c r="M109" s="22">
        <v>0</v>
      </c>
      <c r="N109" s="22">
        <v>0</v>
      </c>
      <c r="O109" s="22"/>
      <c r="P109" s="22">
        <v>92.1</v>
      </c>
      <c r="Q109" s="22" t="str">
        <f>IF(OR(L109&lt;$Y$18,L109&gt;$Y$19),"Outlier","Normal")</f>
        <v>Normal</v>
      </c>
      <c r="R109" s="26" t="str">
        <f>A109&amp;B109&amp;C109&amp;D109&amp;E109&amp;F109&amp;G109&amp;H109&amp;I109&amp;J109&amp;K109&amp;L109&amp;M109&amp;N109&amp;O109&amp;P109</f>
        <v>USR-10010845802ControlEastDesktopReferralFree100000092.1</v>
      </c>
      <c r="S109" s="22" t="str">
        <f>IF(COUNTIF($R$2:$R$1409,R109)=1,"OK",IF(COUNTIF($R$2:$R$1409,R109)&gt;1,"Exact Duplicate","Review Required"))</f>
        <v>OK</v>
      </c>
      <c r="T109" s="22" t="s">
        <v>19</v>
      </c>
      <c r="U109" s="22" t="s">
        <v>39</v>
      </c>
      <c r="V109" s="22"/>
    </row>
    <row r="110" spans="1:22" ht="41.4">
      <c r="A110" s="22" t="s">
        <v>140</v>
      </c>
      <c r="B110" s="25">
        <v>45738</v>
      </c>
      <c r="C110" s="22" t="s">
        <v>17</v>
      </c>
      <c r="D110" s="22" t="s">
        <v>32</v>
      </c>
      <c r="E110" s="22" t="s">
        <v>24</v>
      </c>
      <c r="F110" s="22" t="s">
        <v>39</v>
      </c>
      <c r="G110" s="22" t="s">
        <v>21</v>
      </c>
      <c r="H110" s="22">
        <v>0</v>
      </c>
      <c r="I110" s="22">
        <v>0</v>
      </c>
      <c r="J110" s="22">
        <v>0</v>
      </c>
      <c r="K110" s="22">
        <v>0</v>
      </c>
      <c r="L110" s="22">
        <v>0</v>
      </c>
      <c r="M110" s="22">
        <v>0</v>
      </c>
      <c r="N110" s="22">
        <v>0</v>
      </c>
      <c r="O110" s="22"/>
      <c r="P110" s="22">
        <v>82.1</v>
      </c>
      <c r="Q110" s="22" t="str">
        <f>IF(OR(L110&lt;$Y$18,L110&gt;$Y$19),"Outlier","Normal")</f>
        <v>Normal</v>
      </c>
      <c r="R110" s="26" t="str">
        <f>A110&amp;B110&amp;C110&amp;D110&amp;E110&amp;F110&amp;G110&amp;H110&amp;I110&amp;J110&amp;K110&amp;L110&amp;M110&amp;N110&amp;O110&amp;P110</f>
        <v>USR-10010945738ControlSouthMobileReferralBasic000000082.1</v>
      </c>
      <c r="S110" s="22" t="str">
        <f>IF(COUNTIF($R$2:$R$1409,R110)=1,"OK",IF(COUNTIF($R$2:$R$1409,R110)&gt;1,"Exact Duplicate","Review Required"))</f>
        <v>OK</v>
      </c>
      <c r="T110" s="22" t="s">
        <v>24</v>
      </c>
      <c r="U110" s="22" t="s">
        <v>39</v>
      </c>
      <c r="V110" s="22"/>
    </row>
    <row r="111" spans="1:22" ht="41.4">
      <c r="A111" s="22" t="s">
        <v>141</v>
      </c>
      <c r="B111" s="25">
        <v>45700</v>
      </c>
      <c r="C111" s="22" t="s">
        <v>17</v>
      </c>
      <c r="D111" s="22" t="s">
        <v>23</v>
      </c>
      <c r="E111" s="22" t="s">
        <v>19</v>
      </c>
      <c r="F111" s="22" t="s">
        <v>29</v>
      </c>
      <c r="G111" s="22" t="s">
        <v>21</v>
      </c>
      <c r="H111" s="22">
        <v>1</v>
      </c>
      <c r="I111" s="22">
        <v>0</v>
      </c>
      <c r="J111" s="22">
        <v>0</v>
      </c>
      <c r="K111" s="22">
        <v>0</v>
      </c>
      <c r="L111" s="22">
        <v>0</v>
      </c>
      <c r="M111" s="22">
        <v>1</v>
      </c>
      <c r="N111" s="22">
        <v>0</v>
      </c>
      <c r="O111" s="22"/>
      <c r="P111" s="22">
        <v>74</v>
      </c>
      <c r="Q111" s="22" t="str">
        <f>IF(OR(L111&lt;$Y$18,L111&gt;$Y$19),"Outlier","Normal")</f>
        <v>Normal</v>
      </c>
      <c r="R111" s="26" t="str">
        <f>A111&amp;B111&amp;C111&amp;D111&amp;E111&amp;F111&amp;G111&amp;H111&amp;I111&amp;J111&amp;K111&amp;L111&amp;M111&amp;N111&amp;O111&amp;P111</f>
        <v>USR-10011045700ControlWestDesktopPaid SearchBasic100001074</v>
      </c>
      <c r="S111" s="22" t="str">
        <f>IF(COUNTIF($R$2:$R$1409,R111)=1,"OK",IF(COUNTIF($R$2:$R$1409,R111)&gt;1,"Exact Duplicate","Review Required"))</f>
        <v>OK</v>
      </c>
      <c r="T111" s="22" t="s">
        <v>19</v>
      </c>
      <c r="U111" s="22" t="s">
        <v>29</v>
      </c>
      <c r="V111" s="22"/>
    </row>
    <row r="112" spans="1:22" ht="41.4">
      <c r="A112" s="22" t="s">
        <v>142</v>
      </c>
      <c r="B112" s="25">
        <v>45775</v>
      </c>
      <c r="C112" s="22" t="s">
        <v>17</v>
      </c>
      <c r="D112" s="22" t="s">
        <v>23</v>
      </c>
      <c r="E112" s="22" t="s">
        <v>19</v>
      </c>
      <c r="F112" s="22" t="s">
        <v>25</v>
      </c>
      <c r="G112" s="22" t="s">
        <v>21</v>
      </c>
      <c r="H112" s="22">
        <v>1</v>
      </c>
      <c r="I112" s="22">
        <v>0</v>
      </c>
      <c r="J112" s="22">
        <v>0</v>
      </c>
      <c r="K112" s="22">
        <v>0</v>
      </c>
      <c r="L112" s="22">
        <v>0</v>
      </c>
      <c r="M112" s="22">
        <v>0</v>
      </c>
      <c r="N112" s="22">
        <v>0</v>
      </c>
      <c r="O112" s="22"/>
      <c r="P112" s="22">
        <v>63.4</v>
      </c>
      <c r="Q112" s="22" t="str">
        <f>IF(OR(L112&lt;$Y$18,L112&gt;$Y$19),"Outlier","Normal")</f>
        <v>Normal</v>
      </c>
      <c r="R112" s="26" t="str">
        <f>A112&amp;B112&amp;C112&amp;D112&amp;E112&amp;F112&amp;G112&amp;H112&amp;I112&amp;J112&amp;K112&amp;L112&amp;M112&amp;N112&amp;O112&amp;P112</f>
        <v>USR-10011145775ControlWestDesktopOrganicBasic100000063.4</v>
      </c>
      <c r="S112" s="22" t="str">
        <f>IF(COUNTIF($R$2:$R$1409,R112)=1,"OK",IF(COUNTIF($R$2:$R$1409,R112)&gt;1,"Exact Duplicate","Review Required"))</f>
        <v>OK</v>
      </c>
      <c r="T112" s="22" t="s">
        <v>19</v>
      </c>
      <c r="U112" s="22" t="s">
        <v>25</v>
      </c>
      <c r="V112" s="22"/>
    </row>
    <row r="113" spans="1:22" ht="41.4">
      <c r="A113" s="22" t="s">
        <v>143</v>
      </c>
      <c r="B113" s="25">
        <v>45687</v>
      </c>
      <c r="C113" s="22" t="s">
        <v>17</v>
      </c>
      <c r="D113" s="22" t="s">
        <v>18</v>
      </c>
      <c r="E113" s="22" t="s">
        <v>24</v>
      </c>
      <c r="F113" s="22" t="s">
        <v>25</v>
      </c>
      <c r="G113" s="22" t="s">
        <v>21</v>
      </c>
      <c r="H113" s="22">
        <v>1</v>
      </c>
      <c r="I113" s="22">
        <v>0</v>
      </c>
      <c r="J113" s="22">
        <v>0</v>
      </c>
      <c r="K113" s="22">
        <v>0</v>
      </c>
      <c r="L113" s="22">
        <v>0</v>
      </c>
      <c r="M113" s="22">
        <v>0</v>
      </c>
      <c r="N113" s="22">
        <v>0</v>
      </c>
      <c r="O113" s="22"/>
      <c r="P113" s="22">
        <v>53.2</v>
      </c>
      <c r="Q113" s="22" t="str">
        <f>IF(OR(L113&lt;$Y$18,L113&gt;$Y$19),"Outlier","Normal")</f>
        <v>Normal</v>
      </c>
      <c r="R113" s="26" t="str">
        <f>A113&amp;B113&amp;C113&amp;D113&amp;E113&amp;F113&amp;G113&amp;H113&amp;I113&amp;J113&amp;K113&amp;L113&amp;M113&amp;N113&amp;O113&amp;P113</f>
        <v>USR-10011245687ControlNorthMobileOrganicBasic100000053.2</v>
      </c>
      <c r="S113" s="22" t="str">
        <f>IF(COUNTIF($R$2:$R$1409,R113)=1,"OK",IF(COUNTIF($R$2:$R$1409,R113)&gt;1,"Exact Duplicate","Review Required"))</f>
        <v>OK</v>
      </c>
      <c r="T113" s="22" t="s">
        <v>24</v>
      </c>
      <c r="U113" s="22" t="s">
        <v>25</v>
      </c>
      <c r="V113" s="22"/>
    </row>
    <row r="114" spans="1:22" ht="41.4">
      <c r="A114" s="22" t="s">
        <v>144</v>
      </c>
      <c r="B114" s="25">
        <v>45796</v>
      </c>
      <c r="C114" s="22" t="s">
        <v>17</v>
      </c>
      <c r="D114" s="22" t="s">
        <v>28</v>
      </c>
      <c r="E114" s="22" t="s">
        <v>34</v>
      </c>
      <c r="F114" s="22" t="s">
        <v>29</v>
      </c>
      <c r="G114" s="22" t="s">
        <v>26</v>
      </c>
      <c r="H114" s="22">
        <v>0</v>
      </c>
      <c r="I114" s="22">
        <v>0</v>
      </c>
      <c r="J114" s="22">
        <v>0</v>
      </c>
      <c r="K114" s="22">
        <v>0</v>
      </c>
      <c r="L114" s="22">
        <v>0</v>
      </c>
      <c r="M114" s="22">
        <v>0</v>
      </c>
      <c r="N114" s="22">
        <v>0</v>
      </c>
      <c r="O114" s="22"/>
      <c r="P114" s="22">
        <v>48.1</v>
      </c>
      <c r="Q114" s="22" t="str">
        <f>IF(OR(L114&lt;$Y$18,L114&gt;$Y$19),"Outlier","Normal")</f>
        <v>Normal</v>
      </c>
      <c r="R114" s="26" t="str">
        <f>A114&amp;B114&amp;C114&amp;D114&amp;E114&amp;F114&amp;G114&amp;H114&amp;I114&amp;J114&amp;K114&amp;L114&amp;M114&amp;N114&amp;O114&amp;P114</f>
        <v>USR-10011345796ControlEastTabletPaid SearchFree000000048.1</v>
      </c>
      <c r="S114" s="22" t="str">
        <f>IF(COUNTIF($R$2:$R$1409,R114)=1,"OK",IF(COUNTIF($R$2:$R$1409,R114)&gt;1,"Exact Duplicate","Review Required"))</f>
        <v>OK</v>
      </c>
      <c r="T114" s="22" t="s">
        <v>34</v>
      </c>
      <c r="U114" s="22" t="s">
        <v>29</v>
      </c>
      <c r="V114" s="22"/>
    </row>
    <row r="115" spans="1:22" ht="41.4">
      <c r="A115" s="22" t="s">
        <v>145</v>
      </c>
      <c r="B115" s="25">
        <v>45680</v>
      </c>
      <c r="C115" s="22" t="s">
        <v>17</v>
      </c>
      <c r="D115" s="22" t="s">
        <v>32</v>
      </c>
      <c r="E115" s="22" t="s">
        <v>24</v>
      </c>
      <c r="F115" s="22" t="s">
        <v>41</v>
      </c>
      <c r="G115" s="22" t="s">
        <v>26</v>
      </c>
      <c r="H115" s="22">
        <v>1</v>
      </c>
      <c r="I115" s="22">
        <v>1</v>
      </c>
      <c r="J115" s="22">
        <v>0</v>
      </c>
      <c r="K115" s="22">
        <v>0</v>
      </c>
      <c r="L115" s="22">
        <v>0</v>
      </c>
      <c r="M115" s="22">
        <v>0</v>
      </c>
      <c r="N115" s="22">
        <v>0</v>
      </c>
      <c r="O115" s="22"/>
      <c r="P115" s="22">
        <v>61.5</v>
      </c>
      <c r="Q115" s="22" t="str">
        <f>IF(OR(L115&lt;$Y$18,L115&gt;$Y$19),"Outlier","Normal")</f>
        <v>Normal</v>
      </c>
      <c r="R115" s="26" t="str">
        <f>A115&amp;B115&amp;C115&amp;D115&amp;E115&amp;F115&amp;G115&amp;H115&amp;I115&amp;J115&amp;K115&amp;L115&amp;M115&amp;N115&amp;O115&amp;P115</f>
        <v>USR-10011445680ControlSouthMobileSocialFree110000061.5</v>
      </c>
      <c r="S115" s="22" t="str">
        <f>IF(COUNTIF($R$2:$R$1409,R115)=1,"OK",IF(COUNTIF($R$2:$R$1409,R115)&gt;1,"Exact Duplicate","Review Required"))</f>
        <v>OK</v>
      </c>
      <c r="T115" s="22" t="s">
        <v>24</v>
      </c>
      <c r="U115" s="22" t="s">
        <v>41</v>
      </c>
      <c r="V115" s="22"/>
    </row>
    <row r="116" spans="1:22" ht="41.4">
      <c r="A116" s="22" t="s">
        <v>146</v>
      </c>
      <c r="B116" s="25">
        <v>45744</v>
      </c>
      <c r="C116" s="22" t="s">
        <v>17</v>
      </c>
      <c r="D116" s="22" t="s">
        <v>28</v>
      </c>
      <c r="E116" s="22" t="s">
        <v>19</v>
      </c>
      <c r="F116" s="22" t="s">
        <v>41</v>
      </c>
      <c r="G116" s="22" t="s">
        <v>26</v>
      </c>
      <c r="H116" s="22">
        <v>1</v>
      </c>
      <c r="I116" s="22">
        <v>0</v>
      </c>
      <c r="J116" s="22">
        <v>0</v>
      </c>
      <c r="K116" s="22">
        <v>0</v>
      </c>
      <c r="L116" s="22">
        <v>0</v>
      </c>
      <c r="M116" s="22">
        <v>0</v>
      </c>
      <c r="N116" s="22">
        <v>0</v>
      </c>
      <c r="O116" s="22"/>
      <c r="P116" s="22">
        <v>63.2</v>
      </c>
      <c r="Q116" s="22" t="str">
        <f>IF(OR(L116&lt;$Y$18,L116&gt;$Y$19),"Outlier","Normal")</f>
        <v>Normal</v>
      </c>
      <c r="R116" s="26" t="str">
        <f>A116&amp;B116&amp;C116&amp;D116&amp;E116&amp;F116&amp;G116&amp;H116&amp;I116&amp;J116&amp;K116&amp;L116&amp;M116&amp;N116&amp;O116&amp;P116</f>
        <v>USR-10011545744ControlEastDesktopSocialFree100000063.2</v>
      </c>
      <c r="S116" s="22" t="str">
        <f>IF(COUNTIF($R$2:$R$1409,R116)=1,"OK",IF(COUNTIF($R$2:$R$1409,R116)&gt;1,"Exact Duplicate","Review Required"))</f>
        <v>OK</v>
      </c>
      <c r="T116" s="22" t="s">
        <v>19</v>
      </c>
      <c r="U116" s="22" t="s">
        <v>41</v>
      </c>
      <c r="V116" s="22"/>
    </row>
    <row r="117" spans="1:22" ht="41.4">
      <c r="A117" s="22" t="s">
        <v>147</v>
      </c>
      <c r="B117" s="25">
        <v>45668</v>
      </c>
      <c r="C117" s="22" t="s">
        <v>17</v>
      </c>
      <c r="D117" s="22" t="s">
        <v>23</v>
      </c>
      <c r="E117" s="22" t="s">
        <v>24</v>
      </c>
      <c r="F117" s="22" t="s">
        <v>25</v>
      </c>
      <c r="G117" s="22" t="s">
        <v>26</v>
      </c>
      <c r="H117" s="22">
        <v>0</v>
      </c>
      <c r="I117" s="22">
        <v>0</v>
      </c>
      <c r="J117" s="22">
        <v>0</v>
      </c>
      <c r="K117" s="22">
        <v>0</v>
      </c>
      <c r="L117" s="22">
        <v>0</v>
      </c>
      <c r="M117" s="22">
        <v>0</v>
      </c>
      <c r="N117" s="22">
        <v>0</v>
      </c>
      <c r="O117" s="22"/>
      <c r="P117" s="22">
        <v>71.900000000000006</v>
      </c>
      <c r="Q117" s="22" t="str">
        <f>IF(OR(L117&lt;$Y$18,L117&gt;$Y$19),"Outlier","Normal")</f>
        <v>Normal</v>
      </c>
      <c r="R117" s="26" t="str">
        <f>A117&amp;B117&amp;C117&amp;D117&amp;E117&amp;F117&amp;G117&amp;H117&amp;I117&amp;J117&amp;K117&amp;L117&amp;M117&amp;N117&amp;O117&amp;P117</f>
        <v>USR-10011645668ControlWestMobileOrganicFree000000071.9</v>
      </c>
      <c r="S117" s="22" t="str">
        <f>IF(COUNTIF($R$2:$R$1409,R117)=1,"OK",IF(COUNTIF($R$2:$R$1409,R117)&gt;1,"Exact Duplicate","Review Required"))</f>
        <v>OK</v>
      </c>
      <c r="T117" s="22" t="s">
        <v>24</v>
      </c>
      <c r="U117" s="22" t="s">
        <v>25</v>
      </c>
      <c r="V117" s="22"/>
    </row>
    <row r="118" spans="1:22" ht="41.4">
      <c r="A118" s="22" t="s">
        <v>148</v>
      </c>
      <c r="B118" s="25">
        <v>45758</v>
      </c>
      <c r="C118" s="22" t="s">
        <v>17</v>
      </c>
      <c r="D118" s="22" t="s">
        <v>18</v>
      </c>
      <c r="E118" s="22" t="s">
        <v>24</v>
      </c>
      <c r="F118" s="22" t="s">
        <v>39</v>
      </c>
      <c r="G118" s="22" t="s">
        <v>26</v>
      </c>
      <c r="H118" s="22">
        <v>0</v>
      </c>
      <c r="I118" s="22">
        <v>0</v>
      </c>
      <c r="J118" s="22">
        <v>0</v>
      </c>
      <c r="K118" s="22">
        <v>0</v>
      </c>
      <c r="L118" s="22">
        <v>0</v>
      </c>
      <c r="M118" s="22">
        <v>0</v>
      </c>
      <c r="N118" s="22">
        <v>0</v>
      </c>
      <c r="O118" s="22"/>
      <c r="P118" s="22">
        <v>62.7</v>
      </c>
      <c r="Q118" s="22" t="str">
        <f>IF(OR(L118&lt;$Y$18,L118&gt;$Y$19),"Outlier","Normal")</f>
        <v>Normal</v>
      </c>
      <c r="R118" s="26" t="str">
        <f>A118&amp;B118&amp;C118&amp;D118&amp;E118&amp;F118&amp;G118&amp;H118&amp;I118&amp;J118&amp;K118&amp;L118&amp;M118&amp;N118&amp;O118&amp;P118</f>
        <v>USR-10011745758ControlNorthMobileReferralFree000000062.7</v>
      </c>
      <c r="S118" s="22" t="str">
        <f>IF(COUNTIF($R$2:$R$1409,R118)=1,"OK",IF(COUNTIF($R$2:$R$1409,R118)&gt;1,"Exact Duplicate","Review Required"))</f>
        <v>OK</v>
      </c>
      <c r="T118" s="22" t="s">
        <v>24</v>
      </c>
      <c r="U118" s="22" t="s">
        <v>39</v>
      </c>
      <c r="V118" s="22"/>
    </row>
    <row r="119" spans="1:22" ht="41.4">
      <c r="A119" s="22" t="s">
        <v>149</v>
      </c>
      <c r="B119" s="25">
        <v>45659</v>
      </c>
      <c r="C119" s="22" t="s">
        <v>17</v>
      </c>
      <c r="D119" s="22" t="s">
        <v>23</v>
      </c>
      <c r="E119" s="22" t="s">
        <v>24</v>
      </c>
      <c r="F119" s="22" t="s">
        <v>29</v>
      </c>
      <c r="G119" s="22" t="s">
        <v>26</v>
      </c>
      <c r="H119" s="22">
        <v>1</v>
      </c>
      <c r="I119" s="22">
        <v>0</v>
      </c>
      <c r="J119" s="22">
        <v>0</v>
      </c>
      <c r="K119" s="22">
        <v>0</v>
      </c>
      <c r="L119" s="22">
        <v>0</v>
      </c>
      <c r="M119" s="22">
        <v>0</v>
      </c>
      <c r="N119" s="22">
        <v>0</v>
      </c>
      <c r="O119" s="22"/>
      <c r="P119" s="22">
        <v>51.5</v>
      </c>
      <c r="Q119" s="22" t="str">
        <f>IF(OR(L119&lt;$Y$18,L119&gt;$Y$19),"Outlier","Normal")</f>
        <v>Normal</v>
      </c>
      <c r="R119" s="26" t="str">
        <f>A119&amp;B119&amp;C119&amp;D119&amp;E119&amp;F119&amp;G119&amp;H119&amp;I119&amp;J119&amp;K119&amp;L119&amp;M119&amp;N119&amp;O119&amp;P119</f>
        <v>USR-10011845659ControlWestMobilePaid SearchFree100000051.5</v>
      </c>
      <c r="S119" s="22" t="str">
        <f>IF(COUNTIF($R$2:$R$1409,R119)=1,"OK",IF(COUNTIF($R$2:$R$1409,R119)&gt;1,"Exact Duplicate","Review Required"))</f>
        <v>OK</v>
      </c>
      <c r="T119" s="22" t="s">
        <v>24</v>
      </c>
      <c r="U119" s="22" t="s">
        <v>29</v>
      </c>
      <c r="V119" s="22"/>
    </row>
    <row r="120" spans="1:22" ht="41.4">
      <c r="A120" s="22" t="s">
        <v>150</v>
      </c>
      <c r="B120" s="25">
        <v>45734</v>
      </c>
      <c r="C120" s="22" t="s">
        <v>17</v>
      </c>
      <c r="D120" s="22" t="s">
        <v>28</v>
      </c>
      <c r="E120" s="22" t="s">
        <v>24</v>
      </c>
      <c r="F120" s="22" t="s">
        <v>41</v>
      </c>
      <c r="G120" s="22" t="s">
        <v>26</v>
      </c>
      <c r="H120" s="22">
        <v>1</v>
      </c>
      <c r="I120" s="22">
        <v>1</v>
      </c>
      <c r="J120" s="22">
        <v>1</v>
      </c>
      <c r="K120" s="22">
        <v>0</v>
      </c>
      <c r="L120" s="22">
        <v>0</v>
      </c>
      <c r="M120" s="22">
        <v>0</v>
      </c>
      <c r="N120" s="22">
        <v>0</v>
      </c>
      <c r="O120" s="22"/>
      <c r="P120" s="22">
        <v>39.1</v>
      </c>
      <c r="Q120" s="22" t="str">
        <f>IF(OR(L120&lt;$Y$18,L120&gt;$Y$19),"Outlier","Normal")</f>
        <v>Normal</v>
      </c>
      <c r="R120" s="26" t="str">
        <f>A120&amp;B120&amp;C120&amp;D120&amp;E120&amp;F120&amp;G120&amp;H120&amp;I120&amp;J120&amp;K120&amp;L120&amp;M120&amp;N120&amp;O120&amp;P120</f>
        <v>USR-10011945734ControlEastMobileSocialFree111000039.1</v>
      </c>
      <c r="S120" s="22" t="str">
        <f>IF(COUNTIF($R$2:$R$1409,R120)=1,"OK",IF(COUNTIF($R$2:$R$1409,R120)&gt;1,"Exact Duplicate","Review Required"))</f>
        <v>OK</v>
      </c>
      <c r="T120" s="22" t="s">
        <v>24</v>
      </c>
      <c r="U120" s="22" t="s">
        <v>41</v>
      </c>
      <c r="V120" s="22"/>
    </row>
    <row r="121" spans="1:22" ht="41.4">
      <c r="A121" s="22" t="s">
        <v>151</v>
      </c>
      <c r="B121" s="25">
        <v>45747</v>
      </c>
      <c r="C121" s="22" t="s">
        <v>17</v>
      </c>
      <c r="D121" s="22" t="s">
        <v>18</v>
      </c>
      <c r="E121" s="22" t="s">
        <v>24</v>
      </c>
      <c r="F121" s="22" t="s">
        <v>20</v>
      </c>
      <c r="G121" s="22" t="s">
        <v>26</v>
      </c>
      <c r="H121" s="22">
        <v>1</v>
      </c>
      <c r="I121" s="22">
        <v>0</v>
      </c>
      <c r="J121" s="22">
        <v>0</v>
      </c>
      <c r="K121" s="22">
        <v>0</v>
      </c>
      <c r="L121" s="22">
        <v>0</v>
      </c>
      <c r="M121" s="22">
        <v>0</v>
      </c>
      <c r="N121" s="22">
        <v>0</v>
      </c>
      <c r="O121" s="22"/>
      <c r="P121" s="22">
        <v>43.8</v>
      </c>
      <c r="Q121" s="22" t="str">
        <f>IF(OR(L121&lt;$Y$18,L121&gt;$Y$19),"Outlier","Normal")</f>
        <v>Normal</v>
      </c>
      <c r="R121" s="26" t="str">
        <f>A121&amp;B121&amp;C121&amp;D121&amp;E121&amp;F121&amp;G121&amp;H121&amp;I121&amp;J121&amp;K121&amp;L121&amp;M121&amp;N121&amp;O121&amp;P121</f>
        <v>USR-10012045747ControlNorthMobileEmailFree100000043.8</v>
      </c>
      <c r="S121" s="22" t="str">
        <f>IF(COUNTIF($R$2:$R$1409,R121)=1,"OK",IF(COUNTIF($R$2:$R$1409,R121)&gt;1,"Exact Duplicate","Review Required"))</f>
        <v>OK</v>
      </c>
      <c r="T121" s="22" t="s">
        <v>24</v>
      </c>
      <c r="U121" s="22" t="s">
        <v>20</v>
      </c>
      <c r="V121" s="22"/>
    </row>
    <row r="122" spans="1:22" ht="41.4">
      <c r="A122" s="22" t="s">
        <v>152</v>
      </c>
      <c r="B122" s="25">
        <v>45663</v>
      </c>
      <c r="C122" s="22" t="s">
        <v>17</v>
      </c>
      <c r="D122" s="22" t="s">
        <v>18</v>
      </c>
      <c r="E122" s="22" t="s">
        <v>24</v>
      </c>
      <c r="F122" s="22" t="s">
        <v>29</v>
      </c>
      <c r="G122" s="22" t="s">
        <v>21</v>
      </c>
      <c r="H122" s="22">
        <v>1</v>
      </c>
      <c r="I122" s="22">
        <v>0</v>
      </c>
      <c r="J122" s="22">
        <v>0</v>
      </c>
      <c r="K122" s="22">
        <v>0</v>
      </c>
      <c r="L122" s="22">
        <v>0</v>
      </c>
      <c r="M122" s="22">
        <v>0</v>
      </c>
      <c r="N122" s="22">
        <v>0</v>
      </c>
      <c r="O122" s="22"/>
      <c r="P122" s="22">
        <v>59.9</v>
      </c>
      <c r="Q122" s="22" t="str">
        <f>IF(OR(L122&lt;$Y$18,L122&gt;$Y$19),"Outlier","Normal")</f>
        <v>Normal</v>
      </c>
      <c r="R122" s="26" t="str">
        <f>A122&amp;B122&amp;C122&amp;D122&amp;E122&amp;F122&amp;G122&amp;H122&amp;I122&amp;J122&amp;K122&amp;L122&amp;M122&amp;N122&amp;O122&amp;P122</f>
        <v>USR-10012145663ControlNorthMobilePaid SearchBasic100000059.9</v>
      </c>
      <c r="S122" s="22" t="str">
        <f>IF(COUNTIF($R$2:$R$1409,R122)=1,"OK",IF(COUNTIF($R$2:$R$1409,R122)&gt;1,"Exact Duplicate","Review Required"))</f>
        <v>OK</v>
      </c>
      <c r="T122" s="22" t="s">
        <v>24</v>
      </c>
      <c r="U122" s="22" t="s">
        <v>29</v>
      </c>
      <c r="V122" s="22"/>
    </row>
    <row r="123" spans="1:22" ht="41.4">
      <c r="A123" s="22" t="s">
        <v>153</v>
      </c>
      <c r="B123" s="25">
        <v>45683</v>
      </c>
      <c r="C123" s="22" t="s">
        <v>17</v>
      </c>
      <c r="D123" s="22" t="s">
        <v>18</v>
      </c>
      <c r="E123" s="22" t="s">
        <v>24</v>
      </c>
      <c r="F123" s="22" t="s">
        <v>39</v>
      </c>
      <c r="G123" s="22" t="s">
        <v>26</v>
      </c>
      <c r="H123" s="22">
        <v>1</v>
      </c>
      <c r="I123" s="22">
        <v>1</v>
      </c>
      <c r="J123" s="22">
        <v>0</v>
      </c>
      <c r="K123" s="22">
        <v>0</v>
      </c>
      <c r="L123" s="22">
        <v>0</v>
      </c>
      <c r="M123" s="22">
        <v>0</v>
      </c>
      <c r="N123" s="22">
        <v>0</v>
      </c>
      <c r="O123" s="22"/>
      <c r="P123" s="22">
        <v>71.400000000000006</v>
      </c>
      <c r="Q123" s="22" t="str">
        <f>IF(OR(L123&lt;$Y$18,L123&gt;$Y$19),"Outlier","Normal")</f>
        <v>Normal</v>
      </c>
      <c r="R123" s="26" t="str">
        <f>A123&amp;B123&amp;C123&amp;D123&amp;E123&amp;F123&amp;G123&amp;H123&amp;I123&amp;J123&amp;K123&amp;L123&amp;M123&amp;N123&amp;O123&amp;P123</f>
        <v>USR-10012245683ControlNorthMobileReferralFree110000071.4</v>
      </c>
      <c r="S123" s="22" t="str">
        <f>IF(COUNTIF($R$2:$R$1409,R123)=1,"OK",IF(COUNTIF($R$2:$R$1409,R123)&gt;1,"Exact Duplicate","Review Required"))</f>
        <v>OK</v>
      </c>
      <c r="T123" s="22" t="s">
        <v>24</v>
      </c>
      <c r="U123" s="22" t="s">
        <v>39</v>
      </c>
      <c r="V123" s="22"/>
    </row>
    <row r="124" spans="1:22" ht="41.4">
      <c r="A124" s="22" t="s">
        <v>154</v>
      </c>
      <c r="B124" s="25">
        <v>45769</v>
      </c>
      <c r="C124" s="22" t="s">
        <v>17</v>
      </c>
      <c r="D124" s="22" t="s">
        <v>32</v>
      </c>
      <c r="E124" s="22" t="s">
        <v>24</v>
      </c>
      <c r="F124" s="22" t="s">
        <v>39</v>
      </c>
      <c r="G124" s="22" t="s">
        <v>21</v>
      </c>
      <c r="H124" s="22">
        <v>0</v>
      </c>
      <c r="I124" s="22">
        <v>0</v>
      </c>
      <c r="J124" s="22">
        <v>0</v>
      </c>
      <c r="K124" s="22">
        <v>0</v>
      </c>
      <c r="L124" s="22">
        <v>0</v>
      </c>
      <c r="M124" s="22">
        <v>0</v>
      </c>
      <c r="N124" s="22">
        <v>0</v>
      </c>
      <c r="O124" s="22"/>
      <c r="P124" s="22">
        <v>36.1</v>
      </c>
      <c r="Q124" s="22" t="str">
        <f>IF(OR(L124&lt;$Y$18,L124&gt;$Y$19),"Outlier","Normal")</f>
        <v>Normal</v>
      </c>
      <c r="R124" s="26" t="str">
        <f>A124&amp;B124&amp;C124&amp;D124&amp;E124&amp;F124&amp;G124&amp;H124&amp;I124&amp;J124&amp;K124&amp;L124&amp;M124&amp;N124&amp;O124&amp;P124</f>
        <v>USR-10012345769ControlSouthMobileReferralBasic000000036.1</v>
      </c>
      <c r="S124" s="22" t="str">
        <f>IF(COUNTIF($R$2:$R$1409,R124)=1,"OK",IF(COUNTIF($R$2:$R$1409,R124)&gt;1,"Exact Duplicate","Review Required"))</f>
        <v>OK</v>
      </c>
      <c r="T124" s="22" t="s">
        <v>24</v>
      </c>
      <c r="U124" s="22" t="s">
        <v>39</v>
      </c>
      <c r="V124" s="22"/>
    </row>
    <row r="125" spans="1:22" ht="41.4">
      <c r="A125" s="22" t="s">
        <v>155</v>
      </c>
      <c r="B125" s="25">
        <v>45807</v>
      </c>
      <c r="C125" s="22" t="s">
        <v>17</v>
      </c>
      <c r="D125" s="22" t="s">
        <v>23</v>
      </c>
      <c r="E125" s="22" t="s">
        <v>1482</v>
      </c>
      <c r="F125" s="22" t="s">
        <v>20</v>
      </c>
      <c r="G125" s="22" t="s">
        <v>21</v>
      </c>
      <c r="H125" s="22">
        <v>1</v>
      </c>
      <c r="I125" s="22">
        <v>1</v>
      </c>
      <c r="J125" s="22">
        <v>0</v>
      </c>
      <c r="K125" s="22">
        <v>0</v>
      </c>
      <c r="L125" s="22">
        <v>0</v>
      </c>
      <c r="M125" s="22">
        <v>0</v>
      </c>
      <c r="N125" s="22">
        <v>0</v>
      </c>
      <c r="O125" s="22"/>
      <c r="P125" s="22">
        <v>47.9</v>
      </c>
      <c r="Q125" s="22" t="str">
        <f>IF(OR(L125&lt;$Y$18,L125&gt;$Y$19),"Outlier","Normal")</f>
        <v>Normal</v>
      </c>
      <c r="R125" s="26" t="str">
        <f>A125&amp;B125&amp;C125&amp;D125&amp;E125&amp;F125&amp;G125&amp;H125&amp;I125&amp;J125&amp;K125&amp;L125&amp;M125&amp;N125&amp;O125&amp;P125</f>
        <v>USR-10012445807ControlWestUnknownEmailBasic110000047.9</v>
      </c>
      <c r="S125" s="22" t="str">
        <f>IF(COUNTIF($R$2:$R$1409,R125)=1,"OK",IF(COUNTIF($R$2:$R$1409,R125)&gt;1,"Exact Duplicate","Review Required"))</f>
        <v>OK</v>
      </c>
      <c r="T125" s="22"/>
      <c r="U125" s="22" t="s">
        <v>20</v>
      </c>
      <c r="V125" s="22"/>
    </row>
    <row r="126" spans="1:22" ht="41.4">
      <c r="A126" s="22" t="s">
        <v>156</v>
      </c>
      <c r="B126" s="25">
        <v>45795</v>
      </c>
      <c r="C126" s="22" t="s">
        <v>17</v>
      </c>
      <c r="D126" s="22" t="s">
        <v>23</v>
      </c>
      <c r="E126" s="22" t="s">
        <v>19</v>
      </c>
      <c r="F126" s="22" t="s">
        <v>25</v>
      </c>
      <c r="G126" s="22" t="s">
        <v>30</v>
      </c>
      <c r="H126" s="22">
        <v>1</v>
      </c>
      <c r="I126" s="22">
        <v>0</v>
      </c>
      <c r="J126" s="22">
        <v>0</v>
      </c>
      <c r="K126" s="22">
        <v>0</v>
      </c>
      <c r="L126" s="22">
        <v>0</v>
      </c>
      <c r="M126" s="22">
        <v>0</v>
      </c>
      <c r="N126" s="22">
        <v>0</v>
      </c>
      <c r="O126" s="22"/>
      <c r="P126" s="22">
        <v>62.5</v>
      </c>
      <c r="Q126" s="22" t="str">
        <f>IF(OR(L126&lt;$Y$18,L126&gt;$Y$19),"Outlier","Normal")</f>
        <v>Normal</v>
      </c>
      <c r="R126" s="26" t="str">
        <f>A126&amp;B126&amp;C126&amp;D126&amp;E126&amp;F126&amp;G126&amp;H126&amp;I126&amp;J126&amp;K126&amp;L126&amp;M126&amp;N126&amp;O126&amp;P126</f>
        <v>USR-10012545795ControlWestDesktopOrganicPremium100000062.5</v>
      </c>
      <c r="S126" s="22" t="str">
        <f>IF(COUNTIF($R$2:$R$1409,R126)=1,"OK",IF(COUNTIF($R$2:$R$1409,R126)&gt;1,"Exact Duplicate","Review Required"))</f>
        <v>OK</v>
      </c>
      <c r="T126" s="22" t="s">
        <v>19</v>
      </c>
      <c r="U126" s="22" t="s">
        <v>25</v>
      </c>
      <c r="V126" s="22"/>
    </row>
    <row r="127" spans="1:22" ht="41.4">
      <c r="A127" s="22" t="s">
        <v>157</v>
      </c>
      <c r="B127" s="25">
        <v>45670</v>
      </c>
      <c r="C127" s="22" t="s">
        <v>17</v>
      </c>
      <c r="D127" s="22" t="s">
        <v>32</v>
      </c>
      <c r="E127" s="22" t="s">
        <v>19</v>
      </c>
      <c r="F127" s="22" t="s">
        <v>29</v>
      </c>
      <c r="G127" s="22" t="s">
        <v>30</v>
      </c>
      <c r="H127" s="22">
        <v>1</v>
      </c>
      <c r="I127" s="22">
        <v>0</v>
      </c>
      <c r="J127" s="22">
        <v>0</v>
      </c>
      <c r="K127" s="22">
        <v>0</v>
      </c>
      <c r="L127" s="22">
        <v>0</v>
      </c>
      <c r="M127" s="22">
        <v>0</v>
      </c>
      <c r="N127" s="22">
        <v>0</v>
      </c>
      <c r="O127" s="22"/>
      <c r="P127" s="22">
        <v>56.9</v>
      </c>
      <c r="Q127" s="22" t="str">
        <f>IF(OR(L127&lt;$Y$18,L127&gt;$Y$19),"Outlier","Normal")</f>
        <v>Normal</v>
      </c>
      <c r="R127" s="26" t="str">
        <f>A127&amp;B127&amp;C127&amp;D127&amp;E127&amp;F127&amp;G127&amp;H127&amp;I127&amp;J127&amp;K127&amp;L127&amp;M127&amp;N127&amp;O127&amp;P127</f>
        <v>USR-10012645670ControlSouthDesktopPaid SearchPremium100000056.9</v>
      </c>
      <c r="S127" s="22" t="str">
        <f>IF(COUNTIF($R$2:$R$1409,R127)=1,"OK",IF(COUNTIF($R$2:$R$1409,R127)&gt;1,"Exact Duplicate","Review Required"))</f>
        <v>OK</v>
      </c>
      <c r="T127" s="22" t="s">
        <v>19</v>
      </c>
      <c r="U127" s="22" t="s">
        <v>29</v>
      </c>
      <c r="V127" s="22"/>
    </row>
    <row r="128" spans="1:22" ht="41.4">
      <c r="A128" s="22" t="s">
        <v>158</v>
      </c>
      <c r="B128" s="25">
        <v>45741</v>
      </c>
      <c r="C128" s="22" t="s">
        <v>17</v>
      </c>
      <c r="D128" s="22" t="s">
        <v>18</v>
      </c>
      <c r="E128" s="22" t="s">
        <v>19</v>
      </c>
      <c r="F128" s="22" t="s">
        <v>20</v>
      </c>
      <c r="G128" s="22" t="s">
        <v>26</v>
      </c>
      <c r="H128" s="22">
        <v>0</v>
      </c>
      <c r="I128" s="22">
        <v>0</v>
      </c>
      <c r="J128" s="22">
        <v>0</v>
      </c>
      <c r="K128" s="22">
        <v>0</v>
      </c>
      <c r="L128" s="22">
        <v>0</v>
      </c>
      <c r="M128" s="22">
        <v>0</v>
      </c>
      <c r="N128" s="22">
        <v>0</v>
      </c>
      <c r="O128" s="22"/>
      <c r="P128" s="22">
        <v>64.7</v>
      </c>
      <c r="Q128" s="22" t="str">
        <f>IF(OR(L128&lt;$Y$18,L128&gt;$Y$19),"Outlier","Normal")</f>
        <v>Normal</v>
      </c>
      <c r="R128" s="26" t="str">
        <f>A128&amp;B128&amp;C128&amp;D128&amp;E128&amp;F128&amp;G128&amp;H128&amp;I128&amp;J128&amp;K128&amp;L128&amp;M128&amp;N128&amp;O128&amp;P128</f>
        <v>USR-10012745741ControlNorthDesktopEmailFree000000064.7</v>
      </c>
      <c r="S128" s="22" t="str">
        <f>IF(COUNTIF($R$2:$R$1409,R128)=1,"OK",IF(COUNTIF($R$2:$R$1409,R128)&gt;1,"Exact Duplicate","Review Required"))</f>
        <v>OK</v>
      </c>
      <c r="T128" s="22" t="s">
        <v>19</v>
      </c>
      <c r="U128" s="22" t="s">
        <v>20</v>
      </c>
      <c r="V128" s="22"/>
    </row>
    <row r="129" spans="1:22" ht="41.4">
      <c r="A129" s="22" t="s">
        <v>159</v>
      </c>
      <c r="B129" s="25">
        <v>45776</v>
      </c>
      <c r="C129" s="22" t="s">
        <v>17</v>
      </c>
      <c r="D129" s="22" t="s">
        <v>32</v>
      </c>
      <c r="E129" s="22" t="s">
        <v>19</v>
      </c>
      <c r="F129" s="22" t="s">
        <v>25</v>
      </c>
      <c r="G129" s="22" t="s">
        <v>26</v>
      </c>
      <c r="H129" s="22">
        <v>1</v>
      </c>
      <c r="I129" s="22">
        <v>1</v>
      </c>
      <c r="J129" s="22">
        <v>1</v>
      </c>
      <c r="K129" s="22">
        <v>0</v>
      </c>
      <c r="L129" s="22">
        <v>0</v>
      </c>
      <c r="M129" s="22">
        <v>0</v>
      </c>
      <c r="N129" s="22">
        <v>0</v>
      </c>
      <c r="O129" s="22"/>
      <c r="P129" s="22">
        <v>64</v>
      </c>
      <c r="Q129" s="22" t="str">
        <f>IF(OR(L129&lt;$Y$18,L129&gt;$Y$19),"Outlier","Normal")</f>
        <v>Normal</v>
      </c>
      <c r="R129" s="26" t="str">
        <f>A129&amp;B129&amp;C129&amp;D129&amp;E129&amp;F129&amp;G129&amp;H129&amp;I129&amp;J129&amp;K129&amp;L129&amp;M129&amp;N129&amp;O129&amp;P129</f>
        <v>USR-10012845776ControlSouthDesktopOrganicFree111000064</v>
      </c>
      <c r="S129" s="22" t="str">
        <f>IF(COUNTIF($R$2:$R$1409,R129)=1,"OK",IF(COUNTIF($R$2:$R$1409,R129)&gt;1,"Exact Duplicate","Review Required"))</f>
        <v>OK</v>
      </c>
      <c r="T129" s="22" t="s">
        <v>19</v>
      </c>
      <c r="U129" s="22" t="s">
        <v>25</v>
      </c>
      <c r="V129" s="22"/>
    </row>
    <row r="130" spans="1:22" ht="41.4">
      <c r="A130" s="22" t="s">
        <v>160</v>
      </c>
      <c r="B130" s="25">
        <v>45794</v>
      </c>
      <c r="C130" s="22" t="s">
        <v>17</v>
      </c>
      <c r="D130" s="22" t="s">
        <v>28</v>
      </c>
      <c r="E130" s="22" t="s">
        <v>24</v>
      </c>
      <c r="F130" s="22" t="s">
        <v>39</v>
      </c>
      <c r="G130" s="22" t="s">
        <v>21</v>
      </c>
      <c r="H130" s="22">
        <v>1</v>
      </c>
      <c r="I130" s="22">
        <v>1</v>
      </c>
      <c r="J130" s="22">
        <v>1</v>
      </c>
      <c r="K130" s="22">
        <v>0</v>
      </c>
      <c r="L130" s="22">
        <v>0</v>
      </c>
      <c r="M130" s="22">
        <v>0</v>
      </c>
      <c r="N130" s="22">
        <v>0</v>
      </c>
      <c r="O130" s="22"/>
      <c r="P130" s="22">
        <v>75.2</v>
      </c>
      <c r="Q130" s="22" t="str">
        <f>IF(OR(L130&lt;$Y$18,L130&gt;$Y$19),"Outlier","Normal")</f>
        <v>Normal</v>
      </c>
      <c r="R130" s="26" t="str">
        <f>A130&amp;B130&amp;C130&amp;D130&amp;E130&amp;F130&amp;G130&amp;H130&amp;I130&amp;J130&amp;K130&amp;L130&amp;M130&amp;N130&amp;O130&amp;P130</f>
        <v>USR-10012945794ControlEastMobileReferralBasic111000075.2</v>
      </c>
      <c r="S130" s="22" t="str">
        <f>IF(COUNTIF($R$2:$R$1409,R130)=1,"OK",IF(COUNTIF($R$2:$R$1409,R130)&gt;1,"Exact Duplicate","Review Required"))</f>
        <v>OK</v>
      </c>
      <c r="T130" s="22" t="s">
        <v>24</v>
      </c>
      <c r="U130" s="22" t="s">
        <v>39</v>
      </c>
      <c r="V130" s="22"/>
    </row>
    <row r="131" spans="1:22" ht="41.4">
      <c r="A131" s="22" t="s">
        <v>161</v>
      </c>
      <c r="B131" s="25">
        <v>45659</v>
      </c>
      <c r="C131" s="22" t="s">
        <v>17</v>
      </c>
      <c r="D131" s="22" t="s">
        <v>18</v>
      </c>
      <c r="E131" s="22" t="s">
        <v>24</v>
      </c>
      <c r="F131" s="22" t="s">
        <v>29</v>
      </c>
      <c r="G131" s="22" t="s">
        <v>26</v>
      </c>
      <c r="H131" s="22">
        <v>1</v>
      </c>
      <c r="I131" s="22">
        <v>0</v>
      </c>
      <c r="J131" s="22">
        <v>0</v>
      </c>
      <c r="K131" s="22">
        <v>0</v>
      </c>
      <c r="L131" s="22">
        <v>0</v>
      </c>
      <c r="M131" s="22">
        <v>1</v>
      </c>
      <c r="N131" s="22">
        <v>0</v>
      </c>
      <c r="O131" s="22"/>
      <c r="P131" s="22">
        <v>79</v>
      </c>
      <c r="Q131" s="22" t="str">
        <f>IF(OR(L131&lt;$Y$18,L131&gt;$Y$19),"Outlier","Normal")</f>
        <v>Normal</v>
      </c>
      <c r="R131" s="26" t="str">
        <f>A131&amp;B131&amp;C131&amp;D131&amp;E131&amp;F131&amp;G131&amp;H131&amp;I131&amp;J131&amp;K131&amp;L131&amp;M131&amp;N131&amp;O131&amp;P131</f>
        <v>USR-10013045659ControlNorthMobilePaid SearchFree100001079</v>
      </c>
      <c r="S131" s="22" t="str">
        <f>IF(COUNTIF($R$2:$R$1409,R131)=1,"OK",IF(COUNTIF($R$2:$R$1409,R131)&gt;1,"Exact Duplicate","Review Required"))</f>
        <v>OK</v>
      </c>
      <c r="T131" s="22" t="s">
        <v>24</v>
      </c>
      <c r="U131" s="22" t="s">
        <v>29</v>
      </c>
      <c r="V131" s="22"/>
    </row>
    <row r="132" spans="1:22" ht="41.4">
      <c r="A132" s="22" t="s">
        <v>162</v>
      </c>
      <c r="B132" s="25">
        <v>45691</v>
      </c>
      <c r="C132" s="22" t="s">
        <v>17</v>
      </c>
      <c r="D132" s="22" t="s">
        <v>32</v>
      </c>
      <c r="E132" s="22" t="s">
        <v>24</v>
      </c>
      <c r="F132" s="22" t="s">
        <v>25</v>
      </c>
      <c r="G132" s="22" t="s">
        <v>26</v>
      </c>
      <c r="H132" s="22">
        <v>0</v>
      </c>
      <c r="I132" s="22">
        <v>0</v>
      </c>
      <c r="J132" s="22">
        <v>0</v>
      </c>
      <c r="K132" s="22">
        <v>0</v>
      </c>
      <c r="L132" s="22">
        <v>0</v>
      </c>
      <c r="M132" s="22">
        <v>0</v>
      </c>
      <c r="N132" s="22">
        <v>0</v>
      </c>
      <c r="O132" s="22"/>
      <c r="P132" s="22">
        <v>33</v>
      </c>
      <c r="Q132" s="22" t="str">
        <f>IF(OR(L132&lt;$Y$18,L132&gt;$Y$19),"Outlier","Normal")</f>
        <v>Normal</v>
      </c>
      <c r="R132" s="26" t="str">
        <f>A132&amp;B132&amp;C132&amp;D132&amp;E132&amp;F132&amp;G132&amp;H132&amp;I132&amp;J132&amp;K132&amp;L132&amp;M132&amp;N132&amp;O132&amp;P132</f>
        <v>USR-10013145691ControlSouthMobileOrganicFree000000033</v>
      </c>
      <c r="S132" s="22" t="str">
        <f>IF(COUNTIF($R$2:$R$1409,R132)=1,"OK",IF(COUNTIF($R$2:$R$1409,R132)&gt;1,"Exact Duplicate","Review Required"))</f>
        <v>OK</v>
      </c>
      <c r="T132" s="22" t="s">
        <v>24</v>
      </c>
      <c r="U132" s="22" t="s">
        <v>25</v>
      </c>
      <c r="V132" s="22"/>
    </row>
    <row r="133" spans="1:22" ht="41.4">
      <c r="A133" s="22" t="s">
        <v>163</v>
      </c>
      <c r="B133" s="25">
        <v>45720</v>
      </c>
      <c r="C133" s="22" t="s">
        <v>17</v>
      </c>
      <c r="D133" s="22" t="s">
        <v>28</v>
      </c>
      <c r="E133" s="22" t="s">
        <v>24</v>
      </c>
      <c r="F133" s="22" t="s">
        <v>25</v>
      </c>
      <c r="G133" s="22" t="s">
        <v>26</v>
      </c>
      <c r="H133" s="22">
        <v>1</v>
      </c>
      <c r="I133" s="22">
        <v>0</v>
      </c>
      <c r="J133" s="22">
        <v>0</v>
      </c>
      <c r="K133" s="22">
        <v>0</v>
      </c>
      <c r="L133" s="22">
        <v>0</v>
      </c>
      <c r="M133" s="22">
        <v>0</v>
      </c>
      <c r="N133" s="22">
        <v>0</v>
      </c>
      <c r="O133" s="22"/>
      <c r="P133" s="22">
        <v>67.900000000000006</v>
      </c>
      <c r="Q133" s="22" t="str">
        <f>IF(OR(L133&lt;$Y$18,L133&gt;$Y$19),"Outlier","Normal")</f>
        <v>Normal</v>
      </c>
      <c r="R133" s="26" t="str">
        <f>A133&amp;B133&amp;C133&amp;D133&amp;E133&amp;F133&amp;G133&amp;H133&amp;I133&amp;J133&amp;K133&amp;L133&amp;M133&amp;N133&amp;O133&amp;P133</f>
        <v>USR-10013245720ControlEastMobileOrganicFree100000067.9</v>
      </c>
      <c r="S133" s="22" t="str">
        <f>IF(COUNTIF($R$2:$R$1409,R133)=1,"OK",IF(COUNTIF($R$2:$R$1409,R133)&gt;1,"Exact Duplicate","Review Required"))</f>
        <v>OK</v>
      </c>
      <c r="T133" s="22" t="s">
        <v>24</v>
      </c>
      <c r="U133" s="22" t="s">
        <v>25</v>
      </c>
      <c r="V133" s="22"/>
    </row>
    <row r="134" spans="1:22" ht="41.4">
      <c r="A134" s="22" t="s">
        <v>164</v>
      </c>
      <c r="B134" s="25">
        <v>45683</v>
      </c>
      <c r="C134" s="22" t="s">
        <v>17</v>
      </c>
      <c r="D134" s="22" t="s">
        <v>32</v>
      </c>
      <c r="E134" s="22" t="s">
        <v>24</v>
      </c>
      <c r="F134" s="22" t="s">
        <v>29</v>
      </c>
      <c r="G134" s="22" t="s">
        <v>21</v>
      </c>
      <c r="H134" s="22">
        <v>0</v>
      </c>
      <c r="I134" s="22">
        <v>0</v>
      </c>
      <c r="J134" s="22">
        <v>0</v>
      </c>
      <c r="K134" s="22">
        <v>0</v>
      </c>
      <c r="L134" s="22">
        <v>0</v>
      </c>
      <c r="M134" s="22">
        <v>0</v>
      </c>
      <c r="N134" s="22">
        <v>0</v>
      </c>
      <c r="O134" s="22"/>
      <c r="P134" s="22">
        <v>42.2</v>
      </c>
      <c r="Q134" s="22" t="str">
        <f>IF(OR(L134&lt;$Y$18,L134&gt;$Y$19),"Outlier","Normal")</f>
        <v>Normal</v>
      </c>
      <c r="R134" s="26" t="str">
        <f>A134&amp;B134&amp;C134&amp;D134&amp;E134&amp;F134&amp;G134&amp;H134&amp;I134&amp;J134&amp;K134&amp;L134&amp;M134&amp;N134&amp;O134&amp;P134</f>
        <v>USR-10013345683ControlSouthMobilePaid SearchBasic000000042.2</v>
      </c>
      <c r="S134" s="22" t="str">
        <f>IF(COUNTIF($R$2:$R$1409,R134)=1,"OK",IF(COUNTIF($R$2:$R$1409,R134)&gt;1,"Exact Duplicate","Review Required"))</f>
        <v>OK</v>
      </c>
      <c r="T134" s="22" t="s">
        <v>24</v>
      </c>
      <c r="U134" s="22" t="s">
        <v>29</v>
      </c>
      <c r="V134" s="22"/>
    </row>
    <row r="135" spans="1:22" ht="41.4">
      <c r="A135" s="22" t="s">
        <v>165</v>
      </c>
      <c r="B135" s="25">
        <v>45789</v>
      </c>
      <c r="C135" s="22" t="s">
        <v>17</v>
      </c>
      <c r="D135" s="22" t="s">
        <v>23</v>
      </c>
      <c r="E135" s="22" t="s">
        <v>24</v>
      </c>
      <c r="F135" s="22" t="s">
        <v>29</v>
      </c>
      <c r="G135" s="22" t="s">
        <v>21</v>
      </c>
      <c r="H135" s="22">
        <v>1</v>
      </c>
      <c r="I135" s="22">
        <v>1</v>
      </c>
      <c r="J135" s="22">
        <v>1</v>
      </c>
      <c r="K135" s="22">
        <v>0</v>
      </c>
      <c r="L135" s="22">
        <v>0</v>
      </c>
      <c r="M135" s="22">
        <v>0</v>
      </c>
      <c r="N135" s="22">
        <v>0</v>
      </c>
      <c r="O135" s="22"/>
      <c r="P135" s="22">
        <v>43.4</v>
      </c>
      <c r="Q135" s="22" t="str">
        <f>IF(OR(L135&lt;$Y$18,L135&gt;$Y$19),"Outlier","Normal")</f>
        <v>Normal</v>
      </c>
      <c r="R135" s="26" t="str">
        <f>A135&amp;B135&amp;C135&amp;D135&amp;E135&amp;F135&amp;G135&amp;H135&amp;I135&amp;J135&amp;K135&amp;L135&amp;M135&amp;N135&amp;O135&amp;P135</f>
        <v>USR-10013445789ControlWestMobilePaid SearchBasic111000043.4</v>
      </c>
      <c r="S135" s="22" t="str">
        <f>IF(COUNTIF($R$2:$R$1409,R135)=1,"OK",IF(COUNTIF($R$2:$R$1409,R135)&gt;1,"Exact Duplicate","Review Required"))</f>
        <v>OK</v>
      </c>
      <c r="T135" s="22" t="s">
        <v>24</v>
      </c>
      <c r="U135" s="22" t="s">
        <v>29</v>
      </c>
      <c r="V135" s="22"/>
    </row>
    <row r="136" spans="1:22" ht="41.4">
      <c r="A136" s="22" t="s">
        <v>166</v>
      </c>
      <c r="B136" s="25">
        <v>45722</v>
      </c>
      <c r="C136" s="22" t="s">
        <v>17</v>
      </c>
      <c r="D136" s="22" t="s">
        <v>18</v>
      </c>
      <c r="E136" s="22" t="s">
        <v>24</v>
      </c>
      <c r="F136" s="22" t="s">
        <v>25</v>
      </c>
      <c r="G136" s="22" t="s">
        <v>21</v>
      </c>
      <c r="H136" s="22">
        <v>0</v>
      </c>
      <c r="I136" s="22">
        <v>0</v>
      </c>
      <c r="J136" s="22">
        <v>0</v>
      </c>
      <c r="K136" s="22">
        <v>0</v>
      </c>
      <c r="L136" s="22">
        <v>0</v>
      </c>
      <c r="M136" s="22">
        <v>0</v>
      </c>
      <c r="N136" s="22">
        <v>0</v>
      </c>
      <c r="O136" s="22"/>
      <c r="P136" s="22">
        <v>54.4</v>
      </c>
      <c r="Q136" s="22" t="str">
        <f>IF(OR(L136&lt;$Y$18,L136&gt;$Y$19),"Outlier","Normal")</f>
        <v>Normal</v>
      </c>
      <c r="R136" s="26" t="str">
        <f>A136&amp;B136&amp;C136&amp;D136&amp;E136&amp;F136&amp;G136&amp;H136&amp;I136&amp;J136&amp;K136&amp;L136&amp;M136&amp;N136&amp;O136&amp;P136</f>
        <v>USR-10013545722ControlNorthMobileOrganicBasic000000054.4</v>
      </c>
      <c r="S136" s="22" t="str">
        <f>IF(COUNTIF($R$2:$R$1409,R136)=1,"OK",IF(COUNTIF($R$2:$R$1409,R136)&gt;1,"Exact Duplicate","Review Required"))</f>
        <v>OK</v>
      </c>
      <c r="T136" s="22" t="s">
        <v>24</v>
      </c>
      <c r="U136" s="22" t="s">
        <v>25</v>
      </c>
      <c r="V136" s="22"/>
    </row>
    <row r="137" spans="1:22" ht="41.4">
      <c r="A137" s="22" t="s">
        <v>167</v>
      </c>
      <c r="B137" s="25">
        <v>45726</v>
      </c>
      <c r="C137" s="22" t="s">
        <v>17</v>
      </c>
      <c r="D137" s="22" t="s">
        <v>32</v>
      </c>
      <c r="E137" s="22" t="s">
        <v>19</v>
      </c>
      <c r="F137" s="22" t="s">
        <v>20</v>
      </c>
      <c r="G137" s="22" t="s">
        <v>30</v>
      </c>
      <c r="H137" s="22">
        <v>0</v>
      </c>
      <c r="I137" s="22">
        <v>0</v>
      </c>
      <c r="J137" s="22">
        <v>0</v>
      </c>
      <c r="K137" s="22">
        <v>0</v>
      </c>
      <c r="L137" s="22">
        <v>0</v>
      </c>
      <c r="M137" s="22">
        <v>0</v>
      </c>
      <c r="N137" s="22">
        <v>0</v>
      </c>
      <c r="O137" s="22"/>
      <c r="P137" s="22">
        <v>45.7</v>
      </c>
      <c r="Q137" s="22" t="str">
        <f>IF(OR(L137&lt;$Y$18,L137&gt;$Y$19),"Outlier","Normal")</f>
        <v>Normal</v>
      </c>
      <c r="R137" s="26" t="str">
        <f>A137&amp;B137&amp;C137&amp;D137&amp;E137&amp;F137&amp;G137&amp;H137&amp;I137&amp;J137&amp;K137&amp;L137&amp;M137&amp;N137&amp;O137&amp;P137</f>
        <v>USR-10013645726ControlSouthDesktopEmailPremium000000045.7</v>
      </c>
      <c r="S137" s="22" t="str">
        <f>IF(COUNTIF($R$2:$R$1409,R137)=1,"OK",IF(COUNTIF($R$2:$R$1409,R137)&gt;1,"Exact Duplicate","Review Required"))</f>
        <v>OK</v>
      </c>
      <c r="T137" s="22" t="s">
        <v>19</v>
      </c>
      <c r="U137" s="22" t="s">
        <v>20</v>
      </c>
      <c r="V137" s="22"/>
    </row>
    <row r="138" spans="1:22" ht="41.4">
      <c r="A138" s="22" t="s">
        <v>168</v>
      </c>
      <c r="B138" s="25">
        <v>45783</v>
      </c>
      <c r="C138" s="22" t="s">
        <v>17</v>
      </c>
      <c r="D138" s="22" t="s">
        <v>18</v>
      </c>
      <c r="E138" s="22" t="s">
        <v>24</v>
      </c>
      <c r="F138" s="22" t="s">
        <v>29</v>
      </c>
      <c r="G138" s="22" t="s">
        <v>26</v>
      </c>
      <c r="H138" s="22">
        <v>0</v>
      </c>
      <c r="I138" s="22">
        <v>0</v>
      </c>
      <c r="J138" s="22">
        <v>0</v>
      </c>
      <c r="K138" s="22">
        <v>0</v>
      </c>
      <c r="L138" s="22">
        <v>0</v>
      </c>
      <c r="M138" s="22">
        <v>3</v>
      </c>
      <c r="N138" s="22">
        <v>0</v>
      </c>
      <c r="O138" s="22"/>
      <c r="P138" s="22">
        <v>32</v>
      </c>
      <c r="Q138" s="22" t="str">
        <f>IF(OR(L138&lt;$Y$18,L138&gt;$Y$19),"Outlier","Normal")</f>
        <v>Normal</v>
      </c>
      <c r="R138" s="26" t="str">
        <f>A138&amp;B138&amp;C138&amp;D138&amp;E138&amp;F138&amp;G138&amp;H138&amp;I138&amp;J138&amp;K138&amp;L138&amp;M138&amp;N138&amp;O138&amp;P138</f>
        <v>USR-10013745783ControlNorthMobilePaid SearchFree000003032</v>
      </c>
      <c r="S138" s="22" t="str">
        <f>IF(COUNTIF($R$2:$R$1409,R138)=1,"OK",IF(COUNTIF($R$2:$R$1409,R138)&gt;1,"Exact Duplicate","Review Required"))</f>
        <v>OK</v>
      </c>
      <c r="T138" s="22" t="s">
        <v>24</v>
      </c>
      <c r="U138" s="22" t="s">
        <v>29</v>
      </c>
      <c r="V138" s="22"/>
    </row>
    <row r="139" spans="1:22" ht="41.4">
      <c r="A139" s="22" t="s">
        <v>169</v>
      </c>
      <c r="B139" s="25">
        <v>45711</v>
      </c>
      <c r="C139" s="22" t="s">
        <v>17</v>
      </c>
      <c r="D139" s="22" t="s">
        <v>32</v>
      </c>
      <c r="E139" s="22" t="s">
        <v>19</v>
      </c>
      <c r="F139" s="22" t="s">
        <v>29</v>
      </c>
      <c r="G139" s="22" t="s">
        <v>26</v>
      </c>
      <c r="H139" s="22">
        <v>1</v>
      </c>
      <c r="I139" s="22">
        <v>0</v>
      </c>
      <c r="J139" s="22">
        <v>0</v>
      </c>
      <c r="K139" s="22">
        <v>0</v>
      </c>
      <c r="L139" s="22">
        <v>0</v>
      </c>
      <c r="M139" s="22">
        <v>0</v>
      </c>
      <c r="N139" s="22">
        <v>0</v>
      </c>
      <c r="O139" s="22"/>
      <c r="P139" s="22">
        <v>70.900000000000006</v>
      </c>
      <c r="Q139" s="22" t="str">
        <f>IF(OR(L139&lt;$Y$18,L139&gt;$Y$19),"Outlier","Normal")</f>
        <v>Normal</v>
      </c>
      <c r="R139" s="26" t="str">
        <f>A139&amp;B139&amp;C139&amp;D139&amp;E139&amp;F139&amp;G139&amp;H139&amp;I139&amp;J139&amp;K139&amp;L139&amp;M139&amp;N139&amp;O139&amp;P139</f>
        <v>USR-10013845711ControlSouthDesktopPaid SearchFree100000070.9</v>
      </c>
      <c r="S139" s="22" t="str">
        <f>IF(COUNTIF($R$2:$R$1409,R139)=1,"OK",IF(COUNTIF($R$2:$R$1409,R139)&gt;1,"Exact Duplicate","Review Required"))</f>
        <v>OK</v>
      </c>
      <c r="T139" s="22" t="s">
        <v>19</v>
      </c>
      <c r="U139" s="22" t="s">
        <v>29</v>
      </c>
      <c r="V139" s="22"/>
    </row>
    <row r="140" spans="1:22" ht="41.4">
      <c r="A140" s="22" t="s">
        <v>170</v>
      </c>
      <c r="B140" s="25">
        <v>45686</v>
      </c>
      <c r="C140" s="22" t="s">
        <v>17</v>
      </c>
      <c r="D140" s="22" t="s">
        <v>23</v>
      </c>
      <c r="E140" s="22" t="s">
        <v>24</v>
      </c>
      <c r="F140" s="22" t="s">
        <v>41</v>
      </c>
      <c r="G140" s="22" t="s">
        <v>21</v>
      </c>
      <c r="H140" s="22">
        <v>1</v>
      </c>
      <c r="I140" s="22">
        <v>1</v>
      </c>
      <c r="J140" s="22">
        <v>1</v>
      </c>
      <c r="K140" s="22">
        <v>0</v>
      </c>
      <c r="L140" s="22">
        <v>0</v>
      </c>
      <c r="M140" s="22">
        <v>0</v>
      </c>
      <c r="N140" s="22">
        <v>0</v>
      </c>
      <c r="O140" s="22"/>
      <c r="P140" s="22">
        <v>59.1</v>
      </c>
      <c r="Q140" s="22" t="str">
        <f>IF(OR(L140&lt;$Y$18,L140&gt;$Y$19),"Outlier","Normal")</f>
        <v>Normal</v>
      </c>
      <c r="R140" s="26" t="str">
        <f>A140&amp;B140&amp;C140&amp;D140&amp;E140&amp;F140&amp;G140&amp;H140&amp;I140&amp;J140&amp;K140&amp;L140&amp;M140&amp;N140&amp;O140&amp;P140</f>
        <v>USR-10013945686ControlWestMobileSocialBasic111000059.1</v>
      </c>
      <c r="S140" s="22" t="str">
        <f>IF(COUNTIF($R$2:$R$1409,R140)=1,"OK",IF(COUNTIF($R$2:$R$1409,R140)&gt;1,"Exact Duplicate","Review Required"))</f>
        <v>OK</v>
      </c>
      <c r="T140" s="22" t="s">
        <v>24</v>
      </c>
      <c r="U140" s="22" t="s">
        <v>41</v>
      </c>
      <c r="V140" s="22"/>
    </row>
    <row r="141" spans="1:22" ht="41.4">
      <c r="A141" s="22" t="s">
        <v>171</v>
      </c>
      <c r="B141" s="25">
        <v>45688</v>
      </c>
      <c r="C141" s="22" t="s">
        <v>17</v>
      </c>
      <c r="D141" s="22" t="s">
        <v>18</v>
      </c>
      <c r="E141" s="22" t="s">
        <v>24</v>
      </c>
      <c r="F141" s="22" t="s">
        <v>25</v>
      </c>
      <c r="G141" s="22" t="s">
        <v>21</v>
      </c>
      <c r="H141" s="22">
        <v>0</v>
      </c>
      <c r="I141" s="22">
        <v>0</v>
      </c>
      <c r="J141" s="22">
        <v>0</v>
      </c>
      <c r="K141" s="22">
        <v>0</v>
      </c>
      <c r="L141" s="22">
        <v>0</v>
      </c>
      <c r="M141" s="22">
        <v>0</v>
      </c>
      <c r="N141" s="22">
        <v>0</v>
      </c>
      <c r="O141" s="22"/>
      <c r="P141" s="22">
        <v>62.4</v>
      </c>
      <c r="Q141" s="22" t="str">
        <f>IF(OR(L141&lt;$Y$18,L141&gt;$Y$19),"Outlier","Normal")</f>
        <v>Normal</v>
      </c>
      <c r="R141" s="26" t="str">
        <f>A141&amp;B141&amp;C141&amp;D141&amp;E141&amp;F141&amp;G141&amp;H141&amp;I141&amp;J141&amp;K141&amp;L141&amp;M141&amp;N141&amp;O141&amp;P141</f>
        <v>USR-10014045688ControlNorthMobileOrganicBasic000000062.4</v>
      </c>
      <c r="S141" s="22" t="str">
        <f>IF(COUNTIF($R$2:$R$1409,R141)=1,"OK",IF(COUNTIF($R$2:$R$1409,R141)&gt;1,"Exact Duplicate","Review Required"))</f>
        <v>OK</v>
      </c>
      <c r="T141" s="22" t="s">
        <v>24</v>
      </c>
      <c r="U141" s="22" t="s">
        <v>25</v>
      </c>
      <c r="V141" s="22"/>
    </row>
    <row r="142" spans="1:22" ht="41.4">
      <c r="A142" s="22" t="s">
        <v>172</v>
      </c>
      <c r="B142" s="25">
        <v>45676</v>
      </c>
      <c r="C142" s="22" t="s">
        <v>17</v>
      </c>
      <c r="D142" s="22" t="s">
        <v>32</v>
      </c>
      <c r="E142" s="22" t="s">
        <v>24</v>
      </c>
      <c r="F142" s="22" t="s">
        <v>25</v>
      </c>
      <c r="G142" s="22" t="s">
        <v>26</v>
      </c>
      <c r="H142" s="22">
        <v>0</v>
      </c>
      <c r="I142" s="22">
        <v>0</v>
      </c>
      <c r="J142" s="22">
        <v>0</v>
      </c>
      <c r="K142" s="22">
        <v>0</v>
      </c>
      <c r="L142" s="22">
        <v>0</v>
      </c>
      <c r="M142" s="22">
        <v>0</v>
      </c>
      <c r="N142" s="22">
        <v>0</v>
      </c>
      <c r="O142" s="22"/>
      <c r="P142" s="22">
        <v>49.6</v>
      </c>
      <c r="Q142" s="22" t="str">
        <f>IF(OR(L142&lt;$Y$18,L142&gt;$Y$19),"Outlier","Normal")</f>
        <v>Normal</v>
      </c>
      <c r="R142" s="26" t="str">
        <f>A142&amp;B142&amp;C142&amp;D142&amp;E142&amp;F142&amp;G142&amp;H142&amp;I142&amp;J142&amp;K142&amp;L142&amp;M142&amp;N142&amp;O142&amp;P142</f>
        <v>USR-10014145676ControlSouthMobileOrganicFree000000049.6</v>
      </c>
      <c r="S142" s="22" t="str">
        <f>IF(COUNTIF($R$2:$R$1409,R142)=1,"OK",IF(COUNTIF($R$2:$R$1409,R142)&gt;1,"Exact Duplicate","Review Required"))</f>
        <v>OK</v>
      </c>
      <c r="T142" s="22" t="s">
        <v>24</v>
      </c>
      <c r="U142" s="22" t="s">
        <v>25</v>
      </c>
      <c r="V142" s="22"/>
    </row>
    <row r="143" spans="1:22" ht="41.4">
      <c r="A143" s="22" t="s">
        <v>173</v>
      </c>
      <c r="B143" s="25">
        <v>45750</v>
      </c>
      <c r="C143" s="22" t="s">
        <v>17</v>
      </c>
      <c r="D143" s="22" t="s">
        <v>23</v>
      </c>
      <c r="E143" s="22" t="s">
        <v>19</v>
      </c>
      <c r="F143" s="22" t="s">
        <v>41</v>
      </c>
      <c r="G143" s="22" t="s">
        <v>26</v>
      </c>
      <c r="H143" s="22">
        <v>1</v>
      </c>
      <c r="I143" s="22">
        <v>1</v>
      </c>
      <c r="J143" s="22">
        <v>1</v>
      </c>
      <c r="K143" s="22">
        <v>1</v>
      </c>
      <c r="L143" s="22">
        <v>404.4</v>
      </c>
      <c r="M143" s="22">
        <v>0</v>
      </c>
      <c r="N143" s="22">
        <v>0</v>
      </c>
      <c r="O143" s="22">
        <v>9</v>
      </c>
      <c r="P143" s="22">
        <v>80.599999999999994</v>
      </c>
      <c r="Q143" s="22" t="str">
        <f>IF(OR(L143&lt;$Y$18,L143&gt;$Y$19),"Outlier","Normal")</f>
        <v>Normal</v>
      </c>
      <c r="R143" s="26" t="str">
        <f>A143&amp;B143&amp;C143&amp;D143&amp;E143&amp;F143&amp;G143&amp;H143&amp;I143&amp;J143&amp;K143&amp;L143&amp;M143&amp;N143&amp;O143&amp;P143</f>
        <v>USR-10014245750ControlWestDesktopSocialFree1111404.400980.6</v>
      </c>
      <c r="S143" s="22" t="str">
        <f>IF(COUNTIF($R$2:$R$1409,R143)=1,"OK",IF(COUNTIF($R$2:$R$1409,R143)&gt;1,"Exact Duplicate","Review Required"))</f>
        <v>OK</v>
      </c>
      <c r="T143" s="22" t="s">
        <v>19</v>
      </c>
      <c r="U143" s="22" t="s">
        <v>41</v>
      </c>
      <c r="V143" s="22"/>
    </row>
    <row r="144" spans="1:22" ht="41.4">
      <c r="A144" s="22" t="s">
        <v>174</v>
      </c>
      <c r="B144" s="25">
        <v>45754</v>
      </c>
      <c r="C144" s="22" t="s">
        <v>17</v>
      </c>
      <c r="D144" s="22" t="s">
        <v>18</v>
      </c>
      <c r="E144" s="22" t="s">
        <v>24</v>
      </c>
      <c r="F144" s="22" t="s">
        <v>29</v>
      </c>
      <c r="G144" s="22" t="s">
        <v>26</v>
      </c>
      <c r="H144" s="22">
        <v>1</v>
      </c>
      <c r="I144" s="22">
        <v>0</v>
      </c>
      <c r="J144" s="22">
        <v>0</v>
      </c>
      <c r="K144" s="22">
        <v>0</v>
      </c>
      <c r="L144" s="22">
        <v>0</v>
      </c>
      <c r="M144" s="22">
        <v>0</v>
      </c>
      <c r="N144" s="22">
        <v>0</v>
      </c>
      <c r="O144" s="22"/>
      <c r="P144" s="22">
        <v>47.9</v>
      </c>
      <c r="Q144" s="22" t="str">
        <f>IF(OR(L144&lt;$Y$18,L144&gt;$Y$19),"Outlier","Normal")</f>
        <v>Normal</v>
      </c>
      <c r="R144" s="26" t="str">
        <f>A144&amp;B144&amp;C144&amp;D144&amp;E144&amp;F144&amp;G144&amp;H144&amp;I144&amp;J144&amp;K144&amp;L144&amp;M144&amp;N144&amp;O144&amp;P144</f>
        <v>USR-10014345754ControlNorthMobilePaid SearchFree100000047.9</v>
      </c>
      <c r="S144" s="22" t="str">
        <f>IF(COUNTIF($R$2:$R$1409,R144)=1,"OK",IF(COUNTIF($R$2:$R$1409,R144)&gt;1,"Exact Duplicate","Review Required"))</f>
        <v>OK</v>
      </c>
      <c r="T144" s="22" t="s">
        <v>24</v>
      </c>
      <c r="U144" s="22" t="s">
        <v>29</v>
      </c>
      <c r="V144" s="22"/>
    </row>
    <row r="145" spans="1:22" ht="41.4">
      <c r="A145" s="22" t="s">
        <v>175</v>
      </c>
      <c r="B145" s="25">
        <v>45663</v>
      </c>
      <c r="C145" s="22" t="s">
        <v>17</v>
      </c>
      <c r="D145" s="22" t="s">
        <v>28</v>
      </c>
      <c r="E145" s="22" t="s">
        <v>24</v>
      </c>
      <c r="F145" s="22" t="s">
        <v>29</v>
      </c>
      <c r="G145" s="22" t="s">
        <v>21</v>
      </c>
      <c r="H145" s="22">
        <v>1</v>
      </c>
      <c r="I145" s="22">
        <v>1</v>
      </c>
      <c r="J145" s="22">
        <v>0</v>
      </c>
      <c r="K145" s="22">
        <v>0</v>
      </c>
      <c r="L145" s="22">
        <v>0</v>
      </c>
      <c r="M145" s="22">
        <v>0</v>
      </c>
      <c r="N145" s="22">
        <v>0</v>
      </c>
      <c r="O145" s="22"/>
      <c r="P145" s="22">
        <v>54.8</v>
      </c>
      <c r="Q145" s="22" t="str">
        <f>IF(OR(L145&lt;$Y$18,L145&gt;$Y$19),"Outlier","Normal")</f>
        <v>Normal</v>
      </c>
      <c r="R145" s="26" t="str">
        <f>A145&amp;B145&amp;C145&amp;D145&amp;E145&amp;F145&amp;G145&amp;H145&amp;I145&amp;J145&amp;K145&amp;L145&amp;M145&amp;N145&amp;O145&amp;P145</f>
        <v>USR-10014445663ControlEastMobilePaid SearchBasic110000054.8</v>
      </c>
      <c r="S145" s="22" t="str">
        <f>IF(COUNTIF($R$2:$R$1409,R145)=1,"OK",IF(COUNTIF($R$2:$R$1409,R145)&gt;1,"Exact Duplicate","Review Required"))</f>
        <v>OK</v>
      </c>
      <c r="T145" s="22" t="s">
        <v>24</v>
      </c>
      <c r="U145" s="22" t="s">
        <v>29</v>
      </c>
      <c r="V145" s="22"/>
    </row>
    <row r="146" spans="1:22" ht="41.4">
      <c r="A146" s="22" t="s">
        <v>176</v>
      </c>
      <c r="B146" s="25">
        <v>45758</v>
      </c>
      <c r="C146" s="22" t="s">
        <v>17</v>
      </c>
      <c r="D146" s="22" t="s">
        <v>28</v>
      </c>
      <c r="E146" s="22" t="s">
        <v>24</v>
      </c>
      <c r="F146" s="22" t="s">
        <v>25</v>
      </c>
      <c r="G146" s="22" t="s">
        <v>26</v>
      </c>
      <c r="H146" s="22">
        <v>1</v>
      </c>
      <c r="I146" s="22">
        <v>0</v>
      </c>
      <c r="J146" s="22">
        <v>0</v>
      </c>
      <c r="K146" s="22">
        <v>0</v>
      </c>
      <c r="L146" s="22">
        <v>0</v>
      </c>
      <c r="M146" s="22">
        <v>1</v>
      </c>
      <c r="N146" s="22">
        <v>0</v>
      </c>
      <c r="O146" s="22"/>
      <c r="P146" s="22">
        <v>53.9</v>
      </c>
      <c r="Q146" s="22" t="str">
        <f>IF(OR(L146&lt;$Y$18,L146&gt;$Y$19),"Outlier","Normal")</f>
        <v>Normal</v>
      </c>
      <c r="R146" s="26" t="str">
        <f>A146&amp;B146&amp;C146&amp;D146&amp;E146&amp;F146&amp;G146&amp;H146&amp;I146&amp;J146&amp;K146&amp;L146&amp;M146&amp;N146&amp;O146&amp;P146</f>
        <v>USR-10014545758ControlEastMobileOrganicFree100001053.9</v>
      </c>
      <c r="S146" s="22" t="str">
        <f>IF(COUNTIF($R$2:$R$1409,R146)=1,"OK",IF(COUNTIF($R$2:$R$1409,R146)&gt;1,"Exact Duplicate","Review Required"))</f>
        <v>OK</v>
      </c>
      <c r="T146" s="22" t="s">
        <v>24</v>
      </c>
      <c r="U146" s="22" t="s">
        <v>25</v>
      </c>
      <c r="V146" s="22"/>
    </row>
    <row r="147" spans="1:22" ht="41.4">
      <c r="A147" s="22" t="s">
        <v>177</v>
      </c>
      <c r="B147" s="25">
        <v>45770</v>
      </c>
      <c r="C147" s="22" t="s">
        <v>17</v>
      </c>
      <c r="D147" s="22" t="s">
        <v>28</v>
      </c>
      <c r="E147" s="22" t="s">
        <v>24</v>
      </c>
      <c r="F147" s="22" t="s">
        <v>29</v>
      </c>
      <c r="G147" s="22" t="s">
        <v>26</v>
      </c>
      <c r="H147" s="22">
        <v>1</v>
      </c>
      <c r="I147" s="22">
        <v>0</v>
      </c>
      <c r="J147" s="22">
        <v>0</v>
      </c>
      <c r="K147" s="22">
        <v>0</v>
      </c>
      <c r="L147" s="22">
        <v>0</v>
      </c>
      <c r="M147" s="22">
        <v>0</v>
      </c>
      <c r="N147" s="22">
        <v>0</v>
      </c>
      <c r="O147" s="22"/>
      <c r="P147" s="22">
        <v>41.3</v>
      </c>
      <c r="Q147" s="22" t="str">
        <f>IF(OR(L147&lt;$Y$18,L147&gt;$Y$19),"Outlier","Normal")</f>
        <v>Normal</v>
      </c>
      <c r="R147" s="26" t="str">
        <f>A147&amp;B147&amp;C147&amp;D147&amp;E147&amp;F147&amp;G147&amp;H147&amp;I147&amp;J147&amp;K147&amp;L147&amp;M147&amp;N147&amp;O147&amp;P147</f>
        <v>USR-10014645770ControlEastMobilePaid SearchFree100000041.3</v>
      </c>
      <c r="S147" s="22" t="str">
        <f>IF(COUNTIF($R$2:$R$1409,R147)=1,"OK",IF(COUNTIF($R$2:$R$1409,R147)&gt;1,"Exact Duplicate","Review Required"))</f>
        <v>OK</v>
      </c>
      <c r="T147" s="22" t="s">
        <v>24</v>
      </c>
      <c r="U147" s="22" t="s">
        <v>29</v>
      </c>
      <c r="V147" s="22"/>
    </row>
    <row r="148" spans="1:22" ht="41.4">
      <c r="A148" s="22" t="s">
        <v>178</v>
      </c>
      <c r="B148" s="25">
        <v>45741</v>
      </c>
      <c r="C148" s="22" t="s">
        <v>17</v>
      </c>
      <c r="D148" s="22" t="s">
        <v>23</v>
      </c>
      <c r="E148" s="22" t="s">
        <v>24</v>
      </c>
      <c r="F148" s="22" t="s">
        <v>25</v>
      </c>
      <c r="G148" s="22" t="s">
        <v>21</v>
      </c>
      <c r="H148" s="22">
        <v>1</v>
      </c>
      <c r="I148" s="22">
        <v>1</v>
      </c>
      <c r="J148" s="22">
        <v>0</v>
      </c>
      <c r="K148" s="22">
        <v>0</v>
      </c>
      <c r="L148" s="22">
        <v>0</v>
      </c>
      <c r="M148" s="22">
        <v>0</v>
      </c>
      <c r="N148" s="22">
        <v>0</v>
      </c>
      <c r="O148" s="22"/>
      <c r="P148" s="22">
        <v>38.9</v>
      </c>
      <c r="Q148" s="22" t="str">
        <f>IF(OR(L148&lt;$Y$18,L148&gt;$Y$19),"Outlier","Normal")</f>
        <v>Normal</v>
      </c>
      <c r="R148" s="26" t="str">
        <f>A148&amp;B148&amp;C148&amp;D148&amp;E148&amp;F148&amp;G148&amp;H148&amp;I148&amp;J148&amp;K148&amp;L148&amp;M148&amp;N148&amp;O148&amp;P148</f>
        <v>USR-10014745741ControlWestMobileOrganicBasic110000038.9</v>
      </c>
      <c r="S148" s="22" t="str">
        <f>IF(COUNTIF($R$2:$R$1409,R148)=1,"OK",IF(COUNTIF($R$2:$R$1409,R148)&gt;1,"Exact Duplicate","Review Required"))</f>
        <v>OK</v>
      </c>
      <c r="T148" s="22" t="s">
        <v>24</v>
      </c>
      <c r="U148" s="22" t="s">
        <v>25</v>
      </c>
      <c r="V148" s="22"/>
    </row>
    <row r="149" spans="1:22" ht="41.4">
      <c r="A149" s="22" t="s">
        <v>179</v>
      </c>
      <c r="B149" s="25">
        <v>45802</v>
      </c>
      <c r="C149" s="22" t="s">
        <v>17</v>
      </c>
      <c r="D149" s="22" t="s">
        <v>32</v>
      </c>
      <c r="E149" s="22" t="s">
        <v>19</v>
      </c>
      <c r="F149" s="22" t="s">
        <v>25</v>
      </c>
      <c r="G149" s="22" t="s">
        <v>21</v>
      </c>
      <c r="H149" s="22">
        <v>1</v>
      </c>
      <c r="I149" s="22">
        <v>0</v>
      </c>
      <c r="J149" s="22">
        <v>0</v>
      </c>
      <c r="K149" s="22">
        <v>0</v>
      </c>
      <c r="L149" s="22">
        <v>0</v>
      </c>
      <c r="M149" s="22">
        <v>0</v>
      </c>
      <c r="N149" s="22">
        <v>0</v>
      </c>
      <c r="O149" s="22"/>
      <c r="P149" s="22">
        <v>63.6</v>
      </c>
      <c r="Q149" s="22" t="str">
        <f>IF(OR(L149&lt;$Y$18,L149&gt;$Y$19),"Outlier","Normal")</f>
        <v>Normal</v>
      </c>
      <c r="R149" s="26" t="str">
        <f>A149&amp;B149&amp;C149&amp;D149&amp;E149&amp;F149&amp;G149&amp;H149&amp;I149&amp;J149&amp;K149&amp;L149&amp;M149&amp;N149&amp;O149&amp;P149</f>
        <v>USR-10014845802ControlSouthDesktopOrganicBasic100000063.6</v>
      </c>
      <c r="S149" s="22" t="str">
        <f>IF(COUNTIF($R$2:$R$1409,R149)=1,"OK",IF(COUNTIF($R$2:$R$1409,R149)&gt;1,"Exact Duplicate","Review Required"))</f>
        <v>OK</v>
      </c>
      <c r="T149" s="22" t="s">
        <v>19</v>
      </c>
      <c r="U149" s="22" t="s">
        <v>25</v>
      </c>
      <c r="V149" s="22"/>
    </row>
    <row r="150" spans="1:22" ht="41.4">
      <c r="A150" s="22" t="s">
        <v>180</v>
      </c>
      <c r="B150" s="25">
        <v>45685</v>
      </c>
      <c r="C150" s="22" t="s">
        <v>17</v>
      </c>
      <c r="D150" s="22" t="s">
        <v>18</v>
      </c>
      <c r="E150" s="22" t="s">
        <v>24</v>
      </c>
      <c r="F150" s="22" t="s">
        <v>25</v>
      </c>
      <c r="G150" s="22" t="s">
        <v>26</v>
      </c>
      <c r="H150" s="22">
        <v>1</v>
      </c>
      <c r="I150" s="22">
        <v>1</v>
      </c>
      <c r="J150" s="22">
        <v>1</v>
      </c>
      <c r="K150" s="22">
        <v>1</v>
      </c>
      <c r="L150" s="22">
        <v>577.94000000000005</v>
      </c>
      <c r="M150" s="22">
        <v>0</v>
      </c>
      <c r="N150" s="22">
        <v>0</v>
      </c>
      <c r="O150" s="22">
        <v>9</v>
      </c>
      <c r="P150" s="22">
        <v>76.599999999999994</v>
      </c>
      <c r="Q150" s="22" t="str">
        <f>IF(OR(L150&lt;$Y$18,L150&gt;$Y$19),"Outlier","Normal")</f>
        <v>Normal</v>
      </c>
      <c r="R150" s="26" t="str">
        <f>A150&amp;B150&amp;C150&amp;D150&amp;E150&amp;F150&amp;G150&amp;H150&amp;I150&amp;J150&amp;K150&amp;L150&amp;M150&amp;N150&amp;O150&amp;P150</f>
        <v>USR-10014945685ControlNorthMobileOrganicFree1111577.9400976.6</v>
      </c>
      <c r="S150" s="22" t="str">
        <f>IF(COUNTIF($R$2:$R$1409,R150)=1,"OK",IF(COUNTIF($R$2:$R$1409,R150)&gt;1,"Exact Duplicate","Review Required"))</f>
        <v>OK</v>
      </c>
      <c r="T150" s="22" t="s">
        <v>24</v>
      </c>
      <c r="U150" s="22" t="s">
        <v>25</v>
      </c>
      <c r="V150" s="22"/>
    </row>
    <row r="151" spans="1:22" ht="41.4">
      <c r="A151" s="22" t="s">
        <v>181</v>
      </c>
      <c r="B151" s="25">
        <v>45700</v>
      </c>
      <c r="C151" s="22" t="s">
        <v>17</v>
      </c>
      <c r="D151" s="22" t="s">
        <v>23</v>
      </c>
      <c r="E151" s="22" t="s">
        <v>24</v>
      </c>
      <c r="F151" s="22" t="s">
        <v>29</v>
      </c>
      <c r="G151" s="22" t="s">
        <v>30</v>
      </c>
      <c r="H151" s="22">
        <v>0</v>
      </c>
      <c r="I151" s="22">
        <v>0</v>
      </c>
      <c r="J151" s="22">
        <v>0</v>
      </c>
      <c r="K151" s="22">
        <v>0</v>
      </c>
      <c r="L151" s="22">
        <v>0</v>
      </c>
      <c r="M151" s="22">
        <v>1</v>
      </c>
      <c r="N151" s="22">
        <v>0</v>
      </c>
      <c r="O151" s="22"/>
      <c r="P151" s="22">
        <v>67.599999999999994</v>
      </c>
      <c r="Q151" s="22" t="str">
        <f>IF(OR(L151&lt;$Y$18,L151&gt;$Y$19),"Outlier","Normal")</f>
        <v>Normal</v>
      </c>
      <c r="R151" s="26" t="str">
        <f>A151&amp;B151&amp;C151&amp;D151&amp;E151&amp;F151&amp;G151&amp;H151&amp;I151&amp;J151&amp;K151&amp;L151&amp;M151&amp;N151&amp;O151&amp;P151</f>
        <v>USR-10015045700ControlWestMobilePaid SearchPremium000001067.6</v>
      </c>
      <c r="S151" s="22" t="str">
        <f>IF(COUNTIF($R$2:$R$1409,R151)=1,"OK",IF(COUNTIF($R$2:$R$1409,R151)&gt;1,"Exact Duplicate","Review Required"))</f>
        <v>OK</v>
      </c>
      <c r="T151" s="22" t="s">
        <v>24</v>
      </c>
      <c r="U151" s="22" t="s">
        <v>29</v>
      </c>
      <c r="V151" s="22"/>
    </row>
    <row r="152" spans="1:22" ht="41.4">
      <c r="A152" s="22" t="s">
        <v>182</v>
      </c>
      <c r="B152" s="25">
        <v>45776</v>
      </c>
      <c r="C152" s="22" t="s">
        <v>17</v>
      </c>
      <c r="D152" s="22" t="s">
        <v>18</v>
      </c>
      <c r="E152" s="22" t="s">
        <v>24</v>
      </c>
      <c r="F152" s="22" t="s">
        <v>41</v>
      </c>
      <c r="G152" s="22" t="s">
        <v>30</v>
      </c>
      <c r="H152" s="22">
        <v>1</v>
      </c>
      <c r="I152" s="22">
        <v>0</v>
      </c>
      <c r="J152" s="22">
        <v>0</v>
      </c>
      <c r="K152" s="22">
        <v>0</v>
      </c>
      <c r="L152" s="22">
        <v>0</v>
      </c>
      <c r="M152" s="22">
        <v>0</v>
      </c>
      <c r="N152" s="22">
        <v>0</v>
      </c>
      <c r="O152" s="22"/>
      <c r="P152" s="22">
        <v>43.1</v>
      </c>
      <c r="Q152" s="22" t="str">
        <f>IF(OR(L152&lt;$Y$18,L152&gt;$Y$19),"Outlier","Normal")</f>
        <v>Normal</v>
      </c>
      <c r="R152" s="26" t="str">
        <f>A152&amp;B152&amp;C152&amp;D152&amp;E152&amp;F152&amp;G152&amp;H152&amp;I152&amp;J152&amp;K152&amp;L152&amp;M152&amp;N152&amp;O152&amp;P152</f>
        <v>USR-10015145776ControlNorthMobileSocialPremium100000043.1</v>
      </c>
      <c r="S152" s="22" t="str">
        <f>IF(COUNTIF($R$2:$R$1409,R152)=1,"OK",IF(COUNTIF($R$2:$R$1409,R152)&gt;1,"Exact Duplicate","Review Required"))</f>
        <v>OK</v>
      </c>
      <c r="T152" s="22" t="s">
        <v>24</v>
      </c>
      <c r="U152" s="22" t="s">
        <v>41</v>
      </c>
      <c r="V152" s="22"/>
    </row>
    <row r="153" spans="1:22" ht="41.4">
      <c r="A153" s="22" t="s">
        <v>183</v>
      </c>
      <c r="B153" s="25">
        <v>45729</v>
      </c>
      <c r="C153" s="22" t="s">
        <v>17</v>
      </c>
      <c r="D153" s="22" t="s">
        <v>32</v>
      </c>
      <c r="E153" s="22" t="s">
        <v>24</v>
      </c>
      <c r="F153" s="22" t="s">
        <v>20</v>
      </c>
      <c r="G153" s="22" t="s">
        <v>26</v>
      </c>
      <c r="H153" s="22">
        <v>1</v>
      </c>
      <c r="I153" s="22">
        <v>0</v>
      </c>
      <c r="J153" s="22">
        <v>0</v>
      </c>
      <c r="K153" s="22">
        <v>0</v>
      </c>
      <c r="L153" s="22">
        <v>0</v>
      </c>
      <c r="M153" s="22">
        <v>0</v>
      </c>
      <c r="N153" s="22">
        <v>0</v>
      </c>
      <c r="O153" s="22"/>
      <c r="P153" s="22">
        <v>58.3</v>
      </c>
      <c r="Q153" s="22" t="str">
        <f>IF(OR(L153&lt;$Y$18,L153&gt;$Y$19),"Outlier","Normal")</f>
        <v>Normal</v>
      </c>
      <c r="R153" s="26" t="str">
        <f>A153&amp;B153&amp;C153&amp;D153&amp;E153&amp;F153&amp;G153&amp;H153&amp;I153&amp;J153&amp;K153&amp;L153&amp;M153&amp;N153&amp;O153&amp;P153</f>
        <v>USR-10015245729ControlSouthMobileEmailFree100000058.3</v>
      </c>
      <c r="S153" s="22" t="str">
        <f>IF(COUNTIF($R$2:$R$1409,R153)=1,"OK",IF(COUNTIF($R$2:$R$1409,R153)&gt;1,"Exact Duplicate","Review Required"))</f>
        <v>OK</v>
      </c>
      <c r="T153" s="22" t="s">
        <v>24</v>
      </c>
      <c r="U153" s="22" t="s">
        <v>20</v>
      </c>
      <c r="V153" s="22"/>
    </row>
    <row r="154" spans="1:22" ht="41.4">
      <c r="A154" s="22" t="s">
        <v>184</v>
      </c>
      <c r="B154" s="25">
        <v>45692</v>
      </c>
      <c r="C154" s="22" t="s">
        <v>17</v>
      </c>
      <c r="D154" s="22" t="s">
        <v>28</v>
      </c>
      <c r="E154" s="22" t="s">
        <v>19</v>
      </c>
      <c r="F154" s="22" t="s">
        <v>29</v>
      </c>
      <c r="G154" s="22" t="s">
        <v>26</v>
      </c>
      <c r="H154" s="22">
        <v>1</v>
      </c>
      <c r="I154" s="22">
        <v>0</v>
      </c>
      <c r="J154" s="22">
        <v>0</v>
      </c>
      <c r="K154" s="22">
        <v>0</v>
      </c>
      <c r="L154" s="22">
        <v>0</v>
      </c>
      <c r="M154" s="22">
        <v>0</v>
      </c>
      <c r="N154" s="22">
        <v>0</v>
      </c>
      <c r="O154" s="22"/>
      <c r="P154" s="22">
        <v>69.8</v>
      </c>
      <c r="Q154" s="22" t="str">
        <f>IF(OR(L154&lt;$Y$18,L154&gt;$Y$19),"Outlier","Normal")</f>
        <v>Normal</v>
      </c>
      <c r="R154" s="26" t="str">
        <f>A154&amp;B154&amp;C154&amp;D154&amp;E154&amp;F154&amp;G154&amp;H154&amp;I154&amp;J154&amp;K154&amp;L154&amp;M154&amp;N154&amp;O154&amp;P154</f>
        <v>USR-10015345692ControlEastDesktopPaid SearchFree100000069.8</v>
      </c>
      <c r="S154" s="22" t="str">
        <f>IF(COUNTIF($R$2:$R$1409,R154)=1,"OK",IF(COUNTIF($R$2:$R$1409,R154)&gt;1,"Exact Duplicate","Review Required"))</f>
        <v>OK</v>
      </c>
      <c r="T154" s="22" t="s">
        <v>19</v>
      </c>
      <c r="U154" s="22" t="s">
        <v>29</v>
      </c>
      <c r="V154" s="22"/>
    </row>
    <row r="155" spans="1:22" ht="41.4">
      <c r="A155" s="22" t="s">
        <v>185</v>
      </c>
      <c r="B155" s="25">
        <v>45720</v>
      </c>
      <c r="C155" s="22" t="s">
        <v>17</v>
      </c>
      <c r="D155" s="22" t="s">
        <v>32</v>
      </c>
      <c r="E155" s="22" t="s">
        <v>24</v>
      </c>
      <c r="F155" s="22" t="s">
        <v>39</v>
      </c>
      <c r="G155" s="22" t="s">
        <v>26</v>
      </c>
      <c r="H155" s="22">
        <v>1</v>
      </c>
      <c r="I155" s="22">
        <v>1</v>
      </c>
      <c r="J155" s="22">
        <v>0</v>
      </c>
      <c r="K155" s="22">
        <v>0</v>
      </c>
      <c r="L155" s="22">
        <v>0</v>
      </c>
      <c r="M155" s="22">
        <v>0</v>
      </c>
      <c r="N155" s="22">
        <v>0</v>
      </c>
      <c r="O155" s="22"/>
      <c r="P155" s="22"/>
      <c r="Q155" s="22" t="str">
        <f>IF(OR(L155&lt;$Y$18,L155&gt;$Y$19),"Outlier","Normal")</f>
        <v>Normal</v>
      </c>
      <c r="R155" s="26" t="str">
        <f>A155&amp;B155&amp;C155&amp;D155&amp;E155&amp;F155&amp;G155&amp;H155&amp;I155&amp;J155&amp;K155&amp;L155&amp;M155&amp;N155&amp;O155&amp;P155</f>
        <v>USR-10015445720ControlSouthMobileReferralFree1100000</v>
      </c>
      <c r="S155" s="22" t="str">
        <f>IF(COUNTIF($R$2:$R$1409,R155)=1,"OK",IF(COUNTIF($R$2:$R$1409,R155)&gt;1,"Exact Duplicate","Review Required"))</f>
        <v>OK</v>
      </c>
      <c r="T155" s="22" t="s">
        <v>24</v>
      </c>
      <c r="U155" s="22" t="s">
        <v>39</v>
      </c>
      <c r="V155" s="22"/>
    </row>
    <row r="156" spans="1:22" ht="41.4">
      <c r="A156" s="22" t="s">
        <v>186</v>
      </c>
      <c r="B156" s="25">
        <v>45692</v>
      </c>
      <c r="C156" s="22" t="s">
        <v>17</v>
      </c>
      <c r="D156" s="22" t="s">
        <v>23</v>
      </c>
      <c r="E156" s="22" t="s">
        <v>24</v>
      </c>
      <c r="F156" s="22" t="s">
        <v>29</v>
      </c>
      <c r="G156" s="22" t="s">
        <v>21</v>
      </c>
      <c r="H156" s="22">
        <v>1</v>
      </c>
      <c r="I156" s="22">
        <v>1</v>
      </c>
      <c r="J156" s="22">
        <v>0</v>
      </c>
      <c r="K156" s="22">
        <v>0</v>
      </c>
      <c r="L156" s="22">
        <v>0</v>
      </c>
      <c r="M156" s="22">
        <v>0</v>
      </c>
      <c r="N156" s="22">
        <v>0</v>
      </c>
      <c r="O156" s="22"/>
      <c r="P156" s="22">
        <v>41.9</v>
      </c>
      <c r="Q156" s="22" t="str">
        <f>IF(OR(L156&lt;$Y$18,L156&gt;$Y$19),"Outlier","Normal")</f>
        <v>Normal</v>
      </c>
      <c r="R156" s="26" t="str">
        <f>A156&amp;B156&amp;C156&amp;D156&amp;E156&amp;F156&amp;G156&amp;H156&amp;I156&amp;J156&amp;K156&amp;L156&amp;M156&amp;N156&amp;O156&amp;P156</f>
        <v>USR-10015545692ControlWestMobilePaid SearchBasic110000041.9</v>
      </c>
      <c r="S156" s="22" t="str">
        <f>IF(COUNTIF($R$2:$R$1409,R156)=1,"OK",IF(COUNTIF($R$2:$R$1409,R156)&gt;1,"Exact Duplicate","Review Required"))</f>
        <v>OK</v>
      </c>
      <c r="T156" s="22" t="s">
        <v>24</v>
      </c>
      <c r="U156" s="22" t="s">
        <v>29</v>
      </c>
      <c r="V156" s="22"/>
    </row>
    <row r="157" spans="1:22" ht="41.4">
      <c r="A157" s="22" t="s">
        <v>187</v>
      </c>
      <c r="B157" s="25">
        <v>45727</v>
      </c>
      <c r="C157" s="22" t="s">
        <v>17</v>
      </c>
      <c r="D157" s="22" t="s">
        <v>18</v>
      </c>
      <c r="E157" s="22" t="s">
        <v>19</v>
      </c>
      <c r="F157" s="22" t="s">
        <v>25</v>
      </c>
      <c r="G157" s="22" t="s">
        <v>26</v>
      </c>
      <c r="H157" s="22">
        <v>0</v>
      </c>
      <c r="I157" s="22">
        <v>0</v>
      </c>
      <c r="J157" s="22">
        <v>0</v>
      </c>
      <c r="K157" s="22">
        <v>0</v>
      </c>
      <c r="L157" s="22">
        <v>0</v>
      </c>
      <c r="M157" s="22">
        <v>0</v>
      </c>
      <c r="N157" s="22">
        <v>0</v>
      </c>
      <c r="O157" s="22"/>
      <c r="P157" s="22">
        <v>33.1</v>
      </c>
      <c r="Q157" s="22" t="str">
        <f>IF(OR(L157&lt;$Y$18,L157&gt;$Y$19),"Outlier","Normal")</f>
        <v>Normal</v>
      </c>
      <c r="R157" s="26" t="str">
        <f>A157&amp;B157&amp;C157&amp;D157&amp;E157&amp;F157&amp;G157&amp;H157&amp;I157&amp;J157&amp;K157&amp;L157&amp;M157&amp;N157&amp;O157&amp;P157</f>
        <v>USR-10015645727ControlNorthDesktopOrganicFree000000033.1</v>
      </c>
      <c r="S157" s="22" t="str">
        <f>IF(COUNTIF($R$2:$R$1409,R157)=1,"OK",IF(COUNTIF($R$2:$R$1409,R157)&gt;1,"Exact Duplicate","Review Required"))</f>
        <v>OK</v>
      </c>
      <c r="T157" s="22" t="s">
        <v>19</v>
      </c>
      <c r="U157" s="22" t="s">
        <v>25</v>
      </c>
      <c r="V157" s="22"/>
    </row>
    <row r="158" spans="1:22" ht="41.4">
      <c r="A158" s="22" t="s">
        <v>188</v>
      </c>
      <c r="B158" s="25">
        <v>45769</v>
      </c>
      <c r="C158" s="22" t="s">
        <v>17</v>
      </c>
      <c r="D158" s="22" t="s">
        <v>23</v>
      </c>
      <c r="E158" s="22" t="s">
        <v>24</v>
      </c>
      <c r="F158" s="22" t="s">
        <v>25</v>
      </c>
      <c r="G158" s="22" t="s">
        <v>26</v>
      </c>
      <c r="H158" s="22">
        <v>0</v>
      </c>
      <c r="I158" s="22">
        <v>0</v>
      </c>
      <c r="J158" s="22">
        <v>0</v>
      </c>
      <c r="K158" s="22">
        <v>0</v>
      </c>
      <c r="L158" s="22">
        <v>0</v>
      </c>
      <c r="M158" s="22">
        <v>0</v>
      </c>
      <c r="N158" s="22">
        <v>0</v>
      </c>
      <c r="O158" s="22"/>
      <c r="P158" s="22">
        <v>58.6</v>
      </c>
      <c r="Q158" s="22" t="str">
        <f>IF(OR(L158&lt;$Y$18,L158&gt;$Y$19),"Outlier","Normal")</f>
        <v>Normal</v>
      </c>
      <c r="R158" s="26" t="str">
        <f>A158&amp;B158&amp;C158&amp;D158&amp;E158&amp;F158&amp;G158&amp;H158&amp;I158&amp;J158&amp;K158&amp;L158&amp;M158&amp;N158&amp;O158&amp;P158</f>
        <v>USR-10015745769ControlWestMobileOrganicFree000000058.6</v>
      </c>
      <c r="S158" s="22" t="str">
        <f>IF(COUNTIF($R$2:$R$1409,R158)=1,"OK",IF(COUNTIF($R$2:$R$1409,R158)&gt;1,"Exact Duplicate","Review Required"))</f>
        <v>OK</v>
      </c>
      <c r="T158" s="22" t="s">
        <v>24</v>
      </c>
      <c r="U158" s="22" t="s">
        <v>25</v>
      </c>
      <c r="V158" s="22"/>
    </row>
    <row r="159" spans="1:22" ht="41.4">
      <c r="A159" s="22" t="s">
        <v>189</v>
      </c>
      <c r="B159" s="25">
        <v>45724</v>
      </c>
      <c r="C159" s="22" t="s">
        <v>17</v>
      </c>
      <c r="D159" s="22" t="s">
        <v>18</v>
      </c>
      <c r="E159" s="22" t="s">
        <v>19</v>
      </c>
      <c r="F159" s="22" t="s">
        <v>29</v>
      </c>
      <c r="G159" s="22" t="s">
        <v>26</v>
      </c>
      <c r="H159" s="22">
        <v>0</v>
      </c>
      <c r="I159" s="22">
        <v>0</v>
      </c>
      <c r="J159" s="22">
        <v>0</v>
      </c>
      <c r="K159" s="22">
        <v>0</v>
      </c>
      <c r="L159" s="22">
        <v>0</v>
      </c>
      <c r="M159" s="22">
        <v>0</v>
      </c>
      <c r="N159" s="22">
        <v>0</v>
      </c>
      <c r="O159" s="22"/>
      <c r="P159" s="22">
        <v>55.7</v>
      </c>
      <c r="Q159" s="22" t="str">
        <f>IF(OR(L159&lt;$Y$18,L159&gt;$Y$19),"Outlier","Normal")</f>
        <v>Normal</v>
      </c>
      <c r="R159" s="26" t="str">
        <f>A159&amp;B159&amp;C159&amp;D159&amp;E159&amp;F159&amp;G159&amp;H159&amp;I159&amp;J159&amp;K159&amp;L159&amp;M159&amp;N159&amp;O159&amp;P159</f>
        <v>USR-10015845724ControlNorthDesktopPaid SearchFree000000055.7</v>
      </c>
      <c r="S159" s="22" t="str">
        <f>IF(COUNTIF($R$2:$R$1409,R159)=1,"OK",IF(COUNTIF($R$2:$R$1409,R159)&gt;1,"Exact Duplicate","Review Required"))</f>
        <v>OK</v>
      </c>
      <c r="T159" s="22" t="s">
        <v>19</v>
      </c>
      <c r="U159" s="22" t="s">
        <v>29</v>
      </c>
      <c r="V159" s="22"/>
    </row>
    <row r="160" spans="1:22" ht="41.4">
      <c r="A160" s="22" t="s">
        <v>190</v>
      </c>
      <c r="B160" s="25">
        <v>45726</v>
      </c>
      <c r="C160" s="22" t="s">
        <v>17</v>
      </c>
      <c r="D160" s="22" t="s">
        <v>28</v>
      </c>
      <c r="E160" s="22" t="s">
        <v>24</v>
      </c>
      <c r="F160" s="22" t="s">
        <v>25</v>
      </c>
      <c r="G160" s="22" t="s">
        <v>26</v>
      </c>
      <c r="H160" s="22">
        <v>0</v>
      </c>
      <c r="I160" s="22">
        <v>0</v>
      </c>
      <c r="J160" s="22">
        <v>0</v>
      </c>
      <c r="K160" s="22">
        <v>0</v>
      </c>
      <c r="L160" s="22">
        <v>0</v>
      </c>
      <c r="M160" s="22">
        <v>2</v>
      </c>
      <c r="N160" s="22">
        <v>0</v>
      </c>
      <c r="O160" s="22"/>
      <c r="P160" s="22">
        <v>64.900000000000006</v>
      </c>
      <c r="Q160" s="22" t="str">
        <f>IF(OR(L160&lt;$Y$18,L160&gt;$Y$19),"Outlier","Normal")</f>
        <v>Normal</v>
      </c>
      <c r="R160" s="26" t="str">
        <f>A160&amp;B160&amp;C160&amp;D160&amp;E160&amp;F160&amp;G160&amp;H160&amp;I160&amp;J160&amp;K160&amp;L160&amp;M160&amp;N160&amp;O160&amp;P160</f>
        <v>USR-10015945726ControlEastMobileOrganicFree000002064.9</v>
      </c>
      <c r="S160" s="22" t="str">
        <f>IF(COUNTIF($R$2:$R$1409,R160)=1,"OK",IF(COUNTIF($R$2:$R$1409,R160)&gt;1,"Exact Duplicate","Review Required"))</f>
        <v>OK</v>
      </c>
      <c r="T160" s="22" t="s">
        <v>24</v>
      </c>
      <c r="U160" s="22" t="s">
        <v>25</v>
      </c>
      <c r="V160" s="22"/>
    </row>
    <row r="161" spans="1:22" ht="41.4">
      <c r="A161" s="22" t="s">
        <v>191</v>
      </c>
      <c r="B161" s="25">
        <v>45795</v>
      </c>
      <c r="C161" s="22" t="s">
        <v>17</v>
      </c>
      <c r="D161" s="22" t="s">
        <v>18</v>
      </c>
      <c r="E161" s="22" t="s">
        <v>19</v>
      </c>
      <c r="F161" s="22" t="s">
        <v>29</v>
      </c>
      <c r="G161" s="22" t="s">
        <v>21</v>
      </c>
      <c r="H161" s="22">
        <v>0</v>
      </c>
      <c r="I161" s="22">
        <v>0</v>
      </c>
      <c r="J161" s="22">
        <v>0</v>
      </c>
      <c r="K161" s="22">
        <v>0</v>
      </c>
      <c r="L161" s="22">
        <v>0</v>
      </c>
      <c r="M161" s="22">
        <v>0</v>
      </c>
      <c r="N161" s="22">
        <v>0</v>
      </c>
      <c r="O161" s="22"/>
      <c r="P161" s="22">
        <v>72.3</v>
      </c>
      <c r="Q161" s="22" t="str">
        <f>IF(OR(L161&lt;$Y$18,L161&gt;$Y$19),"Outlier","Normal")</f>
        <v>Normal</v>
      </c>
      <c r="R161" s="26" t="str">
        <f>A161&amp;B161&amp;C161&amp;D161&amp;E161&amp;F161&amp;G161&amp;H161&amp;I161&amp;J161&amp;K161&amp;L161&amp;M161&amp;N161&amp;O161&amp;P161</f>
        <v>USR-10016045795ControlNorthDesktopPaid SearchBasic000000072.3</v>
      </c>
      <c r="S161" s="22" t="str">
        <f>IF(COUNTIF($R$2:$R$1409,R161)=1,"OK",IF(COUNTIF($R$2:$R$1409,R161)&gt;1,"Exact Duplicate","Review Required"))</f>
        <v>OK</v>
      </c>
      <c r="T161" s="22" t="s">
        <v>19</v>
      </c>
      <c r="U161" s="22" t="s">
        <v>29</v>
      </c>
      <c r="V161" s="22"/>
    </row>
    <row r="162" spans="1:22" ht="41.4">
      <c r="A162" s="22" t="s">
        <v>192</v>
      </c>
      <c r="B162" s="25">
        <v>45791</v>
      </c>
      <c r="C162" s="22" t="s">
        <v>17</v>
      </c>
      <c r="D162" s="22" t="s">
        <v>18</v>
      </c>
      <c r="E162" s="22" t="s">
        <v>24</v>
      </c>
      <c r="F162" s="22" t="s">
        <v>41</v>
      </c>
      <c r="G162" s="22" t="s">
        <v>21</v>
      </c>
      <c r="H162" s="22">
        <v>0</v>
      </c>
      <c r="I162" s="22">
        <v>0</v>
      </c>
      <c r="J162" s="22">
        <v>0</v>
      </c>
      <c r="K162" s="22">
        <v>0</v>
      </c>
      <c r="L162" s="22">
        <v>0</v>
      </c>
      <c r="M162" s="22">
        <v>0</v>
      </c>
      <c r="N162" s="22">
        <v>0</v>
      </c>
      <c r="O162" s="22"/>
      <c r="P162" s="22">
        <v>42.1</v>
      </c>
      <c r="Q162" s="22" t="str">
        <f>IF(OR(L162&lt;$Y$18,L162&gt;$Y$19),"Outlier","Normal")</f>
        <v>Normal</v>
      </c>
      <c r="R162" s="26" t="str">
        <f>A162&amp;B162&amp;C162&amp;D162&amp;E162&amp;F162&amp;G162&amp;H162&amp;I162&amp;J162&amp;K162&amp;L162&amp;M162&amp;N162&amp;O162&amp;P162</f>
        <v>USR-10016145791ControlNorthMobileSocialBasic000000042.1</v>
      </c>
      <c r="S162" s="22" t="str">
        <f>IF(COUNTIF($R$2:$R$1409,R162)=1,"OK",IF(COUNTIF($R$2:$R$1409,R162)&gt;1,"Exact Duplicate","Review Required"))</f>
        <v>OK</v>
      </c>
      <c r="T162" s="22" t="s">
        <v>24</v>
      </c>
      <c r="U162" s="22" t="s">
        <v>41</v>
      </c>
      <c r="V162" s="22"/>
    </row>
    <row r="163" spans="1:22" ht="41.4">
      <c r="A163" s="22" t="s">
        <v>193</v>
      </c>
      <c r="B163" s="25">
        <v>45689</v>
      </c>
      <c r="C163" s="22" t="s">
        <v>17</v>
      </c>
      <c r="D163" s="22" t="s">
        <v>18</v>
      </c>
      <c r="E163" s="22" t="s">
        <v>24</v>
      </c>
      <c r="F163" s="22" t="s">
        <v>25</v>
      </c>
      <c r="G163" s="22" t="s">
        <v>26</v>
      </c>
      <c r="H163" s="22">
        <v>0</v>
      </c>
      <c r="I163" s="22">
        <v>0</v>
      </c>
      <c r="J163" s="22">
        <v>0</v>
      </c>
      <c r="K163" s="22">
        <v>0</v>
      </c>
      <c r="L163" s="22">
        <v>0</v>
      </c>
      <c r="M163" s="22">
        <v>0</v>
      </c>
      <c r="N163" s="22">
        <v>0</v>
      </c>
      <c r="O163" s="22"/>
      <c r="P163" s="22"/>
      <c r="Q163" s="22" t="str">
        <f>IF(OR(L163&lt;$Y$18,L163&gt;$Y$19),"Outlier","Normal")</f>
        <v>Normal</v>
      </c>
      <c r="R163" s="26" t="str">
        <f>A163&amp;B163&amp;C163&amp;D163&amp;E163&amp;F163&amp;G163&amp;H163&amp;I163&amp;J163&amp;K163&amp;L163&amp;M163&amp;N163&amp;O163&amp;P163</f>
        <v>USR-10016245689ControlNorthMobileOrganicFree0000000</v>
      </c>
      <c r="S163" s="22" t="str">
        <f>IF(COUNTIF($R$2:$R$1409,R163)=1,"OK",IF(COUNTIF($R$2:$R$1409,R163)&gt;1,"Exact Duplicate","Review Required"))</f>
        <v>OK</v>
      </c>
      <c r="T163" s="22" t="s">
        <v>24</v>
      </c>
      <c r="U163" s="22" t="s">
        <v>25</v>
      </c>
      <c r="V163" s="22"/>
    </row>
    <row r="164" spans="1:22" ht="41.4">
      <c r="A164" s="22" t="s">
        <v>194</v>
      </c>
      <c r="B164" s="25">
        <v>45758</v>
      </c>
      <c r="C164" s="22" t="s">
        <v>17</v>
      </c>
      <c r="D164" s="22" t="s">
        <v>32</v>
      </c>
      <c r="E164" s="22" t="s">
        <v>24</v>
      </c>
      <c r="F164" s="22" t="s">
        <v>25</v>
      </c>
      <c r="G164" s="22" t="s">
        <v>21</v>
      </c>
      <c r="H164" s="22">
        <v>0</v>
      </c>
      <c r="I164" s="22">
        <v>0</v>
      </c>
      <c r="J164" s="22">
        <v>0</v>
      </c>
      <c r="K164" s="22">
        <v>0</v>
      </c>
      <c r="L164" s="22">
        <v>0</v>
      </c>
      <c r="M164" s="22">
        <v>1</v>
      </c>
      <c r="N164" s="22">
        <v>0</v>
      </c>
      <c r="O164" s="22"/>
      <c r="P164" s="22">
        <v>64.8</v>
      </c>
      <c r="Q164" s="22" t="str">
        <f>IF(OR(L164&lt;$Y$18,L164&gt;$Y$19),"Outlier","Normal")</f>
        <v>Normal</v>
      </c>
      <c r="R164" s="26" t="str">
        <f>A164&amp;B164&amp;C164&amp;D164&amp;E164&amp;F164&amp;G164&amp;H164&amp;I164&amp;J164&amp;K164&amp;L164&amp;M164&amp;N164&amp;O164&amp;P164</f>
        <v>USR-10016345758ControlSouthMobileOrganicBasic000001064.8</v>
      </c>
      <c r="S164" s="22" t="str">
        <f>IF(COUNTIF($R$2:$R$1409,R164)=1,"OK",IF(COUNTIF($R$2:$R$1409,R164)&gt;1,"Exact Duplicate","Review Required"))</f>
        <v>OK</v>
      </c>
      <c r="T164" s="22" t="s">
        <v>24</v>
      </c>
      <c r="U164" s="22" t="s">
        <v>25</v>
      </c>
      <c r="V164" s="22"/>
    </row>
    <row r="165" spans="1:22" ht="41.4">
      <c r="A165" s="22" t="s">
        <v>195</v>
      </c>
      <c r="B165" s="25">
        <v>45702</v>
      </c>
      <c r="C165" s="22" t="s">
        <v>17</v>
      </c>
      <c r="D165" s="22" t="s">
        <v>28</v>
      </c>
      <c r="E165" s="22" t="s">
        <v>24</v>
      </c>
      <c r="F165" s="22" t="s">
        <v>25</v>
      </c>
      <c r="G165" s="22" t="s">
        <v>26</v>
      </c>
      <c r="H165" s="22">
        <v>0</v>
      </c>
      <c r="I165" s="22">
        <v>0</v>
      </c>
      <c r="J165" s="22">
        <v>0</v>
      </c>
      <c r="K165" s="22">
        <v>0</v>
      </c>
      <c r="L165" s="22">
        <v>0</v>
      </c>
      <c r="M165" s="22">
        <v>0</v>
      </c>
      <c r="N165" s="22">
        <v>0</v>
      </c>
      <c r="O165" s="22"/>
      <c r="P165" s="22">
        <v>72.099999999999994</v>
      </c>
      <c r="Q165" s="22" t="str">
        <f>IF(OR(L165&lt;$Y$18,L165&gt;$Y$19),"Outlier","Normal")</f>
        <v>Normal</v>
      </c>
      <c r="R165" s="26" t="str">
        <f>A165&amp;B165&amp;C165&amp;D165&amp;E165&amp;F165&amp;G165&amp;H165&amp;I165&amp;J165&amp;K165&amp;L165&amp;M165&amp;N165&amp;O165&amp;P165</f>
        <v>USR-10016445702ControlEastMobileOrganicFree000000072.1</v>
      </c>
      <c r="S165" s="22" t="str">
        <f>IF(COUNTIF($R$2:$R$1409,R165)=1,"OK",IF(COUNTIF($R$2:$R$1409,R165)&gt;1,"Exact Duplicate","Review Required"))</f>
        <v>OK</v>
      </c>
      <c r="T165" s="22" t="s">
        <v>24</v>
      </c>
      <c r="U165" s="22" t="s">
        <v>25</v>
      </c>
      <c r="V165" s="22"/>
    </row>
    <row r="166" spans="1:22" ht="41.4">
      <c r="A166" s="22" t="s">
        <v>196</v>
      </c>
      <c r="B166" s="25">
        <v>45796</v>
      </c>
      <c r="C166" s="22" t="s">
        <v>17</v>
      </c>
      <c r="D166" s="22" t="s">
        <v>28</v>
      </c>
      <c r="E166" s="22" t="s">
        <v>24</v>
      </c>
      <c r="F166" s="22" t="s">
        <v>41</v>
      </c>
      <c r="G166" s="22" t="s">
        <v>26</v>
      </c>
      <c r="H166" s="22">
        <v>1</v>
      </c>
      <c r="I166" s="22">
        <v>0</v>
      </c>
      <c r="J166" s="22">
        <v>0</v>
      </c>
      <c r="K166" s="22">
        <v>0</v>
      </c>
      <c r="L166" s="22">
        <v>0</v>
      </c>
      <c r="M166" s="22">
        <v>0</v>
      </c>
      <c r="N166" s="22">
        <v>0</v>
      </c>
      <c r="O166" s="22"/>
      <c r="P166" s="22">
        <v>50.6</v>
      </c>
      <c r="Q166" s="22" t="str">
        <f>IF(OR(L166&lt;$Y$18,L166&gt;$Y$19),"Outlier","Normal")</f>
        <v>Normal</v>
      </c>
      <c r="R166" s="26" t="str">
        <f>A166&amp;B166&amp;C166&amp;D166&amp;E166&amp;F166&amp;G166&amp;H166&amp;I166&amp;J166&amp;K166&amp;L166&amp;M166&amp;N166&amp;O166&amp;P166</f>
        <v>USR-10016545796ControlEastMobileSocialFree100000050.6</v>
      </c>
      <c r="S166" s="22" t="str">
        <f>IF(COUNTIF($R$2:$R$1409,R166)=1,"OK",IF(COUNTIF($R$2:$R$1409,R166)&gt;1,"Exact Duplicate","Review Required"))</f>
        <v>OK</v>
      </c>
      <c r="T166" s="22" t="s">
        <v>24</v>
      </c>
      <c r="U166" s="22" t="s">
        <v>41</v>
      </c>
      <c r="V166" s="22"/>
    </row>
    <row r="167" spans="1:22" ht="55.2">
      <c r="A167" s="22" t="s">
        <v>197</v>
      </c>
      <c r="B167" s="25">
        <v>45773</v>
      </c>
      <c r="C167" s="22" t="s">
        <v>17</v>
      </c>
      <c r="D167" s="22" t="s">
        <v>18</v>
      </c>
      <c r="E167" s="22" t="s">
        <v>19</v>
      </c>
      <c r="F167" s="22" t="s">
        <v>29</v>
      </c>
      <c r="G167" s="22" t="s">
        <v>21</v>
      </c>
      <c r="H167" s="22">
        <v>1</v>
      </c>
      <c r="I167" s="22">
        <v>1</v>
      </c>
      <c r="J167" s="22">
        <v>1</v>
      </c>
      <c r="K167" s="22">
        <v>1</v>
      </c>
      <c r="L167" s="22">
        <v>1281.25</v>
      </c>
      <c r="M167" s="22">
        <v>1</v>
      </c>
      <c r="N167" s="22">
        <v>0</v>
      </c>
      <c r="O167" s="22">
        <v>9</v>
      </c>
      <c r="P167" s="22">
        <v>43.4</v>
      </c>
      <c r="Q167" s="22" t="str">
        <f>IF(OR(L167&lt;$Y$18,L167&gt;$Y$19),"Outlier","Normal")</f>
        <v>Normal</v>
      </c>
      <c r="R167" s="26" t="str">
        <f>A167&amp;B167&amp;C167&amp;D167&amp;E167&amp;F167&amp;G167&amp;H167&amp;I167&amp;J167&amp;K167&amp;L167&amp;M167&amp;N167&amp;O167&amp;P167</f>
        <v>USR-10016645773ControlNorthDesktopPaid SearchBasic11111281.2510943.4</v>
      </c>
      <c r="S167" s="22" t="str">
        <f>IF(COUNTIF($R$2:$R$1409,R167)=1,"OK",IF(COUNTIF($R$2:$R$1409,R167)&gt;1,"Exact Duplicate","Review Required"))</f>
        <v>OK</v>
      </c>
      <c r="T167" s="22" t="s">
        <v>19</v>
      </c>
      <c r="U167" s="22" t="s">
        <v>29</v>
      </c>
      <c r="V167" s="22"/>
    </row>
    <row r="168" spans="1:22" ht="41.4">
      <c r="A168" s="22" t="s">
        <v>198</v>
      </c>
      <c r="B168" s="25">
        <v>45753</v>
      </c>
      <c r="C168" s="22" t="s">
        <v>17</v>
      </c>
      <c r="D168" s="22" t="s">
        <v>32</v>
      </c>
      <c r="E168" s="22" t="s">
        <v>24</v>
      </c>
      <c r="F168" s="22" t="s">
        <v>41</v>
      </c>
      <c r="G168" s="22" t="s">
        <v>26</v>
      </c>
      <c r="H168" s="22">
        <v>1</v>
      </c>
      <c r="I168" s="22">
        <v>0</v>
      </c>
      <c r="J168" s="22">
        <v>0</v>
      </c>
      <c r="K168" s="22">
        <v>0</v>
      </c>
      <c r="L168" s="22">
        <v>0</v>
      </c>
      <c r="M168" s="22">
        <v>0</v>
      </c>
      <c r="N168" s="22">
        <v>0</v>
      </c>
      <c r="O168" s="22"/>
      <c r="P168" s="22">
        <v>59.7</v>
      </c>
      <c r="Q168" s="22" t="str">
        <f>IF(OR(L168&lt;$Y$18,L168&gt;$Y$19),"Outlier","Normal")</f>
        <v>Normal</v>
      </c>
      <c r="R168" s="26" t="str">
        <f>A168&amp;B168&amp;C168&amp;D168&amp;E168&amp;F168&amp;G168&amp;H168&amp;I168&amp;J168&amp;K168&amp;L168&amp;M168&amp;N168&amp;O168&amp;P168</f>
        <v>USR-10016745753ControlSouthMobileSocialFree100000059.7</v>
      </c>
      <c r="S168" s="22" t="str">
        <f>IF(COUNTIF($R$2:$R$1409,R168)=1,"OK",IF(COUNTIF($R$2:$R$1409,R168)&gt;1,"Exact Duplicate","Review Required"))</f>
        <v>OK</v>
      </c>
      <c r="T168" s="22" t="s">
        <v>24</v>
      </c>
      <c r="U168" s="22" t="s">
        <v>41</v>
      </c>
      <c r="V168" s="22"/>
    </row>
    <row r="169" spans="1:22" ht="41.4">
      <c r="A169" s="22" t="s">
        <v>199</v>
      </c>
      <c r="B169" s="25">
        <v>45722</v>
      </c>
      <c r="C169" s="22" t="s">
        <v>17</v>
      </c>
      <c r="D169" s="22" t="s">
        <v>32</v>
      </c>
      <c r="E169" s="22" t="s">
        <v>24</v>
      </c>
      <c r="F169" s="22" t="s">
        <v>29</v>
      </c>
      <c r="G169" s="22" t="s">
        <v>26</v>
      </c>
      <c r="H169" s="22">
        <v>1</v>
      </c>
      <c r="I169" s="22">
        <v>0</v>
      </c>
      <c r="J169" s="22">
        <v>0</v>
      </c>
      <c r="K169" s="22">
        <v>0</v>
      </c>
      <c r="L169" s="22">
        <v>0</v>
      </c>
      <c r="M169" s="22">
        <v>1</v>
      </c>
      <c r="N169" s="22">
        <v>0</v>
      </c>
      <c r="O169" s="22"/>
      <c r="P169" s="22"/>
      <c r="Q169" s="22" t="str">
        <f>IF(OR(L169&lt;$Y$18,L169&gt;$Y$19),"Outlier","Normal")</f>
        <v>Normal</v>
      </c>
      <c r="R169" s="26" t="str">
        <f>A169&amp;B169&amp;C169&amp;D169&amp;E169&amp;F169&amp;G169&amp;H169&amp;I169&amp;J169&amp;K169&amp;L169&amp;M169&amp;N169&amp;O169&amp;P169</f>
        <v>USR-10016845722ControlSouthMobilePaid SearchFree1000010</v>
      </c>
      <c r="S169" s="22" t="str">
        <f>IF(COUNTIF($R$2:$R$1409,R169)=1,"OK",IF(COUNTIF($R$2:$R$1409,R169)&gt;1,"Exact Duplicate","Review Required"))</f>
        <v>OK</v>
      </c>
      <c r="T169" s="22" t="s">
        <v>24</v>
      </c>
      <c r="U169" s="22" t="s">
        <v>29</v>
      </c>
      <c r="V169" s="22"/>
    </row>
    <row r="170" spans="1:22" ht="41.4">
      <c r="A170" s="22" t="s">
        <v>200</v>
      </c>
      <c r="B170" s="25">
        <v>45726</v>
      </c>
      <c r="C170" s="22" t="s">
        <v>17</v>
      </c>
      <c r="D170" s="22" t="s">
        <v>23</v>
      </c>
      <c r="E170" s="22" t="s">
        <v>24</v>
      </c>
      <c r="F170" s="22" t="s">
        <v>41</v>
      </c>
      <c r="G170" s="22" t="s">
        <v>21</v>
      </c>
      <c r="H170" s="22">
        <v>0</v>
      </c>
      <c r="I170" s="22">
        <v>0</v>
      </c>
      <c r="J170" s="22">
        <v>0</v>
      </c>
      <c r="K170" s="22">
        <v>0</v>
      </c>
      <c r="L170" s="22">
        <v>0</v>
      </c>
      <c r="M170" s="22">
        <v>0</v>
      </c>
      <c r="N170" s="22">
        <v>0</v>
      </c>
      <c r="O170" s="22"/>
      <c r="P170" s="22">
        <v>54.5</v>
      </c>
      <c r="Q170" s="22" t="str">
        <f>IF(OR(L170&lt;$Y$18,L170&gt;$Y$19),"Outlier","Normal")</f>
        <v>Normal</v>
      </c>
      <c r="R170" s="26" t="str">
        <f>A170&amp;B170&amp;C170&amp;D170&amp;E170&amp;F170&amp;G170&amp;H170&amp;I170&amp;J170&amp;K170&amp;L170&amp;M170&amp;N170&amp;O170&amp;P170</f>
        <v>USR-10016945726ControlWestMobileSocialBasic000000054.5</v>
      </c>
      <c r="S170" s="22" t="str">
        <f>IF(COUNTIF($R$2:$R$1409,R170)=1,"OK",IF(COUNTIF($R$2:$R$1409,R170)&gt;1,"Exact Duplicate","Review Required"))</f>
        <v>OK</v>
      </c>
      <c r="T170" s="22" t="s">
        <v>24</v>
      </c>
      <c r="U170" s="22" t="s">
        <v>41</v>
      </c>
      <c r="V170" s="22"/>
    </row>
    <row r="171" spans="1:22" ht="41.4">
      <c r="A171" s="22" t="s">
        <v>201</v>
      </c>
      <c r="B171" s="25">
        <v>45746</v>
      </c>
      <c r="C171" s="22" t="s">
        <v>17</v>
      </c>
      <c r="D171" s="22" t="s">
        <v>18</v>
      </c>
      <c r="E171" s="22" t="s">
        <v>24</v>
      </c>
      <c r="F171" s="22" t="s">
        <v>25</v>
      </c>
      <c r="G171" s="22" t="s">
        <v>26</v>
      </c>
      <c r="H171" s="22">
        <v>1</v>
      </c>
      <c r="I171" s="22">
        <v>0</v>
      </c>
      <c r="J171" s="22">
        <v>0</v>
      </c>
      <c r="K171" s="22">
        <v>0</v>
      </c>
      <c r="L171" s="22">
        <v>0</v>
      </c>
      <c r="M171" s="22">
        <v>0</v>
      </c>
      <c r="N171" s="22">
        <v>0</v>
      </c>
      <c r="O171" s="22"/>
      <c r="P171" s="22">
        <v>71.099999999999994</v>
      </c>
      <c r="Q171" s="22" t="str">
        <f>IF(OR(L171&lt;$Y$18,L171&gt;$Y$19),"Outlier","Normal")</f>
        <v>Normal</v>
      </c>
      <c r="R171" s="26" t="str">
        <f>A171&amp;B171&amp;C171&amp;D171&amp;E171&amp;F171&amp;G171&amp;H171&amp;I171&amp;J171&amp;K171&amp;L171&amp;M171&amp;N171&amp;O171&amp;P171</f>
        <v>USR-10017045746ControlNorthMobileOrganicFree100000071.1</v>
      </c>
      <c r="S171" s="22" t="str">
        <f>IF(COUNTIF($R$2:$R$1409,R171)=1,"OK",IF(COUNTIF($R$2:$R$1409,R171)&gt;1,"Exact Duplicate","Review Required"))</f>
        <v>OK</v>
      </c>
      <c r="T171" s="22" t="s">
        <v>24</v>
      </c>
      <c r="U171" s="22" t="s">
        <v>25</v>
      </c>
      <c r="V171" s="22"/>
    </row>
    <row r="172" spans="1:22" ht="41.4">
      <c r="A172" s="22" t="s">
        <v>202</v>
      </c>
      <c r="B172" s="25">
        <v>45806</v>
      </c>
      <c r="C172" s="22" t="s">
        <v>17</v>
      </c>
      <c r="D172" s="22" t="s">
        <v>28</v>
      </c>
      <c r="E172" s="22" t="s">
        <v>1482</v>
      </c>
      <c r="F172" s="22" t="s">
        <v>29</v>
      </c>
      <c r="G172" s="22" t="s">
        <v>26</v>
      </c>
      <c r="H172" s="22">
        <v>1</v>
      </c>
      <c r="I172" s="22">
        <v>1</v>
      </c>
      <c r="J172" s="22">
        <v>1</v>
      </c>
      <c r="K172" s="22">
        <v>0</v>
      </c>
      <c r="L172" s="22">
        <v>0</v>
      </c>
      <c r="M172" s="22">
        <v>0</v>
      </c>
      <c r="N172" s="22">
        <v>0</v>
      </c>
      <c r="O172" s="22"/>
      <c r="P172" s="22">
        <v>44.4</v>
      </c>
      <c r="Q172" s="22" t="str">
        <f>IF(OR(L172&lt;$Y$18,L172&gt;$Y$19),"Outlier","Normal")</f>
        <v>Normal</v>
      </c>
      <c r="R172" s="26" t="str">
        <f>A172&amp;B172&amp;C172&amp;D172&amp;E172&amp;F172&amp;G172&amp;H172&amp;I172&amp;J172&amp;K172&amp;L172&amp;M172&amp;N172&amp;O172&amp;P172</f>
        <v>USR-10017145806ControlEastUnknownPaid SearchFree111000044.4</v>
      </c>
      <c r="S172" s="22" t="str">
        <f>IF(COUNTIF($R$2:$R$1409,R172)=1,"OK",IF(COUNTIF($R$2:$R$1409,R172)&gt;1,"Exact Duplicate","Review Required"))</f>
        <v>OK</v>
      </c>
      <c r="T172" s="22"/>
      <c r="U172" s="22" t="s">
        <v>29</v>
      </c>
      <c r="V172" s="22"/>
    </row>
    <row r="173" spans="1:22" ht="41.4">
      <c r="A173" s="22" t="s">
        <v>203</v>
      </c>
      <c r="B173" s="25">
        <v>45739</v>
      </c>
      <c r="C173" s="22" t="s">
        <v>17</v>
      </c>
      <c r="D173" s="22" t="s">
        <v>18</v>
      </c>
      <c r="E173" s="22" t="s">
        <v>24</v>
      </c>
      <c r="F173" s="22" t="s">
        <v>25</v>
      </c>
      <c r="G173" s="22" t="s">
        <v>26</v>
      </c>
      <c r="H173" s="22">
        <v>1</v>
      </c>
      <c r="I173" s="22">
        <v>0</v>
      </c>
      <c r="J173" s="22">
        <v>0</v>
      </c>
      <c r="K173" s="22">
        <v>0</v>
      </c>
      <c r="L173" s="22">
        <v>0</v>
      </c>
      <c r="M173" s="22">
        <v>0</v>
      </c>
      <c r="N173" s="22">
        <v>0</v>
      </c>
      <c r="O173" s="22"/>
      <c r="P173" s="22">
        <v>61.7</v>
      </c>
      <c r="Q173" s="22" t="str">
        <f>IF(OR(L173&lt;$Y$18,L173&gt;$Y$19),"Outlier","Normal")</f>
        <v>Normal</v>
      </c>
      <c r="R173" s="26" t="str">
        <f>A173&amp;B173&amp;C173&amp;D173&amp;E173&amp;F173&amp;G173&amp;H173&amp;I173&amp;J173&amp;K173&amp;L173&amp;M173&amp;N173&amp;O173&amp;P173</f>
        <v>USR-10017245739ControlNorthMobileOrganicFree100000061.7</v>
      </c>
      <c r="S173" s="22" t="str">
        <f>IF(COUNTIF($R$2:$R$1409,R173)=1,"OK",IF(COUNTIF($R$2:$R$1409,R173)&gt;1,"Exact Duplicate","Review Required"))</f>
        <v>OK</v>
      </c>
      <c r="T173" s="22" t="s">
        <v>24</v>
      </c>
      <c r="U173" s="22" t="s">
        <v>25</v>
      </c>
      <c r="V173" s="22"/>
    </row>
    <row r="174" spans="1:22" ht="41.4">
      <c r="A174" s="22" t="s">
        <v>204</v>
      </c>
      <c r="B174" s="25">
        <v>45706</v>
      </c>
      <c r="C174" s="22" t="s">
        <v>17</v>
      </c>
      <c r="D174" s="22" t="s">
        <v>18</v>
      </c>
      <c r="E174" s="22" t="s">
        <v>34</v>
      </c>
      <c r="F174" s="22" t="s">
        <v>25</v>
      </c>
      <c r="G174" s="22" t="s">
        <v>21</v>
      </c>
      <c r="H174" s="22">
        <v>0</v>
      </c>
      <c r="I174" s="22">
        <v>0</v>
      </c>
      <c r="J174" s="22">
        <v>0</v>
      </c>
      <c r="K174" s="22">
        <v>0</v>
      </c>
      <c r="L174" s="22">
        <v>0</v>
      </c>
      <c r="M174" s="22">
        <v>1</v>
      </c>
      <c r="N174" s="22">
        <v>0</v>
      </c>
      <c r="O174" s="22"/>
      <c r="P174" s="22">
        <v>81.3</v>
      </c>
      <c r="Q174" s="22" t="str">
        <f>IF(OR(L174&lt;$Y$18,L174&gt;$Y$19),"Outlier","Normal")</f>
        <v>Normal</v>
      </c>
      <c r="R174" s="26" t="str">
        <f>A174&amp;B174&amp;C174&amp;D174&amp;E174&amp;F174&amp;G174&amp;H174&amp;I174&amp;J174&amp;K174&amp;L174&amp;M174&amp;N174&amp;O174&amp;P174</f>
        <v>USR-10017345706ControlNorthTabletOrganicBasic000001081.3</v>
      </c>
      <c r="S174" s="22" t="str">
        <f>IF(COUNTIF($R$2:$R$1409,R174)=1,"OK",IF(COUNTIF($R$2:$R$1409,R174)&gt;1,"Exact Duplicate","Review Required"))</f>
        <v>OK</v>
      </c>
      <c r="T174" s="22" t="s">
        <v>34</v>
      </c>
      <c r="U174" s="22" t="s">
        <v>25</v>
      </c>
      <c r="V174" s="22"/>
    </row>
    <row r="175" spans="1:22" ht="41.4">
      <c r="A175" s="22" t="s">
        <v>205</v>
      </c>
      <c r="B175" s="25">
        <v>45683</v>
      </c>
      <c r="C175" s="22" t="s">
        <v>17</v>
      </c>
      <c r="D175" s="22" t="s">
        <v>18</v>
      </c>
      <c r="E175" s="22" t="s">
        <v>19</v>
      </c>
      <c r="F175" s="22" t="s">
        <v>20</v>
      </c>
      <c r="G175" s="22" t="s">
        <v>26</v>
      </c>
      <c r="H175" s="22">
        <v>1</v>
      </c>
      <c r="I175" s="22">
        <v>0</v>
      </c>
      <c r="J175" s="22">
        <v>0</v>
      </c>
      <c r="K175" s="22">
        <v>0</v>
      </c>
      <c r="L175" s="22">
        <v>0</v>
      </c>
      <c r="M175" s="22">
        <v>2</v>
      </c>
      <c r="N175" s="22">
        <v>0</v>
      </c>
      <c r="O175" s="22"/>
      <c r="P175" s="22">
        <v>28.7</v>
      </c>
      <c r="Q175" s="22" t="str">
        <f>IF(OR(L175&lt;$Y$18,L175&gt;$Y$19),"Outlier","Normal")</f>
        <v>Normal</v>
      </c>
      <c r="R175" s="26" t="str">
        <f>A175&amp;B175&amp;C175&amp;D175&amp;E175&amp;F175&amp;G175&amp;H175&amp;I175&amp;J175&amp;K175&amp;L175&amp;M175&amp;N175&amp;O175&amp;P175</f>
        <v>USR-10017445683ControlNorthDesktopEmailFree100002028.7</v>
      </c>
      <c r="S175" s="22" t="str">
        <f>IF(COUNTIF($R$2:$R$1409,R175)=1,"OK",IF(COUNTIF($R$2:$R$1409,R175)&gt;1,"Exact Duplicate","Review Required"))</f>
        <v>OK</v>
      </c>
      <c r="T175" s="22" t="s">
        <v>19</v>
      </c>
      <c r="U175" s="22" t="s">
        <v>20</v>
      </c>
      <c r="V175" s="22"/>
    </row>
    <row r="176" spans="1:22" ht="41.4">
      <c r="A176" s="22" t="s">
        <v>206</v>
      </c>
      <c r="B176" s="25">
        <v>45770</v>
      </c>
      <c r="C176" s="22" t="s">
        <v>17</v>
      </c>
      <c r="D176" s="22" t="s">
        <v>28</v>
      </c>
      <c r="E176" s="22" t="s">
        <v>24</v>
      </c>
      <c r="F176" s="22" t="s">
        <v>41</v>
      </c>
      <c r="G176" s="22" t="s">
        <v>21</v>
      </c>
      <c r="H176" s="22">
        <v>0</v>
      </c>
      <c r="I176" s="22">
        <v>0</v>
      </c>
      <c r="J176" s="22">
        <v>0</v>
      </c>
      <c r="K176" s="22">
        <v>0</v>
      </c>
      <c r="L176" s="22">
        <v>0</v>
      </c>
      <c r="M176" s="22">
        <v>0</v>
      </c>
      <c r="N176" s="22">
        <v>0</v>
      </c>
      <c r="O176" s="22"/>
      <c r="P176" s="22">
        <v>53</v>
      </c>
      <c r="Q176" s="22" t="str">
        <f>IF(OR(L176&lt;$Y$18,L176&gt;$Y$19),"Outlier","Normal")</f>
        <v>Normal</v>
      </c>
      <c r="R176" s="26" t="str">
        <f>A176&amp;B176&amp;C176&amp;D176&amp;E176&amp;F176&amp;G176&amp;H176&amp;I176&amp;J176&amp;K176&amp;L176&amp;M176&amp;N176&amp;O176&amp;P176</f>
        <v>USR-10017545770ControlEastMobileSocialBasic000000053</v>
      </c>
      <c r="S176" s="22" t="str">
        <f>IF(COUNTIF($R$2:$R$1409,R176)=1,"OK",IF(COUNTIF($R$2:$R$1409,R176)&gt;1,"Exact Duplicate","Review Required"))</f>
        <v>OK</v>
      </c>
      <c r="T176" s="22" t="s">
        <v>24</v>
      </c>
      <c r="U176" s="22" t="s">
        <v>41</v>
      </c>
      <c r="V176" s="22"/>
    </row>
    <row r="177" spans="1:22" ht="41.4">
      <c r="A177" s="22" t="s">
        <v>207</v>
      </c>
      <c r="B177" s="25">
        <v>45732</v>
      </c>
      <c r="C177" s="22" t="s">
        <v>17</v>
      </c>
      <c r="D177" s="22" t="s">
        <v>32</v>
      </c>
      <c r="E177" s="22" t="s">
        <v>34</v>
      </c>
      <c r="F177" s="22" t="s">
        <v>39</v>
      </c>
      <c r="G177" s="22" t="s">
        <v>21</v>
      </c>
      <c r="H177" s="22">
        <v>1</v>
      </c>
      <c r="I177" s="22">
        <v>0</v>
      </c>
      <c r="J177" s="22">
        <v>0</v>
      </c>
      <c r="K177" s="22">
        <v>0</v>
      </c>
      <c r="L177" s="22">
        <v>0</v>
      </c>
      <c r="M177" s="22">
        <v>0</v>
      </c>
      <c r="N177" s="22">
        <v>0</v>
      </c>
      <c r="O177" s="22"/>
      <c r="P177" s="22">
        <v>54.9</v>
      </c>
      <c r="Q177" s="22" t="str">
        <f>IF(OR(L177&lt;$Y$18,L177&gt;$Y$19),"Outlier","Normal")</f>
        <v>Normal</v>
      </c>
      <c r="R177" s="26" t="str">
        <f>A177&amp;B177&amp;C177&amp;D177&amp;E177&amp;F177&amp;G177&amp;H177&amp;I177&amp;J177&amp;K177&amp;L177&amp;M177&amp;N177&amp;O177&amp;P177</f>
        <v>USR-10017645732ControlSouthTabletReferralBasic100000054.9</v>
      </c>
      <c r="S177" s="22" t="str">
        <f>IF(COUNTIF($R$2:$R$1409,R177)=1,"OK",IF(COUNTIF($R$2:$R$1409,R177)&gt;1,"Exact Duplicate","Review Required"))</f>
        <v>OK</v>
      </c>
      <c r="T177" s="22" t="s">
        <v>34</v>
      </c>
      <c r="U177" s="22" t="s">
        <v>39</v>
      </c>
      <c r="V177" s="22"/>
    </row>
    <row r="178" spans="1:22" ht="41.4">
      <c r="A178" s="22" t="s">
        <v>208</v>
      </c>
      <c r="B178" s="25">
        <v>45776</v>
      </c>
      <c r="C178" s="22" t="s">
        <v>17</v>
      </c>
      <c r="D178" s="22" t="s">
        <v>23</v>
      </c>
      <c r="E178" s="22" t="s">
        <v>24</v>
      </c>
      <c r="F178" s="22" t="s">
        <v>25</v>
      </c>
      <c r="G178" s="22" t="s">
        <v>21</v>
      </c>
      <c r="H178" s="22">
        <v>1</v>
      </c>
      <c r="I178" s="22">
        <v>0</v>
      </c>
      <c r="J178" s="22">
        <v>0</v>
      </c>
      <c r="K178" s="22">
        <v>0</v>
      </c>
      <c r="L178" s="22">
        <v>0</v>
      </c>
      <c r="M178" s="22">
        <v>0</v>
      </c>
      <c r="N178" s="22">
        <v>0</v>
      </c>
      <c r="O178" s="22"/>
      <c r="P178" s="22">
        <v>58.2</v>
      </c>
      <c r="Q178" s="22" t="str">
        <f>IF(OR(L178&lt;$Y$18,L178&gt;$Y$19),"Outlier","Normal")</f>
        <v>Normal</v>
      </c>
      <c r="R178" s="26" t="str">
        <f>A178&amp;B178&amp;C178&amp;D178&amp;E178&amp;F178&amp;G178&amp;H178&amp;I178&amp;J178&amp;K178&amp;L178&amp;M178&amp;N178&amp;O178&amp;P178</f>
        <v>USR-10017745776ControlWestMobileOrganicBasic100000058.2</v>
      </c>
      <c r="S178" s="22" t="str">
        <f>IF(COUNTIF($R$2:$R$1409,R178)=1,"OK",IF(COUNTIF($R$2:$R$1409,R178)&gt;1,"Exact Duplicate","Review Required"))</f>
        <v>OK</v>
      </c>
      <c r="T178" s="22" t="s">
        <v>24</v>
      </c>
      <c r="U178" s="22" t="s">
        <v>25</v>
      </c>
      <c r="V178" s="22"/>
    </row>
    <row r="179" spans="1:22" ht="41.4">
      <c r="A179" s="22" t="s">
        <v>209</v>
      </c>
      <c r="B179" s="25">
        <v>45753</v>
      </c>
      <c r="C179" s="22" t="s">
        <v>17</v>
      </c>
      <c r="D179" s="22" t="s">
        <v>18</v>
      </c>
      <c r="E179" s="22" t="s">
        <v>24</v>
      </c>
      <c r="F179" s="22" t="s">
        <v>25</v>
      </c>
      <c r="G179" s="22" t="s">
        <v>26</v>
      </c>
      <c r="H179" s="22">
        <v>0</v>
      </c>
      <c r="I179" s="22">
        <v>0</v>
      </c>
      <c r="J179" s="22">
        <v>0</v>
      </c>
      <c r="K179" s="22">
        <v>0</v>
      </c>
      <c r="L179" s="22">
        <v>0</v>
      </c>
      <c r="M179" s="22">
        <v>0</v>
      </c>
      <c r="N179" s="22">
        <v>0</v>
      </c>
      <c r="O179" s="22"/>
      <c r="P179" s="22">
        <v>80.599999999999994</v>
      </c>
      <c r="Q179" s="22" t="str">
        <f>IF(OR(L179&lt;$Y$18,L179&gt;$Y$19),"Outlier","Normal")</f>
        <v>Normal</v>
      </c>
      <c r="R179" s="26" t="str">
        <f>A179&amp;B179&amp;C179&amp;D179&amp;E179&amp;F179&amp;G179&amp;H179&amp;I179&amp;J179&amp;K179&amp;L179&amp;M179&amp;N179&amp;O179&amp;P179</f>
        <v>USR-10017845753ControlNorthMobileOrganicFree000000080.6</v>
      </c>
      <c r="S179" s="22" t="str">
        <f>IF(COUNTIF($R$2:$R$1409,R179)=1,"OK",IF(COUNTIF($R$2:$R$1409,R179)&gt;1,"Exact Duplicate","Review Required"))</f>
        <v>OK</v>
      </c>
      <c r="T179" s="22" t="s">
        <v>24</v>
      </c>
      <c r="U179" s="22" t="s">
        <v>25</v>
      </c>
      <c r="V179" s="22"/>
    </row>
    <row r="180" spans="1:22" ht="41.4">
      <c r="A180" s="22" t="s">
        <v>210</v>
      </c>
      <c r="B180" s="25">
        <v>45764</v>
      </c>
      <c r="C180" s="22" t="s">
        <v>17</v>
      </c>
      <c r="D180" s="22" t="s">
        <v>18</v>
      </c>
      <c r="E180" s="22" t="s">
        <v>19</v>
      </c>
      <c r="F180" s="22" t="s">
        <v>39</v>
      </c>
      <c r="G180" s="22" t="s">
        <v>30</v>
      </c>
      <c r="H180" s="22">
        <v>1</v>
      </c>
      <c r="I180" s="22">
        <v>1</v>
      </c>
      <c r="J180" s="22">
        <v>1</v>
      </c>
      <c r="K180" s="22">
        <v>0</v>
      </c>
      <c r="L180" s="22">
        <v>0</v>
      </c>
      <c r="M180" s="22">
        <v>0</v>
      </c>
      <c r="N180" s="22">
        <v>0</v>
      </c>
      <c r="O180" s="22"/>
      <c r="P180" s="22">
        <v>38.4</v>
      </c>
      <c r="Q180" s="22" t="str">
        <f>IF(OR(L180&lt;$Y$18,L180&gt;$Y$19),"Outlier","Normal")</f>
        <v>Normal</v>
      </c>
      <c r="R180" s="26" t="str">
        <f>A180&amp;B180&amp;C180&amp;D180&amp;E180&amp;F180&amp;G180&amp;H180&amp;I180&amp;J180&amp;K180&amp;L180&amp;M180&amp;N180&amp;O180&amp;P180</f>
        <v>USR-10017945764ControlNorthDesktopReferralPremium111000038.4</v>
      </c>
      <c r="S180" s="22" t="str">
        <f>IF(COUNTIF($R$2:$R$1409,R180)=1,"OK",IF(COUNTIF($R$2:$R$1409,R180)&gt;1,"Exact Duplicate","Review Required"))</f>
        <v>OK</v>
      </c>
      <c r="T180" s="22" t="s">
        <v>19</v>
      </c>
      <c r="U180" s="22" t="s">
        <v>39</v>
      </c>
      <c r="V180" s="22"/>
    </row>
    <row r="181" spans="1:22" ht="41.4">
      <c r="A181" s="22" t="s">
        <v>211</v>
      </c>
      <c r="B181" s="25">
        <v>45750</v>
      </c>
      <c r="C181" s="22" t="s">
        <v>17</v>
      </c>
      <c r="D181" s="22" t="s">
        <v>32</v>
      </c>
      <c r="E181" s="22" t="s">
        <v>24</v>
      </c>
      <c r="F181" s="22" t="s">
        <v>29</v>
      </c>
      <c r="G181" s="22" t="s">
        <v>26</v>
      </c>
      <c r="H181" s="22">
        <v>1</v>
      </c>
      <c r="I181" s="22">
        <v>0</v>
      </c>
      <c r="J181" s="22">
        <v>0</v>
      </c>
      <c r="K181" s="22">
        <v>0</v>
      </c>
      <c r="L181" s="22">
        <v>0</v>
      </c>
      <c r="M181" s="22">
        <v>0</v>
      </c>
      <c r="N181" s="22">
        <v>0</v>
      </c>
      <c r="O181" s="22"/>
      <c r="P181" s="22">
        <v>56.1</v>
      </c>
      <c r="Q181" s="22" t="str">
        <f>IF(OR(L181&lt;$Y$18,L181&gt;$Y$19),"Outlier","Normal")</f>
        <v>Normal</v>
      </c>
      <c r="R181" s="26" t="str">
        <f>A181&amp;B181&amp;C181&amp;D181&amp;E181&amp;F181&amp;G181&amp;H181&amp;I181&amp;J181&amp;K181&amp;L181&amp;M181&amp;N181&amp;O181&amp;P181</f>
        <v>USR-10018045750ControlSouthMobilePaid SearchFree100000056.1</v>
      </c>
      <c r="S181" s="22" t="str">
        <f>IF(COUNTIF($R$2:$R$1409,R181)=1,"OK",IF(COUNTIF($R$2:$R$1409,R181)&gt;1,"Exact Duplicate","Review Required"))</f>
        <v>OK</v>
      </c>
      <c r="T181" s="22" t="s">
        <v>24</v>
      </c>
      <c r="U181" s="22" t="s">
        <v>29</v>
      </c>
      <c r="V181" s="22"/>
    </row>
    <row r="182" spans="1:22" ht="41.4">
      <c r="A182" s="22" t="s">
        <v>212</v>
      </c>
      <c r="B182" s="25">
        <v>45772</v>
      </c>
      <c r="C182" s="22" t="s">
        <v>17</v>
      </c>
      <c r="D182" s="22" t="s">
        <v>23</v>
      </c>
      <c r="E182" s="22" t="s">
        <v>24</v>
      </c>
      <c r="F182" s="22" t="s">
        <v>29</v>
      </c>
      <c r="G182" s="22" t="s">
        <v>26</v>
      </c>
      <c r="H182" s="22">
        <v>0</v>
      </c>
      <c r="I182" s="22">
        <v>0</v>
      </c>
      <c r="J182" s="22">
        <v>0</v>
      </c>
      <c r="K182" s="22">
        <v>0</v>
      </c>
      <c r="L182" s="22">
        <v>0</v>
      </c>
      <c r="M182" s="22">
        <v>0</v>
      </c>
      <c r="N182" s="22">
        <v>0</v>
      </c>
      <c r="O182" s="22"/>
      <c r="P182" s="22">
        <v>62.6</v>
      </c>
      <c r="Q182" s="22" t="str">
        <f>IF(OR(L182&lt;$Y$18,L182&gt;$Y$19),"Outlier","Normal")</f>
        <v>Normal</v>
      </c>
      <c r="R182" s="26" t="str">
        <f>A182&amp;B182&amp;C182&amp;D182&amp;E182&amp;F182&amp;G182&amp;H182&amp;I182&amp;J182&amp;K182&amp;L182&amp;M182&amp;N182&amp;O182&amp;P182</f>
        <v>USR-10018145772ControlWestMobilePaid SearchFree000000062.6</v>
      </c>
      <c r="S182" s="22" t="str">
        <f>IF(COUNTIF($R$2:$R$1409,R182)=1,"OK",IF(COUNTIF($R$2:$R$1409,R182)&gt;1,"Exact Duplicate","Review Required"))</f>
        <v>OK</v>
      </c>
      <c r="T182" s="22" t="s">
        <v>24</v>
      </c>
      <c r="U182" s="22" t="s">
        <v>29</v>
      </c>
      <c r="V182" s="22"/>
    </row>
    <row r="183" spans="1:22" ht="41.4">
      <c r="A183" s="22" t="s">
        <v>213</v>
      </c>
      <c r="B183" s="25">
        <v>45777</v>
      </c>
      <c r="C183" s="22" t="s">
        <v>17</v>
      </c>
      <c r="D183" s="22" t="s">
        <v>32</v>
      </c>
      <c r="E183" s="22" t="s">
        <v>24</v>
      </c>
      <c r="F183" s="22" t="s">
        <v>25</v>
      </c>
      <c r="G183" s="22" t="s">
        <v>30</v>
      </c>
      <c r="H183" s="22">
        <v>0</v>
      </c>
      <c r="I183" s="22">
        <v>0</v>
      </c>
      <c r="J183" s="22">
        <v>0</v>
      </c>
      <c r="K183" s="22">
        <v>0</v>
      </c>
      <c r="L183" s="22">
        <v>0</v>
      </c>
      <c r="M183" s="22">
        <v>0</v>
      </c>
      <c r="N183" s="22">
        <v>0</v>
      </c>
      <c r="O183" s="22"/>
      <c r="P183" s="22">
        <v>36.299999999999997</v>
      </c>
      <c r="Q183" s="22" t="str">
        <f>IF(OR(L183&lt;$Y$18,L183&gt;$Y$19),"Outlier","Normal")</f>
        <v>Normal</v>
      </c>
      <c r="R183" s="26" t="str">
        <f>A183&amp;B183&amp;C183&amp;D183&amp;E183&amp;F183&amp;G183&amp;H183&amp;I183&amp;J183&amp;K183&amp;L183&amp;M183&amp;N183&amp;O183&amp;P183</f>
        <v>USR-10018245777ControlSouthMobileOrganicPremium000000036.3</v>
      </c>
      <c r="S183" s="22" t="str">
        <f>IF(COUNTIF($R$2:$R$1409,R183)=1,"OK",IF(COUNTIF($R$2:$R$1409,R183)&gt;1,"Exact Duplicate","Review Required"))</f>
        <v>OK</v>
      </c>
      <c r="T183" s="22" t="s">
        <v>24</v>
      </c>
      <c r="U183" s="22" t="s">
        <v>25</v>
      </c>
      <c r="V183" s="22"/>
    </row>
    <row r="184" spans="1:22" ht="41.4">
      <c r="A184" s="22" t="s">
        <v>214</v>
      </c>
      <c r="B184" s="25">
        <v>45728</v>
      </c>
      <c r="C184" s="22" t="s">
        <v>17</v>
      </c>
      <c r="D184" s="22" t="s">
        <v>32</v>
      </c>
      <c r="E184" s="22" t="s">
        <v>24</v>
      </c>
      <c r="F184" s="22" t="s">
        <v>29</v>
      </c>
      <c r="G184" s="22" t="s">
        <v>26</v>
      </c>
      <c r="H184" s="22">
        <v>1</v>
      </c>
      <c r="I184" s="22">
        <v>0</v>
      </c>
      <c r="J184" s="22">
        <v>0</v>
      </c>
      <c r="K184" s="22">
        <v>0</v>
      </c>
      <c r="L184" s="22">
        <v>0</v>
      </c>
      <c r="M184" s="22">
        <v>0</v>
      </c>
      <c r="N184" s="22">
        <v>0</v>
      </c>
      <c r="O184" s="22"/>
      <c r="P184" s="22">
        <v>52.1</v>
      </c>
      <c r="Q184" s="22" t="str">
        <f>IF(OR(L184&lt;$Y$18,L184&gt;$Y$19),"Outlier","Normal")</f>
        <v>Normal</v>
      </c>
      <c r="R184" s="26" t="str">
        <f>A184&amp;B184&amp;C184&amp;D184&amp;E184&amp;F184&amp;G184&amp;H184&amp;I184&amp;J184&amp;K184&amp;L184&amp;M184&amp;N184&amp;O184&amp;P184</f>
        <v>USR-10018345728ControlSouthMobilePaid SearchFree100000052.1</v>
      </c>
      <c r="S184" s="22" t="str">
        <f>IF(COUNTIF($R$2:$R$1409,R184)=1,"OK",IF(COUNTIF($R$2:$R$1409,R184)&gt;1,"Exact Duplicate","Review Required"))</f>
        <v>OK</v>
      </c>
      <c r="T184" s="22" t="s">
        <v>24</v>
      </c>
      <c r="U184" s="22" t="s">
        <v>29</v>
      </c>
      <c r="V184" s="22"/>
    </row>
    <row r="185" spans="1:22" ht="41.4">
      <c r="A185" s="22" t="s">
        <v>215</v>
      </c>
      <c r="B185" s="25">
        <v>45781</v>
      </c>
      <c r="C185" s="22" t="s">
        <v>17</v>
      </c>
      <c r="D185" s="22" t="s">
        <v>32</v>
      </c>
      <c r="E185" s="22" t="s">
        <v>24</v>
      </c>
      <c r="F185" s="22" t="s">
        <v>25</v>
      </c>
      <c r="G185" s="22" t="s">
        <v>26</v>
      </c>
      <c r="H185" s="22">
        <v>1</v>
      </c>
      <c r="I185" s="22">
        <v>0</v>
      </c>
      <c r="J185" s="22">
        <v>0</v>
      </c>
      <c r="K185" s="22">
        <v>0</v>
      </c>
      <c r="L185" s="22">
        <v>0</v>
      </c>
      <c r="M185" s="22">
        <v>0</v>
      </c>
      <c r="N185" s="22">
        <v>0</v>
      </c>
      <c r="O185" s="22"/>
      <c r="P185" s="22">
        <v>45.1</v>
      </c>
      <c r="Q185" s="22" t="str">
        <f>IF(OR(L185&lt;$Y$18,L185&gt;$Y$19),"Outlier","Normal")</f>
        <v>Normal</v>
      </c>
      <c r="R185" s="26" t="str">
        <f>A185&amp;B185&amp;C185&amp;D185&amp;E185&amp;F185&amp;G185&amp;H185&amp;I185&amp;J185&amp;K185&amp;L185&amp;M185&amp;N185&amp;O185&amp;P185</f>
        <v>USR-10018445781ControlSouthMobileOrganicFree100000045.1</v>
      </c>
      <c r="S185" s="22" t="str">
        <f>IF(COUNTIF($R$2:$R$1409,R185)=1,"OK",IF(COUNTIF($R$2:$R$1409,R185)&gt;1,"Exact Duplicate","Review Required"))</f>
        <v>OK</v>
      </c>
      <c r="T185" s="22" t="s">
        <v>24</v>
      </c>
      <c r="U185" s="22" t="s">
        <v>25</v>
      </c>
      <c r="V185" s="22"/>
    </row>
    <row r="186" spans="1:22" ht="41.4">
      <c r="A186" s="22" t="s">
        <v>216</v>
      </c>
      <c r="B186" s="25">
        <v>45695</v>
      </c>
      <c r="C186" s="22" t="s">
        <v>17</v>
      </c>
      <c r="D186" s="22" t="s">
        <v>32</v>
      </c>
      <c r="E186" s="22" t="s">
        <v>34</v>
      </c>
      <c r="F186" s="22" t="s">
        <v>29</v>
      </c>
      <c r="G186" s="22" t="s">
        <v>30</v>
      </c>
      <c r="H186" s="22">
        <v>0</v>
      </c>
      <c r="I186" s="22">
        <v>0</v>
      </c>
      <c r="J186" s="22">
        <v>0</v>
      </c>
      <c r="K186" s="22">
        <v>0</v>
      </c>
      <c r="L186" s="22">
        <v>0</v>
      </c>
      <c r="M186" s="22">
        <v>0</v>
      </c>
      <c r="N186" s="22">
        <v>0</v>
      </c>
      <c r="O186" s="22"/>
      <c r="P186" s="22">
        <v>67.5</v>
      </c>
      <c r="Q186" s="22" t="str">
        <f>IF(OR(L186&lt;$Y$18,L186&gt;$Y$19),"Outlier","Normal")</f>
        <v>Normal</v>
      </c>
      <c r="R186" s="26" t="str">
        <f>A186&amp;B186&amp;C186&amp;D186&amp;E186&amp;F186&amp;G186&amp;H186&amp;I186&amp;J186&amp;K186&amp;L186&amp;M186&amp;N186&amp;O186&amp;P186</f>
        <v>USR-10018545695ControlSouthTabletPaid SearchPremium000000067.5</v>
      </c>
      <c r="S186" s="22" t="str">
        <f>IF(COUNTIF($R$2:$R$1409,R186)=1,"OK",IF(COUNTIF($R$2:$R$1409,R186)&gt;1,"Exact Duplicate","Review Required"))</f>
        <v>OK</v>
      </c>
      <c r="T186" s="22" t="s">
        <v>34</v>
      </c>
      <c r="U186" s="22" t="s">
        <v>29</v>
      </c>
      <c r="V186" s="22"/>
    </row>
    <row r="187" spans="1:22" ht="41.4">
      <c r="A187" s="22" t="s">
        <v>217</v>
      </c>
      <c r="B187" s="25">
        <v>45775</v>
      </c>
      <c r="C187" s="22" t="s">
        <v>17</v>
      </c>
      <c r="D187" s="22" t="s">
        <v>28</v>
      </c>
      <c r="E187" s="22" t="s">
        <v>34</v>
      </c>
      <c r="F187" s="22" t="s">
        <v>20</v>
      </c>
      <c r="G187" s="22" t="s">
        <v>21</v>
      </c>
      <c r="H187" s="22">
        <v>1</v>
      </c>
      <c r="I187" s="22">
        <v>1</v>
      </c>
      <c r="J187" s="22">
        <v>1</v>
      </c>
      <c r="K187" s="22">
        <v>0</v>
      </c>
      <c r="L187" s="22">
        <v>0</v>
      </c>
      <c r="M187" s="22">
        <v>0</v>
      </c>
      <c r="N187" s="22">
        <v>0</v>
      </c>
      <c r="O187" s="22"/>
      <c r="P187" s="22">
        <v>80</v>
      </c>
      <c r="Q187" s="22" t="str">
        <f>IF(OR(L187&lt;$Y$18,L187&gt;$Y$19),"Outlier","Normal")</f>
        <v>Normal</v>
      </c>
      <c r="R187" s="26" t="str">
        <f>A187&amp;B187&amp;C187&amp;D187&amp;E187&amp;F187&amp;G187&amp;H187&amp;I187&amp;J187&amp;K187&amp;L187&amp;M187&amp;N187&amp;O187&amp;P187</f>
        <v>USR-10018645775ControlEastTabletEmailBasic111000080</v>
      </c>
      <c r="S187" s="22" t="str">
        <f>IF(COUNTIF($R$2:$R$1409,R187)=1,"OK",IF(COUNTIF($R$2:$R$1409,R187)&gt;1,"Exact Duplicate","Review Required"))</f>
        <v>OK</v>
      </c>
      <c r="T187" s="22" t="s">
        <v>34</v>
      </c>
      <c r="U187" s="22" t="s">
        <v>20</v>
      </c>
      <c r="V187" s="22"/>
    </row>
    <row r="188" spans="1:22" ht="41.4">
      <c r="A188" s="22" t="s">
        <v>218</v>
      </c>
      <c r="B188" s="25">
        <v>45792</v>
      </c>
      <c r="C188" s="22" t="s">
        <v>17</v>
      </c>
      <c r="D188" s="22" t="s">
        <v>28</v>
      </c>
      <c r="E188" s="22" t="s">
        <v>19</v>
      </c>
      <c r="F188" s="22" t="s">
        <v>39</v>
      </c>
      <c r="G188" s="22" t="s">
        <v>26</v>
      </c>
      <c r="H188" s="22">
        <v>0</v>
      </c>
      <c r="I188" s="22">
        <v>0</v>
      </c>
      <c r="J188" s="22">
        <v>0</v>
      </c>
      <c r="K188" s="22">
        <v>0</v>
      </c>
      <c r="L188" s="22">
        <v>0</v>
      </c>
      <c r="M188" s="22">
        <v>0</v>
      </c>
      <c r="N188" s="22">
        <v>0</v>
      </c>
      <c r="O188" s="22"/>
      <c r="P188" s="22">
        <v>56.4</v>
      </c>
      <c r="Q188" s="22" t="str">
        <f>IF(OR(L188&lt;$Y$18,L188&gt;$Y$19),"Outlier","Normal")</f>
        <v>Normal</v>
      </c>
      <c r="R188" s="26" t="str">
        <f>A188&amp;B188&amp;C188&amp;D188&amp;E188&amp;F188&amp;G188&amp;H188&amp;I188&amp;J188&amp;K188&amp;L188&amp;M188&amp;N188&amp;O188&amp;P188</f>
        <v>USR-10018745792ControlEastDesktopReferralFree000000056.4</v>
      </c>
      <c r="S188" s="22" t="str">
        <f>IF(COUNTIF($R$2:$R$1409,R188)=1,"OK",IF(COUNTIF($R$2:$R$1409,R188)&gt;1,"Exact Duplicate","Review Required"))</f>
        <v>OK</v>
      </c>
      <c r="T188" s="22" t="s">
        <v>19</v>
      </c>
      <c r="U188" s="22" t="s">
        <v>39</v>
      </c>
      <c r="V188" s="22"/>
    </row>
    <row r="189" spans="1:22" ht="41.4">
      <c r="A189" s="22" t="s">
        <v>219</v>
      </c>
      <c r="B189" s="25">
        <v>45675</v>
      </c>
      <c r="C189" s="22" t="s">
        <v>17</v>
      </c>
      <c r="D189" s="22" t="s">
        <v>23</v>
      </c>
      <c r="E189" s="22" t="s">
        <v>24</v>
      </c>
      <c r="F189" s="22" t="s">
        <v>29</v>
      </c>
      <c r="G189" s="22" t="s">
        <v>21</v>
      </c>
      <c r="H189" s="22">
        <v>0</v>
      </c>
      <c r="I189" s="22">
        <v>0</v>
      </c>
      <c r="J189" s="22">
        <v>0</v>
      </c>
      <c r="K189" s="22">
        <v>0</v>
      </c>
      <c r="L189" s="22">
        <v>0</v>
      </c>
      <c r="M189" s="22">
        <v>0</v>
      </c>
      <c r="N189" s="22">
        <v>0</v>
      </c>
      <c r="O189" s="22"/>
      <c r="P189" s="22">
        <v>55.4</v>
      </c>
      <c r="Q189" s="22" t="str">
        <f>IF(OR(L189&lt;$Y$18,L189&gt;$Y$19),"Outlier","Normal")</f>
        <v>Normal</v>
      </c>
      <c r="R189" s="26" t="str">
        <f>A189&amp;B189&amp;C189&amp;D189&amp;E189&amp;F189&amp;G189&amp;H189&amp;I189&amp;J189&amp;K189&amp;L189&amp;M189&amp;N189&amp;O189&amp;P189</f>
        <v>USR-10018845675ControlWestMobilePaid SearchBasic000000055.4</v>
      </c>
      <c r="S189" s="22" t="str">
        <f>IF(COUNTIF($R$2:$R$1409,R189)=1,"OK",IF(COUNTIF($R$2:$R$1409,R189)&gt;1,"Exact Duplicate","Review Required"))</f>
        <v>OK</v>
      </c>
      <c r="T189" s="22" t="s">
        <v>24</v>
      </c>
      <c r="U189" s="22" t="s">
        <v>29</v>
      </c>
      <c r="V189" s="22"/>
    </row>
    <row r="190" spans="1:22" ht="41.4">
      <c r="A190" s="22" t="s">
        <v>220</v>
      </c>
      <c r="B190" s="25">
        <v>45703</v>
      </c>
      <c r="C190" s="22" t="s">
        <v>17</v>
      </c>
      <c r="D190" s="22" t="s">
        <v>32</v>
      </c>
      <c r="E190" s="22" t="s">
        <v>24</v>
      </c>
      <c r="F190" s="22" t="s">
        <v>41</v>
      </c>
      <c r="G190" s="22" t="s">
        <v>21</v>
      </c>
      <c r="H190" s="22">
        <v>1</v>
      </c>
      <c r="I190" s="22">
        <v>0</v>
      </c>
      <c r="J190" s="22">
        <v>0</v>
      </c>
      <c r="K190" s="22">
        <v>0</v>
      </c>
      <c r="L190" s="22">
        <v>0</v>
      </c>
      <c r="M190" s="22">
        <v>0</v>
      </c>
      <c r="N190" s="22">
        <v>0</v>
      </c>
      <c r="O190" s="22"/>
      <c r="P190" s="22">
        <v>67.900000000000006</v>
      </c>
      <c r="Q190" s="22" t="str">
        <f>IF(OR(L190&lt;$Y$18,L190&gt;$Y$19),"Outlier","Normal")</f>
        <v>Normal</v>
      </c>
      <c r="R190" s="26" t="str">
        <f>A190&amp;B190&amp;C190&amp;D190&amp;E190&amp;F190&amp;G190&amp;H190&amp;I190&amp;J190&amp;K190&amp;L190&amp;M190&amp;N190&amp;O190&amp;P190</f>
        <v>USR-10018945703ControlSouthMobileSocialBasic100000067.9</v>
      </c>
      <c r="S190" s="22" t="str">
        <f>IF(COUNTIF($R$2:$R$1409,R190)=1,"OK",IF(COUNTIF($R$2:$R$1409,R190)&gt;1,"Exact Duplicate","Review Required"))</f>
        <v>OK</v>
      </c>
      <c r="T190" s="22" t="s">
        <v>24</v>
      </c>
      <c r="U190" s="22" t="s">
        <v>41</v>
      </c>
      <c r="V190" s="22"/>
    </row>
    <row r="191" spans="1:22" ht="41.4">
      <c r="A191" s="22" t="s">
        <v>221</v>
      </c>
      <c r="B191" s="25">
        <v>45706</v>
      </c>
      <c r="C191" s="22" t="s">
        <v>17</v>
      </c>
      <c r="D191" s="22" t="s">
        <v>18</v>
      </c>
      <c r="E191" s="22" t="s">
        <v>34</v>
      </c>
      <c r="F191" s="22" t="s">
        <v>20</v>
      </c>
      <c r="G191" s="22" t="s">
        <v>26</v>
      </c>
      <c r="H191" s="22">
        <v>1</v>
      </c>
      <c r="I191" s="22">
        <v>0</v>
      </c>
      <c r="J191" s="22">
        <v>0</v>
      </c>
      <c r="K191" s="22">
        <v>0</v>
      </c>
      <c r="L191" s="22">
        <v>0</v>
      </c>
      <c r="M191" s="22">
        <v>0</v>
      </c>
      <c r="N191" s="22">
        <v>0</v>
      </c>
      <c r="O191" s="22"/>
      <c r="P191" s="22">
        <v>62.5</v>
      </c>
      <c r="Q191" s="22" t="str">
        <f>IF(OR(L191&lt;$Y$18,L191&gt;$Y$19),"Outlier","Normal")</f>
        <v>Normal</v>
      </c>
      <c r="R191" s="26" t="str">
        <f>A191&amp;B191&amp;C191&amp;D191&amp;E191&amp;F191&amp;G191&amp;H191&amp;I191&amp;J191&amp;K191&amp;L191&amp;M191&amp;N191&amp;O191&amp;P191</f>
        <v>USR-10019045706ControlNorthTabletEmailFree100000062.5</v>
      </c>
      <c r="S191" s="22" t="str">
        <f>IF(COUNTIF($R$2:$R$1409,R191)=1,"OK",IF(COUNTIF($R$2:$R$1409,R191)&gt;1,"Exact Duplicate","Review Required"))</f>
        <v>OK</v>
      </c>
      <c r="T191" s="22" t="s">
        <v>34</v>
      </c>
      <c r="U191" s="22" t="s">
        <v>20</v>
      </c>
      <c r="V191" s="22"/>
    </row>
    <row r="192" spans="1:22" ht="41.4">
      <c r="A192" s="22" t="s">
        <v>222</v>
      </c>
      <c r="B192" s="25">
        <v>45687</v>
      </c>
      <c r="C192" s="22" t="s">
        <v>17</v>
      </c>
      <c r="D192" s="22" t="s">
        <v>32</v>
      </c>
      <c r="E192" s="22" t="s">
        <v>19</v>
      </c>
      <c r="F192" s="22" t="s">
        <v>20</v>
      </c>
      <c r="G192" s="22" t="s">
        <v>21</v>
      </c>
      <c r="H192" s="22">
        <v>1</v>
      </c>
      <c r="I192" s="22">
        <v>1</v>
      </c>
      <c r="J192" s="22">
        <v>1</v>
      </c>
      <c r="K192" s="22">
        <v>0</v>
      </c>
      <c r="L192" s="22">
        <v>0</v>
      </c>
      <c r="M192" s="22">
        <v>0</v>
      </c>
      <c r="N192" s="22">
        <v>0</v>
      </c>
      <c r="O192" s="22"/>
      <c r="P192" s="22">
        <v>54.3</v>
      </c>
      <c r="Q192" s="22" t="str">
        <f>IF(OR(L192&lt;$Y$18,L192&gt;$Y$19),"Outlier","Normal")</f>
        <v>Normal</v>
      </c>
      <c r="R192" s="26" t="str">
        <f>A192&amp;B192&amp;C192&amp;D192&amp;E192&amp;F192&amp;G192&amp;H192&amp;I192&amp;J192&amp;K192&amp;L192&amp;M192&amp;N192&amp;O192&amp;P192</f>
        <v>USR-10019145687ControlSouthDesktopEmailBasic111000054.3</v>
      </c>
      <c r="S192" s="22" t="str">
        <f>IF(COUNTIF($R$2:$R$1409,R192)=1,"OK",IF(COUNTIF($R$2:$R$1409,R192)&gt;1,"Exact Duplicate","Review Required"))</f>
        <v>OK</v>
      </c>
      <c r="T192" s="22" t="s">
        <v>19</v>
      </c>
      <c r="U192" s="22" t="s">
        <v>20</v>
      </c>
      <c r="V192" s="22"/>
    </row>
    <row r="193" spans="1:22" ht="41.4">
      <c r="A193" s="22" t="s">
        <v>223</v>
      </c>
      <c r="B193" s="25">
        <v>45697</v>
      </c>
      <c r="C193" s="22" t="s">
        <v>17</v>
      </c>
      <c r="D193" s="22" t="s">
        <v>32</v>
      </c>
      <c r="E193" s="22" t="s">
        <v>19</v>
      </c>
      <c r="F193" s="22" t="s">
        <v>25</v>
      </c>
      <c r="G193" s="22" t="s">
        <v>21</v>
      </c>
      <c r="H193" s="22">
        <v>1</v>
      </c>
      <c r="I193" s="22">
        <v>0</v>
      </c>
      <c r="J193" s="22">
        <v>0</v>
      </c>
      <c r="K193" s="22">
        <v>0</v>
      </c>
      <c r="L193" s="22">
        <v>0</v>
      </c>
      <c r="M193" s="22">
        <v>0</v>
      </c>
      <c r="N193" s="22">
        <v>0</v>
      </c>
      <c r="O193" s="22"/>
      <c r="P193" s="22">
        <v>37.5</v>
      </c>
      <c r="Q193" s="22" t="str">
        <f>IF(OR(L193&lt;$Y$18,L193&gt;$Y$19),"Outlier","Normal")</f>
        <v>Normal</v>
      </c>
      <c r="R193" s="26" t="str">
        <f>A193&amp;B193&amp;C193&amp;D193&amp;E193&amp;F193&amp;G193&amp;H193&amp;I193&amp;J193&amp;K193&amp;L193&amp;M193&amp;N193&amp;O193&amp;P193</f>
        <v>USR-10019245697ControlSouthDesktopOrganicBasic100000037.5</v>
      </c>
      <c r="S193" s="22" t="str">
        <f>IF(COUNTIF($R$2:$R$1409,R193)=1,"OK",IF(COUNTIF($R$2:$R$1409,R193)&gt;1,"Exact Duplicate","Review Required"))</f>
        <v>OK</v>
      </c>
      <c r="T193" s="22" t="s">
        <v>19</v>
      </c>
      <c r="U193" s="22" t="s">
        <v>25</v>
      </c>
      <c r="V193" s="22"/>
    </row>
    <row r="194" spans="1:22" ht="41.4">
      <c r="A194" s="22" t="s">
        <v>224</v>
      </c>
      <c r="B194" s="25">
        <v>45732</v>
      </c>
      <c r="C194" s="22" t="s">
        <v>17</v>
      </c>
      <c r="D194" s="22" t="s">
        <v>23</v>
      </c>
      <c r="E194" s="22" t="s">
        <v>24</v>
      </c>
      <c r="F194" s="22" t="s">
        <v>29</v>
      </c>
      <c r="G194" s="22" t="s">
        <v>21</v>
      </c>
      <c r="H194" s="22">
        <v>1</v>
      </c>
      <c r="I194" s="22">
        <v>0</v>
      </c>
      <c r="J194" s="22">
        <v>0</v>
      </c>
      <c r="K194" s="22">
        <v>0</v>
      </c>
      <c r="L194" s="22">
        <v>0</v>
      </c>
      <c r="M194" s="22">
        <v>0</v>
      </c>
      <c r="N194" s="22">
        <v>0</v>
      </c>
      <c r="O194" s="22"/>
      <c r="P194" s="22">
        <v>52.6</v>
      </c>
      <c r="Q194" s="22" t="str">
        <f>IF(OR(L194&lt;$Y$18,L194&gt;$Y$19),"Outlier","Normal")</f>
        <v>Normal</v>
      </c>
      <c r="R194" s="26" t="str">
        <f>A194&amp;B194&amp;C194&amp;D194&amp;E194&amp;F194&amp;G194&amp;H194&amp;I194&amp;J194&amp;K194&amp;L194&amp;M194&amp;N194&amp;O194&amp;P194</f>
        <v>USR-10019345732ControlWestMobilePaid SearchBasic100000052.6</v>
      </c>
      <c r="S194" s="22" t="str">
        <f>IF(COUNTIF($R$2:$R$1409,R194)=1,"OK",IF(COUNTIF($R$2:$R$1409,R194)&gt;1,"Exact Duplicate","Review Required"))</f>
        <v>OK</v>
      </c>
      <c r="T194" s="22" t="s">
        <v>24</v>
      </c>
      <c r="U194" s="22" t="s">
        <v>29</v>
      </c>
      <c r="V194" s="22"/>
    </row>
    <row r="195" spans="1:22" ht="41.4">
      <c r="A195" s="22" t="s">
        <v>225</v>
      </c>
      <c r="B195" s="25">
        <v>45796</v>
      </c>
      <c r="C195" s="22" t="s">
        <v>17</v>
      </c>
      <c r="D195" s="22" t="s">
        <v>18</v>
      </c>
      <c r="E195" s="22" t="s">
        <v>24</v>
      </c>
      <c r="F195" s="22" t="s">
        <v>29</v>
      </c>
      <c r="G195" s="22" t="s">
        <v>26</v>
      </c>
      <c r="H195" s="22">
        <v>1</v>
      </c>
      <c r="I195" s="22">
        <v>0</v>
      </c>
      <c r="J195" s="22">
        <v>0</v>
      </c>
      <c r="K195" s="22">
        <v>0</v>
      </c>
      <c r="L195" s="22">
        <v>0</v>
      </c>
      <c r="M195" s="22">
        <v>0</v>
      </c>
      <c r="N195" s="22">
        <v>0</v>
      </c>
      <c r="O195" s="22"/>
      <c r="P195" s="22">
        <v>46.1</v>
      </c>
      <c r="Q195" s="22" t="str">
        <f>IF(OR(L195&lt;$Y$18,L195&gt;$Y$19),"Outlier","Normal")</f>
        <v>Normal</v>
      </c>
      <c r="R195" s="26" t="str">
        <f>A195&amp;B195&amp;C195&amp;D195&amp;E195&amp;F195&amp;G195&amp;H195&amp;I195&amp;J195&amp;K195&amp;L195&amp;M195&amp;N195&amp;O195&amp;P195</f>
        <v>USR-10019445796ControlNorthMobilePaid SearchFree100000046.1</v>
      </c>
      <c r="S195" s="22" t="str">
        <f>IF(COUNTIF($R$2:$R$1409,R195)=1,"OK",IF(COUNTIF($R$2:$R$1409,R195)&gt;1,"Exact Duplicate","Review Required"))</f>
        <v>OK</v>
      </c>
      <c r="T195" s="22" t="s">
        <v>24</v>
      </c>
      <c r="U195" s="22" t="s">
        <v>29</v>
      </c>
      <c r="V195" s="22"/>
    </row>
    <row r="196" spans="1:22" ht="41.4">
      <c r="A196" s="22" t="s">
        <v>226</v>
      </c>
      <c r="B196" s="25">
        <v>45793</v>
      </c>
      <c r="C196" s="22" t="s">
        <v>17</v>
      </c>
      <c r="D196" s="22" t="s">
        <v>32</v>
      </c>
      <c r="E196" s="22" t="s">
        <v>19</v>
      </c>
      <c r="F196" s="22" t="s">
        <v>25</v>
      </c>
      <c r="G196" s="22" t="s">
        <v>21</v>
      </c>
      <c r="H196" s="22">
        <v>1</v>
      </c>
      <c r="I196" s="22">
        <v>0</v>
      </c>
      <c r="J196" s="22">
        <v>0</v>
      </c>
      <c r="K196" s="22">
        <v>0</v>
      </c>
      <c r="L196" s="22">
        <v>0</v>
      </c>
      <c r="M196" s="22">
        <v>0</v>
      </c>
      <c r="N196" s="22">
        <v>0</v>
      </c>
      <c r="O196" s="22"/>
      <c r="P196" s="22">
        <v>54.7</v>
      </c>
      <c r="Q196" s="22" t="str">
        <f>IF(OR(L196&lt;$Y$18,L196&gt;$Y$19),"Outlier","Normal")</f>
        <v>Normal</v>
      </c>
      <c r="R196" s="26" t="str">
        <f>A196&amp;B196&amp;C196&amp;D196&amp;E196&amp;F196&amp;G196&amp;H196&amp;I196&amp;J196&amp;K196&amp;L196&amp;M196&amp;N196&amp;O196&amp;P196</f>
        <v>USR-10019545793ControlSouthDesktopOrganicBasic100000054.7</v>
      </c>
      <c r="S196" s="22" t="str">
        <f>IF(COUNTIF($R$2:$R$1409,R196)=1,"OK",IF(COUNTIF($R$2:$R$1409,R196)&gt;1,"Exact Duplicate","Review Required"))</f>
        <v>OK</v>
      </c>
      <c r="T196" s="22" t="s">
        <v>19</v>
      </c>
      <c r="U196" s="22" t="s">
        <v>25</v>
      </c>
      <c r="V196" s="22"/>
    </row>
    <row r="197" spans="1:22" ht="41.4">
      <c r="A197" s="22" t="s">
        <v>227</v>
      </c>
      <c r="B197" s="25">
        <v>45772</v>
      </c>
      <c r="C197" s="22" t="s">
        <v>17</v>
      </c>
      <c r="D197" s="22" t="s">
        <v>23</v>
      </c>
      <c r="E197" s="22" t="s">
        <v>19</v>
      </c>
      <c r="F197" s="22" t="s">
        <v>39</v>
      </c>
      <c r="G197" s="22" t="s">
        <v>21</v>
      </c>
      <c r="H197" s="22">
        <v>0</v>
      </c>
      <c r="I197" s="22">
        <v>0</v>
      </c>
      <c r="J197" s="22">
        <v>0</v>
      </c>
      <c r="K197" s="22">
        <v>0</v>
      </c>
      <c r="L197" s="22">
        <v>0</v>
      </c>
      <c r="M197" s="22">
        <v>0</v>
      </c>
      <c r="N197" s="22">
        <v>0</v>
      </c>
      <c r="O197" s="22"/>
      <c r="P197" s="22">
        <v>74.2</v>
      </c>
      <c r="Q197" s="22" t="str">
        <f>IF(OR(L197&lt;$Y$18,L197&gt;$Y$19),"Outlier","Normal")</f>
        <v>Normal</v>
      </c>
      <c r="R197" s="26" t="str">
        <f>A197&amp;B197&amp;C197&amp;D197&amp;E197&amp;F197&amp;G197&amp;H197&amp;I197&amp;J197&amp;K197&amp;L197&amp;M197&amp;N197&amp;O197&amp;P197</f>
        <v>USR-10019645772ControlWestDesktopReferralBasic000000074.2</v>
      </c>
      <c r="S197" s="22" t="str">
        <f>IF(COUNTIF($R$2:$R$1409,R197)=1,"OK",IF(COUNTIF($R$2:$R$1409,R197)&gt;1,"Exact Duplicate","Review Required"))</f>
        <v>OK</v>
      </c>
      <c r="T197" s="22" t="s">
        <v>19</v>
      </c>
      <c r="U197" s="22" t="s">
        <v>39</v>
      </c>
      <c r="V197" s="22"/>
    </row>
    <row r="198" spans="1:22" ht="41.4">
      <c r="A198" s="22" t="s">
        <v>228</v>
      </c>
      <c r="B198" s="25">
        <v>45715</v>
      </c>
      <c r="C198" s="22" t="s">
        <v>17</v>
      </c>
      <c r="D198" s="22" t="s">
        <v>18</v>
      </c>
      <c r="E198" s="22" t="s">
        <v>24</v>
      </c>
      <c r="F198" s="22" t="s">
        <v>41</v>
      </c>
      <c r="G198" s="22" t="s">
        <v>21</v>
      </c>
      <c r="H198" s="22">
        <v>1</v>
      </c>
      <c r="I198" s="22">
        <v>1</v>
      </c>
      <c r="J198" s="22">
        <v>1</v>
      </c>
      <c r="K198" s="22">
        <v>1</v>
      </c>
      <c r="L198" s="22">
        <v>1052.8</v>
      </c>
      <c r="M198" s="22">
        <v>2</v>
      </c>
      <c r="N198" s="22">
        <v>0</v>
      </c>
      <c r="O198" s="22">
        <v>6</v>
      </c>
      <c r="P198" s="22">
        <v>64.7</v>
      </c>
      <c r="Q198" s="22" t="str">
        <f>IF(OR(L198&lt;$Y$18,L198&gt;$Y$19),"Outlier","Normal")</f>
        <v>Normal</v>
      </c>
      <c r="R198" s="26" t="str">
        <f>A198&amp;B198&amp;C198&amp;D198&amp;E198&amp;F198&amp;G198&amp;H198&amp;I198&amp;J198&amp;K198&amp;L198&amp;M198&amp;N198&amp;O198&amp;P198</f>
        <v>USR-10019745715ControlNorthMobileSocialBasic11111052.820664.7</v>
      </c>
      <c r="S198" s="22" t="str">
        <f>IF(COUNTIF($R$2:$R$1409,R198)=1,"OK",IF(COUNTIF($R$2:$R$1409,R198)&gt;1,"Exact Duplicate","Review Required"))</f>
        <v>OK</v>
      </c>
      <c r="T198" s="22" t="s">
        <v>24</v>
      </c>
      <c r="U198" s="22" t="s">
        <v>41</v>
      </c>
      <c r="V198" s="22"/>
    </row>
    <row r="199" spans="1:22" ht="41.4">
      <c r="A199" s="22" t="s">
        <v>229</v>
      </c>
      <c r="B199" s="25">
        <v>45773</v>
      </c>
      <c r="C199" s="22" t="s">
        <v>17</v>
      </c>
      <c r="D199" s="22" t="s">
        <v>32</v>
      </c>
      <c r="E199" s="22" t="s">
        <v>24</v>
      </c>
      <c r="F199" s="22" t="s">
        <v>29</v>
      </c>
      <c r="G199" s="22" t="s">
        <v>21</v>
      </c>
      <c r="H199" s="22">
        <v>0</v>
      </c>
      <c r="I199" s="22">
        <v>0</v>
      </c>
      <c r="J199" s="22">
        <v>0</v>
      </c>
      <c r="K199" s="22">
        <v>0</v>
      </c>
      <c r="L199" s="22">
        <v>0</v>
      </c>
      <c r="M199" s="22">
        <v>0</v>
      </c>
      <c r="N199" s="22">
        <v>0</v>
      </c>
      <c r="O199" s="22"/>
      <c r="P199" s="22">
        <v>65.900000000000006</v>
      </c>
      <c r="Q199" s="22" t="str">
        <f>IF(OR(L199&lt;$Y$18,L199&gt;$Y$19),"Outlier","Normal")</f>
        <v>Normal</v>
      </c>
      <c r="R199" s="26" t="str">
        <f>A199&amp;B199&amp;C199&amp;D199&amp;E199&amp;F199&amp;G199&amp;H199&amp;I199&amp;J199&amp;K199&amp;L199&amp;M199&amp;N199&amp;O199&amp;P199</f>
        <v>USR-10019845773ControlSouthMobilePaid SearchBasic000000065.9</v>
      </c>
      <c r="S199" s="22" t="str">
        <f>IF(COUNTIF($R$2:$R$1409,R199)=1,"OK",IF(COUNTIF($R$2:$R$1409,R199)&gt;1,"Exact Duplicate","Review Required"))</f>
        <v>OK</v>
      </c>
      <c r="T199" s="22" t="s">
        <v>24</v>
      </c>
      <c r="U199" s="22" t="s">
        <v>29</v>
      </c>
      <c r="V199" s="22"/>
    </row>
    <row r="200" spans="1:22" ht="41.4">
      <c r="A200" s="22" t="s">
        <v>230</v>
      </c>
      <c r="B200" s="25">
        <v>45791</v>
      </c>
      <c r="C200" s="22" t="s">
        <v>17</v>
      </c>
      <c r="D200" s="22" t="s">
        <v>18</v>
      </c>
      <c r="E200" s="22" t="s">
        <v>24</v>
      </c>
      <c r="F200" s="22" t="s">
        <v>25</v>
      </c>
      <c r="G200" s="22" t="s">
        <v>21</v>
      </c>
      <c r="H200" s="22">
        <v>1</v>
      </c>
      <c r="I200" s="22">
        <v>0</v>
      </c>
      <c r="J200" s="22">
        <v>0</v>
      </c>
      <c r="K200" s="22">
        <v>0</v>
      </c>
      <c r="L200" s="22">
        <v>0</v>
      </c>
      <c r="M200" s="22">
        <v>0</v>
      </c>
      <c r="N200" s="22">
        <v>0</v>
      </c>
      <c r="O200" s="22"/>
      <c r="P200" s="22">
        <v>64</v>
      </c>
      <c r="Q200" s="22" t="str">
        <f>IF(OR(L200&lt;$Y$18,L200&gt;$Y$19),"Outlier","Normal")</f>
        <v>Normal</v>
      </c>
      <c r="R200" s="26" t="str">
        <f>A200&amp;B200&amp;C200&amp;D200&amp;E200&amp;F200&amp;G200&amp;H200&amp;I200&amp;J200&amp;K200&amp;L200&amp;M200&amp;N200&amp;O200&amp;P200</f>
        <v>USR-10019945791ControlNorthMobileOrganicBasic100000064</v>
      </c>
      <c r="S200" s="22" t="str">
        <f>IF(COUNTIF($R$2:$R$1409,R200)=1,"OK",IF(COUNTIF($R$2:$R$1409,R200)&gt;1,"Exact Duplicate","Review Required"))</f>
        <v>OK</v>
      </c>
      <c r="T200" s="22" t="s">
        <v>24</v>
      </c>
      <c r="U200" s="22" t="s">
        <v>25</v>
      </c>
      <c r="V200" s="22"/>
    </row>
    <row r="201" spans="1:22" ht="41.4">
      <c r="A201" s="22" t="s">
        <v>231</v>
      </c>
      <c r="B201" s="25">
        <v>45721</v>
      </c>
      <c r="C201" s="22" t="s">
        <v>17</v>
      </c>
      <c r="D201" s="22" t="s">
        <v>18</v>
      </c>
      <c r="E201" s="22" t="s">
        <v>24</v>
      </c>
      <c r="F201" s="22" t="s">
        <v>25</v>
      </c>
      <c r="G201" s="22" t="s">
        <v>30</v>
      </c>
      <c r="H201" s="22">
        <v>1</v>
      </c>
      <c r="I201" s="22">
        <v>0</v>
      </c>
      <c r="J201" s="22">
        <v>0</v>
      </c>
      <c r="K201" s="22">
        <v>0</v>
      </c>
      <c r="L201" s="22">
        <v>0</v>
      </c>
      <c r="M201" s="22">
        <v>0</v>
      </c>
      <c r="N201" s="22">
        <v>0</v>
      </c>
      <c r="O201" s="22"/>
      <c r="P201" s="22">
        <v>57.2</v>
      </c>
      <c r="Q201" s="22" t="str">
        <f>IF(OR(L201&lt;$Y$18,L201&gt;$Y$19),"Outlier","Normal")</f>
        <v>Normal</v>
      </c>
      <c r="R201" s="26" t="str">
        <f>A201&amp;B201&amp;C201&amp;D201&amp;E201&amp;F201&amp;G201&amp;H201&amp;I201&amp;J201&amp;K201&amp;L201&amp;M201&amp;N201&amp;O201&amp;P201</f>
        <v>USR-10020045721ControlNorthMobileOrganicPremium100000057.2</v>
      </c>
      <c r="S201" s="22" t="str">
        <f>IF(COUNTIF($R$2:$R$1409,R201)=1,"OK",IF(COUNTIF($R$2:$R$1409,R201)&gt;1,"Exact Duplicate","Review Required"))</f>
        <v>OK</v>
      </c>
      <c r="T201" s="22" t="s">
        <v>24</v>
      </c>
      <c r="U201" s="22" t="s">
        <v>25</v>
      </c>
      <c r="V201" s="22"/>
    </row>
    <row r="202" spans="1:22" ht="41.4">
      <c r="A202" s="22" t="s">
        <v>232</v>
      </c>
      <c r="B202" s="25">
        <v>45749</v>
      </c>
      <c r="C202" s="22" t="s">
        <v>17</v>
      </c>
      <c r="D202" s="22" t="s">
        <v>23</v>
      </c>
      <c r="E202" s="22" t="s">
        <v>19</v>
      </c>
      <c r="F202" s="22" t="s">
        <v>25</v>
      </c>
      <c r="G202" s="22" t="s">
        <v>26</v>
      </c>
      <c r="H202" s="22">
        <v>1</v>
      </c>
      <c r="I202" s="22">
        <v>0</v>
      </c>
      <c r="J202" s="22">
        <v>0</v>
      </c>
      <c r="K202" s="22">
        <v>0</v>
      </c>
      <c r="L202" s="22">
        <v>0</v>
      </c>
      <c r="M202" s="22">
        <v>0</v>
      </c>
      <c r="N202" s="22">
        <v>0</v>
      </c>
      <c r="O202" s="22"/>
      <c r="P202" s="22">
        <v>80.5</v>
      </c>
      <c r="Q202" s="22" t="str">
        <f>IF(OR(L202&lt;$Y$18,L202&gt;$Y$19),"Outlier","Normal")</f>
        <v>Normal</v>
      </c>
      <c r="R202" s="26" t="str">
        <f>A202&amp;B202&amp;C202&amp;D202&amp;E202&amp;F202&amp;G202&amp;H202&amp;I202&amp;J202&amp;K202&amp;L202&amp;M202&amp;N202&amp;O202&amp;P202</f>
        <v>USR-10020145749ControlWestDesktopOrganicFree100000080.5</v>
      </c>
      <c r="S202" s="22" t="str">
        <f>IF(COUNTIF($R$2:$R$1409,R202)=1,"OK",IF(COUNTIF($R$2:$R$1409,R202)&gt;1,"Exact Duplicate","Review Required"))</f>
        <v>OK</v>
      </c>
      <c r="T202" s="22" t="s">
        <v>19</v>
      </c>
      <c r="U202" s="22" t="s">
        <v>25</v>
      </c>
      <c r="V202" s="22"/>
    </row>
    <row r="203" spans="1:22" ht="41.4">
      <c r="A203" s="22" t="s">
        <v>233</v>
      </c>
      <c r="B203" s="25">
        <v>45791</v>
      </c>
      <c r="C203" s="22" t="s">
        <v>17</v>
      </c>
      <c r="D203" s="22" t="s">
        <v>32</v>
      </c>
      <c r="E203" s="22" t="s">
        <v>34</v>
      </c>
      <c r="F203" s="22" t="s">
        <v>25</v>
      </c>
      <c r="G203" s="22" t="s">
        <v>26</v>
      </c>
      <c r="H203" s="22">
        <v>0</v>
      </c>
      <c r="I203" s="22">
        <v>0</v>
      </c>
      <c r="J203" s="22">
        <v>0</v>
      </c>
      <c r="K203" s="22">
        <v>0</v>
      </c>
      <c r="L203" s="22">
        <v>0</v>
      </c>
      <c r="M203" s="22">
        <v>0</v>
      </c>
      <c r="N203" s="22">
        <v>0</v>
      </c>
      <c r="O203" s="22"/>
      <c r="P203" s="22">
        <v>53.9</v>
      </c>
      <c r="Q203" s="22" t="str">
        <f>IF(OR(L203&lt;$Y$18,L203&gt;$Y$19),"Outlier","Normal")</f>
        <v>Normal</v>
      </c>
      <c r="R203" s="26" t="str">
        <f>A203&amp;B203&amp;C203&amp;D203&amp;E203&amp;F203&amp;G203&amp;H203&amp;I203&amp;J203&amp;K203&amp;L203&amp;M203&amp;N203&amp;O203&amp;P203</f>
        <v>USR-10020245791ControlSouthTabletOrganicFree000000053.9</v>
      </c>
      <c r="S203" s="22" t="str">
        <f>IF(COUNTIF($R$2:$R$1409,R203)=1,"OK",IF(COUNTIF($R$2:$R$1409,R203)&gt;1,"Exact Duplicate","Review Required"))</f>
        <v>OK</v>
      </c>
      <c r="T203" s="22" t="s">
        <v>34</v>
      </c>
      <c r="U203" s="22" t="s">
        <v>25</v>
      </c>
      <c r="V203" s="22"/>
    </row>
    <row r="204" spans="1:22" ht="41.4">
      <c r="A204" s="22" t="s">
        <v>234</v>
      </c>
      <c r="B204" s="25">
        <v>45798</v>
      </c>
      <c r="C204" s="22" t="s">
        <v>17</v>
      </c>
      <c r="D204" s="22" t="s">
        <v>18</v>
      </c>
      <c r="E204" s="22" t="s">
        <v>24</v>
      </c>
      <c r="F204" s="22" t="s">
        <v>29</v>
      </c>
      <c r="G204" s="22" t="s">
        <v>26</v>
      </c>
      <c r="H204" s="22">
        <v>1</v>
      </c>
      <c r="I204" s="22">
        <v>1</v>
      </c>
      <c r="J204" s="22">
        <v>0</v>
      </c>
      <c r="K204" s="22">
        <v>0</v>
      </c>
      <c r="L204" s="22">
        <v>0</v>
      </c>
      <c r="M204" s="22">
        <v>0</v>
      </c>
      <c r="N204" s="22">
        <v>0</v>
      </c>
      <c r="O204" s="22"/>
      <c r="P204" s="22">
        <v>77.5</v>
      </c>
      <c r="Q204" s="22" t="str">
        <f>IF(OR(L204&lt;$Y$18,L204&gt;$Y$19),"Outlier","Normal")</f>
        <v>Normal</v>
      </c>
      <c r="R204" s="26" t="str">
        <f>A204&amp;B204&amp;C204&amp;D204&amp;E204&amp;F204&amp;G204&amp;H204&amp;I204&amp;J204&amp;K204&amp;L204&amp;M204&amp;N204&amp;O204&amp;P204</f>
        <v>USR-10020345798ControlNorthMobilePaid SearchFree110000077.5</v>
      </c>
      <c r="S204" s="22" t="str">
        <f>IF(COUNTIF($R$2:$R$1409,R204)=1,"OK",IF(COUNTIF($R$2:$R$1409,R204)&gt;1,"Exact Duplicate","Review Required"))</f>
        <v>OK</v>
      </c>
      <c r="T204" s="22" t="s">
        <v>24</v>
      </c>
      <c r="U204" s="22" t="s">
        <v>29</v>
      </c>
      <c r="V204" s="22"/>
    </row>
    <row r="205" spans="1:22" ht="41.4">
      <c r="A205" s="22" t="s">
        <v>235</v>
      </c>
      <c r="B205" s="25">
        <v>45684</v>
      </c>
      <c r="C205" s="22" t="s">
        <v>17</v>
      </c>
      <c r="D205" s="22" t="s">
        <v>28</v>
      </c>
      <c r="E205" s="22" t="s">
        <v>24</v>
      </c>
      <c r="F205" s="22" t="s">
        <v>41</v>
      </c>
      <c r="G205" s="22" t="s">
        <v>21</v>
      </c>
      <c r="H205" s="22">
        <v>0</v>
      </c>
      <c r="I205" s="22">
        <v>0</v>
      </c>
      <c r="J205" s="22">
        <v>0</v>
      </c>
      <c r="K205" s="22">
        <v>0</v>
      </c>
      <c r="L205" s="22">
        <v>0</v>
      </c>
      <c r="M205" s="22">
        <v>0</v>
      </c>
      <c r="N205" s="22">
        <v>0</v>
      </c>
      <c r="O205" s="22"/>
      <c r="P205" s="22">
        <v>84.2</v>
      </c>
      <c r="Q205" s="22" t="str">
        <f>IF(OR(L205&lt;$Y$18,L205&gt;$Y$19),"Outlier","Normal")</f>
        <v>Normal</v>
      </c>
      <c r="R205" s="26" t="str">
        <f>A205&amp;B205&amp;C205&amp;D205&amp;E205&amp;F205&amp;G205&amp;H205&amp;I205&amp;J205&amp;K205&amp;L205&amp;M205&amp;N205&amp;O205&amp;P205</f>
        <v>USR-10020445684ControlEastMobileSocialBasic000000084.2</v>
      </c>
      <c r="S205" s="22" t="str">
        <f>IF(COUNTIF($R$2:$R$1409,R205)=1,"OK",IF(COUNTIF($R$2:$R$1409,R205)&gt;1,"Exact Duplicate","Review Required"))</f>
        <v>OK</v>
      </c>
      <c r="T205" s="22" t="s">
        <v>24</v>
      </c>
      <c r="U205" s="22" t="s">
        <v>41</v>
      </c>
      <c r="V205" s="22"/>
    </row>
    <row r="206" spans="1:22" ht="41.4">
      <c r="A206" s="22" t="s">
        <v>236</v>
      </c>
      <c r="B206" s="25">
        <v>45799</v>
      </c>
      <c r="C206" s="22" t="s">
        <v>17</v>
      </c>
      <c r="D206" s="22" t="s">
        <v>23</v>
      </c>
      <c r="E206" s="22" t="s">
        <v>19</v>
      </c>
      <c r="F206" s="22" t="s">
        <v>25</v>
      </c>
      <c r="G206" s="22" t="s">
        <v>26</v>
      </c>
      <c r="H206" s="22">
        <v>1</v>
      </c>
      <c r="I206" s="22">
        <v>1</v>
      </c>
      <c r="J206" s="22">
        <v>0</v>
      </c>
      <c r="K206" s="22">
        <v>0</v>
      </c>
      <c r="L206" s="22">
        <v>0</v>
      </c>
      <c r="M206" s="22">
        <v>0</v>
      </c>
      <c r="N206" s="22">
        <v>0</v>
      </c>
      <c r="O206" s="22"/>
      <c r="P206" s="22">
        <v>54.9</v>
      </c>
      <c r="Q206" s="22" t="str">
        <f>IF(OR(L206&lt;$Y$18,L206&gt;$Y$19),"Outlier","Normal")</f>
        <v>Normal</v>
      </c>
      <c r="R206" s="26" t="str">
        <f>A206&amp;B206&amp;C206&amp;D206&amp;E206&amp;F206&amp;G206&amp;H206&amp;I206&amp;J206&amp;K206&amp;L206&amp;M206&amp;N206&amp;O206&amp;P206</f>
        <v>USR-10020545799ControlWestDesktopOrganicFree110000054.9</v>
      </c>
      <c r="S206" s="22" t="str">
        <f>IF(COUNTIF($R$2:$R$1409,R206)=1,"OK",IF(COUNTIF($R$2:$R$1409,R206)&gt;1,"Exact Duplicate","Review Required"))</f>
        <v>OK</v>
      </c>
      <c r="T206" s="22" t="s">
        <v>19</v>
      </c>
      <c r="U206" s="22" t="s">
        <v>25</v>
      </c>
      <c r="V206" s="22"/>
    </row>
    <row r="207" spans="1:22" ht="41.4">
      <c r="A207" s="22" t="s">
        <v>237</v>
      </c>
      <c r="B207" s="25">
        <v>45796</v>
      </c>
      <c r="C207" s="22" t="s">
        <v>17</v>
      </c>
      <c r="D207" s="22" t="s">
        <v>32</v>
      </c>
      <c r="E207" s="22" t="s">
        <v>24</v>
      </c>
      <c r="F207" s="22" t="s">
        <v>29</v>
      </c>
      <c r="G207" s="22" t="s">
        <v>26</v>
      </c>
      <c r="H207" s="22">
        <v>0</v>
      </c>
      <c r="I207" s="22">
        <v>0</v>
      </c>
      <c r="J207" s="22">
        <v>0</v>
      </c>
      <c r="K207" s="22">
        <v>0</v>
      </c>
      <c r="L207" s="22">
        <v>0</v>
      </c>
      <c r="M207" s="22">
        <v>0</v>
      </c>
      <c r="N207" s="22">
        <v>0</v>
      </c>
      <c r="O207" s="22"/>
      <c r="P207" s="22">
        <v>69.3</v>
      </c>
      <c r="Q207" s="22" t="str">
        <f>IF(OR(L207&lt;$Y$18,L207&gt;$Y$19),"Outlier","Normal")</f>
        <v>Normal</v>
      </c>
      <c r="R207" s="26" t="str">
        <f>A207&amp;B207&amp;C207&amp;D207&amp;E207&amp;F207&amp;G207&amp;H207&amp;I207&amp;J207&amp;K207&amp;L207&amp;M207&amp;N207&amp;O207&amp;P207</f>
        <v>USR-10020645796ControlSouthMobilePaid SearchFree000000069.3</v>
      </c>
      <c r="S207" s="22" t="str">
        <f>IF(COUNTIF($R$2:$R$1409,R207)=1,"OK",IF(COUNTIF($R$2:$R$1409,R207)&gt;1,"Exact Duplicate","Review Required"))</f>
        <v>OK</v>
      </c>
      <c r="T207" s="22" t="s">
        <v>24</v>
      </c>
      <c r="U207" s="22" t="s">
        <v>29</v>
      </c>
      <c r="V207" s="22"/>
    </row>
    <row r="208" spans="1:22" ht="41.4">
      <c r="A208" s="22" t="s">
        <v>238</v>
      </c>
      <c r="B208" s="25">
        <v>45671</v>
      </c>
      <c r="C208" s="22" t="s">
        <v>17</v>
      </c>
      <c r="D208" s="22" t="s">
        <v>32</v>
      </c>
      <c r="E208" s="22" t="s">
        <v>19</v>
      </c>
      <c r="F208" s="22" t="s">
        <v>29</v>
      </c>
      <c r="G208" s="22" t="s">
        <v>26</v>
      </c>
      <c r="H208" s="22">
        <v>1</v>
      </c>
      <c r="I208" s="22">
        <v>0</v>
      </c>
      <c r="J208" s="22">
        <v>0</v>
      </c>
      <c r="K208" s="22">
        <v>0</v>
      </c>
      <c r="L208" s="22">
        <v>0</v>
      </c>
      <c r="M208" s="22">
        <v>2</v>
      </c>
      <c r="N208" s="22">
        <v>0</v>
      </c>
      <c r="O208" s="22"/>
      <c r="P208" s="22">
        <v>42.3</v>
      </c>
      <c r="Q208" s="22" t="str">
        <f>IF(OR(L208&lt;$Y$18,L208&gt;$Y$19),"Outlier","Normal")</f>
        <v>Normal</v>
      </c>
      <c r="R208" s="26" t="str">
        <f>A208&amp;B208&amp;C208&amp;D208&amp;E208&amp;F208&amp;G208&amp;H208&amp;I208&amp;J208&amp;K208&amp;L208&amp;M208&amp;N208&amp;O208&amp;P208</f>
        <v>USR-10020745671ControlSouthDesktopPaid SearchFree100002042.3</v>
      </c>
      <c r="S208" s="22" t="str">
        <f>IF(COUNTIF($R$2:$R$1409,R208)=1,"OK",IF(COUNTIF($R$2:$R$1409,R208)&gt;1,"Exact Duplicate","Review Required"))</f>
        <v>OK</v>
      </c>
      <c r="T208" s="22" t="s">
        <v>19</v>
      </c>
      <c r="U208" s="22" t="s">
        <v>29</v>
      </c>
      <c r="V208" s="22"/>
    </row>
    <row r="209" spans="1:22" ht="41.4">
      <c r="A209" s="22" t="s">
        <v>239</v>
      </c>
      <c r="B209" s="25">
        <v>45678</v>
      </c>
      <c r="C209" s="22" t="s">
        <v>17</v>
      </c>
      <c r="D209" s="22" t="s">
        <v>18</v>
      </c>
      <c r="E209" s="22" t="s">
        <v>19</v>
      </c>
      <c r="F209" s="22" t="s">
        <v>39</v>
      </c>
      <c r="G209" s="22" t="s">
        <v>30</v>
      </c>
      <c r="H209" s="22">
        <v>1</v>
      </c>
      <c r="I209" s="22">
        <v>0</v>
      </c>
      <c r="J209" s="22">
        <v>0</v>
      </c>
      <c r="K209" s="22">
        <v>0</v>
      </c>
      <c r="L209" s="22">
        <v>0</v>
      </c>
      <c r="M209" s="22">
        <v>1</v>
      </c>
      <c r="N209" s="22">
        <v>0</v>
      </c>
      <c r="O209" s="22"/>
      <c r="P209" s="22">
        <v>69.599999999999994</v>
      </c>
      <c r="Q209" s="22" t="str">
        <f>IF(OR(L209&lt;$Y$18,L209&gt;$Y$19),"Outlier","Normal")</f>
        <v>Normal</v>
      </c>
      <c r="R209" s="26" t="str">
        <f>A209&amp;B209&amp;C209&amp;D209&amp;E209&amp;F209&amp;G209&amp;H209&amp;I209&amp;J209&amp;K209&amp;L209&amp;M209&amp;N209&amp;O209&amp;P209</f>
        <v>USR-10020845678ControlNorthDesktopReferralPremium100001069.6</v>
      </c>
      <c r="S209" s="22" t="str">
        <f>IF(COUNTIF($R$2:$R$1409,R209)=1,"OK",IF(COUNTIF($R$2:$R$1409,R209)&gt;1,"Exact Duplicate","Review Required"))</f>
        <v>OK</v>
      </c>
      <c r="T209" s="22" t="s">
        <v>19</v>
      </c>
      <c r="U209" s="22" t="s">
        <v>39</v>
      </c>
      <c r="V209" s="22"/>
    </row>
    <row r="210" spans="1:22" ht="41.4">
      <c r="A210" s="22" t="s">
        <v>240</v>
      </c>
      <c r="B210" s="25">
        <v>45793</v>
      </c>
      <c r="C210" s="22" t="s">
        <v>17</v>
      </c>
      <c r="D210" s="22" t="s">
        <v>28</v>
      </c>
      <c r="E210" s="22" t="s">
        <v>24</v>
      </c>
      <c r="F210" s="22" t="s">
        <v>25</v>
      </c>
      <c r="G210" s="22" t="s">
        <v>26</v>
      </c>
      <c r="H210" s="22">
        <v>0</v>
      </c>
      <c r="I210" s="22">
        <v>0</v>
      </c>
      <c r="J210" s="22">
        <v>0</v>
      </c>
      <c r="K210" s="22">
        <v>0</v>
      </c>
      <c r="L210" s="22">
        <v>0</v>
      </c>
      <c r="M210" s="22">
        <v>0</v>
      </c>
      <c r="N210" s="22">
        <v>0</v>
      </c>
      <c r="O210" s="22"/>
      <c r="P210" s="22">
        <v>40.700000000000003</v>
      </c>
      <c r="Q210" s="22" t="str">
        <f>IF(OR(L210&lt;$Y$18,L210&gt;$Y$19),"Outlier","Normal")</f>
        <v>Normal</v>
      </c>
      <c r="R210" s="26" t="str">
        <f>A210&amp;B210&amp;C210&amp;D210&amp;E210&amp;F210&amp;G210&amp;H210&amp;I210&amp;J210&amp;K210&amp;L210&amp;M210&amp;N210&amp;O210&amp;P210</f>
        <v>USR-10020945793ControlEastMobileOrganicFree000000040.7</v>
      </c>
      <c r="S210" s="22" t="str">
        <f>IF(COUNTIF($R$2:$R$1409,R210)=1,"OK",IF(COUNTIF($R$2:$R$1409,R210)&gt;1,"Exact Duplicate","Review Required"))</f>
        <v>OK</v>
      </c>
      <c r="T210" s="22" t="s">
        <v>24</v>
      </c>
      <c r="U210" s="22" t="s">
        <v>25</v>
      </c>
      <c r="V210" s="22"/>
    </row>
    <row r="211" spans="1:22" ht="41.4">
      <c r="A211" s="22" t="s">
        <v>241</v>
      </c>
      <c r="B211" s="25">
        <v>45690</v>
      </c>
      <c r="C211" s="22" t="s">
        <v>17</v>
      </c>
      <c r="D211" s="22" t="s">
        <v>18</v>
      </c>
      <c r="E211" s="22" t="s">
        <v>24</v>
      </c>
      <c r="F211" s="22" t="s">
        <v>20</v>
      </c>
      <c r="G211" s="22" t="s">
        <v>26</v>
      </c>
      <c r="H211" s="22">
        <v>1</v>
      </c>
      <c r="I211" s="22">
        <v>0</v>
      </c>
      <c r="J211" s="22">
        <v>0</v>
      </c>
      <c r="K211" s="22">
        <v>0</v>
      </c>
      <c r="L211" s="22">
        <v>0</v>
      </c>
      <c r="M211" s="22">
        <v>0</v>
      </c>
      <c r="N211" s="22">
        <v>0</v>
      </c>
      <c r="O211" s="22"/>
      <c r="P211" s="22">
        <v>54</v>
      </c>
      <c r="Q211" s="22" t="str">
        <f>IF(OR(L211&lt;$Y$18,L211&gt;$Y$19),"Outlier","Normal")</f>
        <v>Normal</v>
      </c>
      <c r="R211" s="26" t="str">
        <f>A211&amp;B211&amp;C211&amp;D211&amp;E211&amp;F211&amp;G211&amp;H211&amp;I211&amp;J211&amp;K211&amp;L211&amp;M211&amp;N211&amp;O211&amp;P211</f>
        <v>USR-10021045690ControlNorthMobileEmailFree100000054</v>
      </c>
      <c r="S211" s="22" t="str">
        <f>IF(COUNTIF($R$2:$R$1409,R211)=1,"OK",IF(COUNTIF($R$2:$R$1409,R211)&gt;1,"Exact Duplicate","Review Required"))</f>
        <v>OK</v>
      </c>
      <c r="T211" s="22" t="s">
        <v>24</v>
      </c>
      <c r="U211" s="22" t="s">
        <v>20</v>
      </c>
      <c r="V211" s="22"/>
    </row>
    <row r="212" spans="1:22" ht="41.4">
      <c r="A212" s="22" t="s">
        <v>242</v>
      </c>
      <c r="B212" s="25">
        <v>45739</v>
      </c>
      <c r="C212" s="22" t="s">
        <v>17</v>
      </c>
      <c r="D212" s="22" t="s">
        <v>28</v>
      </c>
      <c r="E212" s="22" t="s">
        <v>1482</v>
      </c>
      <c r="F212" s="22" t="s">
        <v>39</v>
      </c>
      <c r="G212" s="22" t="s">
        <v>26</v>
      </c>
      <c r="H212" s="22">
        <v>1</v>
      </c>
      <c r="I212" s="22">
        <v>1</v>
      </c>
      <c r="J212" s="22">
        <v>1</v>
      </c>
      <c r="K212" s="22">
        <v>1</v>
      </c>
      <c r="L212" s="22">
        <v>553.37</v>
      </c>
      <c r="M212" s="22">
        <v>0</v>
      </c>
      <c r="N212" s="22">
        <v>0</v>
      </c>
      <c r="O212" s="22">
        <v>5</v>
      </c>
      <c r="P212" s="22">
        <v>46.3</v>
      </c>
      <c r="Q212" s="22" t="str">
        <f>IF(OR(L212&lt;$Y$18,L212&gt;$Y$19),"Outlier","Normal")</f>
        <v>Normal</v>
      </c>
      <c r="R212" s="26" t="str">
        <f>A212&amp;B212&amp;C212&amp;D212&amp;E212&amp;F212&amp;G212&amp;H212&amp;I212&amp;J212&amp;K212&amp;L212&amp;M212&amp;N212&amp;O212&amp;P212</f>
        <v>USR-10021145739ControlEastUnknownReferralFree1111553.3700546.3</v>
      </c>
      <c r="S212" s="22" t="str">
        <f>IF(COUNTIF($R$2:$R$1409,R212)=1,"OK",IF(COUNTIF($R$2:$R$1409,R212)&gt;1,"Exact Duplicate","Review Required"))</f>
        <v>OK</v>
      </c>
      <c r="T212" s="22"/>
      <c r="U212" s="22" t="s">
        <v>39</v>
      </c>
      <c r="V212" s="22"/>
    </row>
    <row r="213" spans="1:22" ht="41.4">
      <c r="A213" s="22" t="s">
        <v>243</v>
      </c>
      <c r="B213" s="25">
        <v>45681</v>
      </c>
      <c r="C213" s="22" t="s">
        <v>17</v>
      </c>
      <c r="D213" s="22" t="s">
        <v>28</v>
      </c>
      <c r="E213" s="22" t="s">
        <v>24</v>
      </c>
      <c r="F213" s="22" t="s">
        <v>25</v>
      </c>
      <c r="G213" s="22" t="s">
        <v>26</v>
      </c>
      <c r="H213" s="22">
        <v>1</v>
      </c>
      <c r="I213" s="22">
        <v>0</v>
      </c>
      <c r="J213" s="22">
        <v>0</v>
      </c>
      <c r="K213" s="22">
        <v>0</v>
      </c>
      <c r="L213" s="22">
        <v>0</v>
      </c>
      <c r="M213" s="22">
        <v>0</v>
      </c>
      <c r="N213" s="22">
        <v>0</v>
      </c>
      <c r="O213" s="22"/>
      <c r="P213" s="22">
        <v>64.2</v>
      </c>
      <c r="Q213" s="22" t="str">
        <f>IF(OR(L213&lt;$Y$18,L213&gt;$Y$19),"Outlier","Normal")</f>
        <v>Normal</v>
      </c>
      <c r="R213" s="26" t="str">
        <f>A213&amp;B213&amp;C213&amp;D213&amp;E213&amp;F213&amp;G213&amp;H213&amp;I213&amp;J213&amp;K213&amp;L213&amp;M213&amp;N213&amp;O213&amp;P213</f>
        <v>USR-10021245681ControlEastMobileOrganicFree100000064.2</v>
      </c>
      <c r="S213" s="22" t="str">
        <f>IF(COUNTIF($R$2:$R$1409,R213)=1,"OK",IF(COUNTIF($R$2:$R$1409,R213)&gt;1,"Exact Duplicate","Review Required"))</f>
        <v>OK</v>
      </c>
      <c r="T213" s="22" t="s">
        <v>24</v>
      </c>
      <c r="U213" s="22" t="s">
        <v>25</v>
      </c>
      <c r="V213" s="22"/>
    </row>
    <row r="214" spans="1:22" ht="41.4">
      <c r="A214" s="22" t="s">
        <v>244</v>
      </c>
      <c r="B214" s="25">
        <v>45759</v>
      </c>
      <c r="C214" s="22" t="s">
        <v>17</v>
      </c>
      <c r="D214" s="22" t="s">
        <v>18</v>
      </c>
      <c r="E214" s="22" t="s">
        <v>19</v>
      </c>
      <c r="F214" s="22" t="s">
        <v>25</v>
      </c>
      <c r="G214" s="22" t="s">
        <v>26</v>
      </c>
      <c r="H214" s="22">
        <v>1</v>
      </c>
      <c r="I214" s="22">
        <v>0</v>
      </c>
      <c r="J214" s="22">
        <v>0</v>
      </c>
      <c r="K214" s="22">
        <v>0</v>
      </c>
      <c r="L214" s="22">
        <v>0</v>
      </c>
      <c r="M214" s="22">
        <v>0</v>
      </c>
      <c r="N214" s="22">
        <v>0</v>
      </c>
      <c r="O214" s="22"/>
      <c r="P214" s="22">
        <v>75.2</v>
      </c>
      <c r="Q214" s="22" t="str">
        <f>IF(OR(L214&lt;$Y$18,L214&gt;$Y$19),"Outlier","Normal")</f>
        <v>Normal</v>
      </c>
      <c r="R214" s="26" t="str">
        <f>A214&amp;B214&amp;C214&amp;D214&amp;E214&amp;F214&amp;G214&amp;H214&amp;I214&amp;J214&amp;K214&amp;L214&amp;M214&amp;N214&amp;O214&amp;P214</f>
        <v>USR-10021345759ControlNorthDesktopOrganicFree100000075.2</v>
      </c>
      <c r="S214" s="22" t="str">
        <f>IF(COUNTIF($R$2:$R$1409,R214)=1,"OK",IF(COUNTIF($R$2:$R$1409,R214)&gt;1,"Exact Duplicate","Review Required"))</f>
        <v>OK</v>
      </c>
      <c r="T214" s="22" t="s">
        <v>19</v>
      </c>
      <c r="U214" s="22" t="s">
        <v>25</v>
      </c>
      <c r="V214" s="22"/>
    </row>
    <row r="215" spans="1:22" ht="41.4">
      <c r="A215" s="22" t="s">
        <v>245</v>
      </c>
      <c r="B215" s="25">
        <v>45706</v>
      </c>
      <c r="C215" s="22" t="s">
        <v>17</v>
      </c>
      <c r="D215" s="22" t="s">
        <v>28</v>
      </c>
      <c r="E215" s="22" t="s">
        <v>19</v>
      </c>
      <c r="F215" s="22" t="s">
        <v>29</v>
      </c>
      <c r="G215" s="22" t="s">
        <v>26</v>
      </c>
      <c r="H215" s="22">
        <v>1</v>
      </c>
      <c r="I215" s="22">
        <v>1</v>
      </c>
      <c r="J215" s="22">
        <v>0</v>
      </c>
      <c r="K215" s="22">
        <v>0</v>
      </c>
      <c r="L215" s="22">
        <v>0</v>
      </c>
      <c r="M215" s="22">
        <v>0</v>
      </c>
      <c r="N215" s="22">
        <v>0</v>
      </c>
      <c r="O215" s="22"/>
      <c r="P215" s="22">
        <v>60.9</v>
      </c>
      <c r="Q215" s="22" t="str">
        <f>IF(OR(L215&lt;$Y$18,L215&gt;$Y$19),"Outlier","Normal")</f>
        <v>Normal</v>
      </c>
      <c r="R215" s="26" t="str">
        <f>A215&amp;B215&amp;C215&amp;D215&amp;E215&amp;F215&amp;G215&amp;H215&amp;I215&amp;J215&amp;K215&amp;L215&amp;M215&amp;N215&amp;O215&amp;P215</f>
        <v>USR-10021445706ControlEastDesktopPaid SearchFree110000060.9</v>
      </c>
      <c r="S215" s="22" t="str">
        <f>IF(COUNTIF($R$2:$R$1409,R215)=1,"OK",IF(COUNTIF($R$2:$R$1409,R215)&gt;1,"Exact Duplicate","Review Required"))</f>
        <v>OK</v>
      </c>
      <c r="T215" s="22" t="s">
        <v>19</v>
      </c>
      <c r="U215" s="22" t="s">
        <v>29</v>
      </c>
      <c r="V215" s="22"/>
    </row>
    <row r="216" spans="1:22" ht="41.4">
      <c r="A216" s="22" t="s">
        <v>246</v>
      </c>
      <c r="B216" s="25">
        <v>45805</v>
      </c>
      <c r="C216" s="22" t="s">
        <v>17</v>
      </c>
      <c r="D216" s="22" t="s">
        <v>32</v>
      </c>
      <c r="E216" s="22" t="s">
        <v>24</v>
      </c>
      <c r="F216" s="22" t="s">
        <v>20</v>
      </c>
      <c r="G216" s="22" t="s">
        <v>21</v>
      </c>
      <c r="H216" s="22">
        <v>1</v>
      </c>
      <c r="I216" s="22">
        <v>1</v>
      </c>
      <c r="J216" s="22">
        <v>1</v>
      </c>
      <c r="K216" s="22">
        <v>0</v>
      </c>
      <c r="L216" s="22">
        <v>0</v>
      </c>
      <c r="M216" s="22">
        <v>0</v>
      </c>
      <c r="N216" s="22">
        <v>0</v>
      </c>
      <c r="O216" s="22"/>
      <c r="P216" s="22">
        <v>62.1</v>
      </c>
      <c r="Q216" s="22" t="str">
        <f>IF(OR(L216&lt;$Y$18,L216&gt;$Y$19),"Outlier","Normal")</f>
        <v>Normal</v>
      </c>
      <c r="R216" s="26" t="str">
        <f>A216&amp;B216&amp;C216&amp;D216&amp;E216&amp;F216&amp;G216&amp;H216&amp;I216&amp;J216&amp;K216&amp;L216&amp;M216&amp;N216&amp;O216&amp;P216</f>
        <v>USR-10021545805ControlSouthMobileEmailBasic111000062.1</v>
      </c>
      <c r="S216" s="22" t="str">
        <f>IF(COUNTIF($R$2:$R$1409,R216)=1,"OK",IF(COUNTIF($R$2:$R$1409,R216)&gt;1,"Exact Duplicate","Review Required"))</f>
        <v>OK</v>
      </c>
      <c r="T216" s="22" t="s">
        <v>24</v>
      </c>
      <c r="U216" s="22" t="s">
        <v>20</v>
      </c>
      <c r="V216" s="22"/>
    </row>
    <row r="217" spans="1:22" ht="41.4">
      <c r="A217" s="22" t="s">
        <v>247</v>
      </c>
      <c r="B217" s="25">
        <v>45765</v>
      </c>
      <c r="C217" s="22" t="s">
        <v>17</v>
      </c>
      <c r="D217" s="22" t="s">
        <v>32</v>
      </c>
      <c r="E217" s="22" t="s">
        <v>24</v>
      </c>
      <c r="F217" s="22" t="s">
        <v>41</v>
      </c>
      <c r="G217" s="22" t="s">
        <v>21</v>
      </c>
      <c r="H217" s="22">
        <v>0</v>
      </c>
      <c r="I217" s="22">
        <v>0</v>
      </c>
      <c r="J217" s="22">
        <v>0</v>
      </c>
      <c r="K217" s="22">
        <v>0</v>
      </c>
      <c r="L217" s="22">
        <v>0</v>
      </c>
      <c r="M217" s="22">
        <v>0</v>
      </c>
      <c r="N217" s="22">
        <v>0</v>
      </c>
      <c r="O217" s="22"/>
      <c r="P217" s="22">
        <v>45.4</v>
      </c>
      <c r="Q217" s="22" t="str">
        <f>IF(OR(L217&lt;$Y$18,L217&gt;$Y$19),"Outlier","Normal")</f>
        <v>Normal</v>
      </c>
      <c r="R217" s="26" t="str">
        <f>A217&amp;B217&amp;C217&amp;D217&amp;E217&amp;F217&amp;G217&amp;H217&amp;I217&amp;J217&amp;K217&amp;L217&amp;M217&amp;N217&amp;O217&amp;P217</f>
        <v>USR-10021645765ControlSouthMobileSocialBasic000000045.4</v>
      </c>
      <c r="S217" s="22" t="str">
        <f>IF(COUNTIF($R$2:$R$1409,R217)=1,"OK",IF(COUNTIF($R$2:$R$1409,R217)&gt;1,"Exact Duplicate","Review Required"))</f>
        <v>OK</v>
      </c>
      <c r="T217" s="22" t="s">
        <v>24</v>
      </c>
      <c r="U217" s="22" t="s">
        <v>41</v>
      </c>
      <c r="V217" s="22"/>
    </row>
    <row r="218" spans="1:22" ht="41.4">
      <c r="A218" s="22" t="s">
        <v>248</v>
      </c>
      <c r="B218" s="25">
        <v>45743</v>
      </c>
      <c r="C218" s="22" t="s">
        <v>17</v>
      </c>
      <c r="D218" s="22" t="s">
        <v>18</v>
      </c>
      <c r="E218" s="22" t="s">
        <v>24</v>
      </c>
      <c r="F218" s="22" t="s">
        <v>29</v>
      </c>
      <c r="G218" s="22" t="s">
        <v>21</v>
      </c>
      <c r="H218" s="22">
        <v>1</v>
      </c>
      <c r="I218" s="22">
        <v>0</v>
      </c>
      <c r="J218" s="22">
        <v>0</v>
      </c>
      <c r="K218" s="22">
        <v>0</v>
      </c>
      <c r="L218" s="22">
        <v>0</v>
      </c>
      <c r="M218" s="22">
        <v>0</v>
      </c>
      <c r="N218" s="22">
        <v>0</v>
      </c>
      <c r="O218" s="22"/>
      <c r="P218" s="22">
        <v>53.3</v>
      </c>
      <c r="Q218" s="22" t="str">
        <f>IF(OR(L218&lt;$Y$18,L218&gt;$Y$19),"Outlier","Normal")</f>
        <v>Normal</v>
      </c>
      <c r="R218" s="26" t="str">
        <f>A218&amp;B218&amp;C218&amp;D218&amp;E218&amp;F218&amp;G218&amp;H218&amp;I218&amp;J218&amp;K218&amp;L218&amp;M218&amp;N218&amp;O218&amp;P218</f>
        <v>USR-10021745743ControlNorthMobilePaid SearchBasic100000053.3</v>
      </c>
      <c r="S218" s="22" t="str">
        <f>IF(COUNTIF($R$2:$R$1409,R218)=1,"OK",IF(COUNTIF($R$2:$R$1409,R218)&gt;1,"Exact Duplicate","Review Required"))</f>
        <v>OK</v>
      </c>
      <c r="T218" s="22" t="s">
        <v>24</v>
      </c>
      <c r="U218" s="22" t="s">
        <v>29</v>
      </c>
      <c r="V218" s="22"/>
    </row>
    <row r="219" spans="1:22" ht="41.4">
      <c r="A219" s="22" t="s">
        <v>249</v>
      </c>
      <c r="B219" s="25">
        <v>45713</v>
      </c>
      <c r="C219" s="22" t="s">
        <v>17</v>
      </c>
      <c r="D219" s="22" t="s">
        <v>18</v>
      </c>
      <c r="E219" s="22" t="s">
        <v>34</v>
      </c>
      <c r="F219" s="22" t="s">
        <v>41</v>
      </c>
      <c r="G219" s="22" t="s">
        <v>26</v>
      </c>
      <c r="H219" s="22">
        <v>1</v>
      </c>
      <c r="I219" s="22">
        <v>0</v>
      </c>
      <c r="J219" s="22">
        <v>0</v>
      </c>
      <c r="K219" s="22">
        <v>0</v>
      </c>
      <c r="L219" s="22">
        <v>0</v>
      </c>
      <c r="M219" s="22">
        <v>0</v>
      </c>
      <c r="N219" s="22">
        <v>0</v>
      </c>
      <c r="O219" s="22"/>
      <c r="P219" s="22"/>
      <c r="Q219" s="22" t="str">
        <f>IF(OR(L219&lt;$Y$18,L219&gt;$Y$19),"Outlier","Normal")</f>
        <v>Normal</v>
      </c>
      <c r="R219" s="26" t="str">
        <f>A219&amp;B219&amp;C219&amp;D219&amp;E219&amp;F219&amp;G219&amp;H219&amp;I219&amp;J219&amp;K219&amp;L219&amp;M219&amp;N219&amp;O219&amp;P219</f>
        <v>USR-10021845713ControlNorthTabletSocialFree1000000</v>
      </c>
      <c r="S219" s="22" t="str">
        <f>IF(COUNTIF($R$2:$R$1409,R219)=1,"OK",IF(COUNTIF($R$2:$R$1409,R219)&gt;1,"Exact Duplicate","Review Required"))</f>
        <v>OK</v>
      </c>
      <c r="T219" s="22" t="s">
        <v>34</v>
      </c>
      <c r="U219" s="22" t="s">
        <v>41</v>
      </c>
      <c r="V219" s="22"/>
    </row>
    <row r="220" spans="1:22" ht="41.4">
      <c r="A220" s="22" t="s">
        <v>250</v>
      </c>
      <c r="B220" s="25">
        <v>45707</v>
      </c>
      <c r="C220" s="22" t="s">
        <v>17</v>
      </c>
      <c r="D220" s="22" t="s">
        <v>28</v>
      </c>
      <c r="E220" s="22" t="s">
        <v>24</v>
      </c>
      <c r="F220" s="22" t="s">
        <v>29</v>
      </c>
      <c r="G220" s="22" t="s">
        <v>26</v>
      </c>
      <c r="H220" s="22">
        <v>0</v>
      </c>
      <c r="I220" s="22">
        <v>0</v>
      </c>
      <c r="J220" s="22">
        <v>0</v>
      </c>
      <c r="K220" s="22">
        <v>0</v>
      </c>
      <c r="L220" s="22">
        <v>0</v>
      </c>
      <c r="M220" s="22">
        <v>1</v>
      </c>
      <c r="N220" s="22">
        <v>0</v>
      </c>
      <c r="O220" s="22"/>
      <c r="P220" s="22">
        <v>38.200000000000003</v>
      </c>
      <c r="Q220" s="22" t="str">
        <f>IF(OR(L220&lt;$Y$18,L220&gt;$Y$19),"Outlier","Normal")</f>
        <v>Normal</v>
      </c>
      <c r="R220" s="26" t="str">
        <f>A220&amp;B220&amp;C220&amp;D220&amp;E220&amp;F220&amp;G220&amp;H220&amp;I220&amp;J220&amp;K220&amp;L220&amp;M220&amp;N220&amp;O220&amp;P220</f>
        <v>USR-10021945707ControlEastMobilePaid SearchFree000001038.2</v>
      </c>
      <c r="S220" s="22" t="str">
        <f>IF(COUNTIF($R$2:$R$1409,R220)=1,"OK",IF(COUNTIF($R$2:$R$1409,R220)&gt;1,"Exact Duplicate","Review Required"))</f>
        <v>OK</v>
      </c>
      <c r="T220" s="22" t="s">
        <v>24</v>
      </c>
      <c r="U220" s="22" t="s">
        <v>29</v>
      </c>
      <c r="V220" s="22"/>
    </row>
    <row r="221" spans="1:22" ht="41.4">
      <c r="A221" s="22" t="s">
        <v>251</v>
      </c>
      <c r="B221" s="25">
        <v>45758</v>
      </c>
      <c r="C221" s="22" t="s">
        <v>17</v>
      </c>
      <c r="D221" s="22" t="s">
        <v>23</v>
      </c>
      <c r="E221" s="22" t="s">
        <v>24</v>
      </c>
      <c r="F221" s="22" t="s">
        <v>29</v>
      </c>
      <c r="G221" s="22" t="s">
        <v>26</v>
      </c>
      <c r="H221" s="22">
        <v>1</v>
      </c>
      <c r="I221" s="22">
        <v>1</v>
      </c>
      <c r="J221" s="22">
        <v>0</v>
      </c>
      <c r="K221" s="22">
        <v>0</v>
      </c>
      <c r="L221" s="22">
        <v>0</v>
      </c>
      <c r="M221" s="22">
        <v>3</v>
      </c>
      <c r="N221" s="22">
        <v>0</v>
      </c>
      <c r="O221" s="22"/>
      <c r="P221" s="22">
        <v>59</v>
      </c>
      <c r="Q221" s="22" t="str">
        <f>IF(OR(L221&lt;$Y$18,L221&gt;$Y$19),"Outlier","Normal")</f>
        <v>Normal</v>
      </c>
      <c r="R221" s="26" t="str">
        <f>A221&amp;B221&amp;C221&amp;D221&amp;E221&amp;F221&amp;G221&amp;H221&amp;I221&amp;J221&amp;K221&amp;L221&amp;M221&amp;N221&amp;O221&amp;P221</f>
        <v>USR-10022045758ControlWestMobilePaid SearchFree110003059</v>
      </c>
      <c r="S221" s="22" t="str">
        <f>IF(COUNTIF($R$2:$R$1409,R221)=1,"OK",IF(COUNTIF($R$2:$R$1409,R221)&gt;1,"Exact Duplicate","Review Required"))</f>
        <v>OK</v>
      </c>
      <c r="T221" s="22" t="s">
        <v>24</v>
      </c>
      <c r="U221" s="22" t="s">
        <v>29</v>
      </c>
      <c r="V221" s="22"/>
    </row>
    <row r="222" spans="1:22" ht="41.4">
      <c r="A222" s="22" t="s">
        <v>252</v>
      </c>
      <c r="B222" s="25">
        <v>45679</v>
      </c>
      <c r="C222" s="22" t="s">
        <v>17</v>
      </c>
      <c r="D222" s="22" t="s">
        <v>28</v>
      </c>
      <c r="E222" s="22" t="s">
        <v>34</v>
      </c>
      <c r="F222" s="22" t="s">
        <v>39</v>
      </c>
      <c r="G222" s="22" t="s">
        <v>30</v>
      </c>
      <c r="H222" s="22">
        <v>1</v>
      </c>
      <c r="I222" s="22">
        <v>1</v>
      </c>
      <c r="J222" s="22">
        <v>1</v>
      </c>
      <c r="K222" s="22">
        <v>0</v>
      </c>
      <c r="L222" s="22">
        <v>0</v>
      </c>
      <c r="M222" s="22">
        <v>0</v>
      </c>
      <c r="N222" s="22">
        <v>0</v>
      </c>
      <c r="O222" s="22"/>
      <c r="P222" s="22">
        <v>80.599999999999994</v>
      </c>
      <c r="Q222" s="22" t="str">
        <f>IF(OR(L222&lt;$Y$18,L222&gt;$Y$19),"Outlier","Normal")</f>
        <v>Normal</v>
      </c>
      <c r="R222" s="26" t="str">
        <f>A222&amp;B222&amp;C222&amp;D222&amp;E222&amp;F222&amp;G222&amp;H222&amp;I222&amp;J222&amp;K222&amp;L222&amp;M222&amp;N222&amp;O222&amp;P222</f>
        <v>USR-10022145679ControlEastTabletReferralPremium111000080.6</v>
      </c>
      <c r="S222" s="22" t="str">
        <f>IF(COUNTIF($R$2:$R$1409,R222)=1,"OK",IF(COUNTIF($R$2:$R$1409,R222)&gt;1,"Exact Duplicate","Review Required"))</f>
        <v>OK</v>
      </c>
      <c r="T222" s="22" t="s">
        <v>34</v>
      </c>
      <c r="U222" s="22" t="s">
        <v>39</v>
      </c>
      <c r="V222" s="22"/>
    </row>
    <row r="223" spans="1:22" ht="41.4">
      <c r="A223" s="22" t="s">
        <v>253</v>
      </c>
      <c r="B223" s="25">
        <v>45669</v>
      </c>
      <c r="C223" s="22" t="s">
        <v>17</v>
      </c>
      <c r="D223" s="22" t="s">
        <v>32</v>
      </c>
      <c r="E223" s="22" t="s">
        <v>24</v>
      </c>
      <c r="F223" s="22" t="s">
        <v>41</v>
      </c>
      <c r="G223" s="22" t="s">
        <v>26</v>
      </c>
      <c r="H223" s="22">
        <v>1</v>
      </c>
      <c r="I223" s="22">
        <v>0</v>
      </c>
      <c r="J223" s="22">
        <v>0</v>
      </c>
      <c r="K223" s="22">
        <v>0</v>
      </c>
      <c r="L223" s="22">
        <v>0</v>
      </c>
      <c r="M223" s="22">
        <v>0</v>
      </c>
      <c r="N223" s="22">
        <v>0</v>
      </c>
      <c r="O223" s="22"/>
      <c r="P223" s="22">
        <v>67</v>
      </c>
      <c r="Q223" s="22" t="str">
        <f>IF(OR(L223&lt;$Y$18,L223&gt;$Y$19),"Outlier","Normal")</f>
        <v>Normal</v>
      </c>
      <c r="R223" s="26" t="str">
        <f>A223&amp;B223&amp;C223&amp;D223&amp;E223&amp;F223&amp;G223&amp;H223&amp;I223&amp;J223&amp;K223&amp;L223&amp;M223&amp;N223&amp;O223&amp;P223</f>
        <v>USR-10022245669ControlSouthMobileSocialFree100000067</v>
      </c>
      <c r="S223" s="22" t="str">
        <f>IF(COUNTIF($R$2:$R$1409,R223)=1,"OK",IF(COUNTIF($R$2:$R$1409,R223)&gt;1,"Exact Duplicate","Review Required"))</f>
        <v>OK</v>
      </c>
      <c r="T223" s="22" t="s">
        <v>24</v>
      </c>
      <c r="U223" s="22" t="s">
        <v>41</v>
      </c>
      <c r="V223" s="22"/>
    </row>
    <row r="224" spans="1:22" ht="41.4">
      <c r="A224" s="22" t="s">
        <v>254</v>
      </c>
      <c r="B224" s="25">
        <v>45705</v>
      </c>
      <c r="C224" s="22" t="s">
        <v>17</v>
      </c>
      <c r="D224" s="22" t="s">
        <v>23</v>
      </c>
      <c r="E224" s="22" t="s">
        <v>24</v>
      </c>
      <c r="F224" s="22" t="s">
        <v>20</v>
      </c>
      <c r="G224" s="22" t="s">
        <v>26</v>
      </c>
      <c r="H224" s="22">
        <v>1</v>
      </c>
      <c r="I224" s="22">
        <v>0</v>
      </c>
      <c r="J224" s="22">
        <v>0</v>
      </c>
      <c r="K224" s="22">
        <v>0</v>
      </c>
      <c r="L224" s="22">
        <v>0</v>
      </c>
      <c r="M224" s="22">
        <v>1</v>
      </c>
      <c r="N224" s="22">
        <v>0</v>
      </c>
      <c r="O224" s="22"/>
      <c r="P224" s="22">
        <v>72.099999999999994</v>
      </c>
      <c r="Q224" s="22" t="str">
        <f>IF(OR(L224&lt;$Y$18,L224&gt;$Y$19),"Outlier","Normal")</f>
        <v>Normal</v>
      </c>
      <c r="R224" s="26" t="str">
        <f>A224&amp;B224&amp;C224&amp;D224&amp;E224&amp;F224&amp;G224&amp;H224&amp;I224&amp;J224&amp;K224&amp;L224&amp;M224&amp;N224&amp;O224&amp;P224</f>
        <v>USR-10022345705ControlWestMobileEmailFree100001072.1</v>
      </c>
      <c r="S224" s="22" t="str">
        <f>IF(COUNTIF($R$2:$R$1409,R224)=1,"OK",IF(COUNTIF($R$2:$R$1409,R224)&gt;1,"Exact Duplicate","Review Required"))</f>
        <v>OK</v>
      </c>
      <c r="T224" s="22" t="s">
        <v>24</v>
      </c>
      <c r="U224" s="22" t="s">
        <v>20</v>
      </c>
      <c r="V224" s="22"/>
    </row>
    <row r="225" spans="1:22" ht="41.4">
      <c r="A225" s="22" t="s">
        <v>255</v>
      </c>
      <c r="B225" s="25">
        <v>45758</v>
      </c>
      <c r="C225" s="22" t="s">
        <v>17</v>
      </c>
      <c r="D225" s="22" t="s">
        <v>23</v>
      </c>
      <c r="E225" s="22" t="s">
        <v>19</v>
      </c>
      <c r="F225" s="22" t="s">
        <v>25</v>
      </c>
      <c r="G225" s="22" t="s">
        <v>26</v>
      </c>
      <c r="H225" s="22">
        <v>0</v>
      </c>
      <c r="I225" s="22">
        <v>0</v>
      </c>
      <c r="J225" s="22">
        <v>0</v>
      </c>
      <c r="K225" s="22">
        <v>0</v>
      </c>
      <c r="L225" s="22">
        <v>0</v>
      </c>
      <c r="M225" s="22">
        <v>0</v>
      </c>
      <c r="N225" s="22">
        <v>0</v>
      </c>
      <c r="O225" s="22"/>
      <c r="P225" s="22">
        <v>74.099999999999994</v>
      </c>
      <c r="Q225" s="22" t="str">
        <f>IF(OR(L225&lt;$Y$18,L225&gt;$Y$19),"Outlier","Normal")</f>
        <v>Normal</v>
      </c>
      <c r="R225" s="26" t="str">
        <f>A225&amp;B225&amp;C225&amp;D225&amp;E225&amp;F225&amp;G225&amp;H225&amp;I225&amp;J225&amp;K225&amp;L225&amp;M225&amp;N225&amp;O225&amp;P225</f>
        <v>USR-10022445758ControlWestDesktopOrganicFree000000074.1</v>
      </c>
      <c r="S225" s="22" t="str">
        <f>IF(COUNTIF($R$2:$R$1409,R225)=1,"OK",IF(COUNTIF($R$2:$R$1409,R225)&gt;1,"Exact Duplicate","Review Required"))</f>
        <v>OK</v>
      </c>
      <c r="T225" s="22" t="s">
        <v>19</v>
      </c>
      <c r="U225" s="22" t="s">
        <v>25</v>
      </c>
      <c r="V225" s="22"/>
    </row>
    <row r="226" spans="1:22" ht="41.4">
      <c r="A226" s="22" t="s">
        <v>256</v>
      </c>
      <c r="B226" s="25">
        <v>45802</v>
      </c>
      <c r="C226" s="22" t="s">
        <v>17</v>
      </c>
      <c r="D226" s="22" t="s">
        <v>32</v>
      </c>
      <c r="E226" s="22" t="s">
        <v>24</v>
      </c>
      <c r="F226" s="22" t="s">
        <v>39</v>
      </c>
      <c r="G226" s="22" t="s">
        <v>30</v>
      </c>
      <c r="H226" s="22">
        <v>0</v>
      </c>
      <c r="I226" s="22">
        <v>0</v>
      </c>
      <c r="J226" s="22">
        <v>0</v>
      </c>
      <c r="K226" s="22">
        <v>0</v>
      </c>
      <c r="L226" s="22">
        <v>0</v>
      </c>
      <c r="M226" s="22">
        <v>0</v>
      </c>
      <c r="N226" s="22">
        <v>0</v>
      </c>
      <c r="O226" s="22"/>
      <c r="P226" s="22">
        <v>84.8</v>
      </c>
      <c r="Q226" s="22" t="str">
        <f>IF(OR(L226&lt;$Y$18,L226&gt;$Y$19),"Outlier","Normal")</f>
        <v>Normal</v>
      </c>
      <c r="R226" s="26" t="str">
        <f>A226&amp;B226&amp;C226&amp;D226&amp;E226&amp;F226&amp;G226&amp;H226&amp;I226&amp;J226&amp;K226&amp;L226&amp;M226&amp;N226&amp;O226&amp;P226</f>
        <v>USR-10022545802ControlSouthMobileReferralPremium000000084.8</v>
      </c>
      <c r="S226" s="22" t="str">
        <f>IF(COUNTIF($R$2:$R$1409,R226)=1,"OK",IF(COUNTIF($R$2:$R$1409,R226)&gt;1,"Exact Duplicate","Review Required"))</f>
        <v>OK</v>
      </c>
      <c r="T226" s="22" t="s">
        <v>24</v>
      </c>
      <c r="U226" s="22" t="s">
        <v>39</v>
      </c>
      <c r="V226" s="22"/>
    </row>
    <row r="227" spans="1:22" ht="41.4">
      <c r="A227" s="22" t="s">
        <v>257</v>
      </c>
      <c r="B227" s="25">
        <v>45728</v>
      </c>
      <c r="C227" s="22" t="s">
        <v>17</v>
      </c>
      <c r="D227" s="22" t="s">
        <v>32</v>
      </c>
      <c r="E227" s="22" t="s">
        <v>24</v>
      </c>
      <c r="F227" s="22" t="s">
        <v>25</v>
      </c>
      <c r="G227" s="22" t="s">
        <v>21</v>
      </c>
      <c r="H227" s="22">
        <v>1</v>
      </c>
      <c r="I227" s="22">
        <v>0</v>
      </c>
      <c r="J227" s="22">
        <v>0</v>
      </c>
      <c r="K227" s="22">
        <v>0</v>
      </c>
      <c r="L227" s="22">
        <v>0</v>
      </c>
      <c r="M227" s="22">
        <v>0</v>
      </c>
      <c r="N227" s="22">
        <v>0</v>
      </c>
      <c r="O227" s="22"/>
      <c r="P227" s="22">
        <v>33</v>
      </c>
      <c r="Q227" s="22" t="str">
        <f>IF(OR(L227&lt;$Y$18,L227&gt;$Y$19),"Outlier","Normal")</f>
        <v>Normal</v>
      </c>
      <c r="R227" s="26" t="str">
        <f>A227&amp;B227&amp;C227&amp;D227&amp;E227&amp;F227&amp;G227&amp;H227&amp;I227&amp;J227&amp;K227&amp;L227&amp;M227&amp;N227&amp;O227&amp;P227</f>
        <v>USR-10022645728ControlSouthMobileOrganicBasic100000033</v>
      </c>
      <c r="S227" s="22" t="str">
        <f>IF(COUNTIF($R$2:$R$1409,R227)=1,"OK",IF(COUNTIF($R$2:$R$1409,R227)&gt;1,"Exact Duplicate","Review Required"))</f>
        <v>OK</v>
      </c>
      <c r="T227" s="22" t="s">
        <v>24</v>
      </c>
      <c r="U227" s="22" t="s">
        <v>25</v>
      </c>
      <c r="V227" s="22"/>
    </row>
    <row r="228" spans="1:22" ht="41.4">
      <c r="A228" s="22" t="s">
        <v>258</v>
      </c>
      <c r="B228" s="25">
        <v>45767</v>
      </c>
      <c r="C228" s="22" t="s">
        <v>17</v>
      </c>
      <c r="D228" s="22" t="s">
        <v>18</v>
      </c>
      <c r="E228" s="22" t="s">
        <v>34</v>
      </c>
      <c r="F228" s="22" t="s">
        <v>20</v>
      </c>
      <c r="G228" s="22" t="s">
        <v>26</v>
      </c>
      <c r="H228" s="22">
        <v>0</v>
      </c>
      <c r="I228" s="22">
        <v>0</v>
      </c>
      <c r="J228" s="22">
        <v>0</v>
      </c>
      <c r="K228" s="22">
        <v>0</v>
      </c>
      <c r="L228" s="22">
        <v>0</v>
      </c>
      <c r="M228" s="22">
        <v>0</v>
      </c>
      <c r="N228" s="22">
        <v>0</v>
      </c>
      <c r="O228" s="22"/>
      <c r="P228" s="22">
        <v>52.5</v>
      </c>
      <c r="Q228" s="22" t="str">
        <f>IF(OR(L228&lt;$Y$18,L228&gt;$Y$19),"Outlier","Normal")</f>
        <v>Normal</v>
      </c>
      <c r="R228" s="26" t="str">
        <f>A228&amp;B228&amp;C228&amp;D228&amp;E228&amp;F228&amp;G228&amp;H228&amp;I228&amp;J228&amp;K228&amp;L228&amp;M228&amp;N228&amp;O228&amp;P228</f>
        <v>USR-10022745767ControlNorthTabletEmailFree000000052.5</v>
      </c>
      <c r="S228" s="22" t="str">
        <f>IF(COUNTIF($R$2:$R$1409,R228)=1,"OK",IF(COUNTIF($R$2:$R$1409,R228)&gt;1,"Exact Duplicate","Review Required"))</f>
        <v>OK</v>
      </c>
      <c r="T228" s="22" t="s">
        <v>34</v>
      </c>
      <c r="U228" s="22" t="s">
        <v>20</v>
      </c>
      <c r="V228" s="22"/>
    </row>
    <row r="229" spans="1:22" ht="41.4">
      <c r="A229" s="22" t="s">
        <v>259</v>
      </c>
      <c r="B229" s="25">
        <v>45711</v>
      </c>
      <c r="C229" s="22" t="s">
        <v>17</v>
      </c>
      <c r="D229" s="22" t="s">
        <v>18</v>
      </c>
      <c r="E229" s="22" t="s">
        <v>34</v>
      </c>
      <c r="F229" s="22" t="s">
        <v>25</v>
      </c>
      <c r="G229" s="22" t="s">
        <v>26</v>
      </c>
      <c r="H229" s="22">
        <v>0</v>
      </c>
      <c r="I229" s="22">
        <v>0</v>
      </c>
      <c r="J229" s="22">
        <v>0</v>
      </c>
      <c r="K229" s="22">
        <v>0</v>
      </c>
      <c r="L229" s="22">
        <v>0</v>
      </c>
      <c r="M229" s="22">
        <v>0</v>
      </c>
      <c r="N229" s="22">
        <v>0</v>
      </c>
      <c r="O229" s="22"/>
      <c r="P229" s="22">
        <v>66.900000000000006</v>
      </c>
      <c r="Q229" s="22" t="str">
        <f>IF(OR(L229&lt;$Y$18,L229&gt;$Y$19),"Outlier","Normal")</f>
        <v>Normal</v>
      </c>
      <c r="R229" s="26" t="str">
        <f>A229&amp;B229&amp;C229&amp;D229&amp;E229&amp;F229&amp;G229&amp;H229&amp;I229&amp;J229&amp;K229&amp;L229&amp;M229&amp;N229&amp;O229&amp;P229</f>
        <v>USR-10022845711ControlNorthTabletOrganicFree000000066.9</v>
      </c>
      <c r="S229" s="22" t="str">
        <f>IF(COUNTIF($R$2:$R$1409,R229)=1,"OK",IF(COUNTIF($R$2:$R$1409,R229)&gt;1,"Exact Duplicate","Review Required"))</f>
        <v>OK</v>
      </c>
      <c r="T229" s="22" t="s">
        <v>34</v>
      </c>
      <c r="U229" s="22" t="s">
        <v>25</v>
      </c>
      <c r="V229" s="22"/>
    </row>
    <row r="230" spans="1:22" ht="41.4">
      <c r="A230" s="22" t="s">
        <v>260</v>
      </c>
      <c r="B230" s="25">
        <v>45681</v>
      </c>
      <c r="C230" s="22" t="s">
        <v>17</v>
      </c>
      <c r="D230" s="22" t="s">
        <v>18</v>
      </c>
      <c r="E230" s="22" t="s">
        <v>24</v>
      </c>
      <c r="F230" s="22" t="s">
        <v>25</v>
      </c>
      <c r="G230" s="22" t="s">
        <v>21</v>
      </c>
      <c r="H230" s="22">
        <v>1</v>
      </c>
      <c r="I230" s="22">
        <v>1</v>
      </c>
      <c r="J230" s="22">
        <v>1</v>
      </c>
      <c r="K230" s="22">
        <v>0</v>
      </c>
      <c r="L230" s="22">
        <v>0</v>
      </c>
      <c r="M230" s="22">
        <v>1</v>
      </c>
      <c r="N230" s="22">
        <v>0</v>
      </c>
      <c r="O230" s="22"/>
      <c r="P230" s="22">
        <v>32.700000000000003</v>
      </c>
      <c r="Q230" s="22" t="str">
        <f>IF(OR(L230&lt;$Y$18,L230&gt;$Y$19),"Outlier","Normal")</f>
        <v>Normal</v>
      </c>
      <c r="R230" s="26" t="str">
        <f>A230&amp;B230&amp;C230&amp;D230&amp;E230&amp;F230&amp;G230&amp;H230&amp;I230&amp;J230&amp;K230&amp;L230&amp;M230&amp;N230&amp;O230&amp;P230</f>
        <v>USR-10022945681ControlNorthMobileOrganicBasic111001032.7</v>
      </c>
      <c r="S230" s="22" t="str">
        <f>IF(COUNTIF($R$2:$R$1409,R230)=1,"OK",IF(COUNTIF($R$2:$R$1409,R230)&gt;1,"Exact Duplicate","Review Required"))</f>
        <v>OK</v>
      </c>
      <c r="T230" s="22" t="s">
        <v>24</v>
      </c>
      <c r="U230" s="22" t="s">
        <v>25</v>
      </c>
      <c r="V230" s="22"/>
    </row>
    <row r="231" spans="1:22" ht="41.4">
      <c r="A231" s="22" t="s">
        <v>261</v>
      </c>
      <c r="B231" s="25">
        <v>45673</v>
      </c>
      <c r="C231" s="22" t="s">
        <v>17</v>
      </c>
      <c r="D231" s="22" t="s">
        <v>23</v>
      </c>
      <c r="E231" s="22" t="s">
        <v>24</v>
      </c>
      <c r="F231" s="22" t="s">
        <v>25</v>
      </c>
      <c r="G231" s="22" t="s">
        <v>30</v>
      </c>
      <c r="H231" s="22">
        <v>1</v>
      </c>
      <c r="I231" s="22">
        <v>1</v>
      </c>
      <c r="J231" s="22">
        <v>1</v>
      </c>
      <c r="K231" s="22">
        <v>0</v>
      </c>
      <c r="L231" s="22">
        <v>0</v>
      </c>
      <c r="M231" s="22">
        <v>1</v>
      </c>
      <c r="N231" s="22">
        <v>0</v>
      </c>
      <c r="O231" s="22"/>
      <c r="P231" s="22">
        <v>70.599999999999994</v>
      </c>
      <c r="Q231" s="22" t="str">
        <f>IF(OR(L231&lt;$Y$18,L231&gt;$Y$19),"Outlier","Normal")</f>
        <v>Normal</v>
      </c>
      <c r="R231" s="26" t="str">
        <f>A231&amp;B231&amp;C231&amp;D231&amp;E231&amp;F231&amp;G231&amp;H231&amp;I231&amp;J231&amp;K231&amp;L231&amp;M231&amp;N231&amp;O231&amp;P231</f>
        <v>USR-10023045673ControlWestMobileOrganicPremium111001070.6</v>
      </c>
      <c r="S231" s="22" t="str">
        <f>IF(COUNTIF($R$2:$R$1409,R231)=1,"OK",IF(COUNTIF($R$2:$R$1409,R231)&gt;1,"Exact Duplicate","Review Required"))</f>
        <v>OK</v>
      </c>
      <c r="T231" s="22" t="s">
        <v>24</v>
      </c>
      <c r="U231" s="22" t="s">
        <v>25</v>
      </c>
      <c r="V231" s="22"/>
    </row>
    <row r="232" spans="1:22" ht="41.4">
      <c r="A232" s="22" t="s">
        <v>262</v>
      </c>
      <c r="B232" s="25">
        <v>45705</v>
      </c>
      <c r="C232" s="22" t="s">
        <v>17</v>
      </c>
      <c r="D232" s="22" t="s">
        <v>18</v>
      </c>
      <c r="E232" s="22" t="s">
        <v>24</v>
      </c>
      <c r="F232" s="22" t="s">
        <v>41</v>
      </c>
      <c r="G232" s="22" t="s">
        <v>26</v>
      </c>
      <c r="H232" s="22">
        <v>0</v>
      </c>
      <c r="I232" s="22">
        <v>0</v>
      </c>
      <c r="J232" s="22">
        <v>0</v>
      </c>
      <c r="K232" s="22">
        <v>0</v>
      </c>
      <c r="L232" s="22">
        <v>0</v>
      </c>
      <c r="M232" s="22">
        <v>0</v>
      </c>
      <c r="N232" s="22">
        <v>0</v>
      </c>
      <c r="O232" s="22"/>
      <c r="P232" s="22">
        <v>69.400000000000006</v>
      </c>
      <c r="Q232" s="22" t="str">
        <f>IF(OR(L232&lt;$Y$18,L232&gt;$Y$19),"Outlier","Normal")</f>
        <v>Normal</v>
      </c>
      <c r="R232" s="26" t="str">
        <f>A232&amp;B232&amp;C232&amp;D232&amp;E232&amp;F232&amp;G232&amp;H232&amp;I232&amp;J232&amp;K232&amp;L232&amp;M232&amp;N232&amp;O232&amp;P232</f>
        <v>USR-10023145705ControlNorthMobileSocialFree000000069.4</v>
      </c>
      <c r="S232" s="22" t="str">
        <f>IF(COUNTIF($R$2:$R$1409,R232)=1,"OK",IF(COUNTIF($R$2:$R$1409,R232)&gt;1,"Exact Duplicate","Review Required"))</f>
        <v>OK</v>
      </c>
      <c r="T232" s="22" t="s">
        <v>24</v>
      </c>
      <c r="U232" s="22" t="s">
        <v>41</v>
      </c>
      <c r="V232" s="22"/>
    </row>
    <row r="233" spans="1:22" ht="41.4">
      <c r="A233" s="22" t="s">
        <v>263</v>
      </c>
      <c r="B233" s="25">
        <v>45781</v>
      </c>
      <c r="C233" s="22" t="s">
        <v>17</v>
      </c>
      <c r="D233" s="22" t="s">
        <v>18</v>
      </c>
      <c r="E233" s="22" t="s">
        <v>19</v>
      </c>
      <c r="F233" s="22" t="s">
        <v>25</v>
      </c>
      <c r="G233" s="22" t="s">
        <v>21</v>
      </c>
      <c r="H233" s="22">
        <v>1</v>
      </c>
      <c r="I233" s="22">
        <v>0</v>
      </c>
      <c r="J233" s="22">
        <v>0</v>
      </c>
      <c r="K233" s="22">
        <v>0</v>
      </c>
      <c r="L233" s="22">
        <v>0</v>
      </c>
      <c r="M233" s="22">
        <v>0</v>
      </c>
      <c r="N233" s="22">
        <v>0</v>
      </c>
      <c r="O233" s="22"/>
      <c r="P233" s="22">
        <v>56.1</v>
      </c>
      <c r="Q233" s="22" t="str">
        <f>IF(OR(L233&lt;$Y$18,L233&gt;$Y$19),"Outlier","Normal")</f>
        <v>Normal</v>
      </c>
      <c r="R233" s="26" t="str">
        <f>A233&amp;B233&amp;C233&amp;D233&amp;E233&amp;F233&amp;G233&amp;H233&amp;I233&amp;J233&amp;K233&amp;L233&amp;M233&amp;N233&amp;O233&amp;P233</f>
        <v>USR-10023245781ControlNorthDesktopOrganicBasic100000056.1</v>
      </c>
      <c r="S233" s="22" t="str">
        <f>IF(COUNTIF($R$2:$R$1409,R233)=1,"OK",IF(COUNTIF($R$2:$R$1409,R233)&gt;1,"Exact Duplicate","Review Required"))</f>
        <v>OK</v>
      </c>
      <c r="T233" s="22" t="s">
        <v>19</v>
      </c>
      <c r="U233" s="22" t="s">
        <v>25</v>
      </c>
      <c r="V233" s="22"/>
    </row>
    <row r="234" spans="1:22" ht="41.4">
      <c r="A234" s="22" t="s">
        <v>264</v>
      </c>
      <c r="B234" s="25">
        <v>45669</v>
      </c>
      <c r="C234" s="22" t="s">
        <v>17</v>
      </c>
      <c r="D234" s="22" t="s">
        <v>23</v>
      </c>
      <c r="E234" s="22" t="s">
        <v>24</v>
      </c>
      <c r="F234" s="22" t="s">
        <v>25</v>
      </c>
      <c r="G234" s="22" t="s">
        <v>21</v>
      </c>
      <c r="H234" s="22">
        <v>0</v>
      </c>
      <c r="I234" s="22">
        <v>0</v>
      </c>
      <c r="J234" s="22">
        <v>0</v>
      </c>
      <c r="K234" s="22">
        <v>0</v>
      </c>
      <c r="L234" s="22">
        <v>0</v>
      </c>
      <c r="M234" s="22">
        <v>0</v>
      </c>
      <c r="N234" s="22">
        <v>0</v>
      </c>
      <c r="O234" s="22"/>
      <c r="P234" s="22">
        <v>55.8</v>
      </c>
      <c r="Q234" s="22" t="str">
        <f>IF(OR(L234&lt;$Y$18,L234&gt;$Y$19),"Outlier","Normal")</f>
        <v>Normal</v>
      </c>
      <c r="R234" s="26" t="str">
        <f>A234&amp;B234&amp;C234&amp;D234&amp;E234&amp;F234&amp;G234&amp;H234&amp;I234&amp;J234&amp;K234&amp;L234&amp;M234&amp;N234&amp;O234&amp;P234</f>
        <v>USR-10023345669ControlWestMobileOrganicBasic000000055.8</v>
      </c>
      <c r="S234" s="22" t="str">
        <f>IF(COUNTIF($R$2:$R$1409,R234)=1,"OK",IF(COUNTIF($R$2:$R$1409,R234)&gt;1,"Exact Duplicate","Review Required"))</f>
        <v>OK</v>
      </c>
      <c r="T234" s="22" t="s">
        <v>24</v>
      </c>
      <c r="U234" s="22" t="s">
        <v>25</v>
      </c>
      <c r="V234" s="22"/>
    </row>
    <row r="235" spans="1:22" ht="41.4">
      <c r="A235" s="22" t="s">
        <v>265</v>
      </c>
      <c r="B235" s="25">
        <v>45775</v>
      </c>
      <c r="C235" s="22" t="s">
        <v>17</v>
      </c>
      <c r="D235" s="22" t="s">
        <v>18</v>
      </c>
      <c r="E235" s="22" t="s">
        <v>34</v>
      </c>
      <c r="F235" s="22" t="s">
        <v>25</v>
      </c>
      <c r="G235" s="22" t="s">
        <v>26</v>
      </c>
      <c r="H235" s="22">
        <v>0</v>
      </c>
      <c r="I235" s="22">
        <v>0</v>
      </c>
      <c r="J235" s="22">
        <v>0</v>
      </c>
      <c r="K235" s="22">
        <v>0</v>
      </c>
      <c r="L235" s="22">
        <v>0</v>
      </c>
      <c r="M235" s="22">
        <v>0</v>
      </c>
      <c r="N235" s="22">
        <v>0</v>
      </c>
      <c r="O235" s="22"/>
      <c r="P235" s="22">
        <v>49.3</v>
      </c>
      <c r="Q235" s="22" t="str">
        <f>IF(OR(L235&lt;$Y$18,L235&gt;$Y$19),"Outlier","Normal")</f>
        <v>Normal</v>
      </c>
      <c r="R235" s="26" t="str">
        <f>A235&amp;B235&amp;C235&amp;D235&amp;E235&amp;F235&amp;G235&amp;H235&amp;I235&amp;J235&amp;K235&amp;L235&amp;M235&amp;N235&amp;O235&amp;P235</f>
        <v>USR-10023445775ControlNorthTabletOrganicFree000000049.3</v>
      </c>
      <c r="S235" s="22" t="str">
        <f>IF(COUNTIF($R$2:$R$1409,R235)=1,"OK",IF(COUNTIF($R$2:$R$1409,R235)&gt;1,"Exact Duplicate","Review Required"))</f>
        <v>OK</v>
      </c>
      <c r="T235" s="22" t="s">
        <v>34</v>
      </c>
      <c r="U235" s="22" t="s">
        <v>25</v>
      </c>
      <c r="V235" s="22"/>
    </row>
    <row r="236" spans="1:22" ht="41.4">
      <c r="A236" s="22" t="s">
        <v>266</v>
      </c>
      <c r="B236" s="25">
        <v>45714</v>
      </c>
      <c r="C236" s="22" t="s">
        <v>17</v>
      </c>
      <c r="D236" s="22" t="s">
        <v>18</v>
      </c>
      <c r="E236" s="22" t="s">
        <v>24</v>
      </c>
      <c r="F236" s="22" t="s">
        <v>25</v>
      </c>
      <c r="G236" s="22" t="s">
        <v>26</v>
      </c>
      <c r="H236" s="22">
        <v>0</v>
      </c>
      <c r="I236" s="22">
        <v>0</v>
      </c>
      <c r="J236" s="22">
        <v>0</v>
      </c>
      <c r="K236" s="22">
        <v>0</v>
      </c>
      <c r="L236" s="22">
        <v>0</v>
      </c>
      <c r="M236" s="22">
        <v>0</v>
      </c>
      <c r="N236" s="22">
        <v>0</v>
      </c>
      <c r="O236" s="22"/>
      <c r="P236" s="22">
        <v>71.8</v>
      </c>
      <c r="Q236" s="22" t="str">
        <f>IF(OR(L236&lt;$Y$18,L236&gt;$Y$19),"Outlier","Normal")</f>
        <v>Normal</v>
      </c>
      <c r="R236" s="26" t="str">
        <f>A236&amp;B236&amp;C236&amp;D236&amp;E236&amp;F236&amp;G236&amp;H236&amp;I236&amp;J236&amp;K236&amp;L236&amp;M236&amp;N236&amp;O236&amp;P236</f>
        <v>USR-10023545714ControlNorthMobileOrganicFree000000071.8</v>
      </c>
      <c r="S236" s="22" t="str">
        <f>IF(COUNTIF($R$2:$R$1409,R236)=1,"OK",IF(COUNTIF($R$2:$R$1409,R236)&gt;1,"Exact Duplicate","Review Required"))</f>
        <v>OK</v>
      </c>
      <c r="T236" s="22" t="s">
        <v>24</v>
      </c>
      <c r="U236" s="22" t="s">
        <v>25</v>
      </c>
      <c r="V236" s="22"/>
    </row>
    <row r="237" spans="1:22" ht="41.4">
      <c r="A237" s="22" t="s">
        <v>267</v>
      </c>
      <c r="B237" s="25">
        <v>45734</v>
      </c>
      <c r="C237" s="22" t="s">
        <v>17</v>
      </c>
      <c r="D237" s="22" t="s">
        <v>23</v>
      </c>
      <c r="E237" s="22" t="s">
        <v>24</v>
      </c>
      <c r="F237" s="22" t="s">
        <v>41</v>
      </c>
      <c r="G237" s="22" t="s">
        <v>26</v>
      </c>
      <c r="H237" s="22">
        <v>1</v>
      </c>
      <c r="I237" s="22">
        <v>0</v>
      </c>
      <c r="J237" s="22">
        <v>0</v>
      </c>
      <c r="K237" s="22">
        <v>0</v>
      </c>
      <c r="L237" s="22">
        <v>0</v>
      </c>
      <c r="M237" s="22">
        <v>3</v>
      </c>
      <c r="N237" s="22">
        <v>0</v>
      </c>
      <c r="O237" s="22"/>
      <c r="P237" s="22">
        <v>39.700000000000003</v>
      </c>
      <c r="Q237" s="22" t="str">
        <f>IF(OR(L237&lt;$Y$18,L237&gt;$Y$19),"Outlier","Normal")</f>
        <v>Normal</v>
      </c>
      <c r="R237" s="26" t="str">
        <f>A237&amp;B237&amp;C237&amp;D237&amp;E237&amp;F237&amp;G237&amp;H237&amp;I237&amp;J237&amp;K237&amp;L237&amp;M237&amp;N237&amp;O237&amp;P237</f>
        <v>USR-10023645734ControlWestMobileSocialFree100003039.7</v>
      </c>
      <c r="S237" s="22" t="str">
        <f>IF(COUNTIF($R$2:$R$1409,R237)=1,"OK",IF(COUNTIF($R$2:$R$1409,R237)&gt;1,"Exact Duplicate","Review Required"))</f>
        <v>OK</v>
      </c>
      <c r="T237" s="22" t="s">
        <v>24</v>
      </c>
      <c r="U237" s="22" t="s">
        <v>41</v>
      </c>
      <c r="V237" s="22"/>
    </row>
    <row r="238" spans="1:22" ht="41.4">
      <c r="A238" s="22" t="s">
        <v>268</v>
      </c>
      <c r="B238" s="25">
        <v>45717</v>
      </c>
      <c r="C238" s="22" t="s">
        <v>17</v>
      </c>
      <c r="D238" s="22" t="s">
        <v>32</v>
      </c>
      <c r="E238" s="22" t="s">
        <v>19</v>
      </c>
      <c r="F238" s="22" t="s">
        <v>25</v>
      </c>
      <c r="G238" s="22" t="s">
        <v>30</v>
      </c>
      <c r="H238" s="22">
        <v>1</v>
      </c>
      <c r="I238" s="22">
        <v>0</v>
      </c>
      <c r="J238" s="22">
        <v>0</v>
      </c>
      <c r="K238" s="22">
        <v>0</v>
      </c>
      <c r="L238" s="22">
        <v>0</v>
      </c>
      <c r="M238" s="22">
        <v>0</v>
      </c>
      <c r="N238" s="22">
        <v>0</v>
      </c>
      <c r="O238" s="22"/>
      <c r="P238" s="22">
        <v>45.4</v>
      </c>
      <c r="Q238" s="22" t="str">
        <f>IF(OR(L238&lt;$Y$18,L238&gt;$Y$19),"Outlier","Normal")</f>
        <v>Normal</v>
      </c>
      <c r="R238" s="26" t="str">
        <f>A238&amp;B238&amp;C238&amp;D238&amp;E238&amp;F238&amp;G238&amp;H238&amp;I238&amp;J238&amp;K238&amp;L238&amp;M238&amp;N238&amp;O238&amp;P238</f>
        <v>USR-10023745717ControlSouthDesktopOrganicPremium100000045.4</v>
      </c>
      <c r="S238" s="22" t="str">
        <f>IF(COUNTIF($R$2:$R$1409,R238)=1,"OK",IF(COUNTIF($R$2:$R$1409,R238)&gt;1,"Exact Duplicate","Review Required"))</f>
        <v>OK</v>
      </c>
      <c r="T238" s="22" t="s">
        <v>19</v>
      </c>
      <c r="U238" s="22" t="s">
        <v>25</v>
      </c>
      <c r="V238" s="22"/>
    </row>
    <row r="239" spans="1:22" ht="41.4">
      <c r="A239" s="22" t="s">
        <v>269</v>
      </c>
      <c r="B239" s="25">
        <v>45752</v>
      </c>
      <c r="C239" s="22" t="s">
        <v>17</v>
      </c>
      <c r="D239" s="22" t="s">
        <v>18</v>
      </c>
      <c r="E239" s="22" t="s">
        <v>19</v>
      </c>
      <c r="F239" s="22" t="s">
        <v>41</v>
      </c>
      <c r="G239" s="22" t="s">
        <v>30</v>
      </c>
      <c r="H239" s="22">
        <v>1</v>
      </c>
      <c r="I239" s="22">
        <v>0</v>
      </c>
      <c r="J239" s="22">
        <v>0</v>
      </c>
      <c r="K239" s="22">
        <v>0</v>
      </c>
      <c r="L239" s="22">
        <v>0</v>
      </c>
      <c r="M239" s="22">
        <v>0</v>
      </c>
      <c r="N239" s="22">
        <v>0</v>
      </c>
      <c r="O239" s="22"/>
      <c r="P239" s="22">
        <v>69.900000000000006</v>
      </c>
      <c r="Q239" s="22" t="str">
        <f>IF(OR(L239&lt;$Y$18,L239&gt;$Y$19),"Outlier","Normal")</f>
        <v>Normal</v>
      </c>
      <c r="R239" s="26" t="str">
        <f>A239&amp;B239&amp;C239&amp;D239&amp;E239&amp;F239&amp;G239&amp;H239&amp;I239&amp;J239&amp;K239&amp;L239&amp;M239&amp;N239&amp;O239&amp;P239</f>
        <v>USR-10023845752ControlNorthDesktopSocialPremium100000069.9</v>
      </c>
      <c r="S239" s="22" t="str">
        <f>IF(COUNTIF($R$2:$R$1409,R239)=1,"OK",IF(COUNTIF($R$2:$R$1409,R239)&gt;1,"Exact Duplicate","Review Required"))</f>
        <v>OK</v>
      </c>
      <c r="T239" s="22" t="s">
        <v>19</v>
      </c>
      <c r="U239" s="22" t="s">
        <v>41</v>
      </c>
      <c r="V239" s="22"/>
    </row>
    <row r="240" spans="1:22" ht="41.4">
      <c r="A240" s="22" t="s">
        <v>270</v>
      </c>
      <c r="B240" s="25">
        <v>45728</v>
      </c>
      <c r="C240" s="22" t="s">
        <v>17</v>
      </c>
      <c r="D240" s="22" t="s">
        <v>18</v>
      </c>
      <c r="E240" s="22" t="s">
        <v>19</v>
      </c>
      <c r="F240" s="22" t="s">
        <v>41</v>
      </c>
      <c r="G240" s="22" t="s">
        <v>26</v>
      </c>
      <c r="H240" s="22">
        <v>1</v>
      </c>
      <c r="I240" s="22">
        <v>1</v>
      </c>
      <c r="J240" s="22">
        <v>1</v>
      </c>
      <c r="K240" s="22">
        <v>0</v>
      </c>
      <c r="L240" s="22">
        <v>0</v>
      </c>
      <c r="M240" s="22">
        <v>0</v>
      </c>
      <c r="N240" s="22">
        <v>0</v>
      </c>
      <c r="O240" s="22"/>
      <c r="P240" s="22">
        <v>56.1</v>
      </c>
      <c r="Q240" s="22" t="str">
        <f>IF(OR(L240&lt;$Y$18,L240&gt;$Y$19),"Outlier","Normal")</f>
        <v>Normal</v>
      </c>
      <c r="R240" s="26" t="str">
        <f>A240&amp;B240&amp;C240&amp;D240&amp;E240&amp;F240&amp;G240&amp;H240&amp;I240&amp;J240&amp;K240&amp;L240&amp;M240&amp;N240&amp;O240&amp;P240</f>
        <v>USR-10023945728ControlNorthDesktopSocialFree111000056.1</v>
      </c>
      <c r="S240" s="22" t="str">
        <f>IF(COUNTIF($R$2:$R$1409,R240)=1,"OK",IF(COUNTIF($R$2:$R$1409,R240)&gt;1,"Exact Duplicate","Review Required"))</f>
        <v>OK</v>
      </c>
      <c r="T240" s="22" t="s">
        <v>19</v>
      </c>
      <c r="U240" s="22" t="s">
        <v>41</v>
      </c>
      <c r="V240" s="22"/>
    </row>
    <row r="241" spans="1:22" ht="41.4">
      <c r="A241" s="22" t="s">
        <v>271</v>
      </c>
      <c r="B241" s="25">
        <v>45731</v>
      </c>
      <c r="C241" s="22" t="s">
        <v>17</v>
      </c>
      <c r="D241" s="22" t="s">
        <v>23</v>
      </c>
      <c r="E241" s="22" t="s">
        <v>24</v>
      </c>
      <c r="F241" s="22" t="s">
        <v>39</v>
      </c>
      <c r="G241" s="22" t="s">
        <v>21</v>
      </c>
      <c r="H241" s="22">
        <v>1</v>
      </c>
      <c r="I241" s="22">
        <v>1</v>
      </c>
      <c r="J241" s="22">
        <v>0</v>
      </c>
      <c r="K241" s="22">
        <v>0</v>
      </c>
      <c r="L241" s="22">
        <v>0</v>
      </c>
      <c r="M241" s="22">
        <v>0</v>
      </c>
      <c r="N241" s="22">
        <v>0</v>
      </c>
      <c r="O241" s="22"/>
      <c r="P241" s="22">
        <v>45.9</v>
      </c>
      <c r="Q241" s="22" t="str">
        <f>IF(OR(L241&lt;$Y$18,L241&gt;$Y$19),"Outlier","Normal")</f>
        <v>Normal</v>
      </c>
      <c r="R241" s="26" t="str">
        <f>A241&amp;B241&amp;C241&amp;D241&amp;E241&amp;F241&amp;G241&amp;H241&amp;I241&amp;J241&amp;K241&amp;L241&amp;M241&amp;N241&amp;O241&amp;P241</f>
        <v>USR-10024045731ControlWestMobileReferralBasic110000045.9</v>
      </c>
      <c r="S241" s="22" t="str">
        <f>IF(COUNTIF($R$2:$R$1409,R241)=1,"OK",IF(COUNTIF($R$2:$R$1409,R241)&gt;1,"Exact Duplicate","Review Required"))</f>
        <v>OK</v>
      </c>
      <c r="T241" s="22" t="s">
        <v>24</v>
      </c>
      <c r="U241" s="22" t="s">
        <v>39</v>
      </c>
      <c r="V241" s="22"/>
    </row>
    <row r="242" spans="1:22" ht="41.4">
      <c r="A242" s="22" t="s">
        <v>272</v>
      </c>
      <c r="B242" s="25">
        <v>45711</v>
      </c>
      <c r="C242" s="22" t="s">
        <v>17</v>
      </c>
      <c r="D242" s="22" t="s">
        <v>23</v>
      </c>
      <c r="E242" s="22" t="s">
        <v>24</v>
      </c>
      <c r="F242" s="22" t="s">
        <v>20</v>
      </c>
      <c r="G242" s="22" t="s">
        <v>26</v>
      </c>
      <c r="H242" s="22">
        <v>0</v>
      </c>
      <c r="I242" s="22">
        <v>0</v>
      </c>
      <c r="J242" s="22">
        <v>0</v>
      </c>
      <c r="K242" s="22">
        <v>0</v>
      </c>
      <c r="L242" s="22">
        <v>0</v>
      </c>
      <c r="M242" s="22">
        <v>0</v>
      </c>
      <c r="N242" s="22">
        <v>0</v>
      </c>
      <c r="O242" s="22"/>
      <c r="P242" s="22">
        <v>65.8</v>
      </c>
      <c r="Q242" s="22" t="str">
        <f>IF(OR(L242&lt;$Y$18,L242&gt;$Y$19),"Outlier","Normal")</f>
        <v>Normal</v>
      </c>
      <c r="R242" s="26" t="str">
        <f>A242&amp;B242&amp;C242&amp;D242&amp;E242&amp;F242&amp;G242&amp;H242&amp;I242&amp;J242&amp;K242&amp;L242&amp;M242&amp;N242&amp;O242&amp;P242</f>
        <v>USR-10024145711ControlWestMobileEmailFree000000065.8</v>
      </c>
      <c r="S242" s="22" t="str">
        <f>IF(COUNTIF($R$2:$R$1409,R242)=1,"OK",IF(COUNTIF($R$2:$R$1409,R242)&gt;1,"Exact Duplicate","Review Required"))</f>
        <v>OK</v>
      </c>
      <c r="T242" s="22" t="s">
        <v>24</v>
      </c>
      <c r="U242" s="22" t="s">
        <v>20</v>
      </c>
      <c r="V242" s="22"/>
    </row>
    <row r="243" spans="1:22" ht="41.4">
      <c r="A243" s="22" t="s">
        <v>273</v>
      </c>
      <c r="B243" s="25">
        <v>45769</v>
      </c>
      <c r="C243" s="22" t="s">
        <v>17</v>
      </c>
      <c r="D243" s="22" t="s">
        <v>18</v>
      </c>
      <c r="E243" s="22" t="s">
        <v>24</v>
      </c>
      <c r="F243" s="22" t="s">
        <v>25</v>
      </c>
      <c r="G243" s="22" t="s">
        <v>21</v>
      </c>
      <c r="H243" s="22">
        <v>1</v>
      </c>
      <c r="I243" s="22">
        <v>0</v>
      </c>
      <c r="J243" s="22">
        <v>0</v>
      </c>
      <c r="K243" s="22">
        <v>0</v>
      </c>
      <c r="L243" s="22">
        <v>0</v>
      </c>
      <c r="M243" s="22">
        <v>0</v>
      </c>
      <c r="N243" s="22">
        <v>0</v>
      </c>
      <c r="O243" s="22"/>
      <c r="P243" s="22">
        <v>48.2</v>
      </c>
      <c r="Q243" s="22" t="str">
        <f>IF(OR(L243&lt;$Y$18,L243&gt;$Y$19),"Outlier","Normal")</f>
        <v>Normal</v>
      </c>
      <c r="R243" s="26" t="str">
        <f>A243&amp;B243&amp;C243&amp;D243&amp;E243&amp;F243&amp;G243&amp;H243&amp;I243&amp;J243&amp;K243&amp;L243&amp;M243&amp;N243&amp;O243&amp;P243</f>
        <v>USR-10024245769ControlNorthMobileOrganicBasic100000048.2</v>
      </c>
      <c r="S243" s="22" t="str">
        <f>IF(COUNTIF($R$2:$R$1409,R243)=1,"OK",IF(COUNTIF($R$2:$R$1409,R243)&gt;1,"Exact Duplicate","Review Required"))</f>
        <v>OK</v>
      </c>
      <c r="T243" s="22" t="s">
        <v>24</v>
      </c>
      <c r="U243" s="22" t="s">
        <v>25</v>
      </c>
      <c r="V243" s="22"/>
    </row>
    <row r="244" spans="1:22" ht="41.4">
      <c r="A244" s="22" t="s">
        <v>274</v>
      </c>
      <c r="B244" s="25">
        <v>45666</v>
      </c>
      <c r="C244" s="22" t="s">
        <v>17</v>
      </c>
      <c r="D244" s="22" t="s">
        <v>28</v>
      </c>
      <c r="E244" s="22" t="s">
        <v>24</v>
      </c>
      <c r="F244" s="22" t="s">
        <v>25</v>
      </c>
      <c r="G244" s="22" t="s">
        <v>21</v>
      </c>
      <c r="H244" s="22">
        <v>1</v>
      </c>
      <c r="I244" s="22">
        <v>1</v>
      </c>
      <c r="J244" s="22">
        <v>1</v>
      </c>
      <c r="K244" s="22">
        <v>0</v>
      </c>
      <c r="L244" s="22">
        <v>0</v>
      </c>
      <c r="M244" s="22">
        <v>0</v>
      </c>
      <c r="N244" s="22">
        <v>0</v>
      </c>
      <c r="O244" s="22"/>
      <c r="P244" s="22">
        <v>81.099999999999994</v>
      </c>
      <c r="Q244" s="22" t="str">
        <f>IF(OR(L244&lt;$Y$18,L244&gt;$Y$19),"Outlier","Normal")</f>
        <v>Normal</v>
      </c>
      <c r="R244" s="26" t="str">
        <f>A244&amp;B244&amp;C244&amp;D244&amp;E244&amp;F244&amp;G244&amp;H244&amp;I244&amp;J244&amp;K244&amp;L244&amp;M244&amp;N244&amp;O244&amp;P244</f>
        <v>USR-10024345666ControlEastMobileOrganicBasic111000081.1</v>
      </c>
      <c r="S244" s="22" t="str">
        <f>IF(COUNTIF($R$2:$R$1409,R244)=1,"OK",IF(COUNTIF($R$2:$R$1409,R244)&gt;1,"Exact Duplicate","Review Required"))</f>
        <v>OK</v>
      </c>
      <c r="T244" s="22" t="s">
        <v>24</v>
      </c>
      <c r="U244" s="22" t="s">
        <v>25</v>
      </c>
      <c r="V244" s="22"/>
    </row>
    <row r="245" spans="1:22" ht="41.4">
      <c r="A245" s="22" t="s">
        <v>275</v>
      </c>
      <c r="B245" s="25">
        <v>45721</v>
      </c>
      <c r="C245" s="22" t="s">
        <v>17</v>
      </c>
      <c r="D245" s="22" t="s">
        <v>28</v>
      </c>
      <c r="E245" s="22" t="s">
        <v>34</v>
      </c>
      <c r="F245" s="22" t="s">
        <v>41</v>
      </c>
      <c r="G245" s="22" t="s">
        <v>30</v>
      </c>
      <c r="H245" s="22">
        <v>1</v>
      </c>
      <c r="I245" s="22">
        <v>1</v>
      </c>
      <c r="J245" s="22">
        <v>0</v>
      </c>
      <c r="K245" s="22">
        <v>0</v>
      </c>
      <c r="L245" s="22">
        <v>0</v>
      </c>
      <c r="M245" s="22">
        <v>0</v>
      </c>
      <c r="N245" s="22">
        <v>0</v>
      </c>
      <c r="O245" s="22"/>
      <c r="P245" s="22">
        <v>53.2</v>
      </c>
      <c r="Q245" s="22" t="str">
        <f>IF(OR(L245&lt;$Y$18,L245&gt;$Y$19),"Outlier","Normal")</f>
        <v>Normal</v>
      </c>
      <c r="R245" s="26" t="str">
        <f>A245&amp;B245&amp;C245&amp;D245&amp;E245&amp;F245&amp;G245&amp;H245&amp;I245&amp;J245&amp;K245&amp;L245&amp;M245&amp;N245&amp;O245&amp;P245</f>
        <v>USR-10024445721ControlEastTabletSocialPremium110000053.2</v>
      </c>
      <c r="S245" s="22" t="str">
        <f>IF(COUNTIF($R$2:$R$1409,R245)=1,"OK",IF(COUNTIF($R$2:$R$1409,R245)&gt;1,"Exact Duplicate","Review Required"))</f>
        <v>OK</v>
      </c>
      <c r="T245" s="22" t="s">
        <v>34</v>
      </c>
      <c r="U245" s="22" t="s">
        <v>41</v>
      </c>
      <c r="V245" s="22"/>
    </row>
    <row r="246" spans="1:22" ht="41.4">
      <c r="A246" s="22" t="s">
        <v>276</v>
      </c>
      <c r="B246" s="25">
        <v>45685</v>
      </c>
      <c r="C246" s="22" t="s">
        <v>17</v>
      </c>
      <c r="D246" s="22" t="s">
        <v>18</v>
      </c>
      <c r="E246" s="22" t="s">
        <v>24</v>
      </c>
      <c r="F246" s="22" t="s">
        <v>41</v>
      </c>
      <c r="G246" s="22" t="s">
        <v>26</v>
      </c>
      <c r="H246" s="22">
        <v>1</v>
      </c>
      <c r="I246" s="22">
        <v>1</v>
      </c>
      <c r="J246" s="22">
        <v>1</v>
      </c>
      <c r="K246" s="22">
        <v>0</v>
      </c>
      <c r="L246" s="22">
        <v>0</v>
      </c>
      <c r="M246" s="22">
        <v>0</v>
      </c>
      <c r="N246" s="22">
        <v>0</v>
      </c>
      <c r="O246" s="22"/>
      <c r="P246" s="22">
        <v>57.7</v>
      </c>
      <c r="Q246" s="22" t="str">
        <f>IF(OR(L246&lt;$Y$18,L246&gt;$Y$19),"Outlier","Normal")</f>
        <v>Normal</v>
      </c>
      <c r="R246" s="26" t="str">
        <f>A246&amp;B246&amp;C246&amp;D246&amp;E246&amp;F246&amp;G246&amp;H246&amp;I246&amp;J246&amp;K246&amp;L246&amp;M246&amp;N246&amp;O246&amp;P246</f>
        <v>USR-10024545685ControlNorthMobileSocialFree111000057.7</v>
      </c>
      <c r="S246" s="22" t="str">
        <f>IF(COUNTIF($R$2:$R$1409,R246)=1,"OK",IF(COUNTIF($R$2:$R$1409,R246)&gt;1,"Exact Duplicate","Review Required"))</f>
        <v>OK</v>
      </c>
      <c r="T246" s="22" t="s">
        <v>24</v>
      </c>
      <c r="U246" s="22" t="s">
        <v>41</v>
      </c>
      <c r="V246" s="22"/>
    </row>
    <row r="247" spans="1:22" ht="41.4">
      <c r="A247" s="22" t="s">
        <v>277</v>
      </c>
      <c r="B247" s="25">
        <v>45678</v>
      </c>
      <c r="C247" s="22" t="s">
        <v>17</v>
      </c>
      <c r="D247" s="22" t="s">
        <v>23</v>
      </c>
      <c r="E247" s="22" t="s">
        <v>24</v>
      </c>
      <c r="F247" s="22" t="s">
        <v>29</v>
      </c>
      <c r="G247" s="22" t="s">
        <v>30</v>
      </c>
      <c r="H247" s="22">
        <v>1</v>
      </c>
      <c r="I247" s="22">
        <v>1</v>
      </c>
      <c r="J247" s="22">
        <v>0</v>
      </c>
      <c r="K247" s="22">
        <v>0</v>
      </c>
      <c r="L247" s="22">
        <v>0</v>
      </c>
      <c r="M247" s="22">
        <v>0</v>
      </c>
      <c r="N247" s="22">
        <v>0</v>
      </c>
      <c r="O247" s="22"/>
      <c r="P247" s="22">
        <v>78.900000000000006</v>
      </c>
      <c r="Q247" s="22" t="str">
        <f>IF(OR(L247&lt;$Y$18,L247&gt;$Y$19),"Outlier","Normal")</f>
        <v>Normal</v>
      </c>
      <c r="R247" s="26" t="str">
        <f>A247&amp;B247&amp;C247&amp;D247&amp;E247&amp;F247&amp;G247&amp;H247&amp;I247&amp;J247&amp;K247&amp;L247&amp;M247&amp;N247&amp;O247&amp;P247</f>
        <v>USR-10024645678ControlWestMobilePaid SearchPremium110000078.9</v>
      </c>
      <c r="S247" s="22" t="str">
        <f>IF(COUNTIF($R$2:$R$1409,R247)=1,"OK",IF(COUNTIF($R$2:$R$1409,R247)&gt;1,"Exact Duplicate","Review Required"))</f>
        <v>OK</v>
      </c>
      <c r="T247" s="22" t="s">
        <v>24</v>
      </c>
      <c r="U247" s="22" t="s">
        <v>29</v>
      </c>
      <c r="V247" s="22"/>
    </row>
    <row r="248" spans="1:22" ht="41.4">
      <c r="A248" s="22" t="s">
        <v>278</v>
      </c>
      <c r="B248" s="25">
        <v>45730</v>
      </c>
      <c r="C248" s="22" t="s">
        <v>17</v>
      </c>
      <c r="D248" s="22" t="s">
        <v>32</v>
      </c>
      <c r="E248" s="22" t="s">
        <v>24</v>
      </c>
      <c r="F248" s="22" t="s">
        <v>39</v>
      </c>
      <c r="G248" s="22" t="s">
        <v>21</v>
      </c>
      <c r="H248" s="22">
        <v>0</v>
      </c>
      <c r="I248" s="22">
        <v>0</v>
      </c>
      <c r="J248" s="22">
        <v>0</v>
      </c>
      <c r="K248" s="22">
        <v>0</v>
      </c>
      <c r="L248" s="22">
        <v>0</v>
      </c>
      <c r="M248" s="22">
        <v>0</v>
      </c>
      <c r="N248" s="22">
        <v>0</v>
      </c>
      <c r="O248" s="22"/>
      <c r="P248" s="22">
        <v>55.7</v>
      </c>
      <c r="Q248" s="22" t="str">
        <f>IF(OR(L248&lt;$Y$18,L248&gt;$Y$19),"Outlier","Normal")</f>
        <v>Normal</v>
      </c>
      <c r="R248" s="26" t="str">
        <f>A248&amp;B248&amp;C248&amp;D248&amp;E248&amp;F248&amp;G248&amp;H248&amp;I248&amp;J248&amp;K248&amp;L248&amp;M248&amp;N248&amp;O248&amp;P248</f>
        <v>USR-10024745730ControlSouthMobileReferralBasic000000055.7</v>
      </c>
      <c r="S248" s="22" t="str">
        <f>IF(COUNTIF($R$2:$R$1409,R248)=1,"OK",IF(COUNTIF($R$2:$R$1409,R248)&gt;1,"Exact Duplicate","Review Required"))</f>
        <v>OK</v>
      </c>
      <c r="T248" s="22" t="s">
        <v>24</v>
      </c>
      <c r="U248" s="22" t="s">
        <v>39</v>
      </c>
      <c r="V248" s="22"/>
    </row>
    <row r="249" spans="1:22" ht="41.4">
      <c r="A249" s="22" t="s">
        <v>279</v>
      </c>
      <c r="B249" s="25">
        <v>45691</v>
      </c>
      <c r="C249" s="22" t="s">
        <v>17</v>
      </c>
      <c r="D249" s="22" t="s">
        <v>23</v>
      </c>
      <c r="E249" s="22" t="s">
        <v>24</v>
      </c>
      <c r="F249" s="22" t="s">
        <v>29</v>
      </c>
      <c r="G249" s="22" t="s">
        <v>26</v>
      </c>
      <c r="H249" s="22">
        <v>0</v>
      </c>
      <c r="I249" s="22">
        <v>0</v>
      </c>
      <c r="J249" s="22">
        <v>0</v>
      </c>
      <c r="K249" s="22">
        <v>0</v>
      </c>
      <c r="L249" s="22">
        <v>0</v>
      </c>
      <c r="M249" s="22">
        <v>0</v>
      </c>
      <c r="N249" s="22">
        <v>0</v>
      </c>
      <c r="O249" s="22"/>
      <c r="P249" s="22">
        <v>52.3</v>
      </c>
      <c r="Q249" s="22" t="str">
        <f>IF(OR(L249&lt;$Y$18,L249&gt;$Y$19),"Outlier","Normal")</f>
        <v>Normal</v>
      </c>
      <c r="R249" s="26" t="str">
        <f>A249&amp;B249&amp;C249&amp;D249&amp;E249&amp;F249&amp;G249&amp;H249&amp;I249&amp;J249&amp;K249&amp;L249&amp;M249&amp;N249&amp;O249&amp;P249</f>
        <v>USR-10024845691ControlWestMobilePaid SearchFree000000052.3</v>
      </c>
      <c r="S249" s="22" t="str">
        <f>IF(COUNTIF($R$2:$R$1409,R249)=1,"OK",IF(COUNTIF($R$2:$R$1409,R249)&gt;1,"Exact Duplicate","Review Required"))</f>
        <v>OK</v>
      </c>
      <c r="T249" s="22" t="s">
        <v>24</v>
      </c>
      <c r="U249" s="22" t="s">
        <v>29</v>
      </c>
      <c r="V249" s="22"/>
    </row>
    <row r="250" spans="1:22" ht="41.4">
      <c r="A250" s="22" t="s">
        <v>280</v>
      </c>
      <c r="B250" s="25">
        <v>45799</v>
      </c>
      <c r="C250" s="22" t="s">
        <v>17</v>
      </c>
      <c r="D250" s="22" t="s">
        <v>18</v>
      </c>
      <c r="E250" s="22" t="s">
        <v>24</v>
      </c>
      <c r="F250" s="22" t="s">
        <v>41</v>
      </c>
      <c r="G250" s="22" t="s">
        <v>26</v>
      </c>
      <c r="H250" s="22">
        <v>1</v>
      </c>
      <c r="I250" s="22">
        <v>0</v>
      </c>
      <c r="J250" s="22">
        <v>0</v>
      </c>
      <c r="K250" s="22">
        <v>0</v>
      </c>
      <c r="L250" s="22">
        <v>0</v>
      </c>
      <c r="M250" s="22">
        <v>0</v>
      </c>
      <c r="N250" s="22">
        <v>0</v>
      </c>
      <c r="O250" s="22"/>
      <c r="P250" s="22">
        <v>51.5</v>
      </c>
      <c r="Q250" s="22" t="str">
        <f>IF(OR(L250&lt;$Y$18,L250&gt;$Y$19),"Outlier","Normal")</f>
        <v>Normal</v>
      </c>
      <c r="R250" s="26" t="str">
        <f>A250&amp;B250&amp;C250&amp;D250&amp;E250&amp;F250&amp;G250&amp;H250&amp;I250&amp;J250&amp;K250&amp;L250&amp;M250&amp;N250&amp;O250&amp;P250</f>
        <v>USR-10024945799ControlNorthMobileSocialFree100000051.5</v>
      </c>
      <c r="S250" s="22" t="str">
        <f>IF(COUNTIF($R$2:$R$1409,R250)=1,"OK",IF(COUNTIF($R$2:$R$1409,R250)&gt;1,"Exact Duplicate","Review Required"))</f>
        <v>OK</v>
      </c>
      <c r="T250" s="22" t="s">
        <v>24</v>
      </c>
      <c r="U250" s="22" t="s">
        <v>41</v>
      </c>
      <c r="V250" s="22"/>
    </row>
    <row r="251" spans="1:22" ht="41.4">
      <c r="A251" s="22" t="s">
        <v>281</v>
      </c>
      <c r="B251" s="25">
        <v>45772</v>
      </c>
      <c r="C251" s="22" t="s">
        <v>17</v>
      </c>
      <c r="D251" s="22" t="s">
        <v>18</v>
      </c>
      <c r="E251" s="22" t="s">
        <v>19</v>
      </c>
      <c r="F251" s="22" t="s">
        <v>20</v>
      </c>
      <c r="G251" s="22" t="s">
        <v>26</v>
      </c>
      <c r="H251" s="22">
        <v>1</v>
      </c>
      <c r="I251" s="22">
        <v>0</v>
      </c>
      <c r="J251" s="22">
        <v>0</v>
      </c>
      <c r="K251" s="22">
        <v>0</v>
      </c>
      <c r="L251" s="22">
        <v>0</v>
      </c>
      <c r="M251" s="22">
        <v>0</v>
      </c>
      <c r="N251" s="22">
        <v>0</v>
      </c>
      <c r="O251" s="22"/>
      <c r="P251" s="22">
        <v>70.8</v>
      </c>
      <c r="Q251" s="22" t="str">
        <f>IF(OR(L251&lt;$Y$18,L251&gt;$Y$19),"Outlier","Normal")</f>
        <v>Normal</v>
      </c>
      <c r="R251" s="26" t="str">
        <f>A251&amp;B251&amp;C251&amp;D251&amp;E251&amp;F251&amp;G251&amp;H251&amp;I251&amp;J251&amp;K251&amp;L251&amp;M251&amp;N251&amp;O251&amp;P251</f>
        <v>USR-10025045772ControlNorthDesktopEmailFree100000070.8</v>
      </c>
      <c r="S251" s="22" t="str">
        <f>IF(COUNTIF($R$2:$R$1409,R251)=1,"OK",IF(COUNTIF($R$2:$R$1409,R251)&gt;1,"Exact Duplicate","Review Required"))</f>
        <v>OK</v>
      </c>
      <c r="T251" s="22" t="s">
        <v>19</v>
      </c>
      <c r="U251" s="22" t="s">
        <v>20</v>
      </c>
      <c r="V251" s="22"/>
    </row>
    <row r="252" spans="1:22" ht="41.4">
      <c r="A252" s="22" t="s">
        <v>282</v>
      </c>
      <c r="B252" s="25">
        <v>45687</v>
      </c>
      <c r="C252" s="22" t="s">
        <v>17</v>
      </c>
      <c r="D252" s="22" t="s">
        <v>18</v>
      </c>
      <c r="E252" s="22" t="s">
        <v>19</v>
      </c>
      <c r="F252" s="22" t="s">
        <v>20</v>
      </c>
      <c r="G252" s="22" t="s">
        <v>21</v>
      </c>
      <c r="H252" s="22">
        <v>1</v>
      </c>
      <c r="I252" s="22">
        <v>1</v>
      </c>
      <c r="J252" s="22">
        <v>1</v>
      </c>
      <c r="K252" s="22">
        <v>1</v>
      </c>
      <c r="L252" s="22">
        <v>1250.78</v>
      </c>
      <c r="M252" s="22">
        <v>0</v>
      </c>
      <c r="N252" s="22">
        <v>0</v>
      </c>
      <c r="O252" s="22">
        <v>10</v>
      </c>
      <c r="P252" s="22">
        <v>39</v>
      </c>
      <c r="Q252" s="22" t="str">
        <f>IF(OR(L252&lt;$Y$18,L252&gt;$Y$19),"Outlier","Normal")</f>
        <v>Normal</v>
      </c>
      <c r="R252" s="26" t="str">
        <f>A252&amp;B252&amp;C252&amp;D252&amp;E252&amp;F252&amp;G252&amp;H252&amp;I252&amp;J252&amp;K252&amp;L252&amp;M252&amp;N252&amp;O252&amp;P252</f>
        <v>USR-10025145687ControlNorthDesktopEmailBasic11111250.78001039</v>
      </c>
      <c r="S252" s="22" t="str">
        <f>IF(COUNTIF($R$2:$R$1409,R252)=1,"OK",IF(COUNTIF($R$2:$R$1409,R252)&gt;1,"Exact Duplicate","Review Required"))</f>
        <v>OK</v>
      </c>
      <c r="T252" s="22" t="s">
        <v>19</v>
      </c>
      <c r="U252" s="22" t="s">
        <v>20</v>
      </c>
      <c r="V252" s="22"/>
    </row>
    <row r="253" spans="1:22" ht="41.4">
      <c r="A253" s="22" t="s">
        <v>283</v>
      </c>
      <c r="B253" s="25">
        <v>45800</v>
      </c>
      <c r="C253" s="22" t="s">
        <v>17</v>
      </c>
      <c r="D253" s="22" t="s">
        <v>23</v>
      </c>
      <c r="E253" s="22" t="s">
        <v>24</v>
      </c>
      <c r="F253" s="22" t="s">
        <v>25</v>
      </c>
      <c r="G253" s="22" t="s">
        <v>26</v>
      </c>
      <c r="H253" s="22">
        <v>1</v>
      </c>
      <c r="I253" s="22">
        <v>0</v>
      </c>
      <c r="J253" s="22">
        <v>0</v>
      </c>
      <c r="K253" s="22">
        <v>0</v>
      </c>
      <c r="L253" s="22">
        <v>0</v>
      </c>
      <c r="M253" s="22">
        <v>0</v>
      </c>
      <c r="N253" s="22">
        <v>0</v>
      </c>
      <c r="O253" s="22"/>
      <c r="P253" s="22">
        <v>61.6</v>
      </c>
      <c r="Q253" s="22" t="str">
        <f>IF(OR(L253&lt;$Y$18,L253&gt;$Y$19),"Outlier","Normal")</f>
        <v>Normal</v>
      </c>
      <c r="R253" s="26" t="str">
        <f>A253&amp;B253&amp;C253&amp;D253&amp;E253&amp;F253&amp;G253&amp;H253&amp;I253&amp;J253&amp;K253&amp;L253&amp;M253&amp;N253&amp;O253&amp;P253</f>
        <v>USR-10025245800ControlWestMobileOrganicFree100000061.6</v>
      </c>
      <c r="S253" s="22" t="str">
        <f>IF(COUNTIF($R$2:$R$1409,R253)=1,"OK",IF(COUNTIF($R$2:$R$1409,R253)&gt;1,"Exact Duplicate","Review Required"))</f>
        <v>OK</v>
      </c>
      <c r="T253" s="22" t="s">
        <v>24</v>
      </c>
      <c r="U253" s="22" t="s">
        <v>25</v>
      </c>
      <c r="V253" s="22"/>
    </row>
    <row r="254" spans="1:22" ht="41.4">
      <c r="A254" s="22" t="s">
        <v>284</v>
      </c>
      <c r="B254" s="25">
        <v>45702</v>
      </c>
      <c r="C254" s="22" t="s">
        <v>17</v>
      </c>
      <c r="D254" s="22" t="s">
        <v>28</v>
      </c>
      <c r="E254" s="22" t="s">
        <v>19</v>
      </c>
      <c r="F254" s="22" t="s">
        <v>25</v>
      </c>
      <c r="G254" s="22" t="s">
        <v>26</v>
      </c>
      <c r="H254" s="22">
        <v>1</v>
      </c>
      <c r="I254" s="22">
        <v>1</v>
      </c>
      <c r="J254" s="22">
        <v>1</v>
      </c>
      <c r="K254" s="22">
        <v>0</v>
      </c>
      <c r="L254" s="22">
        <v>0</v>
      </c>
      <c r="M254" s="22">
        <v>0</v>
      </c>
      <c r="N254" s="22">
        <v>0</v>
      </c>
      <c r="O254" s="22"/>
      <c r="P254" s="22">
        <v>46.8</v>
      </c>
      <c r="Q254" s="22" t="str">
        <f>IF(OR(L254&lt;$Y$18,L254&gt;$Y$19),"Outlier","Normal")</f>
        <v>Normal</v>
      </c>
      <c r="R254" s="26" t="str">
        <f>A254&amp;B254&amp;C254&amp;D254&amp;E254&amp;F254&amp;G254&amp;H254&amp;I254&amp;J254&amp;K254&amp;L254&amp;M254&amp;N254&amp;O254&amp;P254</f>
        <v>USR-10025345702ControlEastDesktopOrganicFree111000046.8</v>
      </c>
      <c r="S254" s="22" t="str">
        <f>IF(COUNTIF($R$2:$R$1409,R254)=1,"OK",IF(COUNTIF($R$2:$R$1409,R254)&gt;1,"Exact Duplicate","Review Required"))</f>
        <v>OK</v>
      </c>
      <c r="T254" s="22" t="s">
        <v>19</v>
      </c>
      <c r="U254" s="22" t="s">
        <v>25</v>
      </c>
      <c r="V254" s="22"/>
    </row>
    <row r="255" spans="1:22" ht="41.4">
      <c r="A255" s="22" t="s">
        <v>285</v>
      </c>
      <c r="B255" s="25">
        <v>45721</v>
      </c>
      <c r="C255" s="22" t="s">
        <v>17</v>
      </c>
      <c r="D255" s="22" t="s">
        <v>18</v>
      </c>
      <c r="E255" s="22" t="s">
        <v>24</v>
      </c>
      <c r="F255" s="22" t="s">
        <v>29</v>
      </c>
      <c r="G255" s="22" t="s">
        <v>30</v>
      </c>
      <c r="H255" s="22">
        <v>0</v>
      </c>
      <c r="I255" s="22">
        <v>0</v>
      </c>
      <c r="J255" s="22">
        <v>0</v>
      </c>
      <c r="K255" s="22">
        <v>0</v>
      </c>
      <c r="L255" s="22">
        <v>0</v>
      </c>
      <c r="M255" s="22">
        <v>1</v>
      </c>
      <c r="N255" s="22">
        <v>0</v>
      </c>
      <c r="O255" s="22"/>
      <c r="P255" s="22">
        <v>58.5</v>
      </c>
      <c r="Q255" s="22" t="str">
        <f>IF(OR(L255&lt;$Y$18,L255&gt;$Y$19),"Outlier","Normal")</f>
        <v>Normal</v>
      </c>
      <c r="R255" s="26" t="str">
        <f>A255&amp;B255&amp;C255&amp;D255&amp;E255&amp;F255&amp;G255&amp;H255&amp;I255&amp;J255&amp;K255&amp;L255&amp;M255&amp;N255&amp;O255&amp;P255</f>
        <v>USR-10025445721ControlNorthMobilePaid SearchPremium000001058.5</v>
      </c>
      <c r="S255" s="22" t="str">
        <f>IF(COUNTIF($R$2:$R$1409,R255)=1,"OK",IF(COUNTIF($R$2:$R$1409,R255)&gt;1,"Exact Duplicate","Review Required"))</f>
        <v>OK</v>
      </c>
      <c r="T255" s="22" t="s">
        <v>24</v>
      </c>
      <c r="U255" s="22" t="s">
        <v>29</v>
      </c>
      <c r="V255" s="22"/>
    </row>
    <row r="256" spans="1:22" ht="41.4">
      <c r="A256" s="22" t="s">
        <v>286</v>
      </c>
      <c r="B256" s="25">
        <v>45804</v>
      </c>
      <c r="C256" s="22" t="s">
        <v>17</v>
      </c>
      <c r="D256" s="22" t="s">
        <v>18</v>
      </c>
      <c r="E256" s="22" t="s">
        <v>24</v>
      </c>
      <c r="F256" s="22" t="s">
        <v>29</v>
      </c>
      <c r="G256" s="22" t="s">
        <v>21</v>
      </c>
      <c r="H256" s="22">
        <v>0</v>
      </c>
      <c r="I256" s="22">
        <v>0</v>
      </c>
      <c r="J256" s="22">
        <v>0</v>
      </c>
      <c r="K256" s="22">
        <v>0</v>
      </c>
      <c r="L256" s="22">
        <v>0</v>
      </c>
      <c r="M256" s="22">
        <v>0</v>
      </c>
      <c r="N256" s="22">
        <v>0</v>
      </c>
      <c r="O256" s="22"/>
      <c r="P256" s="22">
        <v>70.900000000000006</v>
      </c>
      <c r="Q256" s="22" t="str">
        <f>IF(OR(L256&lt;$Y$18,L256&gt;$Y$19),"Outlier","Normal")</f>
        <v>Normal</v>
      </c>
      <c r="R256" s="26" t="str">
        <f>A256&amp;B256&amp;C256&amp;D256&amp;E256&amp;F256&amp;G256&amp;H256&amp;I256&amp;J256&amp;K256&amp;L256&amp;M256&amp;N256&amp;O256&amp;P256</f>
        <v>USR-10025545804ControlNorthMobilePaid SearchBasic000000070.9</v>
      </c>
      <c r="S256" s="22" t="str">
        <f>IF(COUNTIF($R$2:$R$1409,R256)=1,"OK",IF(COUNTIF($R$2:$R$1409,R256)&gt;1,"Exact Duplicate","Review Required"))</f>
        <v>OK</v>
      </c>
      <c r="T256" s="22" t="s">
        <v>24</v>
      </c>
      <c r="U256" s="22" t="s">
        <v>29</v>
      </c>
      <c r="V256" s="22"/>
    </row>
    <row r="257" spans="1:22" ht="41.4">
      <c r="A257" s="22" t="s">
        <v>287</v>
      </c>
      <c r="B257" s="25">
        <v>45664</v>
      </c>
      <c r="C257" s="22" t="s">
        <v>17</v>
      </c>
      <c r="D257" s="22" t="s">
        <v>32</v>
      </c>
      <c r="E257" s="22" t="s">
        <v>24</v>
      </c>
      <c r="F257" s="22" t="s">
        <v>29</v>
      </c>
      <c r="G257" s="22" t="s">
        <v>26</v>
      </c>
      <c r="H257" s="22">
        <v>1</v>
      </c>
      <c r="I257" s="22">
        <v>0</v>
      </c>
      <c r="J257" s="22">
        <v>0</v>
      </c>
      <c r="K257" s="22">
        <v>0</v>
      </c>
      <c r="L257" s="22">
        <v>0</v>
      </c>
      <c r="M257" s="22">
        <v>0</v>
      </c>
      <c r="N257" s="22">
        <v>0</v>
      </c>
      <c r="O257" s="22"/>
      <c r="P257" s="22">
        <v>48.4</v>
      </c>
      <c r="Q257" s="22" t="str">
        <f>IF(OR(L257&lt;$Y$18,L257&gt;$Y$19),"Outlier","Normal")</f>
        <v>Normal</v>
      </c>
      <c r="R257" s="26" t="str">
        <f>A257&amp;B257&amp;C257&amp;D257&amp;E257&amp;F257&amp;G257&amp;H257&amp;I257&amp;J257&amp;K257&amp;L257&amp;M257&amp;N257&amp;O257&amp;P257</f>
        <v>USR-10025645664ControlSouthMobilePaid SearchFree100000048.4</v>
      </c>
      <c r="S257" s="22" t="str">
        <f>IF(COUNTIF($R$2:$R$1409,R257)=1,"OK",IF(COUNTIF($R$2:$R$1409,R257)&gt;1,"Exact Duplicate","Review Required"))</f>
        <v>OK</v>
      </c>
      <c r="T257" s="22" t="s">
        <v>24</v>
      </c>
      <c r="U257" s="22" t="s">
        <v>29</v>
      </c>
      <c r="V257" s="22"/>
    </row>
    <row r="258" spans="1:22" ht="41.4">
      <c r="A258" s="22" t="s">
        <v>288</v>
      </c>
      <c r="B258" s="25">
        <v>45768</v>
      </c>
      <c r="C258" s="22" t="s">
        <v>17</v>
      </c>
      <c r="D258" s="22" t="s">
        <v>18</v>
      </c>
      <c r="E258" s="22" t="s">
        <v>24</v>
      </c>
      <c r="F258" s="22" t="s">
        <v>20</v>
      </c>
      <c r="G258" s="22" t="s">
        <v>26</v>
      </c>
      <c r="H258" s="22">
        <v>1</v>
      </c>
      <c r="I258" s="22">
        <v>0</v>
      </c>
      <c r="J258" s="22">
        <v>0</v>
      </c>
      <c r="K258" s="22">
        <v>0</v>
      </c>
      <c r="L258" s="22">
        <v>0</v>
      </c>
      <c r="M258" s="22">
        <v>0</v>
      </c>
      <c r="N258" s="22">
        <v>0</v>
      </c>
      <c r="O258" s="22"/>
      <c r="P258" s="22">
        <v>58</v>
      </c>
      <c r="Q258" s="22" t="str">
        <f>IF(OR(L258&lt;$Y$18,L258&gt;$Y$19),"Outlier","Normal")</f>
        <v>Normal</v>
      </c>
      <c r="R258" s="26" t="str">
        <f>A258&amp;B258&amp;C258&amp;D258&amp;E258&amp;F258&amp;G258&amp;H258&amp;I258&amp;J258&amp;K258&amp;L258&amp;M258&amp;N258&amp;O258&amp;P258</f>
        <v>USR-10025745768ControlNorthMobileEmailFree100000058</v>
      </c>
      <c r="S258" s="22" t="str">
        <f>IF(COUNTIF($R$2:$R$1409,R258)=1,"OK",IF(COUNTIF($R$2:$R$1409,R258)&gt;1,"Exact Duplicate","Review Required"))</f>
        <v>OK</v>
      </c>
      <c r="T258" s="22" t="s">
        <v>24</v>
      </c>
      <c r="U258" s="22" t="s">
        <v>20</v>
      </c>
      <c r="V258" s="22"/>
    </row>
    <row r="259" spans="1:22" ht="41.4">
      <c r="A259" s="22" t="s">
        <v>289</v>
      </c>
      <c r="B259" s="25">
        <v>45790</v>
      </c>
      <c r="C259" s="22" t="s">
        <v>17</v>
      </c>
      <c r="D259" s="22" t="s">
        <v>18</v>
      </c>
      <c r="E259" s="22" t="s">
        <v>24</v>
      </c>
      <c r="F259" s="22" t="s">
        <v>29</v>
      </c>
      <c r="G259" s="22" t="s">
        <v>26</v>
      </c>
      <c r="H259" s="22">
        <v>0</v>
      </c>
      <c r="I259" s="22">
        <v>0</v>
      </c>
      <c r="J259" s="22">
        <v>0</v>
      </c>
      <c r="K259" s="22">
        <v>0</v>
      </c>
      <c r="L259" s="22">
        <v>0</v>
      </c>
      <c r="M259" s="22">
        <v>0</v>
      </c>
      <c r="N259" s="22">
        <v>0</v>
      </c>
      <c r="O259" s="22"/>
      <c r="P259" s="22">
        <v>61.6</v>
      </c>
      <c r="Q259" s="22" t="str">
        <f>IF(OR(L259&lt;$Y$18,L259&gt;$Y$19),"Outlier","Normal")</f>
        <v>Normal</v>
      </c>
      <c r="R259" s="26" t="str">
        <f>A259&amp;B259&amp;C259&amp;D259&amp;E259&amp;F259&amp;G259&amp;H259&amp;I259&amp;J259&amp;K259&amp;L259&amp;M259&amp;N259&amp;O259&amp;P259</f>
        <v>USR-10025845790ControlNorthMobilePaid SearchFree000000061.6</v>
      </c>
      <c r="S259" s="22" t="str">
        <f>IF(COUNTIF($R$2:$R$1409,R259)=1,"OK",IF(COUNTIF($R$2:$R$1409,R259)&gt;1,"Exact Duplicate","Review Required"))</f>
        <v>OK</v>
      </c>
      <c r="T259" s="22" t="s">
        <v>24</v>
      </c>
      <c r="U259" s="22" t="s">
        <v>29</v>
      </c>
      <c r="V259" s="22"/>
    </row>
    <row r="260" spans="1:22" ht="41.4">
      <c r="A260" s="22" t="s">
        <v>290</v>
      </c>
      <c r="B260" s="25">
        <v>45685</v>
      </c>
      <c r="C260" s="22" t="s">
        <v>17</v>
      </c>
      <c r="D260" s="22" t="s">
        <v>28</v>
      </c>
      <c r="E260" s="22" t="s">
        <v>19</v>
      </c>
      <c r="F260" s="22" t="s">
        <v>25</v>
      </c>
      <c r="G260" s="22" t="s">
        <v>26</v>
      </c>
      <c r="H260" s="22">
        <v>1</v>
      </c>
      <c r="I260" s="22">
        <v>0</v>
      </c>
      <c r="J260" s="22">
        <v>0</v>
      </c>
      <c r="K260" s="22">
        <v>0</v>
      </c>
      <c r="L260" s="22">
        <v>0</v>
      </c>
      <c r="M260" s="22">
        <v>0</v>
      </c>
      <c r="N260" s="22">
        <v>0</v>
      </c>
      <c r="O260" s="22"/>
      <c r="P260" s="22">
        <v>43.2</v>
      </c>
      <c r="Q260" s="22" t="str">
        <f>IF(OR(L260&lt;$Y$18,L260&gt;$Y$19),"Outlier","Normal")</f>
        <v>Normal</v>
      </c>
      <c r="R260" s="26" t="str">
        <f>A260&amp;B260&amp;C260&amp;D260&amp;E260&amp;F260&amp;G260&amp;H260&amp;I260&amp;J260&amp;K260&amp;L260&amp;M260&amp;N260&amp;O260&amp;P260</f>
        <v>USR-10025945685ControlEastDesktopOrganicFree100000043.2</v>
      </c>
      <c r="S260" s="22" t="str">
        <f>IF(COUNTIF($R$2:$R$1409,R260)=1,"OK",IF(COUNTIF($R$2:$R$1409,R260)&gt;1,"Exact Duplicate","Review Required"))</f>
        <v>OK</v>
      </c>
      <c r="T260" s="22" t="s">
        <v>19</v>
      </c>
      <c r="U260" s="22" t="s">
        <v>25</v>
      </c>
      <c r="V260" s="22"/>
    </row>
    <row r="261" spans="1:22" ht="41.4">
      <c r="A261" s="22" t="s">
        <v>291</v>
      </c>
      <c r="B261" s="25">
        <v>45732</v>
      </c>
      <c r="C261" s="22" t="s">
        <v>17</v>
      </c>
      <c r="D261" s="22" t="s">
        <v>28</v>
      </c>
      <c r="E261" s="22" t="s">
        <v>19</v>
      </c>
      <c r="F261" s="22" t="s">
        <v>29</v>
      </c>
      <c r="G261" s="22" t="s">
        <v>21</v>
      </c>
      <c r="H261" s="22">
        <v>1</v>
      </c>
      <c r="I261" s="22">
        <v>0</v>
      </c>
      <c r="J261" s="22">
        <v>0</v>
      </c>
      <c r="K261" s="22">
        <v>0</v>
      </c>
      <c r="L261" s="22">
        <v>0</v>
      </c>
      <c r="M261" s="22">
        <v>1</v>
      </c>
      <c r="N261" s="22">
        <v>0</v>
      </c>
      <c r="O261" s="22"/>
      <c r="P261" s="22">
        <v>53.3</v>
      </c>
      <c r="Q261" s="22" t="str">
        <f>IF(OR(L261&lt;$Y$18,L261&gt;$Y$19),"Outlier","Normal")</f>
        <v>Normal</v>
      </c>
      <c r="R261" s="26" t="str">
        <f>A261&amp;B261&amp;C261&amp;D261&amp;E261&amp;F261&amp;G261&amp;H261&amp;I261&amp;J261&amp;K261&amp;L261&amp;M261&amp;N261&amp;O261&amp;P261</f>
        <v>USR-10026045732ControlEastDesktopPaid SearchBasic100001053.3</v>
      </c>
      <c r="S261" s="22" t="str">
        <f>IF(COUNTIF($R$2:$R$1409,R261)=1,"OK",IF(COUNTIF($R$2:$R$1409,R261)&gt;1,"Exact Duplicate","Review Required"))</f>
        <v>OK</v>
      </c>
      <c r="T261" s="22" t="s">
        <v>19</v>
      </c>
      <c r="U261" s="22" t="s">
        <v>29</v>
      </c>
      <c r="V261" s="22"/>
    </row>
    <row r="262" spans="1:22" ht="41.4">
      <c r="A262" s="22" t="s">
        <v>292</v>
      </c>
      <c r="B262" s="25">
        <v>45757</v>
      </c>
      <c r="C262" s="22" t="s">
        <v>17</v>
      </c>
      <c r="D262" s="22" t="s">
        <v>28</v>
      </c>
      <c r="E262" s="22" t="s">
        <v>19</v>
      </c>
      <c r="F262" s="22" t="s">
        <v>41</v>
      </c>
      <c r="G262" s="22" t="s">
        <v>21</v>
      </c>
      <c r="H262" s="22">
        <v>0</v>
      </c>
      <c r="I262" s="22">
        <v>0</v>
      </c>
      <c r="J262" s="22">
        <v>0</v>
      </c>
      <c r="K262" s="22">
        <v>0</v>
      </c>
      <c r="L262" s="22">
        <v>0</v>
      </c>
      <c r="M262" s="22">
        <v>0</v>
      </c>
      <c r="N262" s="22">
        <v>0</v>
      </c>
      <c r="O262" s="22"/>
      <c r="P262" s="22">
        <v>33.9</v>
      </c>
      <c r="Q262" s="22" t="str">
        <f>IF(OR(L262&lt;$Y$18,L262&gt;$Y$19),"Outlier","Normal")</f>
        <v>Normal</v>
      </c>
      <c r="R262" s="26" t="str">
        <f>A262&amp;B262&amp;C262&amp;D262&amp;E262&amp;F262&amp;G262&amp;H262&amp;I262&amp;J262&amp;K262&amp;L262&amp;M262&amp;N262&amp;O262&amp;P262</f>
        <v>USR-10026145757ControlEastDesktopSocialBasic000000033.9</v>
      </c>
      <c r="S262" s="22" t="str">
        <f>IF(COUNTIF($R$2:$R$1409,R262)=1,"OK",IF(COUNTIF($R$2:$R$1409,R262)&gt;1,"Exact Duplicate","Review Required"))</f>
        <v>OK</v>
      </c>
      <c r="T262" s="22" t="s">
        <v>19</v>
      </c>
      <c r="U262" s="22" t="s">
        <v>41</v>
      </c>
      <c r="V262" s="22"/>
    </row>
    <row r="263" spans="1:22" ht="41.4">
      <c r="A263" s="22" t="s">
        <v>293</v>
      </c>
      <c r="B263" s="25">
        <v>45731</v>
      </c>
      <c r="C263" s="22" t="s">
        <v>17</v>
      </c>
      <c r="D263" s="22" t="s">
        <v>28</v>
      </c>
      <c r="E263" s="22" t="s">
        <v>19</v>
      </c>
      <c r="F263" s="22" t="s">
        <v>39</v>
      </c>
      <c r="G263" s="22" t="s">
        <v>26</v>
      </c>
      <c r="H263" s="22">
        <v>1</v>
      </c>
      <c r="I263" s="22">
        <v>1</v>
      </c>
      <c r="J263" s="22">
        <v>1</v>
      </c>
      <c r="K263" s="22">
        <v>0</v>
      </c>
      <c r="L263" s="22">
        <v>0</v>
      </c>
      <c r="M263" s="22">
        <v>0</v>
      </c>
      <c r="N263" s="22">
        <v>0</v>
      </c>
      <c r="O263" s="22"/>
      <c r="P263" s="22">
        <v>35.4</v>
      </c>
      <c r="Q263" s="22" t="str">
        <f>IF(OR(L263&lt;$Y$18,L263&gt;$Y$19),"Outlier","Normal")</f>
        <v>Normal</v>
      </c>
      <c r="R263" s="26" t="str">
        <f>A263&amp;B263&amp;C263&amp;D263&amp;E263&amp;F263&amp;G263&amp;H263&amp;I263&amp;J263&amp;K263&amp;L263&amp;M263&amp;N263&amp;O263&amp;P263</f>
        <v>USR-10026245731ControlEastDesktopReferralFree111000035.4</v>
      </c>
      <c r="S263" s="22" t="str">
        <f>IF(COUNTIF($R$2:$R$1409,R263)=1,"OK",IF(COUNTIF($R$2:$R$1409,R263)&gt;1,"Exact Duplicate","Review Required"))</f>
        <v>OK</v>
      </c>
      <c r="T263" s="22" t="s">
        <v>19</v>
      </c>
      <c r="U263" s="22" t="s">
        <v>39</v>
      </c>
      <c r="V263" s="22"/>
    </row>
    <row r="264" spans="1:22" ht="41.4">
      <c r="A264" s="22" t="s">
        <v>294</v>
      </c>
      <c r="B264" s="25">
        <v>45754</v>
      </c>
      <c r="C264" s="22" t="s">
        <v>17</v>
      </c>
      <c r="D264" s="22" t="s">
        <v>23</v>
      </c>
      <c r="E264" s="22" t="s">
        <v>19</v>
      </c>
      <c r="F264" s="22" t="s">
        <v>25</v>
      </c>
      <c r="G264" s="22" t="s">
        <v>21</v>
      </c>
      <c r="H264" s="22">
        <v>1</v>
      </c>
      <c r="I264" s="22">
        <v>0</v>
      </c>
      <c r="J264" s="22">
        <v>0</v>
      </c>
      <c r="K264" s="22">
        <v>0</v>
      </c>
      <c r="L264" s="22">
        <v>0</v>
      </c>
      <c r="M264" s="22">
        <v>0</v>
      </c>
      <c r="N264" s="22">
        <v>0</v>
      </c>
      <c r="O264" s="22"/>
      <c r="P264" s="22">
        <v>45</v>
      </c>
      <c r="Q264" s="22" t="str">
        <f>IF(OR(L264&lt;$Y$18,L264&gt;$Y$19),"Outlier","Normal")</f>
        <v>Normal</v>
      </c>
      <c r="R264" s="26" t="str">
        <f>A264&amp;B264&amp;C264&amp;D264&amp;E264&amp;F264&amp;G264&amp;H264&amp;I264&amp;J264&amp;K264&amp;L264&amp;M264&amp;N264&amp;O264&amp;P264</f>
        <v>USR-10026345754ControlWestDesktopOrganicBasic100000045</v>
      </c>
      <c r="S264" s="22" t="str">
        <f>IF(COUNTIF($R$2:$R$1409,R264)=1,"OK",IF(COUNTIF($R$2:$R$1409,R264)&gt;1,"Exact Duplicate","Review Required"))</f>
        <v>OK</v>
      </c>
      <c r="T264" s="22" t="s">
        <v>19</v>
      </c>
      <c r="U264" s="22" t="s">
        <v>25</v>
      </c>
      <c r="V264" s="22"/>
    </row>
    <row r="265" spans="1:22" ht="41.4">
      <c r="A265" s="22" t="s">
        <v>295</v>
      </c>
      <c r="B265" s="25">
        <v>45700</v>
      </c>
      <c r="C265" s="22" t="s">
        <v>17</v>
      </c>
      <c r="D265" s="22" t="s">
        <v>32</v>
      </c>
      <c r="E265" s="22" t="s">
        <v>24</v>
      </c>
      <c r="F265" s="22" t="s">
        <v>25</v>
      </c>
      <c r="G265" s="22" t="s">
        <v>26</v>
      </c>
      <c r="H265" s="22">
        <v>1</v>
      </c>
      <c r="I265" s="22">
        <v>1</v>
      </c>
      <c r="J265" s="22">
        <v>0</v>
      </c>
      <c r="K265" s="22">
        <v>0</v>
      </c>
      <c r="L265" s="22">
        <v>0</v>
      </c>
      <c r="M265" s="22">
        <v>0</v>
      </c>
      <c r="N265" s="22">
        <v>0</v>
      </c>
      <c r="O265" s="22"/>
      <c r="P265" s="22">
        <v>86.5</v>
      </c>
      <c r="Q265" s="22" t="str">
        <f>IF(OR(L265&lt;$Y$18,L265&gt;$Y$19),"Outlier","Normal")</f>
        <v>Normal</v>
      </c>
      <c r="R265" s="26" t="str">
        <f>A265&amp;B265&amp;C265&amp;D265&amp;E265&amp;F265&amp;G265&amp;H265&amp;I265&amp;J265&amp;K265&amp;L265&amp;M265&amp;N265&amp;O265&amp;P265</f>
        <v>USR-10026445700ControlSouthMobileOrganicFree110000086.5</v>
      </c>
      <c r="S265" s="22" t="str">
        <f>IF(COUNTIF($R$2:$R$1409,R265)=1,"OK",IF(COUNTIF($R$2:$R$1409,R265)&gt;1,"Exact Duplicate","Review Required"))</f>
        <v>OK</v>
      </c>
      <c r="T265" s="22" t="s">
        <v>24</v>
      </c>
      <c r="U265" s="22" t="s">
        <v>25</v>
      </c>
      <c r="V265" s="22"/>
    </row>
    <row r="266" spans="1:22" ht="41.4">
      <c r="A266" s="22" t="s">
        <v>296</v>
      </c>
      <c r="B266" s="25">
        <v>45782</v>
      </c>
      <c r="C266" s="22" t="s">
        <v>17</v>
      </c>
      <c r="D266" s="22" t="s">
        <v>23</v>
      </c>
      <c r="E266" s="22" t="s">
        <v>24</v>
      </c>
      <c r="F266" s="22" t="s">
        <v>41</v>
      </c>
      <c r="G266" s="22" t="s">
        <v>26</v>
      </c>
      <c r="H266" s="22">
        <v>0</v>
      </c>
      <c r="I266" s="22">
        <v>0</v>
      </c>
      <c r="J266" s="22">
        <v>0</v>
      </c>
      <c r="K266" s="22">
        <v>0</v>
      </c>
      <c r="L266" s="22">
        <v>0</v>
      </c>
      <c r="M266" s="22">
        <v>0</v>
      </c>
      <c r="N266" s="22">
        <v>0</v>
      </c>
      <c r="O266" s="22"/>
      <c r="P266" s="22">
        <v>58.1</v>
      </c>
      <c r="Q266" s="22" t="str">
        <f>IF(OR(L266&lt;$Y$18,L266&gt;$Y$19),"Outlier","Normal")</f>
        <v>Normal</v>
      </c>
      <c r="R266" s="26" t="str">
        <f>A266&amp;B266&amp;C266&amp;D266&amp;E266&amp;F266&amp;G266&amp;H266&amp;I266&amp;J266&amp;K266&amp;L266&amp;M266&amp;N266&amp;O266&amp;P266</f>
        <v>USR-10026545782ControlWestMobileSocialFree000000058.1</v>
      </c>
      <c r="S266" s="22" t="str">
        <f>IF(COUNTIF($R$2:$R$1409,R266)=1,"OK",IF(COUNTIF($R$2:$R$1409,R266)&gt;1,"Exact Duplicate","Review Required"))</f>
        <v>OK</v>
      </c>
      <c r="T266" s="22" t="s">
        <v>24</v>
      </c>
      <c r="U266" s="22" t="s">
        <v>41</v>
      </c>
      <c r="V266" s="22"/>
    </row>
    <row r="267" spans="1:22" ht="41.4">
      <c r="A267" s="22" t="s">
        <v>297</v>
      </c>
      <c r="B267" s="25">
        <v>45727</v>
      </c>
      <c r="C267" s="22" t="s">
        <v>17</v>
      </c>
      <c r="D267" s="22" t="s">
        <v>23</v>
      </c>
      <c r="E267" s="22" t="s">
        <v>24</v>
      </c>
      <c r="F267" s="22" t="s">
        <v>39</v>
      </c>
      <c r="G267" s="22" t="s">
        <v>26</v>
      </c>
      <c r="H267" s="22">
        <v>1</v>
      </c>
      <c r="I267" s="22">
        <v>0</v>
      </c>
      <c r="J267" s="22">
        <v>0</v>
      </c>
      <c r="K267" s="22">
        <v>0</v>
      </c>
      <c r="L267" s="22">
        <v>0</v>
      </c>
      <c r="M267" s="22">
        <v>0</v>
      </c>
      <c r="N267" s="22">
        <v>0</v>
      </c>
      <c r="O267" s="22"/>
      <c r="P267" s="22">
        <v>36.1</v>
      </c>
      <c r="Q267" s="22" t="str">
        <f>IF(OR(L267&lt;$Y$18,L267&gt;$Y$19),"Outlier","Normal")</f>
        <v>Normal</v>
      </c>
      <c r="R267" s="26" t="str">
        <f>A267&amp;B267&amp;C267&amp;D267&amp;E267&amp;F267&amp;G267&amp;H267&amp;I267&amp;J267&amp;K267&amp;L267&amp;M267&amp;N267&amp;O267&amp;P267</f>
        <v>USR-10026645727ControlWestMobileReferralFree100000036.1</v>
      </c>
      <c r="S267" s="22" t="str">
        <f>IF(COUNTIF($R$2:$R$1409,R267)=1,"OK",IF(COUNTIF($R$2:$R$1409,R267)&gt;1,"Exact Duplicate","Review Required"))</f>
        <v>OK</v>
      </c>
      <c r="T267" s="22" t="s">
        <v>24</v>
      </c>
      <c r="U267" s="22" t="s">
        <v>39</v>
      </c>
      <c r="V267" s="22"/>
    </row>
    <row r="268" spans="1:22" ht="41.4">
      <c r="A268" s="22" t="s">
        <v>298</v>
      </c>
      <c r="B268" s="25">
        <v>45698</v>
      </c>
      <c r="C268" s="22" t="s">
        <v>17</v>
      </c>
      <c r="D268" s="22" t="s">
        <v>28</v>
      </c>
      <c r="E268" s="22" t="s">
        <v>24</v>
      </c>
      <c r="F268" s="22" t="s">
        <v>41</v>
      </c>
      <c r="G268" s="22" t="s">
        <v>26</v>
      </c>
      <c r="H268" s="22">
        <v>0</v>
      </c>
      <c r="I268" s="22">
        <v>0</v>
      </c>
      <c r="J268" s="22">
        <v>0</v>
      </c>
      <c r="K268" s="22">
        <v>0</v>
      </c>
      <c r="L268" s="22">
        <v>0</v>
      </c>
      <c r="M268" s="22">
        <v>0</v>
      </c>
      <c r="N268" s="22">
        <v>0</v>
      </c>
      <c r="O268" s="22"/>
      <c r="P268" s="22">
        <v>62.8</v>
      </c>
      <c r="Q268" s="22" t="str">
        <f>IF(OR(L268&lt;$Y$18,L268&gt;$Y$19),"Outlier","Normal")</f>
        <v>Normal</v>
      </c>
      <c r="R268" s="26" t="str">
        <f>A268&amp;B268&amp;C268&amp;D268&amp;E268&amp;F268&amp;G268&amp;H268&amp;I268&amp;J268&amp;K268&amp;L268&amp;M268&amp;N268&amp;O268&amp;P268</f>
        <v>USR-10026745698ControlEastMobileSocialFree000000062.8</v>
      </c>
      <c r="S268" s="22" t="str">
        <f>IF(COUNTIF($R$2:$R$1409,R268)=1,"OK",IF(COUNTIF($R$2:$R$1409,R268)&gt;1,"Exact Duplicate","Review Required"))</f>
        <v>OK</v>
      </c>
      <c r="T268" s="22" t="s">
        <v>24</v>
      </c>
      <c r="U268" s="22" t="s">
        <v>41</v>
      </c>
      <c r="V268" s="22"/>
    </row>
    <row r="269" spans="1:22" ht="41.4">
      <c r="A269" s="22" t="s">
        <v>299</v>
      </c>
      <c r="B269" s="25">
        <v>45753</v>
      </c>
      <c r="C269" s="22" t="s">
        <v>17</v>
      </c>
      <c r="D269" s="22" t="s">
        <v>32</v>
      </c>
      <c r="E269" s="22" t="s">
        <v>24</v>
      </c>
      <c r="F269" s="22" t="s">
        <v>25</v>
      </c>
      <c r="G269" s="22" t="s">
        <v>26</v>
      </c>
      <c r="H269" s="22">
        <v>0</v>
      </c>
      <c r="I269" s="22">
        <v>0</v>
      </c>
      <c r="J269" s="22">
        <v>0</v>
      </c>
      <c r="K269" s="22">
        <v>0</v>
      </c>
      <c r="L269" s="22">
        <v>0</v>
      </c>
      <c r="M269" s="22">
        <v>0</v>
      </c>
      <c r="N269" s="22">
        <v>0</v>
      </c>
      <c r="O269" s="22"/>
      <c r="P269" s="22">
        <v>54.2</v>
      </c>
      <c r="Q269" s="22" t="str">
        <f>IF(OR(L269&lt;$Y$18,L269&gt;$Y$19),"Outlier","Normal")</f>
        <v>Normal</v>
      </c>
      <c r="R269" s="26" t="str">
        <f>A269&amp;B269&amp;C269&amp;D269&amp;E269&amp;F269&amp;G269&amp;H269&amp;I269&amp;J269&amp;K269&amp;L269&amp;M269&amp;N269&amp;O269&amp;P269</f>
        <v>USR-10026845753ControlSouthMobileOrganicFree000000054.2</v>
      </c>
      <c r="S269" s="22" t="str">
        <f>IF(COUNTIF($R$2:$R$1409,R269)=1,"OK",IF(COUNTIF($R$2:$R$1409,R269)&gt;1,"Exact Duplicate","Review Required"))</f>
        <v>OK</v>
      </c>
      <c r="T269" s="22" t="s">
        <v>24</v>
      </c>
      <c r="U269" s="22" t="s">
        <v>25</v>
      </c>
      <c r="V269" s="22"/>
    </row>
    <row r="270" spans="1:22" ht="41.4">
      <c r="A270" s="22" t="s">
        <v>300</v>
      </c>
      <c r="B270" s="25">
        <v>45663</v>
      </c>
      <c r="C270" s="22" t="s">
        <v>17</v>
      </c>
      <c r="D270" s="22" t="s">
        <v>28</v>
      </c>
      <c r="E270" s="22" t="s">
        <v>24</v>
      </c>
      <c r="F270" s="22" t="s">
        <v>39</v>
      </c>
      <c r="G270" s="22" t="s">
        <v>26</v>
      </c>
      <c r="H270" s="22">
        <v>0</v>
      </c>
      <c r="I270" s="22">
        <v>0</v>
      </c>
      <c r="J270" s="22">
        <v>0</v>
      </c>
      <c r="K270" s="22">
        <v>0</v>
      </c>
      <c r="L270" s="22">
        <v>0</v>
      </c>
      <c r="M270" s="22">
        <v>0</v>
      </c>
      <c r="N270" s="22">
        <v>0</v>
      </c>
      <c r="O270" s="22"/>
      <c r="P270" s="22">
        <v>50</v>
      </c>
      <c r="Q270" s="22" t="str">
        <f>IF(OR(L270&lt;$Y$18,L270&gt;$Y$19),"Outlier","Normal")</f>
        <v>Normal</v>
      </c>
      <c r="R270" s="26" t="str">
        <f>A270&amp;B270&amp;C270&amp;D270&amp;E270&amp;F270&amp;G270&amp;H270&amp;I270&amp;J270&amp;K270&amp;L270&amp;M270&amp;N270&amp;O270&amp;P270</f>
        <v>USR-10026945663ControlEastMobileReferralFree000000050</v>
      </c>
      <c r="S270" s="22" t="str">
        <f>IF(COUNTIF($R$2:$R$1409,R270)=1,"OK",IF(COUNTIF($R$2:$R$1409,R270)&gt;1,"Exact Duplicate","Review Required"))</f>
        <v>OK</v>
      </c>
      <c r="T270" s="22" t="s">
        <v>24</v>
      </c>
      <c r="U270" s="22" t="s">
        <v>39</v>
      </c>
      <c r="V270" s="22"/>
    </row>
    <row r="271" spans="1:22" ht="41.4">
      <c r="A271" s="22" t="s">
        <v>301</v>
      </c>
      <c r="B271" s="25">
        <v>45741</v>
      </c>
      <c r="C271" s="22" t="s">
        <v>17</v>
      </c>
      <c r="D271" s="22" t="s">
        <v>28</v>
      </c>
      <c r="E271" s="22" t="s">
        <v>34</v>
      </c>
      <c r="F271" s="22" t="s">
        <v>29</v>
      </c>
      <c r="G271" s="22" t="s">
        <v>21</v>
      </c>
      <c r="H271" s="22">
        <v>1</v>
      </c>
      <c r="I271" s="22">
        <v>0</v>
      </c>
      <c r="J271" s="22">
        <v>0</v>
      </c>
      <c r="K271" s="22">
        <v>0</v>
      </c>
      <c r="L271" s="22">
        <v>0</v>
      </c>
      <c r="M271" s="22">
        <v>0</v>
      </c>
      <c r="N271" s="22">
        <v>0</v>
      </c>
      <c r="O271" s="22"/>
      <c r="P271" s="22">
        <v>62</v>
      </c>
      <c r="Q271" s="22" t="str">
        <f>IF(OR(L271&lt;$Y$18,L271&gt;$Y$19),"Outlier","Normal")</f>
        <v>Normal</v>
      </c>
      <c r="R271" s="26" t="str">
        <f>A271&amp;B271&amp;C271&amp;D271&amp;E271&amp;F271&amp;G271&amp;H271&amp;I271&amp;J271&amp;K271&amp;L271&amp;M271&amp;N271&amp;O271&amp;P271</f>
        <v>USR-10027045741ControlEastTabletPaid SearchBasic100000062</v>
      </c>
      <c r="S271" s="22" t="str">
        <f>IF(COUNTIF($R$2:$R$1409,R271)=1,"OK",IF(COUNTIF($R$2:$R$1409,R271)&gt;1,"Exact Duplicate","Review Required"))</f>
        <v>OK</v>
      </c>
      <c r="T271" s="22" t="s">
        <v>34</v>
      </c>
      <c r="U271" s="22" t="s">
        <v>29</v>
      </c>
      <c r="V271" s="22"/>
    </row>
    <row r="272" spans="1:22" ht="41.4">
      <c r="A272" s="22" t="s">
        <v>302</v>
      </c>
      <c r="B272" s="25">
        <v>45701</v>
      </c>
      <c r="C272" s="22" t="s">
        <v>17</v>
      </c>
      <c r="D272" s="22" t="s">
        <v>28</v>
      </c>
      <c r="E272" s="22" t="s">
        <v>19</v>
      </c>
      <c r="F272" s="22" t="s">
        <v>39</v>
      </c>
      <c r="G272" s="22" t="s">
        <v>26</v>
      </c>
      <c r="H272" s="22">
        <v>1</v>
      </c>
      <c r="I272" s="22">
        <v>0</v>
      </c>
      <c r="J272" s="22">
        <v>0</v>
      </c>
      <c r="K272" s="22">
        <v>0</v>
      </c>
      <c r="L272" s="22">
        <v>0</v>
      </c>
      <c r="M272" s="22">
        <v>0</v>
      </c>
      <c r="N272" s="22">
        <v>0</v>
      </c>
      <c r="O272" s="22"/>
      <c r="P272" s="22">
        <v>29.3</v>
      </c>
      <c r="Q272" s="22" t="str">
        <f>IF(OR(L272&lt;$Y$18,L272&gt;$Y$19),"Outlier","Normal")</f>
        <v>Normal</v>
      </c>
      <c r="R272" s="26" t="str">
        <f>A272&amp;B272&amp;C272&amp;D272&amp;E272&amp;F272&amp;G272&amp;H272&amp;I272&amp;J272&amp;K272&amp;L272&amp;M272&amp;N272&amp;O272&amp;P272</f>
        <v>USR-10027145701ControlEastDesktopReferralFree100000029.3</v>
      </c>
      <c r="S272" s="22" t="str">
        <f>IF(COUNTIF($R$2:$R$1409,R272)=1,"OK",IF(COUNTIF($R$2:$R$1409,R272)&gt;1,"Exact Duplicate","Review Required"))</f>
        <v>OK</v>
      </c>
      <c r="T272" s="22" t="s">
        <v>19</v>
      </c>
      <c r="U272" s="22" t="s">
        <v>39</v>
      </c>
      <c r="V272" s="22"/>
    </row>
    <row r="273" spans="1:22" ht="41.4">
      <c r="A273" s="22" t="s">
        <v>303</v>
      </c>
      <c r="B273" s="25">
        <v>45733</v>
      </c>
      <c r="C273" s="22" t="s">
        <v>17</v>
      </c>
      <c r="D273" s="22" t="s">
        <v>23</v>
      </c>
      <c r="E273" s="22" t="s">
        <v>19</v>
      </c>
      <c r="F273" s="22" t="s">
        <v>25</v>
      </c>
      <c r="G273" s="22" t="s">
        <v>26</v>
      </c>
      <c r="H273" s="22">
        <v>1</v>
      </c>
      <c r="I273" s="22">
        <v>0</v>
      </c>
      <c r="J273" s="22">
        <v>0</v>
      </c>
      <c r="K273" s="22">
        <v>0</v>
      </c>
      <c r="L273" s="22">
        <v>0</v>
      </c>
      <c r="M273" s="22">
        <v>0</v>
      </c>
      <c r="N273" s="22">
        <v>0</v>
      </c>
      <c r="O273" s="22"/>
      <c r="P273" s="22">
        <v>67.900000000000006</v>
      </c>
      <c r="Q273" s="22" t="str">
        <f>IF(OR(L273&lt;$Y$18,L273&gt;$Y$19),"Outlier","Normal")</f>
        <v>Normal</v>
      </c>
      <c r="R273" s="26" t="str">
        <f>A273&amp;B273&amp;C273&amp;D273&amp;E273&amp;F273&amp;G273&amp;H273&amp;I273&amp;J273&amp;K273&amp;L273&amp;M273&amp;N273&amp;O273&amp;P273</f>
        <v>USR-10027245733ControlWestDesktopOrganicFree100000067.9</v>
      </c>
      <c r="S273" s="22" t="str">
        <f>IF(COUNTIF($R$2:$R$1409,R273)=1,"OK",IF(COUNTIF($R$2:$R$1409,R273)&gt;1,"Exact Duplicate","Review Required"))</f>
        <v>OK</v>
      </c>
      <c r="T273" s="22" t="s">
        <v>19</v>
      </c>
      <c r="U273" s="22" t="s">
        <v>25</v>
      </c>
      <c r="V273" s="22"/>
    </row>
    <row r="274" spans="1:22" ht="41.4">
      <c r="A274" s="22" t="s">
        <v>304</v>
      </c>
      <c r="B274" s="25">
        <v>45787</v>
      </c>
      <c r="C274" s="22" t="s">
        <v>17</v>
      </c>
      <c r="D274" s="22" t="s">
        <v>18</v>
      </c>
      <c r="E274" s="22" t="s">
        <v>24</v>
      </c>
      <c r="F274" s="22" t="s">
        <v>39</v>
      </c>
      <c r="G274" s="22" t="s">
        <v>26</v>
      </c>
      <c r="H274" s="22">
        <v>1</v>
      </c>
      <c r="I274" s="22">
        <v>1</v>
      </c>
      <c r="J274" s="22">
        <v>1</v>
      </c>
      <c r="K274" s="22">
        <v>0</v>
      </c>
      <c r="L274" s="22">
        <v>0</v>
      </c>
      <c r="M274" s="22">
        <v>0</v>
      </c>
      <c r="N274" s="22">
        <v>0</v>
      </c>
      <c r="O274" s="22"/>
      <c r="P274" s="22">
        <v>67.599999999999994</v>
      </c>
      <c r="Q274" s="22" t="str">
        <f>IF(OR(L274&lt;$Y$18,L274&gt;$Y$19),"Outlier","Normal")</f>
        <v>Normal</v>
      </c>
      <c r="R274" s="26" t="str">
        <f>A274&amp;B274&amp;C274&amp;D274&amp;E274&amp;F274&amp;G274&amp;H274&amp;I274&amp;J274&amp;K274&amp;L274&amp;M274&amp;N274&amp;O274&amp;P274</f>
        <v>USR-10027345787ControlNorthMobileReferralFree111000067.6</v>
      </c>
      <c r="S274" s="22" t="str">
        <f>IF(COUNTIF($R$2:$R$1409,R274)=1,"OK",IF(COUNTIF($R$2:$R$1409,R274)&gt;1,"Exact Duplicate","Review Required"))</f>
        <v>OK</v>
      </c>
      <c r="T274" s="22" t="s">
        <v>24</v>
      </c>
      <c r="U274" s="22" t="s">
        <v>39</v>
      </c>
      <c r="V274" s="22"/>
    </row>
    <row r="275" spans="1:22" ht="41.4">
      <c r="A275" s="22" t="s">
        <v>305</v>
      </c>
      <c r="B275" s="25">
        <v>45784</v>
      </c>
      <c r="C275" s="22" t="s">
        <v>17</v>
      </c>
      <c r="D275" s="22" t="s">
        <v>32</v>
      </c>
      <c r="E275" s="22" t="s">
        <v>24</v>
      </c>
      <c r="F275" s="22" t="s">
        <v>29</v>
      </c>
      <c r="G275" s="22" t="s">
        <v>21</v>
      </c>
      <c r="H275" s="22">
        <v>0</v>
      </c>
      <c r="I275" s="22">
        <v>0</v>
      </c>
      <c r="J275" s="22">
        <v>0</v>
      </c>
      <c r="K275" s="22">
        <v>0</v>
      </c>
      <c r="L275" s="22">
        <v>0</v>
      </c>
      <c r="M275" s="22">
        <v>0</v>
      </c>
      <c r="N275" s="22">
        <v>0</v>
      </c>
      <c r="O275" s="22"/>
      <c r="P275" s="22">
        <v>67.400000000000006</v>
      </c>
      <c r="Q275" s="22" t="str">
        <f>IF(OR(L275&lt;$Y$18,L275&gt;$Y$19),"Outlier","Normal")</f>
        <v>Normal</v>
      </c>
      <c r="R275" s="26" t="str">
        <f>A275&amp;B275&amp;C275&amp;D275&amp;E275&amp;F275&amp;G275&amp;H275&amp;I275&amp;J275&amp;K275&amp;L275&amp;M275&amp;N275&amp;O275&amp;P275</f>
        <v>USR-10027445784ControlSouthMobilePaid SearchBasic000000067.4</v>
      </c>
      <c r="S275" s="22" t="str">
        <f>IF(COUNTIF($R$2:$R$1409,R275)=1,"OK",IF(COUNTIF($R$2:$R$1409,R275)&gt;1,"Exact Duplicate","Review Required"))</f>
        <v>OK</v>
      </c>
      <c r="T275" s="22" t="s">
        <v>24</v>
      </c>
      <c r="U275" s="22" t="s">
        <v>29</v>
      </c>
      <c r="V275" s="22"/>
    </row>
    <row r="276" spans="1:22" ht="41.4">
      <c r="A276" s="22" t="s">
        <v>306</v>
      </c>
      <c r="B276" s="25">
        <v>45714</v>
      </c>
      <c r="C276" s="22" t="s">
        <v>17</v>
      </c>
      <c r="D276" s="22" t="s">
        <v>23</v>
      </c>
      <c r="E276" s="22" t="s">
        <v>19</v>
      </c>
      <c r="F276" s="22" t="s">
        <v>29</v>
      </c>
      <c r="G276" s="22" t="s">
        <v>30</v>
      </c>
      <c r="H276" s="22">
        <v>0</v>
      </c>
      <c r="I276" s="22">
        <v>0</v>
      </c>
      <c r="J276" s="22">
        <v>0</v>
      </c>
      <c r="K276" s="22">
        <v>0</v>
      </c>
      <c r="L276" s="22">
        <v>0</v>
      </c>
      <c r="M276" s="22">
        <v>2</v>
      </c>
      <c r="N276" s="22">
        <v>0</v>
      </c>
      <c r="O276" s="22"/>
      <c r="P276" s="22">
        <v>53</v>
      </c>
      <c r="Q276" s="22" t="str">
        <f>IF(OR(L276&lt;$Y$18,L276&gt;$Y$19),"Outlier","Normal")</f>
        <v>Normal</v>
      </c>
      <c r="R276" s="26" t="str">
        <f>A276&amp;B276&amp;C276&amp;D276&amp;E276&amp;F276&amp;G276&amp;H276&amp;I276&amp;J276&amp;K276&amp;L276&amp;M276&amp;N276&amp;O276&amp;P276</f>
        <v>USR-10027545714ControlWestDesktopPaid SearchPremium000002053</v>
      </c>
      <c r="S276" s="22" t="str">
        <f>IF(COUNTIF($R$2:$R$1409,R276)=1,"OK",IF(COUNTIF($R$2:$R$1409,R276)&gt;1,"Exact Duplicate","Review Required"))</f>
        <v>OK</v>
      </c>
      <c r="T276" s="22" t="s">
        <v>19</v>
      </c>
      <c r="U276" s="22" t="s">
        <v>29</v>
      </c>
      <c r="V276" s="22"/>
    </row>
    <row r="277" spans="1:22" ht="41.4">
      <c r="A277" s="22" t="s">
        <v>307</v>
      </c>
      <c r="B277" s="25">
        <v>45788</v>
      </c>
      <c r="C277" s="22" t="s">
        <v>17</v>
      </c>
      <c r="D277" s="22" t="s">
        <v>18</v>
      </c>
      <c r="E277" s="22" t="s">
        <v>24</v>
      </c>
      <c r="F277" s="22" t="s">
        <v>25</v>
      </c>
      <c r="G277" s="22" t="s">
        <v>21</v>
      </c>
      <c r="H277" s="22">
        <v>0</v>
      </c>
      <c r="I277" s="22">
        <v>0</v>
      </c>
      <c r="J277" s="22">
        <v>0</v>
      </c>
      <c r="K277" s="22">
        <v>0</v>
      </c>
      <c r="L277" s="22">
        <v>0</v>
      </c>
      <c r="M277" s="22">
        <v>0</v>
      </c>
      <c r="N277" s="22">
        <v>0</v>
      </c>
      <c r="O277" s="22"/>
      <c r="P277" s="22">
        <v>65.5</v>
      </c>
      <c r="Q277" s="22" t="str">
        <f>IF(OR(L277&lt;$Y$18,L277&gt;$Y$19),"Outlier","Normal")</f>
        <v>Normal</v>
      </c>
      <c r="R277" s="26" t="str">
        <f>A277&amp;B277&amp;C277&amp;D277&amp;E277&amp;F277&amp;G277&amp;H277&amp;I277&amp;J277&amp;K277&amp;L277&amp;M277&amp;N277&amp;O277&amp;P277</f>
        <v>USR-10027645788ControlNorthMobileOrganicBasic000000065.5</v>
      </c>
      <c r="S277" s="22" t="str">
        <f>IF(COUNTIF($R$2:$R$1409,R277)=1,"OK",IF(COUNTIF($R$2:$R$1409,R277)&gt;1,"Exact Duplicate","Review Required"))</f>
        <v>OK</v>
      </c>
      <c r="T277" s="22" t="s">
        <v>24</v>
      </c>
      <c r="U277" s="22" t="s">
        <v>25</v>
      </c>
      <c r="V277" s="22"/>
    </row>
    <row r="278" spans="1:22" ht="41.4">
      <c r="A278" s="22" t="s">
        <v>308</v>
      </c>
      <c r="B278" s="25">
        <v>45736</v>
      </c>
      <c r="C278" s="22" t="s">
        <v>17</v>
      </c>
      <c r="D278" s="22" t="s">
        <v>32</v>
      </c>
      <c r="E278" s="22" t="s">
        <v>24</v>
      </c>
      <c r="F278" s="22" t="s">
        <v>25</v>
      </c>
      <c r="G278" s="22" t="s">
        <v>21</v>
      </c>
      <c r="H278" s="22">
        <v>1</v>
      </c>
      <c r="I278" s="22">
        <v>1</v>
      </c>
      <c r="J278" s="22">
        <v>0</v>
      </c>
      <c r="K278" s="22">
        <v>0</v>
      </c>
      <c r="L278" s="22">
        <v>0</v>
      </c>
      <c r="M278" s="22">
        <v>0</v>
      </c>
      <c r="N278" s="22">
        <v>0</v>
      </c>
      <c r="O278" s="22"/>
      <c r="P278" s="22">
        <v>49.6</v>
      </c>
      <c r="Q278" s="22" t="str">
        <f>IF(OR(L278&lt;$Y$18,L278&gt;$Y$19),"Outlier","Normal")</f>
        <v>Normal</v>
      </c>
      <c r="R278" s="26" t="str">
        <f>A278&amp;B278&amp;C278&amp;D278&amp;E278&amp;F278&amp;G278&amp;H278&amp;I278&amp;J278&amp;K278&amp;L278&amp;M278&amp;N278&amp;O278&amp;P278</f>
        <v>USR-10027745736ControlSouthMobileOrganicBasic110000049.6</v>
      </c>
      <c r="S278" s="22" t="str">
        <f>IF(COUNTIF($R$2:$R$1409,R278)=1,"OK",IF(COUNTIF($R$2:$R$1409,R278)&gt;1,"Exact Duplicate","Review Required"))</f>
        <v>OK</v>
      </c>
      <c r="T278" s="22" t="s">
        <v>24</v>
      </c>
      <c r="U278" s="22" t="s">
        <v>25</v>
      </c>
      <c r="V278" s="22"/>
    </row>
    <row r="279" spans="1:22" ht="41.4">
      <c r="A279" s="22" t="s">
        <v>309</v>
      </c>
      <c r="B279" s="25">
        <v>45676</v>
      </c>
      <c r="C279" s="22" t="s">
        <v>17</v>
      </c>
      <c r="D279" s="22" t="s">
        <v>18</v>
      </c>
      <c r="E279" s="22" t="s">
        <v>24</v>
      </c>
      <c r="F279" s="22" t="s">
        <v>20</v>
      </c>
      <c r="G279" s="22" t="s">
        <v>26</v>
      </c>
      <c r="H279" s="22">
        <v>1</v>
      </c>
      <c r="I279" s="22">
        <v>1</v>
      </c>
      <c r="J279" s="22">
        <v>0</v>
      </c>
      <c r="K279" s="22">
        <v>0</v>
      </c>
      <c r="L279" s="22">
        <v>0</v>
      </c>
      <c r="M279" s="22">
        <v>0</v>
      </c>
      <c r="N279" s="22">
        <v>0</v>
      </c>
      <c r="O279" s="22"/>
      <c r="P279" s="22">
        <v>74.5</v>
      </c>
      <c r="Q279" s="22" t="str">
        <f>IF(OR(L279&lt;$Y$18,L279&gt;$Y$19),"Outlier","Normal")</f>
        <v>Normal</v>
      </c>
      <c r="R279" s="26" t="str">
        <f>A279&amp;B279&amp;C279&amp;D279&amp;E279&amp;F279&amp;G279&amp;H279&amp;I279&amp;J279&amp;K279&amp;L279&amp;M279&amp;N279&amp;O279&amp;P279</f>
        <v>USR-10027845676ControlNorthMobileEmailFree110000074.5</v>
      </c>
      <c r="S279" s="22" t="str">
        <f>IF(COUNTIF($R$2:$R$1409,R279)=1,"OK",IF(COUNTIF($R$2:$R$1409,R279)&gt;1,"Exact Duplicate","Review Required"))</f>
        <v>OK</v>
      </c>
      <c r="T279" s="22" t="s">
        <v>24</v>
      </c>
      <c r="U279" s="22" t="s">
        <v>20</v>
      </c>
      <c r="V279" s="22"/>
    </row>
    <row r="280" spans="1:22" ht="41.4">
      <c r="A280" s="22" t="s">
        <v>310</v>
      </c>
      <c r="B280" s="25">
        <v>45724</v>
      </c>
      <c r="C280" s="22" t="s">
        <v>17</v>
      </c>
      <c r="D280" s="22" t="s">
        <v>18</v>
      </c>
      <c r="E280" s="22" t="s">
        <v>34</v>
      </c>
      <c r="F280" s="22" t="s">
        <v>29</v>
      </c>
      <c r="G280" s="22" t="s">
        <v>30</v>
      </c>
      <c r="H280" s="22">
        <v>1</v>
      </c>
      <c r="I280" s="22">
        <v>0</v>
      </c>
      <c r="J280" s="22">
        <v>0</v>
      </c>
      <c r="K280" s="22">
        <v>0</v>
      </c>
      <c r="L280" s="22">
        <v>0</v>
      </c>
      <c r="M280" s="22">
        <v>1</v>
      </c>
      <c r="N280" s="22">
        <v>0</v>
      </c>
      <c r="O280" s="22"/>
      <c r="P280" s="22">
        <v>46.9</v>
      </c>
      <c r="Q280" s="22" t="str">
        <f>IF(OR(L280&lt;$Y$18,L280&gt;$Y$19),"Outlier","Normal")</f>
        <v>Normal</v>
      </c>
      <c r="R280" s="26" t="str">
        <f>A280&amp;B280&amp;C280&amp;D280&amp;E280&amp;F280&amp;G280&amp;H280&amp;I280&amp;J280&amp;K280&amp;L280&amp;M280&amp;N280&amp;O280&amp;P280</f>
        <v>USR-10027945724ControlNorthTabletPaid SearchPremium100001046.9</v>
      </c>
      <c r="S280" s="22" t="str">
        <f>IF(COUNTIF($R$2:$R$1409,R280)=1,"OK",IF(COUNTIF($R$2:$R$1409,R280)&gt;1,"Exact Duplicate","Review Required"))</f>
        <v>OK</v>
      </c>
      <c r="T280" s="22" t="s">
        <v>34</v>
      </c>
      <c r="U280" s="22" t="s">
        <v>29</v>
      </c>
      <c r="V280" s="22"/>
    </row>
    <row r="281" spans="1:22" ht="41.4">
      <c r="A281" s="22" t="s">
        <v>311</v>
      </c>
      <c r="B281" s="25">
        <v>45772</v>
      </c>
      <c r="C281" s="22" t="s">
        <v>17</v>
      </c>
      <c r="D281" s="22" t="s">
        <v>18</v>
      </c>
      <c r="E281" s="22" t="s">
        <v>24</v>
      </c>
      <c r="F281" s="22" t="s">
        <v>25</v>
      </c>
      <c r="G281" s="22" t="s">
        <v>26</v>
      </c>
      <c r="H281" s="22">
        <v>0</v>
      </c>
      <c r="I281" s="22">
        <v>0</v>
      </c>
      <c r="J281" s="22">
        <v>0</v>
      </c>
      <c r="K281" s="22">
        <v>0</v>
      </c>
      <c r="L281" s="22">
        <v>0</v>
      </c>
      <c r="M281" s="22">
        <v>0</v>
      </c>
      <c r="N281" s="22">
        <v>0</v>
      </c>
      <c r="O281" s="22"/>
      <c r="P281" s="22">
        <v>87.1</v>
      </c>
      <c r="Q281" s="22" t="str">
        <f>IF(OR(L281&lt;$Y$18,L281&gt;$Y$19),"Outlier","Normal")</f>
        <v>Normal</v>
      </c>
      <c r="R281" s="26" t="str">
        <f>A281&amp;B281&amp;C281&amp;D281&amp;E281&amp;F281&amp;G281&amp;H281&amp;I281&amp;J281&amp;K281&amp;L281&amp;M281&amp;N281&amp;O281&amp;P281</f>
        <v>USR-10028045772ControlNorthMobileOrganicFree000000087.1</v>
      </c>
      <c r="S281" s="22" t="str">
        <f>IF(COUNTIF($R$2:$R$1409,R281)=1,"OK",IF(COUNTIF($R$2:$R$1409,R281)&gt;1,"Exact Duplicate","Review Required"))</f>
        <v>OK</v>
      </c>
      <c r="T281" s="22" t="s">
        <v>24</v>
      </c>
      <c r="U281" s="22" t="s">
        <v>25</v>
      </c>
      <c r="V281" s="22"/>
    </row>
    <row r="282" spans="1:22" ht="41.4">
      <c r="A282" s="22" t="s">
        <v>312</v>
      </c>
      <c r="B282" s="25">
        <v>45751</v>
      </c>
      <c r="C282" s="22" t="s">
        <v>17</v>
      </c>
      <c r="D282" s="22" t="s">
        <v>18</v>
      </c>
      <c r="E282" s="22" t="s">
        <v>19</v>
      </c>
      <c r="F282" s="22" t="s">
        <v>25</v>
      </c>
      <c r="G282" s="22" t="s">
        <v>26</v>
      </c>
      <c r="H282" s="22">
        <v>1</v>
      </c>
      <c r="I282" s="22">
        <v>0</v>
      </c>
      <c r="J282" s="22">
        <v>0</v>
      </c>
      <c r="K282" s="22">
        <v>0</v>
      </c>
      <c r="L282" s="22">
        <v>0</v>
      </c>
      <c r="M282" s="22">
        <v>0</v>
      </c>
      <c r="N282" s="22">
        <v>0</v>
      </c>
      <c r="O282" s="22"/>
      <c r="P282" s="22">
        <v>56</v>
      </c>
      <c r="Q282" s="22" t="str">
        <f>IF(OR(L282&lt;$Y$18,L282&gt;$Y$19),"Outlier","Normal")</f>
        <v>Normal</v>
      </c>
      <c r="R282" s="26" t="str">
        <f>A282&amp;B282&amp;C282&amp;D282&amp;E282&amp;F282&amp;G282&amp;H282&amp;I282&amp;J282&amp;K282&amp;L282&amp;M282&amp;N282&amp;O282&amp;P282</f>
        <v>USR-10028145751ControlNorthDesktopOrganicFree100000056</v>
      </c>
      <c r="S282" s="22" t="str">
        <f>IF(COUNTIF($R$2:$R$1409,R282)=1,"OK",IF(COUNTIF($R$2:$R$1409,R282)&gt;1,"Exact Duplicate","Review Required"))</f>
        <v>OK</v>
      </c>
      <c r="T282" s="22" t="s">
        <v>19</v>
      </c>
      <c r="U282" s="22" t="s">
        <v>25</v>
      </c>
      <c r="V282" s="22"/>
    </row>
    <row r="283" spans="1:22" ht="41.4">
      <c r="A283" s="22" t="s">
        <v>313</v>
      </c>
      <c r="B283" s="25">
        <v>45778</v>
      </c>
      <c r="C283" s="22" t="s">
        <v>17</v>
      </c>
      <c r="D283" s="22" t="s">
        <v>28</v>
      </c>
      <c r="E283" s="22" t="s">
        <v>24</v>
      </c>
      <c r="F283" s="22" t="s">
        <v>29</v>
      </c>
      <c r="G283" s="22" t="s">
        <v>30</v>
      </c>
      <c r="H283" s="22">
        <v>1</v>
      </c>
      <c r="I283" s="22">
        <v>0</v>
      </c>
      <c r="J283" s="22">
        <v>0</v>
      </c>
      <c r="K283" s="22">
        <v>0</v>
      </c>
      <c r="L283" s="22">
        <v>0</v>
      </c>
      <c r="M283" s="22">
        <v>1</v>
      </c>
      <c r="N283" s="22">
        <v>0</v>
      </c>
      <c r="O283" s="22"/>
      <c r="P283" s="22">
        <v>61.7</v>
      </c>
      <c r="Q283" s="22" t="str">
        <f>IF(OR(L283&lt;$Y$18,L283&gt;$Y$19),"Outlier","Normal")</f>
        <v>Normal</v>
      </c>
      <c r="R283" s="26" t="str">
        <f>A283&amp;B283&amp;C283&amp;D283&amp;E283&amp;F283&amp;G283&amp;H283&amp;I283&amp;J283&amp;K283&amp;L283&amp;M283&amp;N283&amp;O283&amp;P283</f>
        <v>USR-10028245778ControlEastMobilePaid SearchPremium100001061.7</v>
      </c>
      <c r="S283" s="22" t="str">
        <f>IF(COUNTIF($R$2:$R$1409,R283)=1,"OK",IF(COUNTIF($R$2:$R$1409,R283)&gt;1,"Exact Duplicate","Review Required"))</f>
        <v>OK</v>
      </c>
      <c r="T283" s="22" t="s">
        <v>24</v>
      </c>
      <c r="U283" s="22" t="s">
        <v>29</v>
      </c>
      <c r="V283" s="22"/>
    </row>
    <row r="284" spans="1:22" ht="41.4">
      <c r="A284" s="22" t="s">
        <v>314</v>
      </c>
      <c r="B284" s="25">
        <v>45678</v>
      </c>
      <c r="C284" s="22" t="s">
        <v>17</v>
      </c>
      <c r="D284" s="22" t="s">
        <v>32</v>
      </c>
      <c r="E284" s="22" t="s">
        <v>24</v>
      </c>
      <c r="F284" s="22" t="s">
        <v>41</v>
      </c>
      <c r="G284" s="22" t="s">
        <v>26</v>
      </c>
      <c r="H284" s="22">
        <v>1</v>
      </c>
      <c r="I284" s="22">
        <v>0</v>
      </c>
      <c r="J284" s="22">
        <v>0</v>
      </c>
      <c r="K284" s="22">
        <v>0</v>
      </c>
      <c r="L284" s="22">
        <v>0</v>
      </c>
      <c r="M284" s="22">
        <v>1</v>
      </c>
      <c r="N284" s="22">
        <v>0</v>
      </c>
      <c r="O284" s="22"/>
      <c r="P284" s="22">
        <v>70.5</v>
      </c>
      <c r="Q284" s="22" t="str">
        <f>IF(OR(L284&lt;$Y$18,L284&gt;$Y$19),"Outlier","Normal")</f>
        <v>Normal</v>
      </c>
      <c r="R284" s="26" t="str">
        <f>A284&amp;B284&amp;C284&amp;D284&amp;E284&amp;F284&amp;G284&amp;H284&amp;I284&amp;J284&amp;K284&amp;L284&amp;M284&amp;N284&amp;O284&amp;P284</f>
        <v>USR-10028345678ControlSouthMobileSocialFree100001070.5</v>
      </c>
      <c r="S284" s="22" t="str">
        <f>IF(COUNTIF($R$2:$R$1409,R284)=1,"OK",IF(COUNTIF($R$2:$R$1409,R284)&gt;1,"Exact Duplicate","Review Required"))</f>
        <v>OK</v>
      </c>
      <c r="T284" s="22" t="s">
        <v>24</v>
      </c>
      <c r="U284" s="22" t="s">
        <v>41</v>
      </c>
      <c r="V284" s="22"/>
    </row>
    <row r="285" spans="1:22" ht="41.4">
      <c r="A285" s="22" t="s">
        <v>315</v>
      </c>
      <c r="B285" s="25">
        <v>45698</v>
      </c>
      <c r="C285" s="22" t="s">
        <v>17</v>
      </c>
      <c r="D285" s="22" t="s">
        <v>18</v>
      </c>
      <c r="E285" s="22" t="s">
        <v>19</v>
      </c>
      <c r="F285" s="22" t="s">
        <v>39</v>
      </c>
      <c r="G285" s="22" t="s">
        <v>21</v>
      </c>
      <c r="H285" s="22">
        <v>1</v>
      </c>
      <c r="I285" s="22">
        <v>0</v>
      </c>
      <c r="J285" s="22">
        <v>0</v>
      </c>
      <c r="K285" s="22">
        <v>0</v>
      </c>
      <c r="L285" s="22">
        <v>0</v>
      </c>
      <c r="M285" s="22">
        <v>0</v>
      </c>
      <c r="N285" s="22">
        <v>0</v>
      </c>
      <c r="O285" s="22"/>
      <c r="P285" s="22">
        <v>33.4</v>
      </c>
      <c r="Q285" s="22" t="str">
        <f>IF(OR(L285&lt;$Y$18,L285&gt;$Y$19),"Outlier","Normal")</f>
        <v>Normal</v>
      </c>
      <c r="R285" s="26" t="str">
        <f>A285&amp;B285&amp;C285&amp;D285&amp;E285&amp;F285&amp;G285&amp;H285&amp;I285&amp;J285&amp;K285&amp;L285&amp;M285&amp;N285&amp;O285&amp;P285</f>
        <v>USR-10028445698ControlNorthDesktopReferralBasic100000033.4</v>
      </c>
      <c r="S285" s="22" t="str">
        <f>IF(COUNTIF($R$2:$R$1409,R285)=1,"OK",IF(COUNTIF($R$2:$R$1409,R285)&gt;1,"Exact Duplicate","Review Required"))</f>
        <v>OK</v>
      </c>
      <c r="T285" s="22" t="s">
        <v>19</v>
      </c>
      <c r="U285" s="22" t="s">
        <v>39</v>
      </c>
      <c r="V285" s="22"/>
    </row>
    <row r="286" spans="1:22" ht="41.4">
      <c r="A286" s="22" t="s">
        <v>316</v>
      </c>
      <c r="B286" s="25">
        <v>45783</v>
      </c>
      <c r="C286" s="22" t="s">
        <v>17</v>
      </c>
      <c r="D286" s="22" t="s">
        <v>32</v>
      </c>
      <c r="E286" s="22" t="s">
        <v>19</v>
      </c>
      <c r="F286" s="22" t="s">
        <v>25</v>
      </c>
      <c r="G286" s="22" t="s">
        <v>26</v>
      </c>
      <c r="H286" s="22">
        <v>1</v>
      </c>
      <c r="I286" s="22">
        <v>0</v>
      </c>
      <c r="J286" s="22">
        <v>0</v>
      </c>
      <c r="K286" s="22">
        <v>0</v>
      </c>
      <c r="L286" s="22">
        <v>0</v>
      </c>
      <c r="M286" s="22">
        <v>0</v>
      </c>
      <c r="N286" s="22">
        <v>0</v>
      </c>
      <c r="O286" s="22"/>
      <c r="P286" s="22">
        <v>57.5</v>
      </c>
      <c r="Q286" s="22" t="str">
        <f>IF(OR(L286&lt;$Y$18,L286&gt;$Y$19),"Outlier","Normal")</f>
        <v>Normal</v>
      </c>
      <c r="R286" s="26" t="str">
        <f>A286&amp;B286&amp;C286&amp;D286&amp;E286&amp;F286&amp;G286&amp;H286&amp;I286&amp;J286&amp;K286&amp;L286&amp;M286&amp;N286&amp;O286&amp;P286</f>
        <v>USR-10028545783ControlSouthDesktopOrganicFree100000057.5</v>
      </c>
      <c r="S286" s="22" t="str">
        <f>IF(COUNTIF($R$2:$R$1409,R286)=1,"OK",IF(COUNTIF($R$2:$R$1409,R286)&gt;1,"Exact Duplicate","Review Required"))</f>
        <v>OK</v>
      </c>
      <c r="T286" s="22" t="s">
        <v>19</v>
      </c>
      <c r="U286" s="22" t="s">
        <v>25</v>
      </c>
      <c r="V286" s="22"/>
    </row>
    <row r="287" spans="1:22" ht="41.4">
      <c r="A287" s="22" t="s">
        <v>317</v>
      </c>
      <c r="B287" s="25">
        <v>45696</v>
      </c>
      <c r="C287" s="22" t="s">
        <v>17</v>
      </c>
      <c r="D287" s="22" t="s">
        <v>18</v>
      </c>
      <c r="E287" s="22" t="s">
        <v>19</v>
      </c>
      <c r="F287" s="22" t="s">
        <v>29</v>
      </c>
      <c r="G287" s="22" t="s">
        <v>21</v>
      </c>
      <c r="H287" s="22">
        <v>1</v>
      </c>
      <c r="I287" s="22">
        <v>1</v>
      </c>
      <c r="J287" s="22">
        <v>0</v>
      </c>
      <c r="K287" s="22">
        <v>0</v>
      </c>
      <c r="L287" s="22">
        <v>0</v>
      </c>
      <c r="M287" s="22">
        <v>0</v>
      </c>
      <c r="N287" s="22">
        <v>0</v>
      </c>
      <c r="O287" s="22"/>
      <c r="P287" s="22">
        <v>85.7</v>
      </c>
      <c r="Q287" s="22" t="str">
        <f>IF(OR(L287&lt;$Y$18,L287&gt;$Y$19),"Outlier","Normal")</f>
        <v>Normal</v>
      </c>
      <c r="R287" s="26" t="str">
        <f>A287&amp;B287&amp;C287&amp;D287&amp;E287&amp;F287&amp;G287&amp;H287&amp;I287&amp;J287&amp;K287&amp;L287&amp;M287&amp;N287&amp;O287&amp;P287</f>
        <v>USR-10028645696ControlNorthDesktopPaid SearchBasic110000085.7</v>
      </c>
      <c r="S287" s="22" t="str">
        <f>IF(COUNTIF($R$2:$R$1409,R287)=1,"OK",IF(COUNTIF($R$2:$R$1409,R287)&gt;1,"Exact Duplicate","Review Required"))</f>
        <v>OK</v>
      </c>
      <c r="T287" s="22" t="s">
        <v>19</v>
      </c>
      <c r="U287" s="22" t="s">
        <v>29</v>
      </c>
      <c r="V287" s="22"/>
    </row>
    <row r="288" spans="1:22" ht="41.4">
      <c r="A288" s="22" t="s">
        <v>318</v>
      </c>
      <c r="B288" s="25">
        <v>45808</v>
      </c>
      <c r="C288" s="22" t="s">
        <v>17</v>
      </c>
      <c r="D288" s="22" t="s">
        <v>28</v>
      </c>
      <c r="E288" s="22" t="s">
        <v>24</v>
      </c>
      <c r="F288" s="22" t="s">
        <v>41</v>
      </c>
      <c r="G288" s="22" t="s">
        <v>26</v>
      </c>
      <c r="H288" s="22">
        <v>1</v>
      </c>
      <c r="I288" s="22">
        <v>0</v>
      </c>
      <c r="J288" s="22">
        <v>0</v>
      </c>
      <c r="K288" s="22">
        <v>0</v>
      </c>
      <c r="L288" s="22">
        <v>0</v>
      </c>
      <c r="M288" s="22">
        <v>0</v>
      </c>
      <c r="N288" s="22">
        <v>0</v>
      </c>
      <c r="O288" s="22"/>
      <c r="P288" s="22">
        <v>41.9</v>
      </c>
      <c r="Q288" s="22" t="str">
        <f>IF(OR(L288&lt;$Y$18,L288&gt;$Y$19),"Outlier","Normal")</f>
        <v>Normal</v>
      </c>
      <c r="R288" s="26" t="str">
        <f>A288&amp;B288&amp;C288&amp;D288&amp;E288&amp;F288&amp;G288&amp;H288&amp;I288&amp;J288&amp;K288&amp;L288&amp;M288&amp;N288&amp;O288&amp;P288</f>
        <v>USR-10028745808ControlEastMobileSocialFree100000041.9</v>
      </c>
      <c r="S288" s="22" t="str">
        <f>IF(COUNTIF($R$2:$R$1409,R288)=1,"OK",IF(COUNTIF($R$2:$R$1409,R288)&gt;1,"Exact Duplicate","Review Required"))</f>
        <v>OK</v>
      </c>
      <c r="T288" s="22" t="s">
        <v>24</v>
      </c>
      <c r="U288" s="22" t="s">
        <v>41</v>
      </c>
      <c r="V288" s="22"/>
    </row>
    <row r="289" spans="1:22" ht="41.4">
      <c r="A289" s="22" t="s">
        <v>319</v>
      </c>
      <c r="B289" s="25">
        <v>45695</v>
      </c>
      <c r="C289" s="22" t="s">
        <v>17</v>
      </c>
      <c r="D289" s="22" t="s">
        <v>23</v>
      </c>
      <c r="E289" s="22" t="s">
        <v>24</v>
      </c>
      <c r="F289" s="22" t="s">
        <v>20</v>
      </c>
      <c r="G289" s="22" t="s">
        <v>21</v>
      </c>
      <c r="H289" s="22">
        <v>1</v>
      </c>
      <c r="I289" s="22">
        <v>0</v>
      </c>
      <c r="J289" s="22">
        <v>0</v>
      </c>
      <c r="K289" s="22">
        <v>0</v>
      </c>
      <c r="L289" s="22">
        <v>0</v>
      </c>
      <c r="M289" s="22">
        <v>0</v>
      </c>
      <c r="N289" s="22">
        <v>0</v>
      </c>
      <c r="O289" s="22"/>
      <c r="P289" s="22">
        <v>70.2</v>
      </c>
      <c r="Q289" s="22" t="str">
        <f>IF(OR(L289&lt;$Y$18,L289&gt;$Y$19),"Outlier","Normal")</f>
        <v>Normal</v>
      </c>
      <c r="R289" s="26" t="str">
        <f>A289&amp;B289&amp;C289&amp;D289&amp;E289&amp;F289&amp;G289&amp;H289&amp;I289&amp;J289&amp;K289&amp;L289&amp;M289&amp;N289&amp;O289&amp;P289</f>
        <v>USR-10028845695ControlWestMobileEmailBasic100000070.2</v>
      </c>
      <c r="S289" s="22" t="str">
        <f>IF(COUNTIF($R$2:$R$1409,R289)=1,"OK",IF(COUNTIF($R$2:$R$1409,R289)&gt;1,"Exact Duplicate","Review Required"))</f>
        <v>OK</v>
      </c>
      <c r="T289" s="22" t="s">
        <v>24</v>
      </c>
      <c r="U289" s="22" t="s">
        <v>20</v>
      </c>
      <c r="V289" s="22"/>
    </row>
    <row r="290" spans="1:22" ht="41.4">
      <c r="A290" s="22" t="s">
        <v>320</v>
      </c>
      <c r="B290" s="25">
        <v>45698</v>
      </c>
      <c r="C290" s="22" t="s">
        <v>17</v>
      </c>
      <c r="D290" s="22" t="s">
        <v>18</v>
      </c>
      <c r="E290" s="22" t="s">
        <v>24</v>
      </c>
      <c r="F290" s="22" t="s">
        <v>41</v>
      </c>
      <c r="G290" s="22" t="s">
        <v>26</v>
      </c>
      <c r="H290" s="22">
        <v>1</v>
      </c>
      <c r="I290" s="22">
        <v>0</v>
      </c>
      <c r="J290" s="22">
        <v>0</v>
      </c>
      <c r="K290" s="22">
        <v>0</v>
      </c>
      <c r="L290" s="22">
        <v>0</v>
      </c>
      <c r="M290" s="22">
        <v>0</v>
      </c>
      <c r="N290" s="22">
        <v>0</v>
      </c>
      <c r="O290" s="22"/>
      <c r="P290" s="22">
        <v>42.6</v>
      </c>
      <c r="Q290" s="22" t="str">
        <f>IF(OR(L290&lt;$Y$18,L290&gt;$Y$19),"Outlier","Normal")</f>
        <v>Normal</v>
      </c>
      <c r="R290" s="26" t="str">
        <f>A290&amp;B290&amp;C290&amp;D290&amp;E290&amp;F290&amp;G290&amp;H290&amp;I290&amp;J290&amp;K290&amp;L290&amp;M290&amp;N290&amp;O290&amp;P290</f>
        <v>USR-10028945698ControlNorthMobileSocialFree100000042.6</v>
      </c>
      <c r="S290" s="22" t="str">
        <f>IF(COUNTIF($R$2:$R$1409,R290)=1,"OK",IF(COUNTIF($R$2:$R$1409,R290)&gt;1,"Exact Duplicate","Review Required"))</f>
        <v>OK</v>
      </c>
      <c r="T290" s="22" t="s">
        <v>24</v>
      </c>
      <c r="U290" s="22" t="s">
        <v>41</v>
      </c>
      <c r="V290" s="22"/>
    </row>
    <row r="291" spans="1:22" ht="41.4">
      <c r="A291" s="22" t="s">
        <v>321</v>
      </c>
      <c r="B291" s="25">
        <v>45688</v>
      </c>
      <c r="C291" s="22" t="s">
        <v>17</v>
      </c>
      <c r="D291" s="22" t="s">
        <v>23</v>
      </c>
      <c r="E291" s="22" t="s">
        <v>24</v>
      </c>
      <c r="F291" s="22" t="s">
        <v>41</v>
      </c>
      <c r="G291" s="22" t="s">
        <v>21</v>
      </c>
      <c r="H291" s="22">
        <v>0</v>
      </c>
      <c r="I291" s="22">
        <v>0</v>
      </c>
      <c r="J291" s="22">
        <v>0</v>
      </c>
      <c r="K291" s="22">
        <v>0</v>
      </c>
      <c r="L291" s="22">
        <v>0</v>
      </c>
      <c r="M291" s="22">
        <v>2</v>
      </c>
      <c r="N291" s="22">
        <v>0</v>
      </c>
      <c r="O291" s="22"/>
      <c r="P291" s="22">
        <v>30.4</v>
      </c>
      <c r="Q291" s="22" t="str">
        <f>IF(OR(L291&lt;$Y$18,L291&gt;$Y$19),"Outlier","Normal")</f>
        <v>Normal</v>
      </c>
      <c r="R291" s="26" t="str">
        <f>A291&amp;B291&amp;C291&amp;D291&amp;E291&amp;F291&amp;G291&amp;H291&amp;I291&amp;J291&amp;K291&amp;L291&amp;M291&amp;N291&amp;O291&amp;P291</f>
        <v>USR-10029045688ControlWestMobileSocialBasic000002030.4</v>
      </c>
      <c r="S291" s="22" t="str">
        <f>IF(COUNTIF($R$2:$R$1409,R291)=1,"OK",IF(COUNTIF($R$2:$R$1409,R291)&gt;1,"Exact Duplicate","Review Required"))</f>
        <v>OK</v>
      </c>
      <c r="T291" s="22" t="s">
        <v>24</v>
      </c>
      <c r="U291" s="22" t="s">
        <v>41</v>
      </c>
      <c r="V291" s="22"/>
    </row>
    <row r="292" spans="1:22" ht="41.4">
      <c r="A292" s="22" t="s">
        <v>322</v>
      </c>
      <c r="B292" s="25">
        <v>45732</v>
      </c>
      <c r="C292" s="22" t="s">
        <v>17</v>
      </c>
      <c r="D292" s="22" t="s">
        <v>28</v>
      </c>
      <c r="E292" s="22" t="s">
        <v>24</v>
      </c>
      <c r="F292" s="22" t="s">
        <v>29</v>
      </c>
      <c r="G292" s="22" t="s">
        <v>21</v>
      </c>
      <c r="H292" s="22">
        <v>1</v>
      </c>
      <c r="I292" s="22">
        <v>0</v>
      </c>
      <c r="J292" s="22">
        <v>0</v>
      </c>
      <c r="K292" s="22">
        <v>0</v>
      </c>
      <c r="L292" s="22">
        <v>0</v>
      </c>
      <c r="M292" s="22">
        <v>0</v>
      </c>
      <c r="N292" s="22">
        <v>0</v>
      </c>
      <c r="O292" s="22"/>
      <c r="P292" s="22">
        <v>63.7</v>
      </c>
      <c r="Q292" s="22" t="str">
        <f>IF(OR(L292&lt;$Y$18,L292&gt;$Y$19),"Outlier","Normal")</f>
        <v>Normal</v>
      </c>
      <c r="R292" s="26" t="str">
        <f>A292&amp;B292&amp;C292&amp;D292&amp;E292&amp;F292&amp;G292&amp;H292&amp;I292&amp;J292&amp;K292&amp;L292&amp;M292&amp;N292&amp;O292&amp;P292</f>
        <v>USR-10029145732ControlEastMobilePaid SearchBasic100000063.7</v>
      </c>
      <c r="S292" s="22" t="str">
        <f>IF(COUNTIF($R$2:$R$1409,R292)=1,"OK",IF(COUNTIF($R$2:$R$1409,R292)&gt;1,"Exact Duplicate","Review Required"))</f>
        <v>OK</v>
      </c>
      <c r="T292" s="22" t="s">
        <v>24</v>
      </c>
      <c r="U292" s="22" t="s">
        <v>29</v>
      </c>
      <c r="V292" s="22"/>
    </row>
    <row r="293" spans="1:22" ht="41.4">
      <c r="A293" s="22" t="s">
        <v>323</v>
      </c>
      <c r="B293" s="25">
        <v>45771</v>
      </c>
      <c r="C293" s="22" t="s">
        <v>17</v>
      </c>
      <c r="D293" s="22" t="s">
        <v>32</v>
      </c>
      <c r="E293" s="22" t="s">
        <v>24</v>
      </c>
      <c r="F293" s="22" t="s">
        <v>41</v>
      </c>
      <c r="G293" s="22" t="s">
        <v>21</v>
      </c>
      <c r="H293" s="22">
        <v>0</v>
      </c>
      <c r="I293" s="22">
        <v>0</v>
      </c>
      <c r="J293" s="22">
        <v>0</v>
      </c>
      <c r="K293" s="22">
        <v>0</v>
      </c>
      <c r="L293" s="22">
        <v>0</v>
      </c>
      <c r="M293" s="22">
        <v>0</v>
      </c>
      <c r="N293" s="22">
        <v>0</v>
      </c>
      <c r="O293" s="22"/>
      <c r="P293" s="22">
        <v>42.7</v>
      </c>
      <c r="Q293" s="22" t="str">
        <f>IF(OR(L293&lt;$Y$18,L293&gt;$Y$19),"Outlier","Normal")</f>
        <v>Normal</v>
      </c>
      <c r="R293" s="26" t="str">
        <f>A293&amp;B293&amp;C293&amp;D293&amp;E293&amp;F293&amp;G293&amp;H293&amp;I293&amp;J293&amp;K293&amp;L293&amp;M293&amp;N293&amp;O293&amp;P293</f>
        <v>USR-10029245771ControlSouthMobileSocialBasic000000042.7</v>
      </c>
      <c r="S293" s="22" t="str">
        <f>IF(COUNTIF($R$2:$R$1409,R293)=1,"OK",IF(COUNTIF($R$2:$R$1409,R293)&gt;1,"Exact Duplicate","Review Required"))</f>
        <v>OK</v>
      </c>
      <c r="T293" s="22" t="s">
        <v>24</v>
      </c>
      <c r="U293" s="22" t="s">
        <v>41</v>
      </c>
      <c r="V293" s="22"/>
    </row>
    <row r="294" spans="1:22" ht="41.4">
      <c r="A294" s="22" t="s">
        <v>324</v>
      </c>
      <c r="B294" s="25">
        <v>45685</v>
      </c>
      <c r="C294" s="22" t="s">
        <v>17</v>
      </c>
      <c r="D294" s="22" t="s">
        <v>18</v>
      </c>
      <c r="E294" s="22" t="s">
        <v>24</v>
      </c>
      <c r="F294" s="22" t="s">
        <v>25</v>
      </c>
      <c r="G294" s="22" t="s">
        <v>26</v>
      </c>
      <c r="H294" s="22">
        <v>0</v>
      </c>
      <c r="I294" s="22">
        <v>0</v>
      </c>
      <c r="J294" s="22">
        <v>0</v>
      </c>
      <c r="K294" s="22">
        <v>0</v>
      </c>
      <c r="L294" s="22">
        <v>0</v>
      </c>
      <c r="M294" s="22">
        <v>0</v>
      </c>
      <c r="N294" s="22">
        <v>0</v>
      </c>
      <c r="O294" s="22"/>
      <c r="P294" s="22">
        <v>74.3</v>
      </c>
      <c r="Q294" s="22" t="str">
        <f>IF(OR(L294&lt;$Y$18,L294&gt;$Y$19),"Outlier","Normal")</f>
        <v>Normal</v>
      </c>
      <c r="R294" s="26" t="str">
        <f>A294&amp;B294&amp;C294&amp;D294&amp;E294&amp;F294&amp;G294&amp;H294&amp;I294&amp;J294&amp;K294&amp;L294&amp;M294&amp;N294&amp;O294&amp;P294</f>
        <v>USR-10029345685ControlNorthMobileOrganicFree000000074.3</v>
      </c>
      <c r="S294" s="22" t="str">
        <f>IF(COUNTIF($R$2:$R$1409,R294)=1,"OK",IF(COUNTIF($R$2:$R$1409,R294)&gt;1,"Exact Duplicate","Review Required"))</f>
        <v>OK</v>
      </c>
      <c r="T294" s="22" t="s">
        <v>24</v>
      </c>
      <c r="U294" s="22" t="s">
        <v>25</v>
      </c>
      <c r="V294" s="22"/>
    </row>
    <row r="295" spans="1:22" ht="41.4">
      <c r="A295" s="22" t="s">
        <v>325</v>
      </c>
      <c r="B295" s="25">
        <v>45704</v>
      </c>
      <c r="C295" s="22" t="s">
        <v>17</v>
      </c>
      <c r="D295" s="22" t="s">
        <v>23</v>
      </c>
      <c r="E295" s="22" t="s">
        <v>19</v>
      </c>
      <c r="F295" s="22" t="s">
        <v>20</v>
      </c>
      <c r="G295" s="22" t="s">
        <v>26</v>
      </c>
      <c r="H295" s="22">
        <v>1</v>
      </c>
      <c r="I295" s="22">
        <v>0</v>
      </c>
      <c r="J295" s="22">
        <v>0</v>
      </c>
      <c r="K295" s="22">
        <v>0</v>
      </c>
      <c r="L295" s="22">
        <v>0</v>
      </c>
      <c r="M295" s="22">
        <v>0</v>
      </c>
      <c r="N295" s="22">
        <v>0</v>
      </c>
      <c r="O295" s="22"/>
      <c r="P295" s="22">
        <v>40.6</v>
      </c>
      <c r="Q295" s="22" t="str">
        <f>IF(OR(L295&lt;$Y$18,L295&gt;$Y$19),"Outlier","Normal")</f>
        <v>Normal</v>
      </c>
      <c r="R295" s="26" t="str">
        <f>A295&amp;B295&amp;C295&amp;D295&amp;E295&amp;F295&amp;G295&amp;H295&amp;I295&amp;J295&amp;K295&amp;L295&amp;M295&amp;N295&amp;O295&amp;P295</f>
        <v>USR-10029445704ControlWestDesktopEmailFree100000040.6</v>
      </c>
      <c r="S295" s="22" t="str">
        <f>IF(COUNTIF($R$2:$R$1409,R295)=1,"OK",IF(COUNTIF($R$2:$R$1409,R295)&gt;1,"Exact Duplicate","Review Required"))</f>
        <v>OK</v>
      </c>
      <c r="T295" s="22" t="s">
        <v>19</v>
      </c>
      <c r="U295" s="22" t="s">
        <v>20</v>
      </c>
      <c r="V295" s="22"/>
    </row>
    <row r="296" spans="1:22" ht="41.4">
      <c r="A296" s="22" t="s">
        <v>326</v>
      </c>
      <c r="B296" s="25">
        <v>45739</v>
      </c>
      <c r="C296" s="22" t="s">
        <v>17</v>
      </c>
      <c r="D296" s="22" t="s">
        <v>28</v>
      </c>
      <c r="E296" s="22" t="s">
        <v>24</v>
      </c>
      <c r="F296" s="22" t="s">
        <v>25</v>
      </c>
      <c r="G296" s="22" t="s">
        <v>30</v>
      </c>
      <c r="H296" s="22">
        <v>0</v>
      </c>
      <c r="I296" s="22">
        <v>0</v>
      </c>
      <c r="J296" s="22">
        <v>0</v>
      </c>
      <c r="K296" s="22">
        <v>0</v>
      </c>
      <c r="L296" s="22">
        <v>0</v>
      </c>
      <c r="M296" s="22">
        <v>0</v>
      </c>
      <c r="N296" s="22">
        <v>0</v>
      </c>
      <c r="O296" s="22"/>
      <c r="P296" s="22">
        <v>67</v>
      </c>
      <c r="Q296" s="22" t="str">
        <f>IF(OR(L296&lt;$Y$18,L296&gt;$Y$19),"Outlier","Normal")</f>
        <v>Normal</v>
      </c>
      <c r="R296" s="26" t="str">
        <f>A296&amp;B296&amp;C296&amp;D296&amp;E296&amp;F296&amp;G296&amp;H296&amp;I296&amp;J296&amp;K296&amp;L296&amp;M296&amp;N296&amp;O296&amp;P296</f>
        <v>USR-10029545739ControlEastMobileOrganicPremium000000067</v>
      </c>
      <c r="S296" s="22" t="str">
        <f>IF(COUNTIF($R$2:$R$1409,R296)=1,"OK",IF(COUNTIF($R$2:$R$1409,R296)&gt;1,"Exact Duplicate","Review Required"))</f>
        <v>OK</v>
      </c>
      <c r="T296" s="22" t="s">
        <v>24</v>
      </c>
      <c r="U296" s="22" t="s">
        <v>25</v>
      </c>
      <c r="V296" s="22"/>
    </row>
    <row r="297" spans="1:22" ht="41.4">
      <c r="A297" s="22" t="s">
        <v>327</v>
      </c>
      <c r="B297" s="25">
        <v>45808</v>
      </c>
      <c r="C297" s="22" t="s">
        <v>17</v>
      </c>
      <c r="D297" s="22" t="s">
        <v>28</v>
      </c>
      <c r="E297" s="22" t="s">
        <v>24</v>
      </c>
      <c r="F297" s="22" t="s">
        <v>29</v>
      </c>
      <c r="G297" s="22" t="s">
        <v>30</v>
      </c>
      <c r="H297" s="22">
        <v>0</v>
      </c>
      <c r="I297" s="22">
        <v>0</v>
      </c>
      <c r="J297" s="22">
        <v>0</v>
      </c>
      <c r="K297" s="22">
        <v>0</v>
      </c>
      <c r="L297" s="22">
        <v>0</v>
      </c>
      <c r="M297" s="22">
        <v>0</v>
      </c>
      <c r="N297" s="22">
        <v>0</v>
      </c>
      <c r="O297" s="22"/>
      <c r="P297" s="22">
        <v>51</v>
      </c>
      <c r="Q297" s="22" t="str">
        <f>IF(OR(L297&lt;$Y$18,L297&gt;$Y$19),"Outlier","Normal")</f>
        <v>Normal</v>
      </c>
      <c r="R297" s="26" t="str">
        <f>A297&amp;B297&amp;C297&amp;D297&amp;E297&amp;F297&amp;G297&amp;H297&amp;I297&amp;J297&amp;K297&amp;L297&amp;M297&amp;N297&amp;O297&amp;P297</f>
        <v>USR-10029645808ControlEastMobilePaid SearchPremium000000051</v>
      </c>
      <c r="S297" s="22" t="str">
        <f>IF(COUNTIF($R$2:$R$1409,R297)=1,"OK",IF(COUNTIF($R$2:$R$1409,R297)&gt;1,"Exact Duplicate","Review Required"))</f>
        <v>OK</v>
      </c>
      <c r="T297" s="22" t="s">
        <v>24</v>
      </c>
      <c r="U297" s="22" t="s">
        <v>29</v>
      </c>
      <c r="V297" s="22"/>
    </row>
    <row r="298" spans="1:22" ht="41.4">
      <c r="A298" s="22" t="s">
        <v>328</v>
      </c>
      <c r="B298" s="25">
        <v>45760</v>
      </c>
      <c r="C298" s="22" t="s">
        <v>17</v>
      </c>
      <c r="D298" s="22" t="s">
        <v>23</v>
      </c>
      <c r="E298" s="22" t="s">
        <v>24</v>
      </c>
      <c r="F298" s="22" t="s">
        <v>41</v>
      </c>
      <c r="G298" s="22" t="s">
        <v>21</v>
      </c>
      <c r="H298" s="22">
        <v>1</v>
      </c>
      <c r="I298" s="22">
        <v>1</v>
      </c>
      <c r="J298" s="22">
        <v>0</v>
      </c>
      <c r="K298" s="22">
        <v>0</v>
      </c>
      <c r="L298" s="22">
        <v>0</v>
      </c>
      <c r="M298" s="22">
        <v>1</v>
      </c>
      <c r="N298" s="22">
        <v>0</v>
      </c>
      <c r="O298" s="22"/>
      <c r="P298" s="22">
        <v>54.8</v>
      </c>
      <c r="Q298" s="22" t="str">
        <f>IF(OR(L298&lt;$Y$18,L298&gt;$Y$19),"Outlier","Normal")</f>
        <v>Normal</v>
      </c>
      <c r="R298" s="26" t="str">
        <f>A298&amp;B298&amp;C298&amp;D298&amp;E298&amp;F298&amp;G298&amp;H298&amp;I298&amp;J298&amp;K298&amp;L298&amp;M298&amp;N298&amp;O298&amp;P298</f>
        <v>USR-10029745760ControlWestMobileSocialBasic110001054.8</v>
      </c>
      <c r="S298" s="22" t="str">
        <f>IF(COUNTIF($R$2:$R$1409,R298)=1,"OK",IF(COUNTIF($R$2:$R$1409,R298)&gt;1,"Exact Duplicate","Review Required"))</f>
        <v>OK</v>
      </c>
      <c r="T298" s="22" t="s">
        <v>24</v>
      </c>
      <c r="U298" s="22" t="s">
        <v>41</v>
      </c>
      <c r="V298" s="22"/>
    </row>
    <row r="299" spans="1:22" ht="41.4">
      <c r="A299" s="22" t="s">
        <v>329</v>
      </c>
      <c r="B299" s="25">
        <v>45791</v>
      </c>
      <c r="C299" s="22" t="s">
        <v>17</v>
      </c>
      <c r="D299" s="22" t="s">
        <v>18</v>
      </c>
      <c r="E299" s="22" t="s">
        <v>34</v>
      </c>
      <c r="F299" s="22" t="s">
        <v>20</v>
      </c>
      <c r="G299" s="22" t="s">
        <v>21</v>
      </c>
      <c r="H299" s="22">
        <v>0</v>
      </c>
      <c r="I299" s="22">
        <v>0</v>
      </c>
      <c r="J299" s="22">
        <v>0</v>
      </c>
      <c r="K299" s="22">
        <v>0</v>
      </c>
      <c r="L299" s="22">
        <v>0</v>
      </c>
      <c r="M299" s="22">
        <v>0</v>
      </c>
      <c r="N299" s="22">
        <v>0</v>
      </c>
      <c r="O299" s="22"/>
      <c r="P299" s="22">
        <v>40.799999999999997</v>
      </c>
      <c r="Q299" s="22" t="str">
        <f>IF(OR(L299&lt;$Y$18,L299&gt;$Y$19),"Outlier","Normal")</f>
        <v>Normal</v>
      </c>
      <c r="R299" s="26" t="str">
        <f>A299&amp;B299&amp;C299&amp;D299&amp;E299&amp;F299&amp;G299&amp;H299&amp;I299&amp;J299&amp;K299&amp;L299&amp;M299&amp;N299&amp;O299&amp;P299</f>
        <v>USR-10029845791ControlNorthTabletEmailBasic000000040.8</v>
      </c>
      <c r="S299" s="22" t="str">
        <f>IF(COUNTIF($R$2:$R$1409,R299)=1,"OK",IF(COUNTIF($R$2:$R$1409,R299)&gt;1,"Exact Duplicate","Review Required"))</f>
        <v>OK</v>
      </c>
      <c r="T299" s="22" t="s">
        <v>34</v>
      </c>
      <c r="U299" s="22" t="s">
        <v>20</v>
      </c>
      <c r="V299" s="22"/>
    </row>
    <row r="300" spans="1:22" ht="41.4">
      <c r="A300" s="22" t="s">
        <v>330</v>
      </c>
      <c r="B300" s="25">
        <v>45707</v>
      </c>
      <c r="C300" s="22" t="s">
        <v>17</v>
      </c>
      <c r="D300" s="22" t="s">
        <v>28</v>
      </c>
      <c r="E300" s="22" t="s">
        <v>24</v>
      </c>
      <c r="F300" s="22" t="s">
        <v>29</v>
      </c>
      <c r="G300" s="22" t="s">
        <v>26</v>
      </c>
      <c r="H300" s="22">
        <v>0</v>
      </c>
      <c r="I300" s="22">
        <v>0</v>
      </c>
      <c r="J300" s="22">
        <v>0</v>
      </c>
      <c r="K300" s="22">
        <v>0</v>
      </c>
      <c r="L300" s="22">
        <v>0</v>
      </c>
      <c r="M300" s="22">
        <v>0</v>
      </c>
      <c r="N300" s="22">
        <v>0</v>
      </c>
      <c r="O300" s="22"/>
      <c r="P300" s="22">
        <v>48.8</v>
      </c>
      <c r="Q300" s="22" t="str">
        <f>IF(OR(L300&lt;$Y$18,L300&gt;$Y$19),"Outlier","Normal")</f>
        <v>Normal</v>
      </c>
      <c r="R300" s="26" t="str">
        <f>A300&amp;B300&amp;C300&amp;D300&amp;E300&amp;F300&amp;G300&amp;H300&amp;I300&amp;J300&amp;K300&amp;L300&amp;M300&amp;N300&amp;O300&amp;P300</f>
        <v>USR-10029945707ControlEastMobilePaid SearchFree000000048.8</v>
      </c>
      <c r="S300" s="22" t="str">
        <f>IF(COUNTIF($R$2:$R$1409,R300)=1,"OK",IF(COUNTIF($R$2:$R$1409,R300)&gt;1,"Exact Duplicate","Review Required"))</f>
        <v>OK</v>
      </c>
      <c r="T300" s="22" t="s">
        <v>24</v>
      </c>
      <c r="U300" s="22" t="s">
        <v>29</v>
      </c>
      <c r="V300" s="22"/>
    </row>
    <row r="301" spans="1:22" ht="41.4">
      <c r="A301" s="22" t="s">
        <v>331</v>
      </c>
      <c r="B301" s="25">
        <v>45681</v>
      </c>
      <c r="C301" s="22" t="s">
        <v>17</v>
      </c>
      <c r="D301" s="22" t="s">
        <v>32</v>
      </c>
      <c r="E301" s="22" t="s">
        <v>24</v>
      </c>
      <c r="F301" s="22" t="s">
        <v>1482</v>
      </c>
      <c r="G301" s="22" t="s">
        <v>21</v>
      </c>
      <c r="H301" s="22">
        <v>1</v>
      </c>
      <c r="I301" s="22">
        <v>1</v>
      </c>
      <c r="J301" s="22">
        <v>1</v>
      </c>
      <c r="K301" s="22">
        <v>1</v>
      </c>
      <c r="L301" s="22">
        <v>1198.69</v>
      </c>
      <c r="M301" s="22">
        <v>1</v>
      </c>
      <c r="N301" s="22">
        <v>0</v>
      </c>
      <c r="O301" s="22">
        <v>6</v>
      </c>
      <c r="P301" s="22">
        <v>88.9</v>
      </c>
      <c r="Q301" s="22" t="str">
        <f>IF(OR(L301&lt;$Y$18,L301&gt;$Y$19),"Outlier","Normal")</f>
        <v>Normal</v>
      </c>
      <c r="R301" s="26" t="str">
        <f>A301&amp;B301&amp;C301&amp;D301&amp;E301&amp;F301&amp;G301&amp;H301&amp;I301&amp;J301&amp;K301&amp;L301&amp;M301&amp;N301&amp;O301&amp;P301</f>
        <v>USR-10030045681ControlSouthMobileUnknownBasic11111198.6910688.9</v>
      </c>
      <c r="S301" s="22" t="str">
        <f>IF(COUNTIF($R$2:$R$1409,R301)=1,"OK",IF(COUNTIF($R$2:$R$1409,R301)&gt;1,"Exact Duplicate","Review Required"))</f>
        <v>OK</v>
      </c>
      <c r="T301" s="22" t="s">
        <v>24</v>
      </c>
      <c r="U301" s="22"/>
      <c r="V301" s="22"/>
    </row>
    <row r="302" spans="1:22" ht="41.4">
      <c r="A302" s="22" t="s">
        <v>332</v>
      </c>
      <c r="B302" s="25">
        <v>45786</v>
      </c>
      <c r="C302" s="22" t="s">
        <v>17</v>
      </c>
      <c r="D302" s="22" t="s">
        <v>18</v>
      </c>
      <c r="E302" s="22" t="s">
        <v>24</v>
      </c>
      <c r="F302" s="22" t="s">
        <v>20</v>
      </c>
      <c r="G302" s="22" t="s">
        <v>21</v>
      </c>
      <c r="H302" s="22">
        <v>1</v>
      </c>
      <c r="I302" s="22">
        <v>1</v>
      </c>
      <c r="J302" s="22">
        <v>1</v>
      </c>
      <c r="K302" s="22">
        <v>0</v>
      </c>
      <c r="L302" s="22">
        <v>0</v>
      </c>
      <c r="M302" s="22">
        <v>1</v>
      </c>
      <c r="N302" s="22">
        <v>0</v>
      </c>
      <c r="O302" s="22"/>
      <c r="P302" s="22">
        <v>60.5</v>
      </c>
      <c r="Q302" s="22" t="str">
        <f>IF(OR(L302&lt;$Y$18,L302&gt;$Y$19),"Outlier","Normal")</f>
        <v>Normal</v>
      </c>
      <c r="R302" s="26" t="str">
        <f>A302&amp;B302&amp;C302&amp;D302&amp;E302&amp;F302&amp;G302&amp;H302&amp;I302&amp;J302&amp;K302&amp;L302&amp;M302&amp;N302&amp;O302&amp;P302</f>
        <v>USR-10030145786ControlNorthMobileEmailBasic111001060.5</v>
      </c>
      <c r="S302" s="22" t="str">
        <f>IF(COUNTIF($R$2:$R$1409,R302)=1,"OK",IF(COUNTIF($R$2:$R$1409,R302)&gt;1,"Exact Duplicate","Review Required"))</f>
        <v>OK</v>
      </c>
      <c r="T302" s="22" t="s">
        <v>24</v>
      </c>
      <c r="U302" s="22" t="s">
        <v>20</v>
      </c>
      <c r="V302" s="22"/>
    </row>
    <row r="303" spans="1:22" ht="41.4">
      <c r="A303" s="22" t="s">
        <v>333</v>
      </c>
      <c r="B303" s="25">
        <v>45699</v>
      </c>
      <c r="C303" s="22" t="s">
        <v>17</v>
      </c>
      <c r="D303" s="22" t="s">
        <v>18</v>
      </c>
      <c r="E303" s="22" t="s">
        <v>24</v>
      </c>
      <c r="F303" s="22" t="s">
        <v>25</v>
      </c>
      <c r="G303" s="22" t="s">
        <v>21</v>
      </c>
      <c r="H303" s="22">
        <v>1</v>
      </c>
      <c r="I303" s="22">
        <v>0</v>
      </c>
      <c r="J303" s="22">
        <v>0</v>
      </c>
      <c r="K303" s="22">
        <v>0</v>
      </c>
      <c r="L303" s="22">
        <v>0</v>
      </c>
      <c r="M303" s="22">
        <v>0</v>
      </c>
      <c r="N303" s="22">
        <v>0</v>
      </c>
      <c r="O303" s="22"/>
      <c r="P303" s="22">
        <v>63.6</v>
      </c>
      <c r="Q303" s="22" t="str">
        <f>IF(OR(L303&lt;$Y$18,L303&gt;$Y$19),"Outlier","Normal")</f>
        <v>Normal</v>
      </c>
      <c r="R303" s="26" t="str">
        <f>A303&amp;B303&amp;C303&amp;D303&amp;E303&amp;F303&amp;G303&amp;H303&amp;I303&amp;J303&amp;K303&amp;L303&amp;M303&amp;N303&amp;O303&amp;P303</f>
        <v>USR-10030245699ControlNorthMobileOrganicBasic100000063.6</v>
      </c>
      <c r="S303" s="22" t="str">
        <f>IF(COUNTIF($R$2:$R$1409,R303)=1,"OK",IF(COUNTIF($R$2:$R$1409,R303)&gt;1,"Exact Duplicate","Review Required"))</f>
        <v>OK</v>
      </c>
      <c r="T303" s="22" t="s">
        <v>24</v>
      </c>
      <c r="U303" s="22" t="s">
        <v>25</v>
      </c>
      <c r="V303" s="22"/>
    </row>
    <row r="304" spans="1:22" ht="41.4">
      <c r="A304" s="22" t="s">
        <v>334</v>
      </c>
      <c r="B304" s="25">
        <v>45714</v>
      </c>
      <c r="C304" s="22" t="s">
        <v>17</v>
      </c>
      <c r="D304" s="22" t="s">
        <v>18</v>
      </c>
      <c r="E304" s="22" t="s">
        <v>19</v>
      </c>
      <c r="F304" s="22" t="s">
        <v>25</v>
      </c>
      <c r="G304" s="22" t="s">
        <v>21</v>
      </c>
      <c r="H304" s="22">
        <v>1</v>
      </c>
      <c r="I304" s="22">
        <v>1</v>
      </c>
      <c r="J304" s="22">
        <v>1</v>
      </c>
      <c r="K304" s="22">
        <v>1</v>
      </c>
      <c r="L304" s="22">
        <v>6788.95</v>
      </c>
      <c r="M304" s="22">
        <v>0</v>
      </c>
      <c r="N304" s="22">
        <v>0</v>
      </c>
      <c r="O304" s="22">
        <v>17</v>
      </c>
      <c r="P304" s="22">
        <v>58.4</v>
      </c>
      <c r="Q304" s="22" t="str">
        <f>IF(OR(L304&lt;$Y$18,L304&gt;$Y$19),"Outlier","Normal")</f>
        <v>Outlier</v>
      </c>
      <c r="R304" s="26" t="str">
        <f>A304&amp;B304&amp;C304&amp;D304&amp;E304&amp;F304&amp;G304&amp;H304&amp;I304&amp;J304&amp;K304&amp;L304&amp;M304&amp;N304&amp;O304&amp;P304</f>
        <v>USR-10030345714ControlNorthDesktopOrganicBasic11116788.95001758.4</v>
      </c>
      <c r="S304" s="22" t="str">
        <f>IF(COUNTIF($R$2:$R$1409,R304)=1,"OK",IF(COUNTIF($R$2:$R$1409,R304)&gt;1,"Exact Duplicate","Review Required"))</f>
        <v>OK</v>
      </c>
      <c r="T304" s="22" t="s">
        <v>19</v>
      </c>
      <c r="U304" s="22" t="s">
        <v>25</v>
      </c>
      <c r="V304" s="22"/>
    </row>
    <row r="305" spans="1:22" ht="41.4">
      <c r="A305" s="22" t="s">
        <v>335</v>
      </c>
      <c r="B305" s="25">
        <v>45700</v>
      </c>
      <c r="C305" s="22" t="s">
        <v>17</v>
      </c>
      <c r="D305" s="22" t="s">
        <v>32</v>
      </c>
      <c r="E305" s="22" t="s">
        <v>24</v>
      </c>
      <c r="F305" s="22" t="s">
        <v>41</v>
      </c>
      <c r="G305" s="22" t="s">
        <v>30</v>
      </c>
      <c r="H305" s="22">
        <v>0</v>
      </c>
      <c r="I305" s="22">
        <v>0</v>
      </c>
      <c r="J305" s="22">
        <v>0</v>
      </c>
      <c r="K305" s="22">
        <v>0</v>
      </c>
      <c r="L305" s="22">
        <v>0</v>
      </c>
      <c r="M305" s="22">
        <v>0</v>
      </c>
      <c r="N305" s="22">
        <v>0</v>
      </c>
      <c r="O305" s="22"/>
      <c r="P305" s="22">
        <v>52.7</v>
      </c>
      <c r="Q305" s="22" t="str">
        <f>IF(OR(L305&lt;$Y$18,L305&gt;$Y$19),"Outlier","Normal")</f>
        <v>Normal</v>
      </c>
      <c r="R305" s="26" t="str">
        <f>A305&amp;B305&amp;C305&amp;D305&amp;E305&amp;F305&amp;G305&amp;H305&amp;I305&amp;J305&amp;K305&amp;L305&amp;M305&amp;N305&amp;O305&amp;P305</f>
        <v>USR-10030445700ControlSouthMobileSocialPremium000000052.7</v>
      </c>
      <c r="S305" s="22" t="str">
        <f>IF(COUNTIF($R$2:$R$1409,R305)=1,"OK",IF(COUNTIF($R$2:$R$1409,R305)&gt;1,"Exact Duplicate","Review Required"))</f>
        <v>OK</v>
      </c>
      <c r="T305" s="22" t="s">
        <v>24</v>
      </c>
      <c r="U305" s="22" t="s">
        <v>41</v>
      </c>
      <c r="V305" s="22"/>
    </row>
    <row r="306" spans="1:22" ht="41.4">
      <c r="A306" s="22" t="s">
        <v>336</v>
      </c>
      <c r="B306" s="25">
        <v>45662</v>
      </c>
      <c r="C306" s="22" t="s">
        <v>17</v>
      </c>
      <c r="D306" s="22" t="s">
        <v>32</v>
      </c>
      <c r="E306" s="22" t="s">
        <v>34</v>
      </c>
      <c r="F306" s="22" t="s">
        <v>41</v>
      </c>
      <c r="G306" s="22" t="s">
        <v>30</v>
      </c>
      <c r="H306" s="22">
        <v>1</v>
      </c>
      <c r="I306" s="22">
        <v>1</v>
      </c>
      <c r="J306" s="22">
        <v>1</v>
      </c>
      <c r="K306" s="22">
        <v>0</v>
      </c>
      <c r="L306" s="22">
        <v>0</v>
      </c>
      <c r="M306" s="22">
        <v>2</v>
      </c>
      <c r="N306" s="22">
        <v>0</v>
      </c>
      <c r="O306" s="22"/>
      <c r="P306" s="22">
        <v>48.9</v>
      </c>
      <c r="Q306" s="22" t="str">
        <f>IF(OR(L306&lt;$Y$18,L306&gt;$Y$19),"Outlier","Normal")</f>
        <v>Normal</v>
      </c>
      <c r="R306" s="26" t="str">
        <f>A306&amp;B306&amp;C306&amp;D306&amp;E306&amp;F306&amp;G306&amp;H306&amp;I306&amp;J306&amp;K306&amp;L306&amp;M306&amp;N306&amp;O306&amp;P306</f>
        <v>USR-10030545662ControlSouthTabletSocialPremium111002048.9</v>
      </c>
      <c r="S306" s="22" t="str">
        <f>IF(COUNTIF($R$2:$R$1409,R306)=1,"OK",IF(COUNTIF($R$2:$R$1409,R306)&gt;1,"Exact Duplicate","Review Required"))</f>
        <v>OK</v>
      </c>
      <c r="T306" s="22" t="s">
        <v>34</v>
      </c>
      <c r="U306" s="22" t="s">
        <v>41</v>
      </c>
      <c r="V306" s="22"/>
    </row>
    <row r="307" spans="1:22" ht="41.4">
      <c r="A307" s="22" t="s">
        <v>337</v>
      </c>
      <c r="B307" s="25">
        <v>45796</v>
      </c>
      <c r="C307" s="22" t="s">
        <v>17</v>
      </c>
      <c r="D307" s="22" t="s">
        <v>23</v>
      </c>
      <c r="E307" s="22" t="s">
        <v>24</v>
      </c>
      <c r="F307" s="22" t="s">
        <v>25</v>
      </c>
      <c r="G307" s="22" t="s">
        <v>30</v>
      </c>
      <c r="H307" s="22">
        <v>0</v>
      </c>
      <c r="I307" s="22">
        <v>0</v>
      </c>
      <c r="J307" s="22">
        <v>0</v>
      </c>
      <c r="K307" s="22">
        <v>0</v>
      </c>
      <c r="L307" s="22">
        <v>0</v>
      </c>
      <c r="M307" s="22">
        <v>0</v>
      </c>
      <c r="N307" s="22">
        <v>0</v>
      </c>
      <c r="O307" s="22"/>
      <c r="P307" s="22">
        <v>79.7</v>
      </c>
      <c r="Q307" s="22" t="str">
        <f>IF(OR(L307&lt;$Y$18,L307&gt;$Y$19),"Outlier","Normal")</f>
        <v>Normal</v>
      </c>
      <c r="R307" s="26" t="str">
        <f>A307&amp;B307&amp;C307&amp;D307&amp;E307&amp;F307&amp;G307&amp;H307&amp;I307&amp;J307&amp;K307&amp;L307&amp;M307&amp;N307&amp;O307&amp;P307</f>
        <v>USR-10030645796ControlWestMobileOrganicPremium000000079.7</v>
      </c>
      <c r="S307" s="22" t="str">
        <f>IF(COUNTIF($R$2:$R$1409,R307)=1,"OK",IF(COUNTIF($R$2:$R$1409,R307)&gt;1,"Exact Duplicate","Review Required"))</f>
        <v>OK</v>
      </c>
      <c r="T307" s="22" t="s">
        <v>24</v>
      </c>
      <c r="U307" s="22" t="s">
        <v>25</v>
      </c>
      <c r="V307" s="22"/>
    </row>
    <row r="308" spans="1:22" ht="41.4">
      <c r="A308" s="22" t="s">
        <v>338</v>
      </c>
      <c r="B308" s="25">
        <v>45690</v>
      </c>
      <c r="C308" s="22" t="s">
        <v>17</v>
      </c>
      <c r="D308" s="22" t="s">
        <v>18</v>
      </c>
      <c r="E308" s="22" t="s">
        <v>24</v>
      </c>
      <c r="F308" s="22" t="s">
        <v>41</v>
      </c>
      <c r="G308" s="22" t="s">
        <v>26</v>
      </c>
      <c r="H308" s="22">
        <v>1</v>
      </c>
      <c r="I308" s="22">
        <v>0</v>
      </c>
      <c r="J308" s="22">
        <v>0</v>
      </c>
      <c r="K308" s="22">
        <v>0</v>
      </c>
      <c r="L308" s="22">
        <v>0</v>
      </c>
      <c r="M308" s="22">
        <v>0</v>
      </c>
      <c r="N308" s="22">
        <v>0</v>
      </c>
      <c r="O308" s="22"/>
      <c r="P308" s="22">
        <v>44.9</v>
      </c>
      <c r="Q308" s="22" t="str">
        <f>IF(OR(L308&lt;$Y$18,L308&gt;$Y$19),"Outlier","Normal")</f>
        <v>Normal</v>
      </c>
      <c r="R308" s="26" t="str">
        <f>A308&amp;B308&amp;C308&amp;D308&amp;E308&amp;F308&amp;G308&amp;H308&amp;I308&amp;J308&amp;K308&amp;L308&amp;M308&amp;N308&amp;O308&amp;P308</f>
        <v>USR-10030745690ControlNorthMobileSocialFree100000044.9</v>
      </c>
      <c r="S308" s="22" t="str">
        <f>IF(COUNTIF($R$2:$R$1409,R308)=1,"OK",IF(COUNTIF($R$2:$R$1409,R308)&gt;1,"Exact Duplicate","Review Required"))</f>
        <v>OK</v>
      </c>
      <c r="T308" s="22" t="s">
        <v>24</v>
      </c>
      <c r="U308" s="22" t="s">
        <v>41</v>
      </c>
      <c r="V308" s="22"/>
    </row>
    <row r="309" spans="1:22" ht="41.4">
      <c r="A309" s="22" t="s">
        <v>339</v>
      </c>
      <c r="B309" s="25">
        <v>45687</v>
      </c>
      <c r="C309" s="22" t="s">
        <v>17</v>
      </c>
      <c r="D309" s="22" t="s">
        <v>23</v>
      </c>
      <c r="E309" s="22" t="s">
        <v>34</v>
      </c>
      <c r="F309" s="22" t="s">
        <v>29</v>
      </c>
      <c r="G309" s="22" t="s">
        <v>26</v>
      </c>
      <c r="H309" s="22">
        <v>1</v>
      </c>
      <c r="I309" s="22">
        <v>1</v>
      </c>
      <c r="J309" s="22">
        <v>1</v>
      </c>
      <c r="K309" s="22">
        <v>1</v>
      </c>
      <c r="L309" s="22">
        <v>409.39</v>
      </c>
      <c r="M309" s="22">
        <v>0</v>
      </c>
      <c r="N309" s="22">
        <v>0</v>
      </c>
      <c r="O309" s="22">
        <v>10</v>
      </c>
      <c r="P309" s="22">
        <v>38.799999999999997</v>
      </c>
      <c r="Q309" s="22" t="str">
        <f>IF(OR(L309&lt;$Y$18,L309&gt;$Y$19),"Outlier","Normal")</f>
        <v>Normal</v>
      </c>
      <c r="R309" s="26" t="str">
        <f>A309&amp;B309&amp;C309&amp;D309&amp;E309&amp;F309&amp;G309&amp;H309&amp;I309&amp;J309&amp;K309&amp;L309&amp;M309&amp;N309&amp;O309&amp;P309</f>
        <v>USR-10030845687ControlWestTabletPaid SearchFree1111409.39001038.8</v>
      </c>
      <c r="S309" s="22" t="str">
        <f>IF(COUNTIF($R$2:$R$1409,R309)=1,"OK",IF(COUNTIF($R$2:$R$1409,R309)&gt;1,"Exact Duplicate","Review Required"))</f>
        <v>OK</v>
      </c>
      <c r="T309" s="22" t="s">
        <v>34</v>
      </c>
      <c r="U309" s="22" t="s">
        <v>29</v>
      </c>
      <c r="V309" s="22"/>
    </row>
    <row r="310" spans="1:22" ht="41.4">
      <c r="A310" s="22" t="s">
        <v>340</v>
      </c>
      <c r="B310" s="25">
        <v>45778</v>
      </c>
      <c r="C310" s="22" t="s">
        <v>17</v>
      </c>
      <c r="D310" s="22" t="s">
        <v>32</v>
      </c>
      <c r="E310" s="22" t="s">
        <v>19</v>
      </c>
      <c r="F310" s="22" t="s">
        <v>20</v>
      </c>
      <c r="G310" s="22" t="s">
        <v>26</v>
      </c>
      <c r="H310" s="22">
        <v>0</v>
      </c>
      <c r="I310" s="22">
        <v>0</v>
      </c>
      <c r="J310" s="22">
        <v>0</v>
      </c>
      <c r="K310" s="22">
        <v>0</v>
      </c>
      <c r="L310" s="22">
        <v>0</v>
      </c>
      <c r="M310" s="22">
        <v>0</v>
      </c>
      <c r="N310" s="22">
        <v>0</v>
      </c>
      <c r="O310" s="22"/>
      <c r="P310" s="22">
        <v>70</v>
      </c>
      <c r="Q310" s="22" t="str">
        <f>IF(OR(L310&lt;$Y$18,L310&gt;$Y$19),"Outlier","Normal")</f>
        <v>Normal</v>
      </c>
      <c r="R310" s="26" t="str">
        <f>A310&amp;B310&amp;C310&amp;D310&amp;E310&amp;F310&amp;G310&amp;H310&amp;I310&amp;J310&amp;K310&amp;L310&amp;M310&amp;N310&amp;O310&amp;P310</f>
        <v>USR-10030945778ControlSouthDesktopEmailFree000000070</v>
      </c>
      <c r="S310" s="22" t="str">
        <f>IF(COUNTIF($R$2:$R$1409,R310)=1,"OK",IF(COUNTIF($R$2:$R$1409,R310)&gt;1,"Exact Duplicate","Review Required"))</f>
        <v>OK</v>
      </c>
      <c r="T310" s="22" t="s">
        <v>19</v>
      </c>
      <c r="U310" s="22" t="s">
        <v>20</v>
      </c>
      <c r="V310" s="22"/>
    </row>
    <row r="311" spans="1:22" ht="41.4">
      <c r="A311" s="22" t="s">
        <v>341</v>
      </c>
      <c r="B311" s="25">
        <v>45793</v>
      </c>
      <c r="C311" s="22" t="s">
        <v>17</v>
      </c>
      <c r="D311" s="22" t="s">
        <v>32</v>
      </c>
      <c r="E311" s="22" t="s">
        <v>19</v>
      </c>
      <c r="F311" s="22" t="s">
        <v>39</v>
      </c>
      <c r="G311" s="22" t="s">
        <v>21</v>
      </c>
      <c r="H311" s="22">
        <v>1</v>
      </c>
      <c r="I311" s="22">
        <v>0</v>
      </c>
      <c r="J311" s="22">
        <v>0</v>
      </c>
      <c r="K311" s="22">
        <v>0</v>
      </c>
      <c r="L311" s="22">
        <v>0</v>
      </c>
      <c r="M311" s="22">
        <v>0</v>
      </c>
      <c r="N311" s="22">
        <v>0</v>
      </c>
      <c r="O311" s="22"/>
      <c r="P311" s="22">
        <v>77.7</v>
      </c>
      <c r="Q311" s="22" t="str">
        <f>IF(OR(L311&lt;$Y$18,L311&gt;$Y$19),"Outlier","Normal")</f>
        <v>Normal</v>
      </c>
      <c r="R311" s="26" t="str">
        <f>A311&amp;B311&amp;C311&amp;D311&amp;E311&amp;F311&amp;G311&amp;H311&amp;I311&amp;J311&amp;K311&amp;L311&amp;M311&amp;N311&amp;O311&amp;P311</f>
        <v>USR-10031045793ControlSouthDesktopReferralBasic100000077.7</v>
      </c>
      <c r="S311" s="22" t="str">
        <f>IF(COUNTIF($R$2:$R$1409,R311)=1,"OK",IF(COUNTIF($R$2:$R$1409,R311)&gt;1,"Exact Duplicate","Review Required"))</f>
        <v>OK</v>
      </c>
      <c r="T311" s="22" t="s">
        <v>19</v>
      </c>
      <c r="U311" s="22" t="s">
        <v>39</v>
      </c>
      <c r="V311" s="22"/>
    </row>
    <row r="312" spans="1:22" ht="41.4">
      <c r="A312" s="22" t="s">
        <v>342</v>
      </c>
      <c r="B312" s="25">
        <v>45724</v>
      </c>
      <c r="C312" s="22" t="s">
        <v>17</v>
      </c>
      <c r="D312" s="22" t="s">
        <v>23</v>
      </c>
      <c r="E312" s="22" t="s">
        <v>24</v>
      </c>
      <c r="F312" s="22" t="s">
        <v>25</v>
      </c>
      <c r="G312" s="22" t="s">
        <v>26</v>
      </c>
      <c r="H312" s="22">
        <v>0</v>
      </c>
      <c r="I312" s="22">
        <v>0</v>
      </c>
      <c r="J312" s="22">
        <v>0</v>
      </c>
      <c r="K312" s="22">
        <v>0</v>
      </c>
      <c r="L312" s="22">
        <v>0</v>
      </c>
      <c r="M312" s="22">
        <v>0</v>
      </c>
      <c r="N312" s="22">
        <v>0</v>
      </c>
      <c r="O312" s="22"/>
      <c r="P312" s="22">
        <v>71.2</v>
      </c>
      <c r="Q312" s="22" t="str">
        <f>IF(OR(L312&lt;$Y$18,L312&gt;$Y$19),"Outlier","Normal")</f>
        <v>Normal</v>
      </c>
      <c r="R312" s="26" t="str">
        <f>A312&amp;B312&amp;C312&amp;D312&amp;E312&amp;F312&amp;G312&amp;H312&amp;I312&amp;J312&amp;K312&amp;L312&amp;M312&amp;N312&amp;O312&amp;P312</f>
        <v>USR-10031145724ControlWestMobileOrganicFree000000071.2</v>
      </c>
      <c r="S312" s="22" t="str">
        <f>IF(COUNTIF($R$2:$R$1409,R312)=1,"OK",IF(COUNTIF($R$2:$R$1409,R312)&gt;1,"Exact Duplicate","Review Required"))</f>
        <v>OK</v>
      </c>
      <c r="T312" s="22" t="s">
        <v>24</v>
      </c>
      <c r="U312" s="22" t="s">
        <v>25</v>
      </c>
      <c r="V312" s="22"/>
    </row>
    <row r="313" spans="1:22" ht="41.4">
      <c r="A313" s="22" t="s">
        <v>343</v>
      </c>
      <c r="B313" s="25">
        <v>45751</v>
      </c>
      <c r="C313" s="22" t="s">
        <v>17</v>
      </c>
      <c r="D313" s="22" t="s">
        <v>18</v>
      </c>
      <c r="E313" s="22" t="s">
        <v>24</v>
      </c>
      <c r="F313" s="22" t="s">
        <v>25</v>
      </c>
      <c r="G313" s="22" t="s">
        <v>21</v>
      </c>
      <c r="H313" s="22">
        <v>1</v>
      </c>
      <c r="I313" s="22">
        <v>0</v>
      </c>
      <c r="J313" s="22">
        <v>0</v>
      </c>
      <c r="K313" s="22">
        <v>0</v>
      </c>
      <c r="L313" s="22">
        <v>0</v>
      </c>
      <c r="M313" s="22">
        <v>0</v>
      </c>
      <c r="N313" s="22">
        <v>0</v>
      </c>
      <c r="O313" s="22"/>
      <c r="P313" s="22">
        <v>43.8</v>
      </c>
      <c r="Q313" s="22" t="str">
        <f>IF(OR(L313&lt;$Y$18,L313&gt;$Y$19),"Outlier","Normal")</f>
        <v>Normal</v>
      </c>
      <c r="R313" s="26" t="str">
        <f>A313&amp;B313&amp;C313&amp;D313&amp;E313&amp;F313&amp;G313&amp;H313&amp;I313&amp;J313&amp;K313&amp;L313&amp;M313&amp;N313&amp;O313&amp;P313</f>
        <v>USR-10031245751ControlNorthMobileOrganicBasic100000043.8</v>
      </c>
      <c r="S313" s="22" t="str">
        <f>IF(COUNTIF($R$2:$R$1409,R313)=1,"OK",IF(COUNTIF($R$2:$R$1409,R313)&gt;1,"Exact Duplicate","Review Required"))</f>
        <v>OK</v>
      </c>
      <c r="T313" s="22" t="s">
        <v>24</v>
      </c>
      <c r="U313" s="22" t="s">
        <v>25</v>
      </c>
      <c r="V313" s="22"/>
    </row>
    <row r="314" spans="1:22" ht="41.4">
      <c r="A314" s="22" t="s">
        <v>344</v>
      </c>
      <c r="B314" s="25">
        <v>45807</v>
      </c>
      <c r="C314" s="22" t="s">
        <v>17</v>
      </c>
      <c r="D314" s="22" t="s">
        <v>32</v>
      </c>
      <c r="E314" s="22" t="s">
        <v>34</v>
      </c>
      <c r="F314" s="22" t="s">
        <v>25</v>
      </c>
      <c r="G314" s="22" t="s">
        <v>26</v>
      </c>
      <c r="H314" s="22">
        <v>1</v>
      </c>
      <c r="I314" s="22">
        <v>0</v>
      </c>
      <c r="J314" s="22">
        <v>0</v>
      </c>
      <c r="K314" s="22">
        <v>0</v>
      </c>
      <c r="L314" s="22">
        <v>0</v>
      </c>
      <c r="M314" s="22">
        <v>0</v>
      </c>
      <c r="N314" s="22">
        <v>0</v>
      </c>
      <c r="O314" s="22"/>
      <c r="P314" s="22">
        <v>50.9</v>
      </c>
      <c r="Q314" s="22" t="str">
        <f>IF(OR(L314&lt;$Y$18,L314&gt;$Y$19),"Outlier","Normal")</f>
        <v>Normal</v>
      </c>
      <c r="R314" s="26" t="str">
        <f>A314&amp;B314&amp;C314&amp;D314&amp;E314&amp;F314&amp;G314&amp;H314&amp;I314&amp;J314&amp;K314&amp;L314&amp;M314&amp;N314&amp;O314&amp;P314</f>
        <v>USR-10031345807ControlSouthTabletOrganicFree100000050.9</v>
      </c>
      <c r="S314" s="22" t="str">
        <f>IF(COUNTIF($R$2:$R$1409,R314)=1,"OK",IF(COUNTIF($R$2:$R$1409,R314)&gt;1,"Exact Duplicate","Review Required"))</f>
        <v>OK</v>
      </c>
      <c r="T314" s="22" t="s">
        <v>34</v>
      </c>
      <c r="U314" s="22" t="s">
        <v>25</v>
      </c>
      <c r="V314" s="22"/>
    </row>
    <row r="315" spans="1:22" ht="41.4">
      <c r="A315" s="22" t="s">
        <v>345</v>
      </c>
      <c r="B315" s="25">
        <v>45662</v>
      </c>
      <c r="C315" s="22" t="s">
        <v>17</v>
      </c>
      <c r="D315" s="22" t="s">
        <v>23</v>
      </c>
      <c r="E315" s="22" t="s">
        <v>24</v>
      </c>
      <c r="F315" s="22" t="s">
        <v>25</v>
      </c>
      <c r="G315" s="22" t="s">
        <v>30</v>
      </c>
      <c r="H315" s="22">
        <v>0</v>
      </c>
      <c r="I315" s="22">
        <v>0</v>
      </c>
      <c r="J315" s="22">
        <v>0</v>
      </c>
      <c r="K315" s="22">
        <v>0</v>
      </c>
      <c r="L315" s="22">
        <v>0</v>
      </c>
      <c r="M315" s="22">
        <v>0</v>
      </c>
      <c r="N315" s="22">
        <v>0</v>
      </c>
      <c r="O315" s="22"/>
      <c r="P315" s="22">
        <v>58.5</v>
      </c>
      <c r="Q315" s="22" t="str">
        <f>IF(OR(L315&lt;$Y$18,L315&gt;$Y$19),"Outlier","Normal")</f>
        <v>Normal</v>
      </c>
      <c r="R315" s="26" t="str">
        <f>A315&amp;B315&amp;C315&amp;D315&amp;E315&amp;F315&amp;G315&amp;H315&amp;I315&amp;J315&amp;K315&amp;L315&amp;M315&amp;N315&amp;O315&amp;P315</f>
        <v>USR-10031445662ControlWestMobileOrganicPremium000000058.5</v>
      </c>
      <c r="S315" s="22" t="str">
        <f>IF(COUNTIF($R$2:$R$1409,R315)=1,"OK",IF(COUNTIF($R$2:$R$1409,R315)&gt;1,"Exact Duplicate","Review Required"))</f>
        <v>OK</v>
      </c>
      <c r="T315" s="22" t="s">
        <v>24</v>
      </c>
      <c r="U315" s="22" t="s">
        <v>25</v>
      </c>
      <c r="V315" s="22"/>
    </row>
    <row r="316" spans="1:22" ht="41.4">
      <c r="A316" s="22" t="s">
        <v>346</v>
      </c>
      <c r="B316" s="25">
        <v>45677</v>
      </c>
      <c r="C316" s="22" t="s">
        <v>17</v>
      </c>
      <c r="D316" s="22" t="s">
        <v>28</v>
      </c>
      <c r="E316" s="22" t="s">
        <v>24</v>
      </c>
      <c r="F316" s="22" t="s">
        <v>25</v>
      </c>
      <c r="G316" s="22" t="s">
        <v>26</v>
      </c>
      <c r="H316" s="22">
        <v>1</v>
      </c>
      <c r="I316" s="22">
        <v>1</v>
      </c>
      <c r="J316" s="22">
        <v>1</v>
      </c>
      <c r="K316" s="22">
        <v>0</v>
      </c>
      <c r="L316" s="22">
        <v>0</v>
      </c>
      <c r="M316" s="22">
        <v>0</v>
      </c>
      <c r="N316" s="22">
        <v>0</v>
      </c>
      <c r="O316" s="22"/>
      <c r="P316" s="22">
        <v>53.6</v>
      </c>
      <c r="Q316" s="22" t="str">
        <f>IF(OR(L316&lt;$Y$18,L316&gt;$Y$19),"Outlier","Normal")</f>
        <v>Normal</v>
      </c>
      <c r="R316" s="26" t="str">
        <f>A316&amp;B316&amp;C316&amp;D316&amp;E316&amp;F316&amp;G316&amp;H316&amp;I316&amp;J316&amp;K316&amp;L316&amp;M316&amp;N316&amp;O316&amp;P316</f>
        <v>USR-10031545677ControlEastMobileOrganicFree111000053.6</v>
      </c>
      <c r="S316" s="22" t="str">
        <f>IF(COUNTIF($R$2:$R$1409,R316)=1,"OK",IF(COUNTIF($R$2:$R$1409,R316)&gt;1,"Exact Duplicate","Review Required"))</f>
        <v>OK</v>
      </c>
      <c r="T316" s="22" t="s">
        <v>24</v>
      </c>
      <c r="U316" s="22" t="s">
        <v>25</v>
      </c>
      <c r="V316" s="22"/>
    </row>
    <row r="317" spans="1:22" ht="41.4">
      <c r="A317" s="22" t="s">
        <v>347</v>
      </c>
      <c r="B317" s="25">
        <v>45778</v>
      </c>
      <c r="C317" s="22" t="s">
        <v>17</v>
      </c>
      <c r="D317" s="22" t="s">
        <v>28</v>
      </c>
      <c r="E317" s="22" t="s">
        <v>24</v>
      </c>
      <c r="F317" s="22" t="s">
        <v>20</v>
      </c>
      <c r="G317" s="22" t="s">
        <v>26</v>
      </c>
      <c r="H317" s="22">
        <v>0</v>
      </c>
      <c r="I317" s="22">
        <v>0</v>
      </c>
      <c r="J317" s="22">
        <v>0</v>
      </c>
      <c r="K317" s="22">
        <v>0</v>
      </c>
      <c r="L317" s="22">
        <v>0</v>
      </c>
      <c r="M317" s="22">
        <v>0</v>
      </c>
      <c r="N317" s="22">
        <v>0</v>
      </c>
      <c r="O317" s="22"/>
      <c r="P317" s="22">
        <v>54.9</v>
      </c>
      <c r="Q317" s="22" t="str">
        <f>IF(OR(L317&lt;$Y$18,L317&gt;$Y$19),"Outlier","Normal")</f>
        <v>Normal</v>
      </c>
      <c r="R317" s="26" t="str">
        <f>A317&amp;B317&amp;C317&amp;D317&amp;E317&amp;F317&amp;G317&amp;H317&amp;I317&amp;J317&amp;K317&amp;L317&amp;M317&amp;N317&amp;O317&amp;P317</f>
        <v>USR-10031645778ControlEastMobileEmailFree000000054.9</v>
      </c>
      <c r="S317" s="22" t="str">
        <f>IF(COUNTIF($R$2:$R$1409,R317)=1,"OK",IF(COUNTIF($R$2:$R$1409,R317)&gt;1,"Exact Duplicate","Review Required"))</f>
        <v>OK</v>
      </c>
      <c r="T317" s="22" t="s">
        <v>24</v>
      </c>
      <c r="U317" s="22" t="s">
        <v>20</v>
      </c>
      <c r="V317" s="22"/>
    </row>
    <row r="318" spans="1:22" ht="41.4">
      <c r="A318" s="22" t="s">
        <v>348</v>
      </c>
      <c r="B318" s="25">
        <v>45721</v>
      </c>
      <c r="C318" s="22" t="s">
        <v>17</v>
      </c>
      <c r="D318" s="22" t="s">
        <v>18</v>
      </c>
      <c r="E318" s="22" t="s">
        <v>19</v>
      </c>
      <c r="F318" s="22" t="s">
        <v>25</v>
      </c>
      <c r="G318" s="22" t="s">
        <v>30</v>
      </c>
      <c r="H318" s="22">
        <v>0</v>
      </c>
      <c r="I318" s="22">
        <v>0</v>
      </c>
      <c r="J318" s="22">
        <v>0</v>
      </c>
      <c r="K318" s="22">
        <v>0</v>
      </c>
      <c r="L318" s="22">
        <v>0</v>
      </c>
      <c r="M318" s="22">
        <v>0</v>
      </c>
      <c r="N318" s="22">
        <v>0</v>
      </c>
      <c r="O318" s="22"/>
      <c r="P318" s="22">
        <v>57.3</v>
      </c>
      <c r="Q318" s="22" t="str">
        <f>IF(OR(L318&lt;$Y$18,L318&gt;$Y$19),"Outlier","Normal")</f>
        <v>Normal</v>
      </c>
      <c r="R318" s="26" t="str">
        <f>A318&amp;B318&amp;C318&amp;D318&amp;E318&amp;F318&amp;G318&amp;H318&amp;I318&amp;J318&amp;K318&amp;L318&amp;M318&amp;N318&amp;O318&amp;P318</f>
        <v>USR-10031745721ControlNorthDesktopOrganicPremium000000057.3</v>
      </c>
      <c r="S318" s="22" t="str">
        <f>IF(COUNTIF($R$2:$R$1409,R318)=1,"OK",IF(COUNTIF($R$2:$R$1409,R318)&gt;1,"Exact Duplicate","Review Required"))</f>
        <v>OK</v>
      </c>
      <c r="T318" s="22" t="s">
        <v>19</v>
      </c>
      <c r="U318" s="22" t="s">
        <v>25</v>
      </c>
      <c r="V318" s="22"/>
    </row>
    <row r="319" spans="1:22" ht="41.4">
      <c r="A319" s="22" t="s">
        <v>349</v>
      </c>
      <c r="B319" s="25">
        <v>45748</v>
      </c>
      <c r="C319" s="22" t="s">
        <v>17</v>
      </c>
      <c r="D319" s="22" t="s">
        <v>28</v>
      </c>
      <c r="E319" s="22" t="s">
        <v>19</v>
      </c>
      <c r="F319" s="22" t="s">
        <v>39</v>
      </c>
      <c r="G319" s="22" t="s">
        <v>26</v>
      </c>
      <c r="H319" s="22">
        <v>1</v>
      </c>
      <c r="I319" s="22">
        <v>0</v>
      </c>
      <c r="J319" s="22">
        <v>0</v>
      </c>
      <c r="K319" s="22">
        <v>0</v>
      </c>
      <c r="L319" s="22">
        <v>0</v>
      </c>
      <c r="M319" s="22">
        <v>0</v>
      </c>
      <c r="N319" s="22">
        <v>0</v>
      </c>
      <c r="O319" s="22"/>
      <c r="P319" s="22">
        <v>52.1</v>
      </c>
      <c r="Q319" s="22" t="str">
        <f>IF(OR(L319&lt;$Y$18,L319&gt;$Y$19),"Outlier","Normal")</f>
        <v>Normal</v>
      </c>
      <c r="R319" s="26" t="str">
        <f>A319&amp;B319&amp;C319&amp;D319&amp;E319&amp;F319&amp;G319&amp;H319&amp;I319&amp;J319&amp;K319&amp;L319&amp;M319&amp;N319&amp;O319&amp;P319</f>
        <v>USR-10031845748ControlEastDesktopReferralFree100000052.1</v>
      </c>
      <c r="S319" s="22" t="str">
        <f>IF(COUNTIF($R$2:$R$1409,R319)=1,"OK",IF(COUNTIF($R$2:$R$1409,R319)&gt;1,"Exact Duplicate","Review Required"))</f>
        <v>OK</v>
      </c>
      <c r="T319" s="22" t="s">
        <v>19</v>
      </c>
      <c r="U319" s="22" t="s">
        <v>39</v>
      </c>
      <c r="V319" s="22"/>
    </row>
    <row r="320" spans="1:22" ht="41.4">
      <c r="A320" s="22" t="s">
        <v>350</v>
      </c>
      <c r="B320" s="25">
        <v>45780</v>
      </c>
      <c r="C320" s="22" t="s">
        <v>17</v>
      </c>
      <c r="D320" s="22" t="s">
        <v>18</v>
      </c>
      <c r="E320" s="22" t="s">
        <v>24</v>
      </c>
      <c r="F320" s="22" t="s">
        <v>25</v>
      </c>
      <c r="G320" s="22" t="s">
        <v>26</v>
      </c>
      <c r="H320" s="22">
        <v>1</v>
      </c>
      <c r="I320" s="22">
        <v>0</v>
      </c>
      <c r="J320" s="22">
        <v>0</v>
      </c>
      <c r="K320" s="22">
        <v>0</v>
      </c>
      <c r="L320" s="22">
        <v>0</v>
      </c>
      <c r="M320" s="22">
        <v>0</v>
      </c>
      <c r="N320" s="22">
        <v>0</v>
      </c>
      <c r="O320" s="22"/>
      <c r="P320" s="22">
        <v>80</v>
      </c>
      <c r="Q320" s="22" t="str">
        <f>IF(OR(L320&lt;$Y$18,L320&gt;$Y$19),"Outlier","Normal")</f>
        <v>Normal</v>
      </c>
      <c r="R320" s="26" t="str">
        <f>A320&amp;B320&amp;C320&amp;D320&amp;E320&amp;F320&amp;G320&amp;H320&amp;I320&amp;J320&amp;K320&amp;L320&amp;M320&amp;N320&amp;O320&amp;P320</f>
        <v>USR-10031945780ControlNorthMobileOrganicFree100000080</v>
      </c>
      <c r="S320" s="22" t="str">
        <f>IF(COUNTIF($R$2:$R$1409,R320)=1,"OK",IF(COUNTIF($R$2:$R$1409,R320)&gt;1,"Exact Duplicate","Review Required"))</f>
        <v>OK</v>
      </c>
      <c r="T320" s="22" t="s">
        <v>24</v>
      </c>
      <c r="U320" s="22" t="s">
        <v>25</v>
      </c>
      <c r="V320" s="22"/>
    </row>
    <row r="321" spans="1:22" ht="41.4">
      <c r="A321" s="22" t="s">
        <v>351</v>
      </c>
      <c r="B321" s="25">
        <v>45722</v>
      </c>
      <c r="C321" s="22" t="s">
        <v>17</v>
      </c>
      <c r="D321" s="22" t="s">
        <v>32</v>
      </c>
      <c r="E321" s="22" t="s">
        <v>19</v>
      </c>
      <c r="F321" s="22" t="s">
        <v>29</v>
      </c>
      <c r="G321" s="22" t="s">
        <v>30</v>
      </c>
      <c r="H321" s="22">
        <v>1</v>
      </c>
      <c r="I321" s="22">
        <v>0</v>
      </c>
      <c r="J321" s="22">
        <v>0</v>
      </c>
      <c r="K321" s="22">
        <v>0</v>
      </c>
      <c r="L321" s="22">
        <v>0</v>
      </c>
      <c r="M321" s="22">
        <v>0</v>
      </c>
      <c r="N321" s="22">
        <v>0</v>
      </c>
      <c r="O321" s="22"/>
      <c r="P321" s="22">
        <v>39.299999999999997</v>
      </c>
      <c r="Q321" s="22" t="str">
        <f>IF(OR(L321&lt;$Y$18,L321&gt;$Y$19),"Outlier","Normal")</f>
        <v>Normal</v>
      </c>
      <c r="R321" s="26" t="str">
        <f>A321&amp;B321&amp;C321&amp;D321&amp;E321&amp;F321&amp;G321&amp;H321&amp;I321&amp;J321&amp;K321&amp;L321&amp;M321&amp;N321&amp;O321&amp;P321</f>
        <v>USR-10032045722ControlSouthDesktopPaid SearchPremium100000039.3</v>
      </c>
      <c r="S321" s="22" t="str">
        <f>IF(COUNTIF($R$2:$R$1409,R321)=1,"OK",IF(COUNTIF($R$2:$R$1409,R321)&gt;1,"Exact Duplicate","Review Required"))</f>
        <v>OK</v>
      </c>
      <c r="T321" s="22" t="s">
        <v>19</v>
      </c>
      <c r="U321" s="22" t="s">
        <v>29</v>
      </c>
      <c r="V321" s="22"/>
    </row>
    <row r="322" spans="1:22" ht="41.4">
      <c r="A322" s="22" t="s">
        <v>352</v>
      </c>
      <c r="B322" s="25">
        <v>45748</v>
      </c>
      <c r="C322" s="22" t="s">
        <v>17</v>
      </c>
      <c r="D322" s="22" t="s">
        <v>18</v>
      </c>
      <c r="E322" s="22" t="s">
        <v>19</v>
      </c>
      <c r="F322" s="22" t="s">
        <v>39</v>
      </c>
      <c r="G322" s="22" t="s">
        <v>30</v>
      </c>
      <c r="H322" s="22">
        <v>0</v>
      </c>
      <c r="I322" s="22">
        <v>0</v>
      </c>
      <c r="J322" s="22">
        <v>0</v>
      </c>
      <c r="K322" s="22">
        <v>0</v>
      </c>
      <c r="L322" s="22">
        <v>0</v>
      </c>
      <c r="M322" s="22">
        <v>0</v>
      </c>
      <c r="N322" s="22">
        <v>0</v>
      </c>
      <c r="O322" s="22"/>
      <c r="P322" s="22">
        <v>45.7</v>
      </c>
      <c r="Q322" s="22" t="str">
        <f>IF(OR(L322&lt;$Y$18,L322&gt;$Y$19),"Outlier","Normal")</f>
        <v>Normal</v>
      </c>
      <c r="R322" s="26" t="str">
        <f>A322&amp;B322&amp;C322&amp;D322&amp;E322&amp;F322&amp;G322&amp;H322&amp;I322&amp;J322&amp;K322&amp;L322&amp;M322&amp;N322&amp;O322&amp;P322</f>
        <v>USR-10032145748ControlNorthDesktopReferralPremium000000045.7</v>
      </c>
      <c r="S322" s="22" t="str">
        <f>IF(COUNTIF($R$2:$R$1409,R322)=1,"OK",IF(COUNTIF($R$2:$R$1409,R322)&gt;1,"Exact Duplicate","Review Required"))</f>
        <v>OK</v>
      </c>
      <c r="T322" s="22" t="s">
        <v>19</v>
      </c>
      <c r="U322" s="22" t="s">
        <v>39</v>
      </c>
      <c r="V322" s="22"/>
    </row>
    <row r="323" spans="1:22" ht="41.4">
      <c r="A323" s="22" t="s">
        <v>353</v>
      </c>
      <c r="B323" s="25">
        <v>45697</v>
      </c>
      <c r="C323" s="22" t="s">
        <v>17</v>
      </c>
      <c r="D323" s="22" t="s">
        <v>18</v>
      </c>
      <c r="E323" s="22" t="s">
        <v>19</v>
      </c>
      <c r="F323" s="22" t="s">
        <v>41</v>
      </c>
      <c r="G323" s="22" t="s">
        <v>21</v>
      </c>
      <c r="H323" s="22">
        <v>1</v>
      </c>
      <c r="I323" s="22">
        <v>0</v>
      </c>
      <c r="J323" s="22">
        <v>0</v>
      </c>
      <c r="K323" s="22">
        <v>0</v>
      </c>
      <c r="L323" s="22">
        <v>0</v>
      </c>
      <c r="M323" s="22">
        <v>2</v>
      </c>
      <c r="N323" s="22">
        <v>0</v>
      </c>
      <c r="O323" s="22"/>
      <c r="P323" s="22">
        <v>61.2</v>
      </c>
      <c r="Q323" s="22" t="str">
        <f>IF(OR(L323&lt;$Y$18,L323&gt;$Y$19),"Outlier","Normal")</f>
        <v>Normal</v>
      </c>
      <c r="R323" s="26" t="str">
        <f>A323&amp;B323&amp;C323&amp;D323&amp;E323&amp;F323&amp;G323&amp;H323&amp;I323&amp;J323&amp;K323&amp;L323&amp;M323&amp;N323&amp;O323&amp;P323</f>
        <v>USR-10032245697ControlNorthDesktopSocialBasic100002061.2</v>
      </c>
      <c r="S323" s="22" t="str">
        <f>IF(COUNTIF($R$2:$R$1409,R323)=1,"OK",IF(COUNTIF($R$2:$R$1409,R323)&gt;1,"Exact Duplicate","Review Required"))</f>
        <v>OK</v>
      </c>
      <c r="T323" s="22" t="s">
        <v>19</v>
      </c>
      <c r="U323" s="22" t="s">
        <v>41</v>
      </c>
      <c r="V323" s="22"/>
    </row>
    <row r="324" spans="1:22" ht="41.4">
      <c r="A324" s="22" t="s">
        <v>354</v>
      </c>
      <c r="B324" s="25">
        <v>45759</v>
      </c>
      <c r="C324" s="22" t="s">
        <v>17</v>
      </c>
      <c r="D324" s="22" t="s">
        <v>23</v>
      </c>
      <c r="E324" s="22" t="s">
        <v>24</v>
      </c>
      <c r="F324" s="22" t="s">
        <v>25</v>
      </c>
      <c r="G324" s="22" t="s">
        <v>21</v>
      </c>
      <c r="H324" s="22">
        <v>1</v>
      </c>
      <c r="I324" s="22">
        <v>1</v>
      </c>
      <c r="J324" s="22">
        <v>0</v>
      </c>
      <c r="K324" s="22">
        <v>0</v>
      </c>
      <c r="L324" s="22">
        <v>0</v>
      </c>
      <c r="M324" s="22">
        <v>0</v>
      </c>
      <c r="N324" s="22">
        <v>0</v>
      </c>
      <c r="O324" s="22"/>
      <c r="P324" s="22">
        <v>66.2</v>
      </c>
      <c r="Q324" s="22" t="str">
        <f>IF(OR(L324&lt;$Y$18,L324&gt;$Y$19),"Outlier","Normal")</f>
        <v>Normal</v>
      </c>
      <c r="R324" s="26" t="str">
        <f>A324&amp;B324&amp;C324&amp;D324&amp;E324&amp;F324&amp;G324&amp;H324&amp;I324&amp;J324&amp;K324&amp;L324&amp;M324&amp;N324&amp;O324&amp;P324</f>
        <v>USR-10032345759ControlWestMobileOrganicBasic110000066.2</v>
      </c>
      <c r="S324" s="22" t="str">
        <f>IF(COUNTIF($R$2:$R$1409,R324)=1,"OK",IF(COUNTIF($R$2:$R$1409,R324)&gt;1,"Exact Duplicate","Review Required"))</f>
        <v>OK</v>
      </c>
      <c r="T324" s="22" t="s">
        <v>24</v>
      </c>
      <c r="U324" s="22" t="s">
        <v>25</v>
      </c>
      <c r="V324" s="22"/>
    </row>
    <row r="325" spans="1:22" ht="41.4">
      <c r="A325" s="22" t="s">
        <v>355</v>
      </c>
      <c r="B325" s="25">
        <v>45734</v>
      </c>
      <c r="C325" s="22" t="s">
        <v>17</v>
      </c>
      <c r="D325" s="22" t="s">
        <v>28</v>
      </c>
      <c r="E325" s="22" t="s">
        <v>24</v>
      </c>
      <c r="F325" s="22" t="s">
        <v>41</v>
      </c>
      <c r="G325" s="22" t="s">
        <v>26</v>
      </c>
      <c r="H325" s="22">
        <v>1</v>
      </c>
      <c r="I325" s="22">
        <v>1</v>
      </c>
      <c r="J325" s="22">
        <v>1</v>
      </c>
      <c r="K325" s="22">
        <v>0</v>
      </c>
      <c r="L325" s="22">
        <v>0</v>
      </c>
      <c r="M325" s="22">
        <v>0</v>
      </c>
      <c r="N325" s="22">
        <v>0</v>
      </c>
      <c r="O325" s="22"/>
      <c r="P325" s="22">
        <v>61.3</v>
      </c>
      <c r="Q325" s="22" t="str">
        <f>IF(OR(L325&lt;$Y$18,L325&gt;$Y$19),"Outlier","Normal")</f>
        <v>Normal</v>
      </c>
      <c r="R325" s="26" t="str">
        <f>A325&amp;B325&amp;C325&amp;D325&amp;E325&amp;F325&amp;G325&amp;H325&amp;I325&amp;J325&amp;K325&amp;L325&amp;M325&amp;N325&amp;O325&amp;P325</f>
        <v>USR-10032445734ControlEastMobileSocialFree111000061.3</v>
      </c>
      <c r="S325" s="22" t="str">
        <f>IF(COUNTIF($R$2:$R$1409,R325)=1,"OK",IF(COUNTIF($R$2:$R$1409,R325)&gt;1,"Exact Duplicate","Review Required"))</f>
        <v>OK</v>
      </c>
      <c r="T325" s="22" t="s">
        <v>24</v>
      </c>
      <c r="U325" s="22" t="s">
        <v>41</v>
      </c>
      <c r="V325" s="22"/>
    </row>
    <row r="326" spans="1:22" ht="41.4">
      <c r="A326" s="22" t="s">
        <v>356</v>
      </c>
      <c r="B326" s="25">
        <v>45750</v>
      </c>
      <c r="C326" s="22" t="s">
        <v>17</v>
      </c>
      <c r="D326" s="22" t="s">
        <v>28</v>
      </c>
      <c r="E326" s="22" t="s">
        <v>24</v>
      </c>
      <c r="F326" s="22" t="s">
        <v>29</v>
      </c>
      <c r="G326" s="22" t="s">
        <v>26</v>
      </c>
      <c r="H326" s="22">
        <v>1</v>
      </c>
      <c r="I326" s="22">
        <v>0</v>
      </c>
      <c r="J326" s="22">
        <v>0</v>
      </c>
      <c r="K326" s="22">
        <v>0</v>
      </c>
      <c r="L326" s="22">
        <v>0</v>
      </c>
      <c r="M326" s="22">
        <v>0</v>
      </c>
      <c r="N326" s="22">
        <v>0</v>
      </c>
      <c r="O326" s="22"/>
      <c r="P326" s="22">
        <v>72.2</v>
      </c>
      <c r="Q326" s="22" t="str">
        <f>IF(OR(L326&lt;$Y$18,L326&gt;$Y$19),"Outlier","Normal")</f>
        <v>Normal</v>
      </c>
      <c r="R326" s="26" t="str">
        <f>A326&amp;B326&amp;C326&amp;D326&amp;E326&amp;F326&amp;G326&amp;H326&amp;I326&amp;J326&amp;K326&amp;L326&amp;M326&amp;N326&amp;O326&amp;P326</f>
        <v>USR-10032545750ControlEastMobilePaid SearchFree100000072.2</v>
      </c>
      <c r="S326" s="22" t="str">
        <f>IF(COUNTIF($R$2:$R$1409,R326)=1,"OK",IF(COUNTIF($R$2:$R$1409,R326)&gt;1,"Exact Duplicate","Review Required"))</f>
        <v>OK</v>
      </c>
      <c r="T326" s="22" t="s">
        <v>24</v>
      </c>
      <c r="U326" s="22" t="s">
        <v>29</v>
      </c>
      <c r="V326" s="22"/>
    </row>
    <row r="327" spans="1:22" ht="41.4">
      <c r="A327" s="22" t="s">
        <v>357</v>
      </c>
      <c r="B327" s="25">
        <v>45749</v>
      </c>
      <c r="C327" s="22" t="s">
        <v>17</v>
      </c>
      <c r="D327" s="22" t="s">
        <v>23</v>
      </c>
      <c r="E327" s="22" t="s">
        <v>24</v>
      </c>
      <c r="F327" s="22" t="s">
        <v>20</v>
      </c>
      <c r="G327" s="22" t="s">
        <v>30</v>
      </c>
      <c r="H327" s="22">
        <v>1</v>
      </c>
      <c r="I327" s="22">
        <v>1</v>
      </c>
      <c r="J327" s="22">
        <v>1</v>
      </c>
      <c r="K327" s="22">
        <v>0</v>
      </c>
      <c r="L327" s="22">
        <v>0</v>
      </c>
      <c r="M327" s="22">
        <v>0</v>
      </c>
      <c r="N327" s="22">
        <v>0</v>
      </c>
      <c r="O327" s="22"/>
      <c r="P327" s="22">
        <v>84</v>
      </c>
      <c r="Q327" s="22" t="str">
        <f>IF(OR(L327&lt;$Y$18,L327&gt;$Y$19),"Outlier","Normal")</f>
        <v>Normal</v>
      </c>
      <c r="R327" s="26" t="str">
        <f>A327&amp;B327&amp;C327&amp;D327&amp;E327&amp;F327&amp;G327&amp;H327&amp;I327&amp;J327&amp;K327&amp;L327&amp;M327&amp;N327&amp;O327&amp;P327</f>
        <v>USR-10032645749ControlWestMobileEmailPremium111000084</v>
      </c>
      <c r="S327" s="22" t="str">
        <f>IF(COUNTIF($R$2:$R$1409,R327)=1,"OK",IF(COUNTIF($R$2:$R$1409,R327)&gt;1,"Exact Duplicate","Review Required"))</f>
        <v>OK</v>
      </c>
      <c r="T327" s="22" t="s">
        <v>24</v>
      </c>
      <c r="U327" s="22" t="s">
        <v>20</v>
      </c>
      <c r="V327" s="22"/>
    </row>
    <row r="328" spans="1:22" ht="41.4">
      <c r="A328" s="22" t="s">
        <v>358</v>
      </c>
      <c r="B328" s="25">
        <v>45787</v>
      </c>
      <c r="C328" s="22" t="s">
        <v>17</v>
      </c>
      <c r="D328" s="22" t="s">
        <v>23</v>
      </c>
      <c r="E328" s="22" t="s">
        <v>19</v>
      </c>
      <c r="F328" s="22" t="s">
        <v>20</v>
      </c>
      <c r="G328" s="22" t="s">
        <v>21</v>
      </c>
      <c r="H328" s="22">
        <v>0</v>
      </c>
      <c r="I328" s="22">
        <v>0</v>
      </c>
      <c r="J328" s="22">
        <v>0</v>
      </c>
      <c r="K328" s="22">
        <v>0</v>
      </c>
      <c r="L328" s="22">
        <v>0</v>
      </c>
      <c r="M328" s="22">
        <v>0</v>
      </c>
      <c r="N328" s="22">
        <v>0</v>
      </c>
      <c r="O328" s="22"/>
      <c r="P328" s="22">
        <v>59.8</v>
      </c>
      <c r="Q328" s="22" t="str">
        <f>IF(OR(L328&lt;$Y$18,L328&gt;$Y$19),"Outlier","Normal")</f>
        <v>Normal</v>
      </c>
      <c r="R328" s="26" t="str">
        <f>A328&amp;B328&amp;C328&amp;D328&amp;E328&amp;F328&amp;G328&amp;H328&amp;I328&amp;J328&amp;K328&amp;L328&amp;M328&amp;N328&amp;O328&amp;P328</f>
        <v>USR-10032745787ControlWestDesktopEmailBasic000000059.8</v>
      </c>
      <c r="S328" s="22" t="str">
        <f>IF(COUNTIF($R$2:$R$1409,R328)=1,"OK",IF(COUNTIF($R$2:$R$1409,R328)&gt;1,"Exact Duplicate","Review Required"))</f>
        <v>OK</v>
      </c>
      <c r="T328" s="22" t="s">
        <v>19</v>
      </c>
      <c r="U328" s="22" t="s">
        <v>20</v>
      </c>
      <c r="V328" s="22"/>
    </row>
    <row r="329" spans="1:22" ht="41.4">
      <c r="A329" s="22" t="s">
        <v>359</v>
      </c>
      <c r="B329" s="25">
        <v>45776</v>
      </c>
      <c r="C329" s="22" t="s">
        <v>17</v>
      </c>
      <c r="D329" s="22" t="s">
        <v>23</v>
      </c>
      <c r="E329" s="22" t="s">
        <v>19</v>
      </c>
      <c r="F329" s="22" t="s">
        <v>29</v>
      </c>
      <c r="G329" s="22" t="s">
        <v>26</v>
      </c>
      <c r="H329" s="22">
        <v>1</v>
      </c>
      <c r="I329" s="22">
        <v>0</v>
      </c>
      <c r="J329" s="22">
        <v>0</v>
      </c>
      <c r="K329" s="22">
        <v>0</v>
      </c>
      <c r="L329" s="22">
        <v>0</v>
      </c>
      <c r="M329" s="22">
        <v>0</v>
      </c>
      <c r="N329" s="22">
        <v>0</v>
      </c>
      <c r="O329" s="22"/>
      <c r="P329" s="22">
        <v>64.900000000000006</v>
      </c>
      <c r="Q329" s="22" t="str">
        <f>IF(OR(L329&lt;$Y$18,L329&gt;$Y$19),"Outlier","Normal")</f>
        <v>Normal</v>
      </c>
      <c r="R329" s="26" t="str">
        <f>A329&amp;B329&amp;C329&amp;D329&amp;E329&amp;F329&amp;G329&amp;H329&amp;I329&amp;J329&amp;K329&amp;L329&amp;M329&amp;N329&amp;O329&amp;P329</f>
        <v>USR-10032845776ControlWestDesktopPaid SearchFree100000064.9</v>
      </c>
      <c r="S329" s="22" t="str">
        <f>IF(COUNTIF($R$2:$R$1409,R329)=1,"OK",IF(COUNTIF($R$2:$R$1409,R329)&gt;1,"Exact Duplicate","Review Required"))</f>
        <v>OK</v>
      </c>
      <c r="T329" s="22" t="s">
        <v>19</v>
      </c>
      <c r="U329" s="22" t="s">
        <v>29</v>
      </c>
      <c r="V329" s="22"/>
    </row>
    <row r="330" spans="1:22" ht="41.4">
      <c r="A330" s="22" t="s">
        <v>360</v>
      </c>
      <c r="B330" s="25">
        <v>45715</v>
      </c>
      <c r="C330" s="22" t="s">
        <v>17</v>
      </c>
      <c r="D330" s="22" t="s">
        <v>32</v>
      </c>
      <c r="E330" s="22" t="s">
        <v>24</v>
      </c>
      <c r="F330" s="22" t="s">
        <v>29</v>
      </c>
      <c r="G330" s="22" t="s">
        <v>26</v>
      </c>
      <c r="H330" s="22">
        <v>1</v>
      </c>
      <c r="I330" s="22">
        <v>0</v>
      </c>
      <c r="J330" s="22">
        <v>0</v>
      </c>
      <c r="K330" s="22">
        <v>0</v>
      </c>
      <c r="L330" s="22">
        <v>0</v>
      </c>
      <c r="M330" s="22">
        <v>0</v>
      </c>
      <c r="N330" s="22">
        <v>0</v>
      </c>
      <c r="O330" s="22"/>
      <c r="P330" s="22">
        <v>66.8</v>
      </c>
      <c r="Q330" s="22" t="str">
        <f>IF(OR(L330&lt;$Y$18,L330&gt;$Y$19),"Outlier","Normal")</f>
        <v>Normal</v>
      </c>
      <c r="R330" s="26" t="str">
        <f>A330&amp;B330&amp;C330&amp;D330&amp;E330&amp;F330&amp;G330&amp;H330&amp;I330&amp;J330&amp;K330&amp;L330&amp;M330&amp;N330&amp;O330&amp;P330</f>
        <v>USR-10032945715ControlSouthMobilePaid SearchFree100000066.8</v>
      </c>
      <c r="S330" s="22" t="str">
        <f>IF(COUNTIF($R$2:$R$1409,R330)=1,"OK",IF(COUNTIF($R$2:$R$1409,R330)&gt;1,"Exact Duplicate","Review Required"))</f>
        <v>OK</v>
      </c>
      <c r="T330" s="22" t="s">
        <v>24</v>
      </c>
      <c r="U330" s="22" t="s">
        <v>29</v>
      </c>
      <c r="V330" s="22"/>
    </row>
    <row r="331" spans="1:22" ht="41.4">
      <c r="A331" s="22" t="s">
        <v>361</v>
      </c>
      <c r="B331" s="25">
        <v>45757</v>
      </c>
      <c r="C331" s="22" t="s">
        <v>17</v>
      </c>
      <c r="D331" s="22" t="s">
        <v>18</v>
      </c>
      <c r="E331" s="22" t="s">
        <v>19</v>
      </c>
      <c r="F331" s="22" t="s">
        <v>25</v>
      </c>
      <c r="G331" s="22" t="s">
        <v>30</v>
      </c>
      <c r="H331" s="22">
        <v>0</v>
      </c>
      <c r="I331" s="22">
        <v>0</v>
      </c>
      <c r="J331" s="22">
        <v>0</v>
      </c>
      <c r="K331" s="22">
        <v>0</v>
      </c>
      <c r="L331" s="22">
        <v>0</v>
      </c>
      <c r="M331" s="22">
        <v>0</v>
      </c>
      <c r="N331" s="22">
        <v>0</v>
      </c>
      <c r="O331" s="22"/>
      <c r="P331" s="22">
        <v>70.900000000000006</v>
      </c>
      <c r="Q331" s="22" t="str">
        <f>IF(OR(L331&lt;$Y$18,L331&gt;$Y$19),"Outlier","Normal")</f>
        <v>Normal</v>
      </c>
      <c r="R331" s="26" t="str">
        <f>A331&amp;B331&amp;C331&amp;D331&amp;E331&amp;F331&amp;G331&amp;H331&amp;I331&amp;J331&amp;K331&amp;L331&amp;M331&amp;N331&amp;O331&amp;P331</f>
        <v>USR-10033045757ControlNorthDesktopOrganicPremium000000070.9</v>
      </c>
      <c r="S331" s="22" t="str">
        <f>IF(COUNTIF($R$2:$R$1409,R331)=1,"OK",IF(COUNTIF($R$2:$R$1409,R331)&gt;1,"Exact Duplicate","Review Required"))</f>
        <v>OK</v>
      </c>
      <c r="T331" s="22" t="s">
        <v>19</v>
      </c>
      <c r="U331" s="22" t="s">
        <v>25</v>
      </c>
      <c r="V331" s="22"/>
    </row>
    <row r="332" spans="1:22" ht="41.4">
      <c r="A332" s="22" t="s">
        <v>362</v>
      </c>
      <c r="B332" s="25">
        <v>45701</v>
      </c>
      <c r="C332" s="22" t="s">
        <v>17</v>
      </c>
      <c r="D332" s="22" t="s">
        <v>28</v>
      </c>
      <c r="E332" s="22" t="s">
        <v>24</v>
      </c>
      <c r="F332" s="22" t="s">
        <v>25</v>
      </c>
      <c r="G332" s="22" t="s">
        <v>26</v>
      </c>
      <c r="H332" s="22">
        <v>1</v>
      </c>
      <c r="I332" s="22">
        <v>1</v>
      </c>
      <c r="J332" s="22">
        <v>1</v>
      </c>
      <c r="K332" s="22">
        <v>1</v>
      </c>
      <c r="L332" s="22">
        <v>426.82</v>
      </c>
      <c r="M332" s="22">
        <v>1</v>
      </c>
      <c r="N332" s="22">
        <v>0</v>
      </c>
      <c r="O332" s="22">
        <v>14</v>
      </c>
      <c r="P332" s="22">
        <v>68.8</v>
      </c>
      <c r="Q332" s="22" t="str">
        <f>IF(OR(L332&lt;$Y$18,L332&gt;$Y$19),"Outlier","Normal")</f>
        <v>Normal</v>
      </c>
      <c r="R332" s="26" t="str">
        <f>A332&amp;B332&amp;C332&amp;D332&amp;E332&amp;F332&amp;G332&amp;H332&amp;I332&amp;J332&amp;K332&amp;L332&amp;M332&amp;N332&amp;O332&amp;P332</f>
        <v>USR-10033145701ControlEastMobileOrganicFree1111426.82101468.8</v>
      </c>
      <c r="S332" s="22" t="str">
        <f>IF(COUNTIF($R$2:$R$1409,R332)=1,"OK",IF(COUNTIF($R$2:$R$1409,R332)&gt;1,"Exact Duplicate","Review Required"))</f>
        <v>OK</v>
      </c>
      <c r="T332" s="22" t="s">
        <v>24</v>
      </c>
      <c r="U332" s="22" t="s">
        <v>25</v>
      </c>
      <c r="V332" s="22"/>
    </row>
    <row r="333" spans="1:22" ht="41.4">
      <c r="A333" s="22" t="s">
        <v>363</v>
      </c>
      <c r="B333" s="25">
        <v>45780</v>
      </c>
      <c r="C333" s="22" t="s">
        <v>17</v>
      </c>
      <c r="D333" s="22" t="s">
        <v>18</v>
      </c>
      <c r="E333" s="22" t="s">
        <v>24</v>
      </c>
      <c r="F333" s="22" t="s">
        <v>25</v>
      </c>
      <c r="G333" s="22" t="s">
        <v>21</v>
      </c>
      <c r="H333" s="22">
        <v>1</v>
      </c>
      <c r="I333" s="22">
        <v>0</v>
      </c>
      <c r="J333" s="22">
        <v>0</v>
      </c>
      <c r="K333" s="22">
        <v>0</v>
      </c>
      <c r="L333" s="22">
        <v>0</v>
      </c>
      <c r="M333" s="22">
        <v>0</v>
      </c>
      <c r="N333" s="22">
        <v>0</v>
      </c>
      <c r="O333" s="22"/>
      <c r="P333" s="22">
        <v>72.400000000000006</v>
      </c>
      <c r="Q333" s="22" t="str">
        <f>IF(OR(L333&lt;$Y$18,L333&gt;$Y$19),"Outlier","Normal")</f>
        <v>Normal</v>
      </c>
      <c r="R333" s="26" t="str">
        <f>A333&amp;B333&amp;C333&amp;D333&amp;E333&amp;F333&amp;G333&amp;H333&amp;I333&amp;J333&amp;K333&amp;L333&amp;M333&amp;N333&amp;O333&amp;P333</f>
        <v>USR-10033245780ControlNorthMobileOrganicBasic100000072.4</v>
      </c>
      <c r="S333" s="22" t="str">
        <f>IF(COUNTIF($R$2:$R$1409,R333)=1,"OK",IF(COUNTIF($R$2:$R$1409,R333)&gt;1,"Exact Duplicate","Review Required"))</f>
        <v>OK</v>
      </c>
      <c r="T333" s="22" t="s">
        <v>24</v>
      </c>
      <c r="U333" s="22" t="s">
        <v>25</v>
      </c>
      <c r="V333" s="22"/>
    </row>
    <row r="334" spans="1:22" ht="41.4">
      <c r="A334" s="22" t="s">
        <v>364</v>
      </c>
      <c r="B334" s="25">
        <v>45726</v>
      </c>
      <c r="C334" s="22" t="s">
        <v>17</v>
      </c>
      <c r="D334" s="22" t="s">
        <v>28</v>
      </c>
      <c r="E334" s="22" t="s">
        <v>24</v>
      </c>
      <c r="F334" s="22" t="s">
        <v>25</v>
      </c>
      <c r="G334" s="22" t="s">
        <v>21</v>
      </c>
      <c r="H334" s="22">
        <v>0</v>
      </c>
      <c r="I334" s="22">
        <v>0</v>
      </c>
      <c r="J334" s="22">
        <v>0</v>
      </c>
      <c r="K334" s="22">
        <v>0</v>
      </c>
      <c r="L334" s="22">
        <v>0</v>
      </c>
      <c r="M334" s="22">
        <v>0</v>
      </c>
      <c r="N334" s="22">
        <v>0</v>
      </c>
      <c r="O334" s="22"/>
      <c r="P334" s="22">
        <v>63.3</v>
      </c>
      <c r="Q334" s="22" t="str">
        <f>IF(OR(L334&lt;$Y$18,L334&gt;$Y$19),"Outlier","Normal")</f>
        <v>Normal</v>
      </c>
      <c r="R334" s="26" t="str">
        <f>A334&amp;B334&amp;C334&amp;D334&amp;E334&amp;F334&amp;G334&amp;H334&amp;I334&amp;J334&amp;K334&amp;L334&amp;M334&amp;N334&amp;O334&amp;P334</f>
        <v>USR-10033345726ControlEastMobileOrganicBasic000000063.3</v>
      </c>
      <c r="S334" s="22" t="str">
        <f>IF(COUNTIF($R$2:$R$1409,R334)=1,"OK",IF(COUNTIF($R$2:$R$1409,R334)&gt;1,"Exact Duplicate","Review Required"))</f>
        <v>OK</v>
      </c>
      <c r="T334" s="22" t="s">
        <v>24</v>
      </c>
      <c r="U334" s="22" t="s">
        <v>25</v>
      </c>
      <c r="V334" s="22"/>
    </row>
    <row r="335" spans="1:22" ht="41.4">
      <c r="A335" s="22" t="s">
        <v>365</v>
      </c>
      <c r="B335" s="25">
        <v>45667</v>
      </c>
      <c r="C335" s="22" t="s">
        <v>17</v>
      </c>
      <c r="D335" s="22" t="s">
        <v>23</v>
      </c>
      <c r="E335" s="22" t="s">
        <v>34</v>
      </c>
      <c r="F335" s="22" t="s">
        <v>41</v>
      </c>
      <c r="G335" s="22" t="s">
        <v>26</v>
      </c>
      <c r="H335" s="22">
        <v>1</v>
      </c>
      <c r="I335" s="22">
        <v>0</v>
      </c>
      <c r="J335" s="22">
        <v>0</v>
      </c>
      <c r="K335" s="22">
        <v>0</v>
      </c>
      <c r="L335" s="22">
        <v>0</v>
      </c>
      <c r="M335" s="22">
        <v>0</v>
      </c>
      <c r="N335" s="22">
        <v>0</v>
      </c>
      <c r="O335" s="22"/>
      <c r="P335" s="22">
        <v>30.8</v>
      </c>
      <c r="Q335" s="22" t="str">
        <f>IF(OR(L335&lt;$Y$18,L335&gt;$Y$19),"Outlier","Normal")</f>
        <v>Normal</v>
      </c>
      <c r="R335" s="26" t="str">
        <f>A335&amp;B335&amp;C335&amp;D335&amp;E335&amp;F335&amp;G335&amp;H335&amp;I335&amp;J335&amp;K335&amp;L335&amp;M335&amp;N335&amp;O335&amp;P335</f>
        <v>USR-10033445667ControlWestTabletSocialFree100000030.8</v>
      </c>
      <c r="S335" s="22" t="str">
        <f>IF(COUNTIF($R$2:$R$1409,R335)=1,"OK",IF(COUNTIF($R$2:$R$1409,R335)&gt;1,"Exact Duplicate","Review Required"))</f>
        <v>OK</v>
      </c>
      <c r="T335" s="22" t="s">
        <v>34</v>
      </c>
      <c r="U335" s="22" t="s">
        <v>41</v>
      </c>
      <c r="V335" s="22"/>
    </row>
    <row r="336" spans="1:22" ht="41.4">
      <c r="A336" s="22" t="s">
        <v>366</v>
      </c>
      <c r="B336" s="25">
        <v>45673</v>
      </c>
      <c r="C336" s="22" t="s">
        <v>17</v>
      </c>
      <c r="D336" s="22" t="s">
        <v>32</v>
      </c>
      <c r="E336" s="22" t="s">
        <v>24</v>
      </c>
      <c r="F336" s="22" t="s">
        <v>20</v>
      </c>
      <c r="G336" s="22" t="s">
        <v>21</v>
      </c>
      <c r="H336" s="22">
        <v>1</v>
      </c>
      <c r="I336" s="22">
        <v>1</v>
      </c>
      <c r="J336" s="22">
        <v>1</v>
      </c>
      <c r="K336" s="22">
        <v>1</v>
      </c>
      <c r="L336" s="22">
        <v>874.55</v>
      </c>
      <c r="M336" s="22">
        <v>0</v>
      </c>
      <c r="N336" s="22">
        <v>0</v>
      </c>
      <c r="O336" s="22">
        <v>9</v>
      </c>
      <c r="P336" s="22">
        <v>44.2</v>
      </c>
      <c r="Q336" s="22" t="str">
        <f>IF(OR(L336&lt;$Y$18,L336&gt;$Y$19),"Outlier","Normal")</f>
        <v>Normal</v>
      </c>
      <c r="R336" s="26" t="str">
        <f>A336&amp;B336&amp;C336&amp;D336&amp;E336&amp;F336&amp;G336&amp;H336&amp;I336&amp;J336&amp;K336&amp;L336&amp;M336&amp;N336&amp;O336&amp;P336</f>
        <v>USR-10033545673ControlSouthMobileEmailBasic1111874.5500944.2</v>
      </c>
      <c r="S336" s="22" t="str">
        <f>IF(COUNTIF($R$2:$R$1409,R336)=1,"OK",IF(COUNTIF($R$2:$R$1409,R336)&gt;1,"Exact Duplicate","Review Required"))</f>
        <v>OK</v>
      </c>
      <c r="T336" s="22" t="s">
        <v>24</v>
      </c>
      <c r="U336" s="22" t="s">
        <v>20</v>
      </c>
      <c r="V336" s="22"/>
    </row>
    <row r="337" spans="1:22" ht="55.2">
      <c r="A337" s="22" t="s">
        <v>367</v>
      </c>
      <c r="B337" s="25">
        <v>45699</v>
      </c>
      <c r="C337" s="22" t="s">
        <v>17</v>
      </c>
      <c r="D337" s="22" t="s">
        <v>32</v>
      </c>
      <c r="E337" s="22" t="s">
        <v>19</v>
      </c>
      <c r="F337" s="22" t="s">
        <v>25</v>
      </c>
      <c r="G337" s="22" t="s">
        <v>30</v>
      </c>
      <c r="H337" s="22">
        <v>1</v>
      </c>
      <c r="I337" s="22">
        <v>1</v>
      </c>
      <c r="J337" s="22">
        <v>1</v>
      </c>
      <c r="K337" s="22">
        <v>1</v>
      </c>
      <c r="L337" s="22">
        <v>2206.88</v>
      </c>
      <c r="M337" s="22">
        <v>0</v>
      </c>
      <c r="N337" s="22">
        <v>0</v>
      </c>
      <c r="O337" s="22">
        <v>10</v>
      </c>
      <c r="P337" s="22">
        <v>56.2</v>
      </c>
      <c r="Q337" s="22" t="str">
        <f>IF(OR(L337&lt;$Y$18,L337&gt;$Y$19),"Outlier","Normal")</f>
        <v>Normal</v>
      </c>
      <c r="R337" s="26" t="str">
        <f>A337&amp;B337&amp;C337&amp;D337&amp;E337&amp;F337&amp;G337&amp;H337&amp;I337&amp;J337&amp;K337&amp;L337&amp;M337&amp;N337&amp;O337&amp;P337</f>
        <v>USR-10033645699ControlSouthDesktopOrganicPremium11112206.88001056.2</v>
      </c>
      <c r="S337" s="22" t="str">
        <f>IF(COUNTIF($R$2:$R$1409,R337)=1,"OK",IF(COUNTIF($R$2:$R$1409,R337)&gt;1,"Exact Duplicate","Review Required"))</f>
        <v>OK</v>
      </c>
      <c r="T337" s="22" t="s">
        <v>19</v>
      </c>
      <c r="U337" s="22" t="s">
        <v>25</v>
      </c>
      <c r="V337" s="22"/>
    </row>
    <row r="338" spans="1:22" ht="41.4">
      <c r="A338" s="22" t="s">
        <v>368</v>
      </c>
      <c r="B338" s="25">
        <v>45760</v>
      </c>
      <c r="C338" s="22" t="s">
        <v>17</v>
      </c>
      <c r="D338" s="22" t="s">
        <v>23</v>
      </c>
      <c r="E338" s="22" t="s">
        <v>24</v>
      </c>
      <c r="F338" s="22" t="s">
        <v>25</v>
      </c>
      <c r="G338" s="22" t="s">
        <v>26</v>
      </c>
      <c r="H338" s="22">
        <v>0</v>
      </c>
      <c r="I338" s="22">
        <v>0</v>
      </c>
      <c r="J338" s="22">
        <v>0</v>
      </c>
      <c r="K338" s="22">
        <v>0</v>
      </c>
      <c r="L338" s="22">
        <v>0</v>
      </c>
      <c r="M338" s="22">
        <v>0</v>
      </c>
      <c r="N338" s="22">
        <v>0</v>
      </c>
      <c r="O338" s="22"/>
      <c r="P338" s="22">
        <v>40.4</v>
      </c>
      <c r="Q338" s="22" t="str">
        <f>IF(OR(L338&lt;$Y$18,L338&gt;$Y$19),"Outlier","Normal")</f>
        <v>Normal</v>
      </c>
      <c r="R338" s="26" t="str">
        <f>A338&amp;B338&amp;C338&amp;D338&amp;E338&amp;F338&amp;G338&amp;H338&amp;I338&amp;J338&amp;K338&amp;L338&amp;M338&amp;N338&amp;O338&amp;P338</f>
        <v>USR-10033745760ControlWestMobileOrganicFree000000040.4</v>
      </c>
      <c r="S338" s="22" t="str">
        <f>IF(COUNTIF($R$2:$R$1409,R338)=1,"OK",IF(COUNTIF($R$2:$R$1409,R338)&gt;1,"Exact Duplicate","Review Required"))</f>
        <v>OK</v>
      </c>
      <c r="T338" s="22" t="s">
        <v>24</v>
      </c>
      <c r="U338" s="22" t="s">
        <v>25</v>
      </c>
      <c r="V338" s="22"/>
    </row>
    <row r="339" spans="1:22" ht="41.4">
      <c r="A339" s="22" t="s">
        <v>369</v>
      </c>
      <c r="B339" s="25">
        <v>45696</v>
      </c>
      <c r="C339" s="22" t="s">
        <v>17</v>
      </c>
      <c r="D339" s="22" t="s">
        <v>28</v>
      </c>
      <c r="E339" s="22" t="s">
        <v>24</v>
      </c>
      <c r="F339" s="22" t="s">
        <v>29</v>
      </c>
      <c r="G339" s="22" t="s">
        <v>26</v>
      </c>
      <c r="H339" s="22">
        <v>1</v>
      </c>
      <c r="I339" s="22">
        <v>1</v>
      </c>
      <c r="J339" s="22">
        <v>1</v>
      </c>
      <c r="K339" s="22">
        <v>0</v>
      </c>
      <c r="L339" s="22">
        <v>0</v>
      </c>
      <c r="M339" s="22">
        <v>0</v>
      </c>
      <c r="N339" s="22">
        <v>0</v>
      </c>
      <c r="O339" s="22"/>
      <c r="P339" s="22">
        <v>68.099999999999994</v>
      </c>
      <c r="Q339" s="22" t="str">
        <f>IF(OR(L339&lt;$Y$18,L339&gt;$Y$19),"Outlier","Normal")</f>
        <v>Normal</v>
      </c>
      <c r="R339" s="26" t="str">
        <f>A339&amp;B339&amp;C339&amp;D339&amp;E339&amp;F339&amp;G339&amp;H339&amp;I339&amp;J339&amp;K339&amp;L339&amp;M339&amp;N339&amp;O339&amp;P339</f>
        <v>USR-10033845696ControlEastMobilePaid SearchFree111000068.1</v>
      </c>
      <c r="S339" s="22" t="str">
        <f>IF(COUNTIF($R$2:$R$1409,R339)=1,"OK",IF(COUNTIF($R$2:$R$1409,R339)&gt;1,"Exact Duplicate","Review Required"))</f>
        <v>OK</v>
      </c>
      <c r="T339" s="22" t="s">
        <v>24</v>
      </c>
      <c r="U339" s="22" t="s">
        <v>29</v>
      </c>
      <c r="V339" s="22"/>
    </row>
    <row r="340" spans="1:22" ht="41.4">
      <c r="A340" s="22" t="s">
        <v>370</v>
      </c>
      <c r="B340" s="25">
        <v>45747</v>
      </c>
      <c r="C340" s="22" t="s">
        <v>17</v>
      </c>
      <c r="D340" s="22" t="s">
        <v>23</v>
      </c>
      <c r="E340" s="22" t="s">
        <v>19</v>
      </c>
      <c r="F340" s="22" t="s">
        <v>39</v>
      </c>
      <c r="G340" s="22" t="s">
        <v>26</v>
      </c>
      <c r="H340" s="22">
        <v>1</v>
      </c>
      <c r="I340" s="22">
        <v>0</v>
      </c>
      <c r="J340" s="22">
        <v>0</v>
      </c>
      <c r="K340" s="22">
        <v>0</v>
      </c>
      <c r="L340" s="22">
        <v>0</v>
      </c>
      <c r="M340" s="22">
        <v>0</v>
      </c>
      <c r="N340" s="22">
        <v>0</v>
      </c>
      <c r="O340" s="22"/>
      <c r="P340" s="22">
        <v>86.3</v>
      </c>
      <c r="Q340" s="22" t="str">
        <f>IF(OR(L340&lt;$Y$18,L340&gt;$Y$19),"Outlier","Normal")</f>
        <v>Normal</v>
      </c>
      <c r="R340" s="26" t="str">
        <f>A340&amp;B340&amp;C340&amp;D340&amp;E340&amp;F340&amp;G340&amp;H340&amp;I340&amp;J340&amp;K340&amp;L340&amp;M340&amp;N340&amp;O340&amp;P340</f>
        <v>USR-10033945747ControlWestDesktopReferralFree100000086.3</v>
      </c>
      <c r="S340" s="22" t="str">
        <f>IF(COUNTIF($R$2:$R$1409,R340)=1,"OK",IF(COUNTIF($R$2:$R$1409,R340)&gt;1,"Exact Duplicate","Review Required"))</f>
        <v>OK</v>
      </c>
      <c r="T340" s="22" t="s">
        <v>19</v>
      </c>
      <c r="U340" s="22" t="s">
        <v>39</v>
      </c>
      <c r="V340" s="22"/>
    </row>
    <row r="341" spans="1:22" ht="41.4">
      <c r="A341" s="22" t="s">
        <v>371</v>
      </c>
      <c r="B341" s="25">
        <v>45688</v>
      </c>
      <c r="C341" s="22" t="s">
        <v>17</v>
      </c>
      <c r="D341" s="22" t="s">
        <v>23</v>
      </c>
      <c r="E341" s="22" t="s">
        <v>19</v>
      </c>
      <c r="F341" s="22" t="s">
        <v>39</v>
      </c>
      <c r="G341" s="22" t="s">
        <v>26</v>
      </c>
      <c r="H341" s="22">
        <v>1</v>
      </c>
      <c r="I341" s="22">
        <v>1</v>
      </c>
      <c r="J341" s="22">
        <v>0</v>
      </c>
      <c r="K341" s="22">
        <v>0</v>
      </c>
      <c r="L341" s="22">
        <v>0</v>
      </c>
      <c r="M341" s="22">
        <v>0</v>
      </c>
      <c r="N341" s="22">
        <v>0</v>
      </c>
      <c r="O341" s="22"/>
      <c r="P341" s="22">
        <v>42.9</v>
      </c>
      <c r="Q341" s="22" t="str">
        <f>IF(OR(L341&lt;$Y$18,L341&gt;$Y$19),"Outlier","Normal")</f>
        <v>Normal</v>
      </c>
      <c r="R341" s="26" t="str">
        <f>A341&amp;B341&amp;C341&amp;D341&amp;E341&amp;F341&amp;G341&amp;H341&amp;I341&amp;J341&amp;K341&amp;L341&amp;M341&amp;N341&amp;O341&amp;P341</f>
        <v>USR-10034045688ControlWestDesktopReferralFree110000042.9</v>
      </c>
      <c r="S341" s="22" t="str">
        <f>IF(COUNTIF($R$2:$R$1409,R341)=1,"OK",IF(COUNTIF($R$2:$R$1409,R341)&gt;1,"Exact Duplicate","Review Required"))</f>
        <v>OK</v>
      </c>
      <c r="T341" s="22" t="s">
        <v>19</v>
      </c>
      <c r="U341" s="22" t="s">
        <v>39</v>
      </c>
      <c r="V341" s="22"/>
    </row>
    <row r="342" spans="1:22" ht="41.4">
      <c r="A342" s="22" t="s">
        <v>372</v>
      </c>
      <c r="B342" s="25">
        <v>45785</v>
      </c>
      <c r="C342" s="22" t="s">
        <v>17</v>
      </c>
      <c r="D342" s="22" t="s">
        <v>23</v>
      </c>
      <c r="E342" s="22" t="s">
        <v>34</v>
      </c>
      <c r="F342" s="22" t="s">
        <v>25</v>
      </c>
      <c r="G342" s="22" t="s">
        <v>26</v>
      </c>
      <c r="H342" s="22">
        <v>0</v>
      </c>
      <c r="I342" s="22">
        <v>0</v>
      </c>
      <c r="J342" s="22">
        <v>0</v>
      </c>
      <c r="K342" s="22">
        <v>0</v>
      </c>
      <c r="L342" s="22">
        <v>0</v>
      </c>
      <c r="M342" s="22">
        <v>0</v>
      </c>
      <c r="N342" s="22">
        <v>0</v>
      </c>
      <c r="O342" s="22"/>
      <c r="P342" s="22">
        <v>61.4</v>
      </c>
      <c r="Q342" s="22" t="str">
        <f>IF(OR(L342&lt;$Y$18,L342&gt;$Y$19),"Outlier","Normal")</f>
        <v>Normal</v>
      </c>
      <c r="R342" s="26" t="str">
        <f>A342&amp;B342&amp;C342&amp;D342&amp;E342&amp;F342&amp;G342&amp;H342&amp;I342&amp;J342&amp;K342&amp;L342&amp;M342&amp;N342&amp;O342&amp;P342</f>
        <v>USR-10034145785ControlWestTabletOrganicFree000000061.4</v>
      </c>
      <c r="S342" s="22" t="str">
        <f>IF(COUNTIF($R$2:$R$1409,R342)=1,"OK",IF(COUNTIF($R$2:$R$1409,R342)&gt;1,"Exact Duplicate","Review Required"))</f>
        <v>OK</v>
      </c>
      <c r="T342" s="22" t="s">
        <v>34</v>
      </c>
      <c r="U342" s="22" t="s">
        <v>25</v>
      </c>
      <c r="V342" s="22"/>
    </row>
    <row r="343" spans="1:22" ht="41.4">
      <c r="A343" s="22" t="s">
        <v>373</v>
      </c>
      <c r="B343" s="25">
        <v>45731</v>
      </c>
      <c r="C343" s="22" t="s">
        <v>17</v>
      </c>
      <c r="D343" s="22" t="s">
        <v>18</v>
      </c>
      <c r="E343" s="22" t="s">
        <v>24</v>
      </c>
      <c r="F343" s="22" t="s">
        <v>29</v>
      </c>
      <c r="G343" s="22" t="s">
        <v>26</v>
      </c>
      <c r="H343" s="22">
        <v>1</v>
      </c>
      <c r="I343" s="22">
        <v>0</v>
      </c>
      <c r="J343" s="22">
        <v>0</v>
      </c>
      <c r="K343" s="22">
        <v>0</v>
      </c>
      <c r="L343" s="22">
        <v>0</v>
      </c>
      <c r="M343" s="22">
        <v>1</v>
      </c>
      <c r="N343" s="22">
        <v>0</v>
      </c>
      <c r="O343" s="22"/>
      <c r="P343" s="22">
        <v>73.3</v>
      </c>
      <c r="Q343" s="22" t="str">
        <f>IF(OR(L343&lt;$Y$18,L343&gt;$Y$19),"Outlier","Normal")</f>
        <v>Normal</v>
      </c>
      <c r="R343" s="26" t="str">
        <f>A343&amp;B343&amp;C343&amp;D343&amp;E343&amp;F343&amp;G343&amp;H343&amp;I343&amp;J343&amp;K343&amp;L343&amp;M343&amp;N343&amp;O343&amp;P343</f>
        <v>USR-10034245731ControlNorthMobilePaid SearchFree100001073.3</v>
      </c>
      <c r="S343" s="22" t="str">
        <f>IF(COUNTIF($R$2:$R$1409,R343)=1,"OK",IF(COUNTIF($R$2:$R$1409,R343)&gt;1,"Exact Duplicate","Review Required"))</f>
        <v>OK</v>
      </c>
      <c r="T343" s="22" t="s">
        <v>24</v>
      </c>
      <c r="U343" s="22" t="s">
        <v>29</v>
      </c>
      <c r="V343" s="22"/>
    </row>
    <row r="344" spans="1:22" ht="41.4">
      <c r="A344" s="22" t="s">
        <v>374</v>
      </c>
      <c r="B344" s="25">
        <v>45670</v>
      </c>
      <c r="C344" s="22" t="s">
        <v>17</v>
      </c>
      <c r="D344" s="22" t="s">
        <v>32</v>
      </c>
      <c r="E344" s="22" t="s">
        <v>24</v>
      </c>
      <c r="F344" s="22" t="s">
        <v>39</v>
      </c>
      <c r="G344" s="22" t="s">
        <v>21</v>
      </c>
      <c r="H344" s="22">
        <v>1</v>
      </c>
      <c r="I344" s="22">
        <v>0</v>
      </c>
      <c r="J344" s="22">
        <v>0</v>
      </c>
      <c r="K344" s="22">
        <v>0</v>
      </c>
      <c r="L344" s="22">
        <v>0</v>
      </c>
      <c r="M344" s="22">
        <v>0</v>
      </c>
      <c r="N344" s="22">
        <v>0</v>
      </c>
      <c r="O344" s="22"/>
      <c r="P344" s="22">
        <v>59.4</v>
      </c>
      <c r="Q344" s="22" t="str">
        <f>IF(OR(L344&lt;$Y$18,L344&gt;$Y$19),"Outlier","Normal")</f>
        <v>Normal</v>
      </c>
      <c r="R344" s="26" t="str">
        <f>A344&amp;B344&amp;C344&amp;D344&amp;E344&amp;F344&amp;G344&amp;H344&amp;I344&amp;J344&amp;K344&amp;L344&amp;M344&amp;N344&amp;O344&amp;P344</f>
        <v>USR-10034345670ControlSouthMobileReferralBasic100000059.4</v>
      </c>
      <c r="S344" s="22" t="str">
        <f>IF(COUNTIF($R$2:$R$1409,R344)=1,"OK",IF(COUNTIF($R$2:$R$1409,R344)&gt;1,"Exact Duplicate","Review Required"))</f>
        <v>OK</v>
      </c>
      <c r="T344" s="22" t="s">
        <v>24</v>
      </c>
      <c r="U344" s="22" t="s">
        <v>39</v>
      </c>
      <c r="V344" s="22"/>
    </row>
    <row r="345" spans="1:22" ht="41.4">
      <c r="A345" s="22" t="s">
        <v>375</v>
      </c>
      <c r="B345" s="25">
        <v>45723</v>
      </c>
      <c r="C345" s="22" t="s">
        <v>17</v>
      </c>
      <c r="D345" s="22" t="s">
        <v>32</v>
      </c>
      <c r="E345" s="22" t="s">
        <v>34</v>
      </c>
      <c r="F345" s="22" t="s">
        <v>25</v>
      </c>
      <c r="G345" s="22" t="s">
        <v>21</v>
      </c>
      <c r="H345" s="22">
        <v>1</v>
      </c>
      <c r="I345" s="22">
        <v>0</v>
      </c>
      <c r="J345" s="22">
        <v>0</v>
      </c>
      <c r="K345" s="22">
        <v>0</v>
      </c>
      <c r="L345" s="22">
        <v>0</v>
      </c>
      <c r="M345" s="22">
        <v>0</v>
      </c>
      <c r="N345" s="22">
        <v>0</v>
      </c>
      <c r="O345" s="22"/>
      <c r="P345" s="22">
        <v>35.200000000000003</v>
      </c>
      <c r="Q345" s="22" t="str">
        <f>IF(OR(L345&lt;$Y$18,L345&gt;$Y$19),"Outlier","Normal")</f>
        <v>Normal</v>
      </c>
      <c r="R345" s="26" t="str">
        <f>A345&amp;B345&amp;C345&amp;D345&amp;E345&amp;F345&amp;G345&amp;H345&amp;I345&amp;J345&amp;K345&amp;L345&amp;M345&amp;N345&amp;O345&amp;P345</f>
        <v>USR-10034445723ControlSouthTabletOrganicBasic100000035.2</v>
      </c>
      <c r="S345" s="22" t="str">
        <f>IF(COUNTIF($R$2:$R$1409,R345)=1,"OK",IF(COUNTIF($R$2:$R$1409,R345)&gt;1,"Exact Duplicate","Review Required"))</f>
        <v>OK</v>
      </c>
      <c r="T345" s="22" t="s">
        <v>34</v>
      </c>
      <c r="U345" s="22" t="s">
        <v>25</v>
      </c>
      <c r="V345" s="22"/>
    </row>
    <row r="346" spans="1:22" ht="41.4">
      <c r="A346" s="22" t="s">
        <v>376</v>
      </c>
      <c r="B346" s="25">
        <v>45698</v>
      </c>
      <c r="C346" s="22" t="s">
        <v>17</v>
      </c>
      <c r="D346" s="22" t="s">
        <v>32</v>
      </c>
      <c r="E346" s="22" t="s">
        <v>24</v>
      </c>
      <c r="F346" s="22" t="s">
        <v>41</v>
      </c>
      <c r="G346" s="22" t="s">
        <v>30</v>
      </c>
      <c r="H346" s="22">
        <v>1</v>
      </c>
      <c r="I346" s="22">
        <v>1</v>
      </c>
      <c r="J346" s="22">
        <v>0</v>
      </c>
      <c r="K346" s="22">
        <v>0</v>
      </c>
      <c r="L346" s="22">
        <v>0</v>
      </c>
      <c r="M346" s="22">
        <v>0</v>
      </c>
      <c r="N346" s="22">
        <v>0</v>
      </c>
      <c r="O346" s="22"/>
      <c r="P346" s="22">
        <v>55.3</v>
      </c>
      <c r="Q346" s="22" t="str">
        <f>IF(OR(L346&lt;$Y$18,L346&gt;$Y$19),"Outlier","Normal")</f>
        <v>Normal</v>
      </c>
      <c r="R346" s="26" t="str">
        <f>A346&amp;B346&amp;C346&amp;D346&amp;E346&amp;F346&amp;G346&amp;H346&amp;I346&amp;J346&amp;K346&amp;L346&amp;M346&amp;N346&amp;O346&amp;P346</f>
        <v>USR-10034545698ControlSouthMobileSocialPremium110000055.3</v>
      </c>
      <c r="S346" s="22" t="str">
        <f>IF(COUNTIF($R$2:$R$1409,R346)=1,"OK",IF(COUNTIF($R$2:$R$1409,R346)&gt;1,"Exact Duplicate","Review Required"))</f>
        <v>OK</v>
      </c>
      <c r="T346" s="22" t="s">
        <v>24</v>
      </c>
      <c r="U346" s="22" t="s">
        <v>41</v>
      </c>
      <c r="V346" s="22"/>
    </row>
    <row r="347" spans="1:22" ht="41.4">
      <c r="A347" s="22" t="s">
        <v>377</v>
      </c>
      <c r="B347" s="25">
        <v>45728</v>
      </c>
      <c r="C347" s="22" t="s">
        <v>17</v>
      </c>
      <c r="D347" s="22" t="s">
        <v>28</v>
      </c>
      <c r="E347" s="22" t="s">
        <v>24</v>
      </c>
      <c r="F347" s="22" t="s">
        <v>29</v>
      </c>
      <c r="G347" s="22" t="s">
        <v>26</v>
      </c>
      <c r="H347" s="22">
        <v>0</v>
      </c>
      <c r="I347" s="22">
        <v>0</v>
      </c>
      <c r="J347" s="22">
        <v>0</v>
      </c>
      <c r="K347" s="22">
        <v>0</v>
      </c>
      <c r="L347" s="22">
        <v>0</v>
      </c>
      <c r="M347" s="22">
        <v>0</v>
      </c>
      <c r="N347" s="22">
        <v>0</v>
      </c>
      <c r="O347" s="22"/>
      <c r="P347" s="22">
        <v>37.5</v>
      </c>
      <c r="Q347" s="22" t="str">
        <f>IF(OR(L347&lt;$Y$18,L347&gt;$Y$19),"Outlier","Normal")</f>
        <v>Normal</v>
      </c>
      <c r="R347" s="26" t="str">
        <f>A347&amp;B347&amp;C347&amp;D347&amp;E347&amp;F347&amp;G347&amp;H347&amp;I347&amp;J347&amp;K347&amp;L347&amp;M347&amp;N347&amp;O347&amp;P347</f>
        <v>USR-10034645728ControlEastMobilePaid SearchFree000000037.5</v>
      </c>
      <c r="S347" s="22" t="str">
        <f>IF(COUNTIF($R$2:$R$1409,R347)=1,"OK",IF(COUNTIF($R$2:$R$1409,R347)&gt;1,"Exact Duplicate","Review Required"))</f>
        <v>OK</v>
      </c>
      <c r="T347" s="22" t="s">
        <v>24</v>
      </c>
      <c r="U347" s="22" t="s">
        <v>29</v>
      </c>
      <c r="V347" s="22"/>
    </row>
    <row r="348" spans="1:22" ht="41.4">
      <c r="A348" s="22" t="s">
        <v>378</v>
      </c>
      <c r="B348" s="25">
        <v>45660</v>
      </c>
      <c r="C348" s="22" t="s">
        <v>17</v>
      </c>
      <c r="D348" s="22" t="s">
        <v>32</v>
      </c>
      <c r="E348" s="22" t="s">
        <v>19</v>
      </c>
      <c r="F348" s="22" t="s">
        <v>29</v>
      </c>
      <c r="G348" s="22" t="s">
        <v>26</v>
      </c>
      <c r="H348" s="22">
        <v>0</v>
      </c>
      <c r="I348" s="22">
        <v>0</v>
      </c>
      <c r="J348" s="22">
        <v>0</v>
      </c>
      <c r="K348" s="22">
        <v>0</v>
      </c>
      <c r="L348" s="22">
        <v>0</v>
      </c>
      <c r="M348" s="22">
        <v>1</v>
      </c>
      <c r="N348" s="22">
        <v>0</v>
      </c>
      <c r="O348" s="22"/>
      <c r="P348" s="22">
        <v>66.400000000000006</v>
      </c>
      <c r="Q348" s="22" t="str">
        <f>IF(OR(L348&lt;$Y$18,L348&gt;$Y$19),"Outlier","Normal")</f>
        <v>Normal</v>
      </c>
      <c r="R348" s="26" t="str">
        <f>A348&amp;B348&amp;C348&amp;D348&amp;E348&amp;F348&amp;G348&amp;H348&amp;I348&amp;J348&amp;K348&amp;L348&amp;M348&amp;N348&amp;O348&amp;P348</f>
        <v>USR-10034745660ControlSouthDesktopPaid SearchFree000001066.4</v>
      </c>
      <c r="S348" s="22" t="str">
        <f>IF(COUNTIF($R$2:$R$1409,R348)=1,"OK",IF(COUNTIF($R$2:$R$1409,R348)&gt;1,"Exact Duplicate","Review Required"))</f>
        <v>OK</v>
      </c>
      <c r="T348" s="22" t="s">
        <v>19</v>
      </c>
      <c r="U348" s="22" t="s">
        <v>29</v>
      </c>
      <c r="V348" s="22"/>
    </row>
    <row r="349" spans="1:22" ht="41.4">
      <c r="A349" s="22" t="s">
        <v>379</v>
      </c>
      <c r="B349" s="25">
        <v>45775</v>
      </c>
      <c r="C349" s="22" t="s">
        <v>17</v>
      </c>
      <c r="D349" s="22" t="s">
        <v>18</v>
      </c>
      <c r="E349" s="22" t="s">
        <v>34</v>
      </c>
      <c r="F349" s="22" t="s">
        <v>41</v>
      </c>
      <c r="G349" s="22" t="s">
        <v>21</v>
      </c>
      <c r="H349" s="22">
        <v>1</v>
      </c>
      <c r="I349" s="22">
        <v>0</v>
      </c>
      <c r="J349" s="22">
        <v>0</v>
      </c>
      <c r="K349" s="22">
        <v>0</v>
      </c>
      <c r="L349" s="22">
        <v>0</v>
      </c>
      <c r="M349" s="22">
        <v>0</v>
      </c>
      <c r="N349" s="22">
        <v>0</v>
      </c>
      <c r="O349" s="22"/>
      <c r="P349" s="22">
        <v>61.9</v>
      </c>
      <c r="Q349" s="22" t="str">
        <f>IF(OR(L349&lt;$Y$18,L349&gt;$Y$19),"Outlier","Normal")</f>
        <v>Normal</v>
      </c>
      <c r="R349" s="26" t="str">
        <f>A349&amp;B349&amp;C349&amp;D349&amp;E349&amp;F349&amp;G349&amp;H349&amp;I349&amp;J349&amp;K349&amp;L349&amp;M349&amp;N349&amp;O349&amp;P349</f>
        <v>USR-10034845775ControlNorthTabletSocialBasic100000061.9</v>
      </c>
      <c r="S349" s="22" t="str">
        <f>IF(COUNTIF($R$2:$R$1409,R349)=1,"OK",IF(COUNTIF($R$2:$R$1409,R349)&gt;1,"Exact Duplicate","Review Required"))</f>
        <v>OK</v>
      </c>
      <c r="T349" s="22" t="s">
        <v>34</v>
      </c>
      <c r="U349" s="22" t="s">
        <v>41</v>
      </c>
      <c r="V349" s="22"/>
    </row>
    <row r="350" spans="1:22" ht="41.4">
      <c r="A350" s="22" t="s">
        <v>380</v>
      </c>
      <c r="B350" s="25">
        <v>45764</v>
      </c>
      <c r="C350" s="22" t="s">
        <v>17</v>
      </c>
      <c r="D350" s="22" t="s">
        <v>28</v>
      </c>
      <c r="E350" s="22" t="s">
        <v>24</v>
      </c>
      <c r="F350" s="22" t="s">
        <v>25</v>
      </c>
      <c r="G350" s="22" t="s">
        <v>26</v>
      </c>
      <c r="H350" s="22">
        <v>0</v>
      </c>
      <c r="I350" s="22">
        <v>0</v>
      </c>
      <c r="J350" s="22">
        <v>0</v>
      </c>
      <c r="K350" s="22">
        <v>0</v>
      </c>
      <c r="L350" s="22">
        <v>0</v>
      </c>
      <c r="M350" s="22">
        <v>0</v>
      </c>
      <c r="N350" s="22">
        <v>0</v>
      </c>
      <c r="O350" s="22"/>
      <c r="P350" s="22">
        <v>56</v>
      </c>
      <c r="Q350" s="22" t="str">
        <f>IF(OR(L350&lt;$Y$18,L350&gt;$Y$19),"Outlier","Normal")</f>
        <v>Normal</v>
      </c>
      <c r="R350" s="26" t="str">
        <f>A350&amp;B350&amp;C350&amp;D350&amp;E350&amp;F350&amp;G350&amp;H350&amp;I350&amp;J350&amp;K350&amp;L350&amp;M350&amp;N350&amp;O350&amp;P350</f>
        <v>USR-10034945764ControlEastMobileOrganicFree000000056</v>
      </c>
      <c r="S350" s="22" t="str">
        <f>IF(COUNTIF($R$2:$R$1409,R350)=1,"OK",IF(COUNTIF($R$2:$R$1409,R350)&gt;1,"Exact Duplicate","Review Required"))</f>
        <v>OK</v>
      </c>
      <c r="T350" s="22" t="s">
        <v>24</v>
      </c>
      <c r="U350" s="22" t="s">
        <v>25</v>
      </c>
      <c r="V350" s="22"/>
    </row>
    <row r="351" spans="1:22" ht="41.4">
      <c r="A351" s="22" t="s">
        <v>381</v>
      </c>
      <c r="B351" s="25">
        <v>45800</v>
      </c>
      <c r="C351" s="22" t="s">
        <v>17</v>
      </c>
      <c r="D351" s="22" t="s">
        <v>32</v>
      </c>
      <c r="E351" s="22" t="s">
        <v>19</v>
      </c>
      <c r="F351" s="22" t="s">
        <v>41</v>
      </c>
      <c r="G351" s="22" t="s">
        <v>21</v>
      </c>
      <c r="H351" s="22">
        <v>1</v>
      </c>
      <c r="I351" s="22">
        <v>0</v>
      </c>
      <c r="J351" s="22">
        <v>0</v>
      </c>
      <c r="K351" s="22">
        <v>0</v>
      </c>
      <c r="L351" s="22">
        <v>0</v>
      </c>
      <c r="M351" s="22">
        <v>0</v>
      </c>
      <c r="N351" s="22">
        <v>0</v>
      </c>
      <c r="O351" s="22"/>
      <c r="P351" s="22">
        <v>55.5</v>
      </c>
      <c r="Q351" s="22" t="str">
        <f>IF(OR(L351&lt;$Y$18,L351&gt;$Y$19),"Outlier","Normal")</f>
        <v>Normal</v>
      </c>
      <c r="R351" s="26" t="str">
        <f>A351&amp;B351&amp;C351&amp;D351&amp;E351&amp;F351&amp;G351&amp;H351&amp;I351&amp;J351&amp;K351&amp;L351&amp;M351&amp;N351&amp;O351&amp;P351</f>
        <v>USR-10035045800ControlSouthDesktopSocialBasic100000055.5</v>
      </c>
      <c r="S351" s="22" t="str">
        <f>IF(COUNTIF($R$2:$R$1409,R351)=1,"OK",IF(COUNTIF($R$2:$R$1409,R351)&gt;1,"Exact Duplicate","Review Required"))</f>
        <v>OK</v>
      </c>
      <c r="T351" s="22" t="s">
        <v>19</v>
      </c>
      <c r="U351" s="22" t="s">
        <v>41</v>
      </c>
      <c r="V351" s="22"/>
    </row>
    <row r="352" spans="1:22" ht="41.4">
      <c r="A352" s="22" t="s">
        <v>382</v>
      </c>
      <c r="B352" s="25">
        <v>45707</v>
      </c>
      <c r="C352" s="22" t="s">
        <v>17</v>
      </c>
      <c r="D352" s="22" t="s">
        <v>23</v>
      </c>
      <c r="E352" s="22" t="s">
        <v>34</v>
      </c>
      <c r="F352" s="22" t="s">
        <v>39</v>
      </c>
      <c r="G352" s="22" t="s">
        <v>21</v>
      </c>
      <c r="H352" s="22">
        <v>1</v>
      </c>
      <c r="I352" s="22">
        <v>0</v>
      </c>
      <c r="J352" s="22">
        <v>0</v>
      </c>
      <c r="K352" s="22">
        <v>0</v>
      </c>
      <c r="L352" s="22">
        <v>0</v>
      </c>
      <c r="M352" s="22">
        <v>0</v>
      </c>
      <c r="N352" s="22">
        <v>0</v>
      </c>
      <c r="O352" s="22"/>
      <c r="P352" s="22">
        <v>37.200000000000003</v>
      </c>
      <c r="Q352" s="22" t="str">
        <f>IF(OR(L352&lt;$Y$18,L352&gt;$Y$19),"Outlier","Normal")</f>
        <v>Normal</v>
      </c>
      <c r="R352" s="26" t="str">
        <f>A352&amp;B352&amp;C352&amp;D352&amp;E352&amp;F352&amp;G352&amp;H352&amp;I352&amp;J352&amp;K352&amp;L352&amp;M352&amp;N352&amp;O352&amp;P352</f>
        <v>USR-10035145707ControlWestTabletReferralBasic100000037.2</v>
      </c>
      <c r="S352" s="22" t="str">
        <f>IF(COUNTIF($R$2:$R$1409,R352)=1,"OK",IF(COUNTIF($R$2:$R$1409,R352)&gt;1,"Exact Duplicate","Review Required"))</f>
        <v>OK</v>
      </c>
      <c r="T352" s="22" t="s">
        <v>34</v>
      </c>
      <c r="U352" s="22" t="s">
        <v>39</v>
      </c>
      <c r="V352" s="22"/>
    </row>
    <row r="353" spans="1:22" ht="41.4">
      <c r="A353" s="22" t="s">
        <v>383</v>
      </c>
      <c r="B353" s="25">
        <v>45675</v>
      </c>
      <c r="C353" s="22" t="s">
        <v>17</v>
      </c>
      <c r="D353" s="22" t="s">
        <v>32</v>
      </c>
      <c r="E353" s="22" t="s">
        <v>19</v>
      </c>
      <c r="F353" s="22" t="s">
        <v>25</v>
      </c>
      <c r="G353" s="22" t="s">
        <v>26</v>
      </c>
      <c r="H353" s="22">
        <v>1</v>
      </c>
      <c r="I353" s="22">
        <v>1</v>
      </c>
      <c r="J353" s="22">
        <v>0</v>
      </c>
      <c r="K353" s="22">
        <v>0</v>
      </c>
      <c r="L353" s="22">
        <v>0</v>
      </c>
      <c r="M353" s="22">
        <v>1</v>
      </c>
      <c r="N353" s="22">
        <v>0</v>
      </c>
      <c r="O353" s="22"/>
      <c r="P353" s="22">
        <v>70.5</v>
      </c>
      <c r="Q353" s="22" t="str">
        <f>IF(OR(L353&lt;$Y$18,L353&gt;$Y$19),"Outlier","Normal")</f>
        <v>Normal</v>
      </c>
      <c r="R353" s="26" t="str">
        <f>A353&amp;B353&amp;C353&amp;D353&amp;E353&amp;F353&amp;G353&amp;H353&amp;I353&amp;J353&amp;K353&amp;L353&amp;M353&amp;N353&amp;O353&amp;P353</f>
        <v>USR-10035245675ControlSouthDesktopOrganicFree110001070.5</v>
      </c>
      <c r="S353" s="22" t="str">
        <f>IF(COUNTIF($R$2:$R$1409,R353)=1,"OK",IF(COUNTIF($R$2:$R$1409,R353)&gt;1,"Exact Duplicate","Review Required"))</f>
        <v>OK</v>
      </c>
      <c r="T353" s="22" t="s">
        <v>19</v>
      </c>
      <c r="U353" s="22" t="s">
        <v>25</v>
      </c>
      <c r="V353" s="22"/>
    </row>
    <row r="354" spans="1:22" ht="41.4">
      <c r="A354" s="22" t="s">
        <v>384</v>
      </c>
      <c r="B354" s="25">
        <v>45764</v>
      </c>
      <c r="C354" s="22" t="s">
        <v>17</v>
      </c>
      <c r="D354" s="22" t="s">
        <v>18</v>
      </c>
      <c r="E354" s="22" t="s">
        <v>24</v>
      </c>
      <c r="F354" s="22" t="s">
        <v>25</v>
      </c>
      <c r="G354" s="22" t="s">
        <v>26</v>
      </c>
      <c r="H354" s="22">
        <v>0</v>
      </c>
      <c r="I354" s="22">
        <v>0</v>
      </c>
      <c r="J354" s="22">
        <v>0</v>
      </c>
      <c r="K354" s="22">
        <v>0</v>
      </c>
      <c r="L354" s="22">
        <v>0</v>
      </c>
      <c r="M354" s="22">
        <v>0</v>
      </c>
      <c r="N354" s="22">
        <v>0</v>
      </c>
      <c r="O354" s="22"/>
      <c r="P354" s="22">
        <v>61.2</v>
      </c>
      <c r="Q354" s="22" t="str">
        <f>IF(OR(L354&lt;$Y$18,L354&gt;$Y$19),"Outlier","Normal")</f>
        <v>Normal</v>
      </c>
      <c r="R354" s="26" t="str">
        <f>A354&amp;B354&amp;C354&amp;D354&amp;E354&amp;F354&amp;G354&amp;H354&amp;I354&amp;J354&amp;K354&amp;L354&amp;M354&amp;N354&amp;O354&amp;P354</f>
        <v>USR-10035345764ControlNorthMobileOrganicFree000000061.2</v>
      </c>
      <c r="S354" s="22" t="str">
        <f>IF(COUNTIF($R$2:$R$1409,R354)=1,"OK",IF(COUNTIF($R$2:$R$1409,R354)&gt;1,"Exact Duplicate","Review Required"))</f>
        <v>OK</v>
      </c>
      <c r="T354" s="22" t="s">
        <v>24</v>
      </c>
      <c r="U354" s="22" t="s">
        <v>25</v>
      </c>
      <c r="V354" s="22"/>
    </row>
    <row r="355" spans="1:22" ht="41.4">
      <c r="A355" s="22" t="s">
        <v>385</v>
      </c>
      <c r="B355" s="25">
        <v>45759</v>
      </c>
      <c r="C355" s="22" t="s">
        <v>17</v>
      </c>
      <c r="D355" s="22" t="s">
        <v>28</v>
      </c>
      <c r="E355" s="22" t="s">
        <v>34</v>
      </c>
      <c r="F355" s="22" t="s">
        <v>41</v>
      </c>
      <c r="G355" s="22" t="s">
        <v>26</v>
      </c>
      <c r="H355" s="22">
        <v>1</v>
      </c>
      <c r="I355" s="22">
        <v>1</v>
      </c>
      <c r="J355" s="22">
        <v>1</v>
      </c>
      <c r="K355" s="22">
        <v>0</v>
      </c>
      <c r="L355" s="22">
        <v>0</v>
      </c>
      <c r="M355" s="22">
        <v>0</v>
      </c>
      <c r="N355" s="22">
        <v>0</v>
      </c>
      <c r="O355" s="22"/>
      <c r="P355" s="22">
        <v>64.599999999999994</v>
      </c>
      <c r="Q355" s="22" t="str">
        <f>IF(OR(L355&lt;$Y$18,L355&gt;$Y$19),"Outlier","Normal")</f>
        <v>Normal</v>
      </c>
      <c r="R355" s="26" t="str">
        <f>A355&amp;B355&amp;C355&amp;D355&amp;E355&amp;F355&amp;G355&amp;H355&amp;I355&amp;J355&amp;K355&amp;L355&amp;M355&amp;N355&amp;O355&amp;P355</f>
        <v>USR-10035445759ControlEastTabletSocialFree111000064.6</v>
      </c>
      <c r="S355" s="22" t="str">
        <f>IF(COUNTIF($R$2:$R$1409,R355)=1,"OK",IF(COUNTIF($R$2:$R$1409,R355)&gt;1,"Exact Duplicate","Review Required"))</f>
        <v>OK</v>
      </c>
      <c r="T355" s="22" t="s">
        <v>34</v>
      </c>
      <c r="U355" s="22" t="s">
        <v>41</v>
      </c>
      <c r="V355" s="22"/>
    </row>
    <row r="356" spans="1:22" ht="41.4">
      <c r="A356" s="22" t="s">
        <v>386</v>
      </c>
      <c r="B356" s="25">
        <v>45793</v>
      </c>
      <c r="C356" s="22" t="s">
        <v>17</v>
      </c>
      <c r="D356" s="22" t="s">
        <v>28</v>
      </c>
      <c r="E356" s="22" t="s">
        <v>24</v>
      </c>
      <c r="F356" s="22" t="s">
        <v>20</v>
      </c>
      <c r="G356" s="22" t="s">
        <v>26</v>
      </c>
      <c r="H356" s="22">
        <v>1</v>
      </c>
      <c r="I356" s="22">
        <v>1</v>
      </c>
      <c r="J356" s="22">
        <v>0</v>
      </c>
      <c r="K356" s="22">
        <v>0</v>
      </c>
      <c r="L356" s="22">
        <v>0</v>
      </c>
      <c r="M356" s="22">
        <v>0</v>
      </c>
      <c r="N356" s="22">
        <v>0</v>
      </c>
      <c r="O356" s="22"/>
      <c r="P356" s="22">
        <v>91.7</v>
      </c>
      <c r="Q356" s="22" t="str">
        <f>IF(OR(L356&lt;$Y$18,L356&gt;$Y$19),"Outlier","Normal")</f>
        <v>Normal</v>
      </c>
      <c r="R356" s="26" t="str">
        <f>A356&amp;B356&amp;C356&amp;D356&amp;E356&amp;F356&amp;G356&amp;H356&amp;I356&amp;J356&amp;K356&amp;L356&amp;M356&amp;N356&amp;O356&amp;P356</f>
        <v>USR-10035545793ControlEastMobileEmailFree110000091.7</v>
      </c>
      <c r="S356" s="22" t="str">
        <f>IF(COUNTIF($R$2:$R$1409,R356)=1,"OK",IF(COUNTIF($R$2:$R$1409,R356)&gt;1,"Exact Duplicate","Review Required"))</f>
        <v>OK</v>
      </c>
      <c r="T356" s="22" t="s">
        <v>24</v>
      </c>
      <c r="U356" s="22" t="s">
        <v>20</v>
      </c>
      <c r="V356" s="22"/>
    </row>
    <row r="357" spans="1:22" ht="41.4">
      <c r="A357" s="22" t="s">
        <v>387</v>
      </c>
      <c r="B357" s="25">
        <v>45740</v>
      </c>
      <c r="C357" s="22" t="s">
        <v>17</v>
      </c>
      <c r="D357" s="22" t="s">
        <v>23</v>
      </c>
      <c r="E357" s="22" t="s">
        <v>24</v>
      </c>
      <c r="F357" s="22" t="s">
        <v>41</v>
      </c>
      <c r="G357" s="22" t="s">
        <v>26</v>
      </c>
      <c r="H357" s="22">
        <v>0</v>
      </c>
      <c r="I357" s="22">
        <v>0</v>
      </c>
      <c r="J357" s="22">
        <v>0</v>
      </c>
      <c r="K357" s="22">
        <v>0</v>
      </c>
      <c r="L357" s="22">
        <v>0</v>
      </c>
      <c r="M357" s="22">
        <v>0</v>
      </c>
      <c r="N357" s="22">
        <v>0</v>
      </c>
      <c r="O357" s="22"/>
      <c r="P357" s="22">
        <v>46</v>
      </c>
      <c r="Q357" s="22" t="str">
        <f>IF(OR(L357&lt;$Y$18,L357&gt;$Y$19),"Outlier","Normal")</f>
        <v>Normal</v>
      </c>
      <c r="R357" s="26" t="str">
        <f>A357&amp;B357&amp;C357&amp;D357&amp;E357&amp;F357&amp;G357&amp;H357&amp;I357&amp;J357&amp;K357&amp;L357&amp;M357&amp;N357&amp;O357&amp;P357</f>
        <v>USR-10035645740ControlWestMobileSocialFree000000046</v>
      </c>
      <c r="S357" s="22" t="str">
        <f>IF(COUNTIF($R$2:$R$1409,R357)=1,"OK",IF(COUNTIF($R$2:$R$1409,R357)&gt;1,"Exact Duplicate","Review Required"))</f>
        <v>OK</v>
      </c>
      <c r="T357" s="22" t="s">
        <v>24</v>
      </c>
      <c r="U357" s="22" t="s">
        <v>41</v>
      </c>
      <c r="V357" s="22"/>
    </row>
    <row r="358" spans="1:22" ht="41.4">
      <c r="A358" s="22" t="s">
        <v>388</v>
      </c>
      <c r="B358" s="25">
        <v>45704</v>
      </c>
      <c r="C358" s="22" t="s">
        <v>17</v>
      </c>
      <c r="D358" s="22" t="s">
        <v>23</v>
      </c>
      <c r="E358" s="22" t="s">
        <v>24</v>
      </c>
      <c r="F358" s="22" t="s">
        <v>25</v>
      </c>
      <c r="G358" s="22" t="s">
        <v>21</v>
      </c>
      <c r="H358" s="22">
        <v>0</v>
      </c>
      <c r="I358" s="22">
        <v>0</v>
      </c>
      <c r="J358" s="22">
        <v>0</v>
      </c>
      <c r="K358" s="22">
        <v>0</v>
      </c>
      <c r="L358" s="22">
        <v>0</v>
      </c>
      <c r="M358" s="22">
        <v>0</v>
      </c>
      <c r="N358" s="22">
        <v>0</v>
      </c>
      <c r="O358" s="22"/>
      <c r="P358" s="22">
        <v>50.8</v>
      </c>
      <c r="Q358" s="22" t="str">
        <f>IF(OR(L358&lt;$Y$18,L358&gt;$Y$19),"Outlier","Normal")</f>
        <v>Normal</v>
      </c>
      <c r="R358" s="26" t="str">
        <f>A358&amp;B358&amp;C358&amp;D358&amp;E358&amp;F358&amp;G358&amp;H358&amp;I358&amp;J358&amp;K358&amp;L358&amp;M358&amp;N358&amp;O358&amp;P358</f>
        <v>USR-10035745704ControlWestMobileOrganicBasic000000050.8</v>
      </c>
      <c r="S358" s="22" t="str">
        <f>IF(COUNTIF($R$2:$R$1409,R358)=1,"OK",IF(COUNTIF($R$2:$R$1409,R358)&gt;1,"Exact Duplicate","Review Required"))</f>
        <v>OK</v>
      </c>
      <c r="T358" s="22" t="s">
        <v>24</v>
      </c>
      <c r="U358" s="22" t="s">
        <v>25</v>
      </c>
      <c r="V358" s="22"/>
    </row>
    <row r="359" spans="1:22" ht="41.4">
      <c r="A359" s="22" t="s">
        <v>389</v>
      </c>
      <c r="B359" s="25">
        <v>45735</v>
      </c>
      <c r="C359" s="22" t="s">
        <v>17</v>
      </c>
      <c r="D359" s="22" t="s">
        <v>18</v>
      </c>
      <c r="E359" s="22" t="s">
        <v>34</v>
      </c>
      <c r="F359" s="22" t="s">
        <v>25</v>
      </c>
      <c r="G359" s="22" t="s">
        <v>26</v>
      </c>
      <c r="H359" s="22">
        <v>1</v>
      </c>
      <c r="I359" s="22">
        <v>1</v>
      </c>
      <c r="J359" s="22">
        <v>1</v>
      </c>
      <c r="K359" s="22">
        <v>0</v>
      </c>
      <c r="L359" s="22">
        <v>0</v>
      </c>
      <c r="M359" s="22">
        <v>0</v>
      </c>
      <c r="N359" s="22">
        <v>0</v>
      </c>
      <c r="O359" s="22"/>
      <c r="P359" s="22">
        <v>52.8</v>
      </c>
      <c r="Q359" s="22" t="str">
        <f>IF(OR(L359&lt;$Y$18,L359&gt;$Y$19),"Outlier","Normal")</f>
        <v>Normal</v>
      </c>
      <c r="R359" s="26" t="str">
        <f>A359&amp;B359&amp;C359&amp;D359&amp;E359&amp;F359&amp;G359&amp;H359&amp;I359&amp;J359&amp;K359&amp;L359&amp;M359&amp;N359&amp;O359&amp;P359</f>
        <v>USR-10035845735ControlNorthTabletOrganicFree111000052.8</v>
      </c>
      <c r="S359" s="22" t="str">
        <f>IF(COUNTIF($R$2:$R$1409,R359)=1,"OK",IF(COUNTIF($R$2:$R$1409,R359)&gt;1,"Exact Duplicate","Review Required"))</f>
        <v>OK</v>
      </c>
      <c r="T359" s="22" t="s">
        <v>34</v>
      </c>
      <c r="U359" s="22" t="s">
        <v>25</v>
      </c>
      <c r="V359" s="22"/>
    </row>
    <row r="360" spans="1:22" ht="41.4">
      <c r="A360" s="22" t="s">
        <v>390</v>
      </c>
      <c r="B360" s="25">
        <v>45768</v>
      </c>
      <c r="C360" s="22" t="s">
        <v>17</v>
      </c>
      <c r="D360" s="22" t="s">
        <v>32</v>
      </c>
      <c r="E360" s="22" t="s">
        <v>24</v>
      </c>
      <c r="F360" s="22" t="s">
        <v>25</v>
      </c>
      <c r="G360" s="22" t="s">
        <v>21</v>
      </c>
      <c r="H360" s="22">
        <v>1</v>
      </c>
      <c r="I360" s="22">
        <v>1</v>
      </c>
      <c r="J360" s="22">
        <v>1</v>
      </c>
      <c r="K360" s="22">
        <v>0</v>
      </c>
      <c r="L360" s="22">
        <v>0</v>
      </c>
      <c r="M360" s="22">
        <v>0</v>
      </c>
      <c r="N360" s="22">
        <v>0</v>
      </c>
      <c r="O360" s="22"/>
      <c r="P360" s="22">
        <v>63</v>
      </c>
      <c r="Q360" s="22" t="str">
        <f>IF(OR(L360&lt;$Y$18,L360&gt;$Y$19),"Outlier","Normal")</f>
        <v>Normal</v>
      </c>
      <c r="R360" s="26" t="str">
        <f>A360&amp;B360&amp;C360&amp;D360&amp;E360&amp;F360&amp;G360&amp;H360&amp;I360&amp;J360&amp;K360&amp;L360&amp;M360&amp;N360&amp;O360&amp;P360</f>
        <v>USR-10035945768ControlSouthMobileOrganicBasic111000063</v>
      </c>
      <c r="S360" s="22" t="str">
        <f>IF(COUNTIF($R$2:$R$1409,R360)=1,"OK",IF(COUNTIF($R$2:$R$1409,R360)&gt;1,"Exact Duplicate","Review Required"))</f>
        <v>OK</v>
      </c>
      <c r="T360" s="22" t="s">
        <v>24</v>
      </c>
      <c r="U360" s="22" t="s">
        <v>25</v>
      </c>
      <c r="V360" s="22"/>
    </row>
    <row r="361" spans="1:22" ht="41.4">
      <c r="A361" s="22" t="s">
        <v>391</v>
      </c>
      <c r="B361" s="25">
        <v>45668</v>
      </c>
      <c r="C361" s="22" t="s">
        <v>17</v>
      </c>
      <c r="D361" s="22" t="s">
        <v>23</v>
      </c>
      <c r="E361" s="22" t="s">
        <v>24</v>
      </c>
      <c r="F361" s="22" t="s">
        <v>25</v>
      </c>
      <c r="G361" s="22" t="s">
        <v>26</v>
      </c>
      <c r="H361" s="22">
        <v>0</v>
      </c>
      <c r="I361" s="22">
        <v>0</v>
      </c>
      <c r="J361" s="22">
        <v>0</v>
      </c>
      <c r="K361" s="22">
        <v>0</v>
      </c>
      <c r="L361" s="22">
        <v>0</v>
      </c>
      <c r="M361" s="22">
        <v>0</v>
      </c>
      <c r="N361" s="22">
        <v>0</v>
      </c>
      <c r="O361" s="22"/>
      <c r="P361" s="22">
        <v>28.4</v>
      </c>
      <c r="Q361" s="22" t="str">
        <f>IF(OR(L361&lt;$Y$18,L361&gt;$Y$19),"Outlier","Normal")</f>
        <v>Normal</v>
      </c>
      <c r="R361" s="26" t="str">
        <f>A361&amp;B361&amp;C361&amp;D361&amp;E361&amp;F361&amp;G361&amp;H361&amp;I361&amp;J361&amp;K361&amp;L361&amp;M361&amp;N361&amp;O361&amp;P361</f>
        <v>USR-10036045668ControlWestMobileOrganicFree000000028.4</v>
      </c>
      <c r="S361" s="22" t="str">
        <f>IF(COUNTIF($R$2:$R$1409,R361)=1,"OK",IF(COUNTIF($R$2:$R$1409,R361)&gt;1,"Exact Duplicate","Review Required"))</f>
        <v>OK</v>
      </c>
      <c r="T361" s="22" t="s">
        <v>24</v>
      </c>
      <c r="U361" s="22" t="s">
        <v>25</v>
      </c>
      <c r="V361" s="22"/>
    </row>
    <row r="362" spans="1:22" ht="41.4">
      <c r="A362" s="22" t="s">
        <v>392</v>
      </c>
      <c r="B362" s="25">
        <v>45771</v>
      </c>
      <c r="C362" s="22" t="s">
        <v>17</v>
      </c>
      <c r="D362" s="22" t="s">
        <v>23</v>
      </c>
      <c r="E362" s="22" t="s">
        <v>19</v>
      </c>
      <c r="F362" s="22" t="s">
        <v>25</v>
      </c>
      <c r="G362" s="22" t="s">
        <v>26</v>
      </c>
      <c r="H362" s="22">
        <v>1</v>
      </c>
      <c r="I362" s="22">
        <v>1</v>
      </c>
      <c r="J362" s="22">
        <v>0</v>
      </c>
      <c r="K362" s="22">
        <v>0</v>
      </c>
      <c r="L362" s="22">
        <v>0</v>
      </c>
      <c r="M362" s="22">
        <v>0</v>
      </c>
      <c r="N362" s="22">
        <v>0</v>
      </c>
      <c r="O362" s="22"/>
      <c r="P362" s="22">
        <v>65.599999999999994</v>
      </c>
      <c r="Q362" s="22" t="str">
        <f>IF(OR(L362&lt;$Y$18,L362&gt;$Y$19),"Outlier","Normal")</f>
        <v>Normal</v>
      </c>
      <c r="R362" s="26" t="str">
        <f>A362&amp;B362&amp;C362&amp;D362&amp;E362&amp;F362&amp;G362&amp;H362&amp;I362&amp;J362&amp;K362&amp;L362&amp;M362&amp;N362&amp;O362&amp;P362</f>
        <v>USR-10036145771ControlWestDesktopOrganicFree110000065.6</v>
      </c>
      <c r="S362" s="22" t="str">
        <f>IF(COUNTIF($R$2:$R$1409,R362)=1,"OK",IF(COUNTIF($R$2:$R$1409,R362)&gt;1,"Exact Duplicate","Review Required"))</f>
        <v>OK</v>
      </c>
      <c r="T362" s="22" t="s">
        <v>19</v>
      </c>
      <c r="U362" s="22" t="s">
        <v>25</v>
      </c>
      <c r="V362" s="22"/>
    </row>
    <row r="363" spans="1:22" ht="41.4">
      <c r="A363" s="22" t="s">
        <v>393</v>
      </c>
      <c r="B363" s="25">
        <v>45729</v>
      </c>
      <c r="C363" s="22" t="s">
        <v>17</v>
      </c>
      <c r="D363" s="22" t="s">
        <v>18</v>
      </c>
      <c r="E363" s="22" t="s">
        <v>24</v>
      </c>
      <c r="F363" s="22" t="s">
        <v>41</v>
      </c>
      <c r="G363" s="22" t="s">
        <v>30</v>
      </c>
      <c r="H363" s="22">
        <v>1</v>
      </c>
      <c r="I363" s="22">
        <v>1</v>
      </c>
      <c r="J363" s="22">
        <v>1</v>
      </c>
      <c r="K363" s="22">
        <v>0</v>
      </c>
      <c r="L363" s="22">
        <v>0</v>
      </c>
      <c r="M363" s="22">
        <v>0</v>
      </c>
      <c r="N363" s="22">
        <v>0</v>
      </c>
      <c r="O363" s="22"/>
      <c r="P363" s="22">
        <v>54.7</v>
      </c>
      <c r="Q363" s="22" t="str">
        <f>IF(OR(L363&lt;$Y$18,L363&gt;$Y$19),"Outlier","Normal")</f>
        <v>Normal</v>
      </c>
      <c r="R363" s="26" t="str">
        <f>A363&amp;B363&amp;C363&amp;D363&amp;E363&amp;F363&amp;G363&amp;H363&amp;I363&amp;J363&amp;K363&amp;L363&amp;M363&amp;N363&amp;O363&amp;P363</f>
        <v>USR-10036245729ControlNorthMobileSocialPremium111000054.7</v>
      </c>
      <c r="S363" s="22" t="str">
        <f>IF(COUNTIF($R$2:$R$1409,R363)=1,"OK",IF(COUNTIF($R$2:$R$1409,R363)&gt;1,"Exact Duplicate","Review Required"))</f>
        <v>OK</v>
      </c>
      <c r="T363" s="22" t="s">
        <v>24</v>
      </c>
      <c r="U363" s="22" t="s">
        <v>41</v>
      </c>
      <c r="V363" s="22"/>
    </row>
    <row r="364" spans="1:22" ht="41.4">
      <c r="A364" s="22" t="s">
        <v>394</v>
      </c>
      <c r="B364" s="25">
        <v>45687</v>
      </c>
      <c r="C364" s="22" t="s">
        <v>17</v>
      </c>
      <c r="D364" s="22" t="s">
        <v>18</v>
      </c>
      <c r="E364" s="22" t="s">
        <v>24</v>
      </c>
      <c r="F364" s="22" t="s">
        <v>41</v>
      </c>
      <c r="G364" s="22" t="s">
        <v>21</v>
      </c>
      <c r="H364" s="22">
        <v>0</v>
      </c>
      <c r="I364" s="22">
        <v>0</v>
      </c>
      <c r="J364" s="22">
        <v>0</v>
      </c>
      <c r="K364" s="22">
        <v>0</v>
      </c>
      <c r="L364" s="22">
        <v>0</v>
      </c>
      <c r="M364" s="22">
        <v>0</v>
      </c>
      <c r="N364" s="22">
        <v>0</v>
      </c>
      <c r="O364" s="22"/>
      <c r="P364" s="22">
        <v>36.1</v>
      </c>
      <c r="Q364" s="22" t="str">
        <f>IF(OR(L364&lt;$Y$18,L364&gt;$Y$19),"Outlier","Normal")</f>
        <v>Normal</v>
      </c>
      <c r="R364" s="26" t="str">
        <f>A364&amp;B364&amp;C364&amp;D364&amp;E364&amp;F364&amp;G364&amp;H364&amp;I364&amp;J364&amp;K364&amp;L364&amp;M364&amp;N364&amp;O364&amp;P364</f>
        <v>USR-10036345687ControlNorthMobileSocialBasic000000036.1</v>
      </c>
      <c r="S364" s="22" t="str">
        <f>IF(COUNTIF($R$2:$R$1409,R364)=1,"OK",IF(COUNTIF($R$2:$R$1409,R364)&gt;1,"Exact Duplicate","Review Required"))</f>
        <v>OK</v>
      </c>
      <c r="T364" s="22" t="s">
        <v>24</v>
      </c>
      <c r="U364" s="22" t="s">
        <v>41</v>
      </c>
      <c r="V364" s="22"/>
    </row>
    <row r="365" spans="1:22" ht="41.4">
      <c r="A365" s="22" t="s">
        <v>395</v>
      </c>
      <c r="B365" s="25">
        <v>45785</v>
      </c>
      <c r="C365" s="22" t="s">
        <v>17</v>
      </c>
      <c r="D365" s="22" t="s">
        <v>32</v>
      </c>
      <c r="E365" s="22" t="s">
        <v>24</v>
      </c>
      <c r="F365" s="22" t="s">
        <v>41</v>
      </c>
      <c r="G365" s="22" t="s">
        <v>21</v>
      </c>
      <c r="H365" s="22">
        <v>1</v>
      </c>
      <c r="I365" s="22">
        <v>1</v>
      </c>
      <c r="J365" s="22">
        <v>1</v>
      </c>
      <c r="K365" s="22">
        <v>0</v>
      </c>
      <c r="L365" s="22">
        <v>0</v>
      </c>
      <c r="M365" s="22">
        <v>0</v>
      </c>
      <c r="N365" s="22">
        <v>0</v>
      </c>
      <c r="O365" s="22"/>
      <c r="P365" s="22">
        <v>70.400000000000006</v>
      </c>
      <c r="Q365" s="22" t="str">
        <f>IF(OR(L365&lt;$Y$18,L365&gt;$Y$19),"Outlier","Normal")</f>
        <v>Normal</v>
      </c>
      <c r="R365" s="26" t="str">
        <f>A365&amp;B365&amp;C365&amp;D365&amp;E365&amp;F365&amp;G365&amp;H365&amp;I365&amp;J365&amp;K365&amp;L365&amp;M365&amp;N365&amp;O365&amp;P365</f>
        <v>USR-10036445785ControlSouthMobileSocialBasic111000070.4</v>
      </c>
      <c r="S365" s="22" t="str">
        <f>IF(COUNTIF($R$2:$R$1409,R365)=1,"OK",IF(COUNTIF($R$2:$R$1409,R365)&gt;1,"Exact Duplicate","Review Required"))</f>
        <v>OK</v>
      </c>
      <c r="T365" s="22" t="s">
        <v>24</v>
      </c>
      <c r="U365" s="22" t="s">
        <v>41</v>
      </c>
      <c r="V365" s="22"/>
    </row>
    <row r="366" spans="1:22" ht="41.4">
      <c r="A366" s="22" t="s">
        <v>396</v>
      </c>
      <c r="B366" s="25">
        <v>45665</v>
      </c>
      <c r="C366" s="22" t="s">
        <v>17</v>
      </c>
      <c r="D366" s="22" t="s">
        <v>28</v>
      </c>
      <c r="E366" s="22" t="s">
        <v>19</v>
      </c>
      <c r="F366" s="22" t="s">
        <v>41</v>
      </c>
      <c r="G366" s="22" t="s">
        <v>26</v>
      </c>
      <c r="H366" s="22">
        <v>1</v>
      </c>
      <c r="I366" s="22">
        <v>0</v>
      </c>
      <c r="J366" s="22">
        <v>0</v>
      </c>
      <c r="K366" s="22">
        <v>0</v>
      </c>
      <c r="L366" s="22">
        <v>0</v>
      </c>
      <c r="M366" s="22">
        <v>0</v>
      </c>
      <c r="N366" s="22">
        <v>0</v>
      </c>
      <c r="O366" s="22"/>
      <c r="P366" s="22">
        <v>56.4</v>
      </c>
      <c r="Q366" s="22" t="str">
        <f>IF(OR(L366&lt;$Y$18,L366&gt;$Y$19),"Outlier","Normal")</f>
        <v>Normal</v>
      </c>
      <c r="R366" s="26" t="str">
        <f>A366&amp;B366&amp;C366&amp;D366&amp;E366&amp;F366&amp;G366&amp;H366&amp;I366&amp;J366&amp;K366&amp;L366&amp;M366&amp;N366&amp;O366&amp;P366</f>
        <v>USR-10036545665ControlEastDesktopSocialFree100000056.4</v>
      </c>
      <c r="S366" s="22" t="str">
        <f>IF(COUNTIF($R$2:$R$1409,R366)=1,"OK",IF(COUNTIF($R$2:$R$1409,R366)&gt;1,"Exact Duplicate","Review Required"))</f>
        <v>OK</v>
      </c>
      <c r="T366" s="22" t="s">
        <v>19</v>
      </c>
      <c r="U366" s="22" t="s">
        <v>41</v>
      </c>
      <c r="V366" s="22"/>
    </row>
    <row r="367" spans="1:22" ht="41.4">
      <c r="A367" s="22" t="s">
        <v>397</v>
      </c>
      <c r="B367" s="25">
        <v>45780</v>
      </c>
      <c r="C367" s="22" t="s">
        <v>17</v>
      </c>
      <c r="D367" s="22" t="s">
        <v>32</v>
      </c>
      <c r="E367" s="22" t="s">
        <v>24</v>
      </c>
      <c r="F367" s="22" t="s">
        <v>25</v>
      </c>
      <c r="G367" s="22" t="s">
        <v>26</v>
      </c>
      <c r="H367" s="22">
        <v>1</v>
      </c>
      <c r="I367" s="22">
        <v>0</v>
      </c>
      <c r="J367" s="22">
        <v>0</v>
      </c>
      <c r="K367" s="22">
        <v>0</v>
      </c>
      <c r="L367" s="22">
        <v>0</v>
      </c>
      <c r="M367" s="22">
        <v>0</v>
      </c>
      <c r="N367" s="22">
        <v>0</v>
      </c>
      <c r="O367" s="22"/>
      <c r="P367" s="22">
        <v>79.2</v>
      </c>
      <c r="Q367" s="22" t="str">
        <f>IF(OR(L367&lt;$Y$18,L367&gt;$Y$19),"Outlier","Normal")</f>
        <v>Normal</v>
      </c>
      <c r="R367" s="26" t="str">
        <f>A367&amp;B367&amp;C367&amp;D367&amp;E367&amp;F367&amp;G367&amp;H367&amp;I367&amp;J367&amp;K367&amp;L367&amp;M367&amp;N367&amp;O367&amp;P367</f>
        <v>USR-10036645780ControlSouthMobileOrganicFree100000079.2</v>
      </c>
      <c r="S367" s="22" t="str">
        <f>IF(COUNTIF($R$2:$R$1409,R367)=1,"OK",IF(COUNTIF($R$2:$R$1409,R367)&gt;1,"Exact Duplicate","Review Required"))</f>
        <v>OK</v>
      </c>
      <c r="T367" s="22" t="s">
        <v>24</v>
      </c>
      <c r="U367" s="22" t="s">
        <v>25</v>
      </c>
      <c r="V367" s="22"/>
    </row>
    <row r="368" spans="1:22" ht="41.4">
      <c r="A368" s="22" t="s">
        <v>398</v>
      </c>
      <c r="B368" s="25">
        <v>45700</v>
      </c>
      <c r="C368" s="22" t="s">
        <v>17</v>
      </c>
      <c r="D368" s="22" t="s">
        <v>28</v>
      </c>
      <c r="E368" s="22" t="s">
        <v>24</v>
      </c>
      <c r="F368" s="22" t="s">
        <v>29</v>
      </c>
      <c r="G368" s="22" t="s">
        <v>26</v>
      </c>
      <c r="H368" s="22">
        <v>1</v>
      </c>
      <c r="I368" s="22">
        <v>1</v>
      </c>
      <c r="J368" s="22">
        <v>1</v>
      </c>
      <c r="K368" s="22">
        <v>0</v>
      </c>
      <c r="L368" s="22">
        <v>0</v>
      </c>
      <c r="M368" s="22">
        <v>0</v>
      </c>
      <c r="N368" s="22">
        <v>0</v>
      </c>
      <c r="O368" s="22"/>
      <c r="P368" s="22">
        <v>60.1</v>
      </c>
      <c r="Q368" s="22" t="str">
        <f>IF(OR(L368&lt;$Y$18,L368&gt;$Y$19),"Outlier","Normal")</f>
        <v>Normal</v>
      </c>
      <c r="R368" s="26" t="str">
        <f>A368&amp;B368&amp;C368&amp;D368&amp;E368&amp;F368&amp;G368&amp;H368&amp;I368&amp;J368&amp;K368&amp;L368&amp;M368&amp;N368&amp;O368&amp;P368</f>
        <v>USR-10036745700ControlEastMobilePaid SearchFree111000060.1</v>
      </c>
      <c r="S368" s="22" t="str">
        <f>IF(COUNTIF($R$2:$R$1409,R368)=1,"OK",IF(COUNTIF($R$2:$R$1409,R368)&gt;1,"Exact Duplicate","Review Required"))</f>
        <v>OK</v>
      </c>
      <c r="T368" s="22" t="s">
        <v>24</v>
      </c>
      <c r="U368" s="22" t="s">
        <v>29</v>
      </c>
      <c r="V368" s="22"/>
    </row>
    <row r="369" spans="1:22" ht="41.4">
      <c r="A369" s="22" t="s">
        <v>399</v>
      </c>
      <c r="B369" s="25">
        <v>45713</v>
      </c>
      <c r="C369" s="22" t="s">
        <v>17</v>
      </c>
      <c r="D369" s="22" t="s">
        <v>32</v>
      </c>
      <c r="E369" s="22" t="s">
        <v>34</v>
      </c>
      <c r="F369" s="22" t="s">
        <v>25</v>
      </c>
      <c r="G369" s="22" t="s">
        <v>26</v>
      </c>
      <c r="H369" s="22">
        <v>0</v>
      </c>
      <c r="I369" s="22">
        <v>0</v>
      </c>
      <c r="J369" s="22">
        <v>0</v>
      </c>
      <c r="K369" s="22">
        <v>0</v>
      </c>
      <c r="L369" s="22">
        <v>0</v>
      </c>
      <c r="M369" s="22">
        <v>0</v>
      </c>
      <c r="N369" s="22">
        <v>0</v>
      </c>
      <c r="O369" s="22"/>
      <c r="P369" s="22">
        <v>58</v>
      </c>
      <c r="Q369" s="22" t="str">
        <f>IF(OR(L369&lt;$Y$18,L369&gt;$Y$19),"Outlier","Normal")</f>
        <v>Normal</v>
      </c>
      <c r="R369" s="26" t="str">
        <f>A369&amp;B369&amp;C369&amp;D369&amp;E369&amp;F369&amp;G369&amp;H369&amp;I369&amp;J369&amp;K369&amp;L369&amp;M369&amp;N369&amp;O369&amp;P369</f>
        <v>USR-10036845713ControlSouthTabletOrganicFree000000058</v>
      </c>
      <c r="S369" s="22" t="str">
        <f>IF(COUNTIF($R$2:$R$1409,R369)=1,"OK",IF(COUNTIF($R$2:$R$1409,R369)&gt;1,"Exact Duplicate","Review Required"))</f>
        <v>OK</v>
      </c>
      <c r="T369" s="22" t="s">
        <v>34</v>
      </c>
      <c r="U369" s="22" t="s">
        <v>25</v>
      </c>
      <c r="V369" s="22"/>
    </row>
    <row r="370" spans="1:22" ht="41.4">
      <c r="A370" s="22" t="s">
        <v>400</v>
      </c>
      <c r="B370" s="25">
        <v>45761</v>
      </c>
      <c r="C370" s="22" t="s">
        <v>17</v>
      </c>
      <c r="D370" s="22" t="s">
        <v>32</v>
      </c>
      <c r="E370" s="22" t="s">
        <v>24</v>
      </c>
      <c r="F370" s="22" t="s">
        <v>39</v>
      </c>
      <c r="G370" s="22" t="s">
        <v>26</v>
      </c>
      <c r="H370" s="22">
        <v>1</v>
      </c>
      <c r="I370" s="22">
        <v>1</v>
      </c>
      <c r="J370" s="22">
        <v>1</v>
      </c>
      <c r="K370" s="22">
        <v>0</v>
      </c>
      <c r="L370" s="22">
        <v>0</v>
      </c>
      <c r="M370" s="22">
        <v>0</v>
      </c>
      <c r="N370" s="22">
        <v>0</v>
      </c>
      <c r="O370" s="22"/>
      <c r="P370" s="22">
        <v>69</v>
      </c>
      <c r="Q370" s="22" t="str">
        <f>IF(OR(L370&lt;$Y$18,L370&gt;$Y$19),"Outlier","Normal")</f>
        <v>Normal</v>
      </c>
      <c r="R370" s="26" t="str">
        <f>A370&amp;B370&amp;C370&amp;D370&amp;E370&amp;F370&amp;G370&amp;H370&amp;I370&amp;J370&amp;K370&amp;L370&amp;M370&amp;N370&amp;O370&amp;P370</f>
        <v>USR-10036945761ControlSouthMobileReferralFree111000069</v>
      </c>
      <c r="S370" s="22" t="str">
        <f>IF(COUNTIF($R$2:$R$1409,R370)=1,"OK",IF(COUNTIF($R$2:$R$1409,R370)&gt;1,"Exact Duplicate","Review Required"))</f>
        <v>OK</v>
      </c>
      <c r="T370" s="22" t="s">
        <v>24</v>
      </c>
      <c r="U370" s="22" t="s">
        <v>39</v>
      </c>
      <c r="V370" s="22"/>
    </row>
    <row r="371" spans="1:22" ht="41.4">
      <c r="A371" s="22" t="s">
        <v>401</v>
      </c>
      <c r="B371" s="25">
        <v>45665</v>
      </c>
      <c r="C371" s="22" t="s">
        <v>17</v>
      </c>
      <c r="D371" s="22" t="s">
        <v>18</v>
      </c>
      <c r="E371" s="22" t="s">
        <v>24</v>
      </c>
      <c r="F371" s="22" t="s">
        <v>39</v>
      </c>
      <c r="G371" s="22" t="s">
        <v>30</v>
      </c>
      <c r="H371" s="22">
        <v>1</v>
      </c>
      <c r="I371" s="22">
        <v>1</v>
      </c>
      <c r="J371" s="22">
        <v>1</v>
      </c>
      <c r="K371" s="22">
        <v>0</v>
      </c>
      <c r="L371" s="22">
        <v>0</v>
      </c>
      <c r="M371" s="22">
        <v>1</v>
      </c>
      <c r="N371" s="22">
        <v>0</v>
      </c>
      <c r="O371" s="22"/>
      <c r="P371" s="22">
        <v>80.8</v>
      </c>
      <c r="Q371" s="22" t="str">
        <f>IF(OR(L371&lt;$Y$18,L371&gt;$Y$19),"Outlier","Normal")</f>
        <v>Normal</v>
      </c>
      <c r="R371" s="26" t="str">
        <f>A371&amp;B371&amp;C371&amp;D371&amp;E371&amp;F371&amp;G371&amp;H371&amp;I371&amp;J371&amp;K371&amp;L371&amp;M371&amp;N371&amp;O371&amp;P371</f>
        <v>USR-10037045665ControlNorthMobileReferralPremium111001080.8</v>
      </c>
      <c r="S371" s="22" t="str">
        <f>IF(COUNTIF($R$2:$R$1409,R371)=1,"OK",IF(COUNTIF($R$2:$R$1409,R371)&gt;1,"Exact Duplicate","Review Required"))</f>
        <v>OK</v>
      </c>
      <c r="T371" s="22" t="s">
        <v>24</v>
      </c>
      <c r="U371" s="22" t="s">
        <v>39</v>
      </c>
      <c r="V371" s="22"/>
    </row>
    <row r="372" spans="1:22" ht="41.4">
      <c r="A372" s="22" t="s">
        <v>402</v>
      </c>
      <c r="B372" s="25">
        <v>45730</v>
      </c>
      <c r="C372" s="22" t="s">
        <v>17</v>
      </c>
      <c r="D372" s="22" t="s">
        <v>28</v>
      </c>
      <c r="E372" s="22" t="s">
        <v>24</v>
      </c>
      <c r="F372" s="22" t="s">
        <v>20</v>
      </c>
      <c r="G372" s="22" t="s">
        <v>26</v>
      </c>
      <c r="H372" s="22">
        <v>0</v>
      </c>
      <c r="I372" s="22">
        <v>0</v>
      </c>
      <c r="J372" s="22">
        <v>0</v>
      </c>
      <c r="K372" s="22">
        <v>0</v>
      </c>
      <c r="L372" s="22">
        <v>0</v>
      </c>
      <c r="M372" s="22">
        <v>0</v>
      </c>
      <c r="N372" s="22">
        <v>0</v>
      </c>
      <c r="O372" s="22"/>
      <c r="P372" s="22">
        <v>32.799999999999997</v>
      </c>
      <c r="Q372" s="22" t="str">
        <f>IF(OR(L372&lt;$Y$18,L372&gt;$Y$19),"Outlier","Normal")</f>
        <v>Normal</v>
      </c>
      <c r="R372" s="26" t="str">
        <f>A372&amp;B372&amp;C372&amp;D372&amp;E372&amp;F372&amp;G372&amp;H372&amp;I372&amp;J372&amp;K372&amp;L372&amp;M372&amp;N372&amp;O372&amp;P372</f>
        <v>USR-10037145730ControlEastMobileEmailFree000000032.8</v>
      </c>
      <c r="S372" s="22" t="str">
        <f>IF(COUNTIF($R$2:$R$1409,R372)=1,"OK",IF(COUNTIF($R$2:$R$1409,R372)&gt;1,"Exact Duplicate","Review Required"))</f>
        <v>OK</v>
      </c>
      <c r="T372" s="22" t="s">
        <v>24</v>
      </c>
      <c r="U372" s="22" t="s">
        <v>20</v>
      </c>
      <c r="V372" s="22"/>
    </row>
    <row r="373" spans="1:22" ht="41.4">
      <c r="A373" s="22" t="s">
        <v>403</v>
      </c>
      <c r="B373" s="25">
        <v>45776</v>
      </c>
      <c r="C373" s="22" t="s">
        <v>17</v>
      </c>
      <c r="D373" s="22" t="s">
        <v>18</v>
      </c>
      <c r="E373" s="22" t="s">
        <v>19</v>
      </c>
      <c r="F373" s="22" t="s">
        <v>29</v>
      </c>
      <c r="G373" s="22" t="s">
        <v>30</v>
      </c>
      <c r="H373" s="22">
        <v>1</v>
      </c>
      <c r="I373" s="22">
        <v>0</v>
      </c>
      <c r="J373" s="22">
        <v>0</v>
      </c>
      <c r="K373" s="22">
        <v>0</v>
      </c>
      <c r="L373" s="22">
        <v>0</v>
      </c>
      <c r="M373" s="22">
        <v>0</v>
      </c>
      <c r="N373" s="22">
        <v>0</v>
      </c>
      <c r="O373" s="22"/>
      <c r="P373" s="22">
        <v>56</v>
      </c>
      <c r="Q373" s="22" t="str">
        <f>IF(OR(L373&lt;$Y$18,L373&gt;$Y$19),"Outlier","Normal")</f>
        <v>Normal</v>
      </c>
      <c r="R373" s="26" t="str">
        <f>A373&amp;B373&amp;C373&amp;D373&amp;E373&amp;F373&amp;G373&amp;H373&amp;I373&amp;J373&amp;K373&amp;L373&amp;M373&amp;N373&amp;O373&amp;P373</f>
        <v>USR-10037245776ControlNorthDesktopPaid SearchPremium100000056</v>
      </c>
      <c r="S373" s="22" t="str">
        <f>IF(COUNTIF($R$2:$R$1409,R373)=1,"OK",IF(COUNTIF($R$2:$R$1409,R373)&gt;1,"Exact Duplicate","Review Required"))</f>
        <v>OK</v>
      </c>
      <c r="T373" s="22" t="s">
        <v>19</v>
      </c>
      <c r="U373" s="22" t="s">
        <v>29</v>
      </c>
      <c r="V373" s="22"/>
    </row>
    <row r="374" spans="1:22" ht="41.4">
      <c r="A374" s="22" t="s">
        <v>404</v>
      </c>
      <c r="B374" s="25">
        <v>45778</v>
      </c>
      <c r="C374" s="22" t="s">
        <v>17</v>
      </c>
      <c r="D374" s="22" t="s">
        <v>28</v>
      </c>
      <c r="E374" s="22" t="s">
        <v>19</v>
      </c>
      <c r="F374" s="22" t="s">
        <v>41</v>
      </c>
      <c r="G374" s="22" t="s">
        <v>26</v>
      </c>
      <c r="H374" s="22">
        <v>1</v>
      </c>
      <c r="I374" s="22">
        <v>0</v>
      </c>
      <c r="J374" s="22">
        <v>0</v>
      </c>
      <c r="K374" s="22">
        <v>0</v>
      </c>
      <c r="L374" s="22">
        <v>0</v>
      </c>
      <c r="M374" s="22">
        <v>0</v>
      </c>
      <c r="N374" s="22">
        <v>0</v>
      </c>
      <c r="O374" s="22"/>
      <c r="P374" s="22">
        <v>76.400000000000006</v>
      </c>
      <c r="Q374" s="22" t="str">
        <f>IF(OR(L374&lt;$Y$18,L374&gt;$Y$19),"Outlier","Normal")</f>
        <v>Normal</v>
      </c>
      <c r="R374" s="26" t="str">
        <f>A374&amp;B374&amp;C374&amp;D374&amp;E374&amp;F374&amp;G374&amp;H374&amp;I374&amp;J374&amp;K374&amp;L374&amp;M374&amp;N374&amp;O374&amp;P374</f>
        <v>USR-10037345778ControlEastDesktopSocialFree100000076.4</v>
      </c>
      <c r="S374" s="22" t="str">
        <f>IF(COUNTIF($R$2:$R$1409,R374)=1,"OK",IF(COUNTIF($R$2:$R$1409,R374)&gt;1,"Exact Duplicate","Review Required"))</f>
        <v>OK</v>
      </c>
      <c r="T374" s="22" t="s">
        <v>19</v>
      </c>
      <c r="U374" s="22" t="s">
        <v>41</v>
      </c>
      <c r="V374" s="22"/>
    </row>
    <row r="375" spans="1:22" ht="41.4">
      <c r="A375" s="22" t="s">
        <v>405</v>
      </c>
      <c r="B375" s="25">
        <v>45735</v>
      </c>
      <c r="C375" s="22" t="s">
        <v>17</v>
      </c>
      <c r="D375" s="22" t="s">
        <v>18</v>
      </c>
      <c r="E375" s="22" t="s">
        <v>24</v>
      </c>
      <c r="F375" s="22" t="s">
        <v>39</v>
      </c>
      <c r="G375" s="22" t="s">
        <v>26</v>
      </c>
      <c r="H375" s="22">
        <v>1</v>
      </c>
      <c r="I375" s="22">
        <v>0</v>
      </c>
      <c r="J375" s="22">
        <v>0</v>
      </c>
      <c r="K375" s="22">
        <v>0</v>
      </c>
      <c r="L375" s="22">
        <v>0</v>
      </c>
      <c r="M375" s="22">
        <v>0</v>
      </c>
      <c r="N375" s="22">
        <v>0</v>
      </c>
      <c r="O375" s="22"/>
      <c r="P375" s="22">
        <v>28.5</v>
      </c>
      <c r="Q375" s="22" t="str">
        <f>IF(OR(L375&lt;$Y$18,L375&gt;$Y$19),"Outlier","Normal")</f>
        <v>Normal</v>
      </c>
      <c r="R375" s="26" t="str">
        <f>A375&amp;B375&amp;C375&amp;D375&amp;E375&amp;F375&amp;G375&amp;H375&amp;I375&amp;J375&amp;K375&amp;L375&amp;M375&amp;N375&amp;O375&amp;P375</f>
        <v>USR-10037445735ControlNorthMobileReferralFree100000028.5</v>
      </c>
      <c r="S375" s="22" t="str">
        <f>IF(COUNTIF($R$2:$R$1409,R375)=1,"OK",IF(COUNTIF($R$2:$R$1409,R375)&gt;1,"Exact Duplicate","Review Required"))</f>
        <v>OK</v>
      </c>
      <c r="T375" s="22" t="s">
        <v>24</v>
      </c>
      <c r="U375" s="22" t="s">
        <v>39</v>
      </c>
      <c r="V375" s="22"/>
    </row>
    <row r="376" spans="1:22" ht="41.4">
      <c r="A376" s="22" t="s">
        <v>406</v>
      </c>
      <c r="B376" s="25">
        <v>45778</v>
      </c>
      <c r="C376" s="22" t="s">
        <v>17</v>
      </c>
      <c r="D376" s="22" t="s">
        <v>32</v>
      </c>
      <c r="E376" s="22" t="s">
        <v>19</v>
      </c>
      <c r="F376" s="22" t="s">
        <v>41</v>
      </c>
      <c r="G376" s="22" t="s">
        <v>21</v>
      </c>
      <c r="H376" s="22">
        <v>1</v>
      </c>
      <c r="I376" s="22">
        <v>1</v>
      </c>
      <c r="J376" s="22">
        <v>1</v>
      </c>
      <c r="K376" s="22">
        <v>0</v>
      </c>
      <c r="L376" s="22">
        <v>0</v>
      </c>
      <c r="M376" s="22">
        <v>0</v>
      </c>
      <c r="N376" s="22">
        <v>0</v>
      </c>
      <c r="O376" s="22"/>
      <c r="P376" s="22">
        <v>48.3</v>
      </c>
      <c r="Q376" s="22" t="str">
        <f>IF(OR(L376&lt;$Y$18,L376&gt;$Y$19),"Outlier","Normal")</f>
        <v>Normal</v>
      </c>
      <c r="R376" s="26" t="str">
        <f>A376&amp;B376&amp;C376&amp;D376&amp;E376&amp;F376&amp;G376&amp;H376&amp;I376&amp;J376&amp;K376&amp;L376&amp;M376&amp;N376&amp;O376&amp;P376</f>
        <v>USR-10037545778ControlSouthDesktopSocialBasic111000048.3</v>
      </c>
      <c r="S376" s="22" t="str">
        <f>IF(COUNTIF($R$2:$R$1409,R376)=1,"OK",IF(COUNTIF($R$2:$R$1409,R376)&gt;1,"Exact Duplicate","Review Required"))</f>
        <v>OK</v>
      </c>
      <c r="T376" s="22" t="s">
        <v>19</v>
      </c>
      <c r="U376" s="22" t="s">
        <v>41</v>
      </c>
      <c r="V376" s="22"/>
    </row>
    <row r="377" spans="1:22" ht="41.4">
      <c r="A377" s="22" t="s">
        <v>407</v>
      </c>
      <c r="B377" s="25">
        <v>45730</v>
      </c>
      <c r="C377" s="22" t="s">
        <v>17</v>
      </c>
      <c r="D377" s="22" t="s">
        <v>23</v>
      </c>
      <c r="E377" s="22" t="s">
        <v>24</v>
      </c>
      <c r="F377" s="22" t="s">
        <v>25</v>
      </c>
      <c r="G377" s="22" t="s">
        <v>26</v>
      </c>
      <c r="H377" s="22">
        <v>1</v>
      </c>
      <c r="I377" s="22">
        <v>1</v>
      </c>
      <c r="J377" s="22">
        <v>0</v>
      </c>
      <c r="K377" s="22">
        <v>0</v>
      </c>
      <c r="L377" s="22">
        <v>0</v>
      </c>
      <c r="M377" s="22">
        <v>0</v>
      </c>
      <c r="N377" s="22">
        <v>0</v>
      </c>
      <c r="O377" s="22"/>
      <c r="P377" s="22">
        <v>43.4</v>
      </c>
      <c r="Q377" s="22" t="str">
        <f>IF(OR(L377&lt;$Y$18,L377&gt;$Y$19),"Outlier","Normal")</f>
        <v>Normal</v>
      </c>
      <c r="R377" s="26" t="str">
        <f>A377&amp;B377&amp;C377&amp;D377&amp;E377&amp;F377&amp;G377&amp;H377&amp;I377&amp;J377&amp;K377&amp;L377&amp;M377&amp;N377&amp;O377&amp;P377</f>
        <v>USR-10037645730ControlWestMobileOrganicFree110000043.4</v>
      </c>
      <c r="S377" s="22" t="str">
        <f>IF(COUNTIF($R$2:$R$1409,R377)=1,"OK",IF(COUNTIF($R$2:$R$1409,R377)&gt;1,"Exact Duplicate","Review Required"))</f>
        <v>OK</v>
      </c>
      <c r="T377" s="22" t="s">
        <v>24</v>
      </c>
      <c r="U377" s="22" t="s">
        <v>25</v>
      </c>
      <c r="V377" s="22"/>
    </row>
    <row r="378" spans="1:22" ht="41.4">
      <c r="A378" s="22" t="s">
        <v>408</v>
      </c>
      <c r="B378" s="25">
        <v>45739</v>
      </c>
      <c r="C378" s="22" t="s">
        <v>17</v>
      </c>
      <c r="D378" s="22" t="s">
        <v>18</v>
      </c>
      <c r="E378" s="22" t="s">
        <v>24</v>
      </c>
      <c r="F378" s="22" t="s">
        <v>29</v>
      </c>
      <c r="G378" s="22" t="s">
        <v>26</v>
      </c>
      <c r="H378" s="22">
        <v>0</v>
      </c>
      <c r="I378" s="22">
        <v>0</v>
      </c>
      <c r="J378" s="22">
        <v>0</v>
      </c>
      <c r="K378" s="22">
        <v>0</v>
      </c>
      <c r="L378" s="22">
        <v>0</v>
      </c>
      <c r="M378" s="22">
        <v>0</v>
      </c>
      <c r="N378" s="22">
        <v>0</v>
      </c>
      <c r="O378" s="22"/>
      <c r="P378" s="22">
        <v>43</v>
      </c>
      <c r="Q378" s="22" t="str">
        <f>IF(OR(L378&lt;$Y$18,L378&gt;$Y$19),"Outlier","Normal")</f>
        <v>Normal</v>
      </c>
      <c r="R378" s="26" t="str">
        <f>A378&amp;B378&amp;C378&amp;D378&amp;E378&amp;F378&amp;G378&amp;H378&amp;I378&amp;J378&amp;K378&amp;L378&amp;M378&amp;N378&amp;O378&amp;P378</f>
        <v>USR-10037745739ControlNorthMobilePaid SearchFree000000043</v>
      </c>
      <c r="S378" s="22" t="str">
        <f>IF(COUNTIF($R$2:$R$1409,R378)=1,"OK",IF(COUNTIF($R$2:$R$1409,R378)&gt;1,"Exact Duplicate","Review Required"))</f>
        <v>OK</v>
      </c>
      <c r="T378" s="22" t="s">
        <v>24</v>
      </c>
      <c r="U378" s="22" t="s">
        <v>29</v>
      </c>
      <c r="V378" s="22"/>
    </row>
    <row r="379" spans="1:22" ht="41.4">
      <c r="A379" s="22" t="s">
        <v>409</v>
      </c>
      <c r="B379" s="25">
        <v>45696</v>
      </c>
      <c r="C379" s="22" t="s">
        <v>17</v>
      </c>
      <c r="D379" s="22" t="s">
        <v>28</v>
      </c>
      <c r="E379" s="22" t="s">
        <v>24</v>
      </c>
      <c r="F379" s="22" t="s">
        <v>39</v>
      </c>
      <c r="G379" s="22" t="s">
        <v>21</v>
      </c>
      <c r="H379" s="22">
        <v>1</v>
      </c>
      <c r="I379" s="22">
        <v>1</v>
      </c>
      <c r="J379" s="22">
        <v>1</v>
      </c>
      <c r="K379" s="22">
        <v>0</v>
      </c>
      <c r="L379" s="22">
        <v>0</v>
      </c>
      <c r="M379" s="22">
        <v>0</v>
      </c>
      <c r="N379" s="22">
        <v>0</v>
      </c>
      <c r="O379" s="22"/>
      <c r="P379" s="22">
        <v>91.8</v>
      </c>
      <c r="Q379" s="22" t="str">
        <f>IF(OR(L379&lt;$Y$18,L379&gt;$Y$19),"Outlier","Normal")</f>
        <v>Normal</v>
      </c>
      <c r="R379" s="26" t="str">
        <f>A379&amp;B379&amp;C379&amp;D379&amp;E379&amp;F379&amp;G379&amp;H379&amp;I379&amp;J379&amp;K379&amp;L379&amp;M379&amp;N379&amp;O379&amp;P379</f>
        <v>USR-10037845696ControlEastMobileReferralBasic111000091.8</v>
      </c>
      <c r="S379" s="22" t="str">
        <f>IF(COUNTIF($R$2:$R$1409,R379)=1,"OK",IF(COUNTIF($R$2:$R$1409,R379)&gt;1,"Exact Duplicate","Review Required"))</f>
        <v>OK</v>
      </c>
      <c r="T379" s="22" t="s">
        <v>24</v>
      </c>
      <c r="U379" s="22" t="s">
        <v>39</v>
      </c>
      <c r="V379" s="22"/>
    </row>
    <row r="380" spans="1:22" ht="41.4">
      <c r="A380" s="22" t="s">
        <v>410</v>
      </c>
      <c r="B380" s="25">
        <v>45762</v>
      </c>
      <c r="C380" s="22" t="s">
        <v>17</v>
      </c>
      <c r="D380" s="22" t="s">
        <v>23</v>
      </c>
      <c r="E380" s="22" t="s">
        <v>34</v>
      </c>
      <c r="F380" s="22" t="s">
        <v>29</v>
      </c>
      <c r="G380" s="22" t="s">
        <v>21</v>
      </c>
      <c r="H380" s="22">
        <v>1</v>
      </c>
      <c r="I380" s="22">
        <v>0</v>
      </c>
      <c r="J380" s="22">
        <v>0</v>
      </c>
      <c r="K380" s="22">
        <v>0</v>
      </c>
      <c r="L380" s="22">
        <v>0</v>
      </c>
      <c r="M380" s="22">
        <v>1</v>
      </c>
      <c r="N380" s="22">
        <v>0</v>
      </c>
      <c r="O380" s="22"/>
      <c r="P380" s="22">
        <v>69.3</v>
      </c>
      <c r="Q380" s="22" t="str">
        <f>IF(OR(L380&lt;$Y$18,L380&gt;$Y$19),"Outlier","Normal")</f>
        <v>Normal</v>
      </c>
      <c r="R380" s="26" t="str">
        <f>A380&amp;B380&amp;C380&amp;D380&amp;E380&amp;F380&amp;G380&amp;H380&amp;I380&amp;J380&amp;K380&amp;L380&amp;M380&amp;N380&amp;O380&amp;P380</f>
        <v>USR-10037945762ControlWestTabletPaid SearchBasic100001069.3</v>
      </c>
      <c r="S380" s="22" t="str">
        <f>IF(COUNTIF($R$2:$R$1409,R380)=1,"OK",IF(COUNTIF($R$2:$R$1409,R380)&gt;1,"Exact Duplicate","Review Required"))</f>
        <v>OK</v>
      </c>
      <c r="T380" s="22" t="s">
        <v>34</v>
      </c>
      <c r="U380" s="22" t="s">
        <v>29</v>
      </c>
      <c r="V380" s="22"/>
    </row>
    <row r="381" spans="1:22" ht="41.4">
      <c r="A381" s="22" t="s">
        <v>411</v>
      </c>
      <c r="B381" s="25">
        <v>45660</v>
      </c>
      <c r="C381" s="22" t="s">
        <v>17</v>
      </c>
      <c r="D381" s="22" t="s">
        <v>32</v>
      </c>
      <c r="E381" s="22" t="s">
        <v>19</v>
      </c>
      <c r="F381" s="22" t="s">
        <v>29</v>
      </c>
      <c r="G381" s="22" t="s">
        <v>21</v>
      </c>
      <c r="H381" s="22">
        <v>1</v>
      </c>
      <c r="I381" s="22">
        <v>0</v>
      </c>
      <c r="J381" s="22">
        <v>0</v>
      </c>
      <c r="K381" s="22">
        <v>0</v>
      </c>
      <c r="L381" s="22">
        <v>0</v>
      </c>
      <c r="M381" s="22">
        <v>0</v>
      </c>
      <c r="N381" s="22">
        <v>0</v>
      </c>
      <c r="O381" s="22"/>
      <c r="P381" s="22">
        <v>58.9</v>
      </c>
      <c r="Q381" s="22" t="str">
        <f>IF(OR(L381&lt;$Y$18,L381&gt;$Y$19),"Outlier","Normal")</f>
        <v>Normal</v>
      </c>
      <c r="R381" s="26" t="str">
        <f>A381&amp;B381&amp;C381&amp;D381&amp;E381&amp;F381&amp;G381&amp;H381&amp;I381&amp;J381&amp;K381&amp;L381&amp;M381&amp;N381&amp;O381&amp;P381</f>
        <v>USR-10038045660ControlSouthDesktopPaid SearchBasic100000058.9</v>
      </c>
      <c r="S381" s="22" t="str">
        <f>IF(COUNTIF($R$2:$R$1409,R381)=1,"OK",IF(COUNTIF($R$2:$R$1409,R381)&gt;1,"Exact Duplicate","Review Required"))</f>
        <v>OK</v>
      </c>
      <c r="T381" s="22" t="s">
        <v>19</v>
      </c>
      <c r="U381" s="22" t="s">
        <v>29</v>
      </c>
      <c r="V381" s="22"/>
    </row>
    <row r="382" spans="1:22" ht="41.4">
      <c r="A382" s="22" t="s">
        <v>412</v>
      </c>
      <c r="B382" s="25">
        <v>45739</v>
      </c>
      <c r="C382" s="22" t="s">
        <v>17</v>
      </c>
      <c r="D382" s="22" t="s">
        <v>23</v>
      </c>
      <c r="E382" s="22" t="s">
        <v>24</v>
      </c>
      <c r="F382" s="22" t="s">
        <v>41</v>
      </c>
      <c r="G382" s="22" t="s">
        <v>26</v>
      </c>
      <c r="H382" s="22">
        <v>1</v>
      </c>
      <c r="I382" s="22">
        <v>1</v>
      </c>
      <c r="J382" s="22">
        <v>1</v>
      </c>
      <c r="K382" s="22">
        <v>0</v>
      </c>
      <c r="L382" s="22">
        <v>0</v>
      </c>
      <c r="M382" s="22">
        <v>0</v>
      </c>
      <c r="N382" s="22">
        <v>0</v>
      </c>
      <c r="O382" s="22"/>
      <c r="P382" s="22">
        <v>76</v>
      </c>
      <c r="Q382" s="22" t="str">
        <f>IF(OR(L382&lt;$Y$18,L382&gt;$Y$19),"Outlier","Normal")</f>
        <v>Normal</v>
      </c>
      <c r="R382" s="26" t="str">
        <f>A382&amp;B382&amp;C382&amp;D382&amp;E382&amp;F382&amp;G382&amp;H382&amp;I382&amp;J382&amp;K382&amp;L382&amp;M382&amp;N382&amp;O382&amp;P382</f>
        <v>USR-10038145739ControlWestMobileSocialFree111000076</v>
      </c>
      <c r="S382" s="22" t="str">
        <f>IF(COUNTIF($R$2:$R$1409,R382)=1,"OK",IF(COUNTIF($R$2:$R$1409,R382)&gt;1,"Exact Duplicate","Review Required"))</f>
        <v>OK</v>
      </c>
      <c r="T382" s="22" t="s">
        <v>24</v>
      </c>
      <c r="U382" s="22" t="s">
        <v>41</v>
      </c>
      <c r="V382" s="22"/>
    </row>
    <row r="383" spans="1:22" ht="41.4">
      <c r="A383" s="22" t="s">
        <v>413</v>
      </c>
      <c r="B383" s="25">
        <v>45804</v>
      </c>
      <c r="C383" s="22" t="s">
        <v>17</v>
      </c>
      <c r="D383" s="22" t="s">
        <v>32</v>
      </c>
      <c r="E383" s="22" t="s">
        <v>24</v>
      </c>
      <c r="F383" s="22" t="s">
        <v>39</v>
      </c>
      <c r="G383" s="22" t="s">
        <v>30</v>
      </c>
      <c r="H383" s="22">
        <v>1</v>
      </c>
      <c r="I383" s="22">
        <v>0</v>
      </c>
      <c r="J383" s="22">
        <v>0</v>
      </c>
      <c r="K383" s="22">
        <v>0</v>
      </c>
      <c r="L383" s="22">
        <v>0</v>
      </c>
      <c r="M383" s="22">
        <v>0</v>
      </c>
      <c r="N383" s="22">
        <v>0</v>
      </c>
      <c r="O383" s="22"/>
      <c r="P383" s="22">
        <v>46</v>
      </c>
      <c r="Q383" s="22" t="str">
        <f>IF(OR(L383&lt;$Y$18,L383&gt;$Y$19),"Outlier","Normal")</f>
        <v>Normal</v>
      </c>
      <c r="R383" s="26" t="str">
        <f>A383&amp;B383&amp;C383&amp;D383&amp;E383&amp;F383&amp;G383&amp;H383&amp;I383&amp;J383&amp;K383&amp;L383&amp;M383&amp;N383&amp;O383&amp;P383</f>
        <v>USR-10038245804ControlSouthMobileReferralPremium100000046</v>
      </c>
      <c r="S383" s="22" t="str">
        <f>IF(COUNTIF($R$2:$R$1409,R383)=1,"OK",IF(COUNTIF($R$2:$R$1409,R383)&gt;1,"Exact Duplicate","Review Required"))</f>
        <v>OK</v>
      </c>
      <c r="T383" s="22" t="s">
        <v>24</v>
      </c>
      <c r="U383" s="22" t="s">
        <v>39</v>
      </c>
      <c r="V383" s="22"/>
    </row>
    <row r="384" spans="1:22" ht="41.4">
      <c r="A384" s="22" t="s">
        <v>414</v>
      </c>
      <c r="B384" s="25">
        <v>45777</v>
      </c>
      <c r="C384" s="22" t="s">
        <v>17</v>
      </c>
      <c r="D384" s="22" t="s">
        <v>28</v>
      </c>
      <c r="E384" s="22" t="s">
        <v>24</v>
      </c>
      <c r="F384" s="22" t="s">
        <v>25</v>
      </c>
      <c r="G384" s="22" t="s">
        <v>26</v>
      </c>
      <c r="H384" s="22">
        <v>1</v>
      </c>
      <c r="I384" s="22">
        <v>0</v>
      </c>
      <c r="J384" s="22">
        <v>0</v>
      </c>
      <c r="K384" s="22">
        <v>0</v>
      </c>
      <c r="L384" s="22">
        <v>0</v>
      </c>
      <c r="M384" s="22">
        <v>0</v>
      </c>
      <c r="N384" s="22">
        <v>0</v>
      </c>
      <c r="O384" s="22"/>
      <c r="P384" s="22">
        <v>54.1</v>
      </c>
      <c r="Q384" s="22" t="str">
        <f>IF(OR(L384&lt;$Y$18,L384&gt;$Y$19),"Outlier","Normal")</f>
        <v>Normal</v>
      </c>
      <c r="R384" s="26" t="str">
        <f>A384&amp;B384&amp;C384&amp;D384&amp;E384&amp;F384&amp;G384&amp;H384&amp;I384&amp;J384&amp;K384&amp;L384&amp;M384&amp;N384&amp;O384&amp;P384</f>
        <v>USR-10038345777ControlEastMobileOrganicFree100000054.1</v>
      </c>
      <c r="S384" s="22" t="str">
        <f>IF(COUNTIF($R$2:$R$1409,R384)=1,"OK",IF(COUNTIF($R$2:$R$1409,R384)&gt;1,"Exact Duplicate","Review Required"))</f>
        <v>OK</v>
      </c>
      <c r="T384" s="22" t="s">
        <v>24</v>
      </c>
      <c r="U384" s="22" t="s">
        <v>25</v>
      </c>
      <c r="V384" s="22"/>
    </row>
    <row r="385" spans="1:22" ht="41.4">
      <c r="A385" s="22" t="s">
        <v>415</v>
      </c>
      <c r="B385" s="25">
        <v>45723</v>
      </c>
      <c r="C385" s="22" t="s">
        <v>17</v>
      </c>
      <c r="D385" s="22" t="s">
        <v>23</v>
      </c>
      <c r="E385" s="22" t="s">
        <v>24</v>
      </c>
      <c r="F385" s="22" t="s">
        <v>41</v>
      </c>
      <c r="G385" s="22" t="s">
        <v>21</v>
      </c>
      <c r="H385" s="22">
        <v>1</v>
      </c>
      <c r="I385" s="22">
        <v>0</v>
      </c>
      <c r="J385" s="22">
        <v>0</v>
      </c>
      <c r="K385" s="22">
        <v>0</v>
      </c>
      <c r="L385" s="22">
        <v>0</v>
      </c>
      <c r="M385" s="22">
        <v>0</v>
      </c>
      <c r="N385" s="22">
        <v>0</v>
      </c>
      <c r="O385" s="22"/>
      <c r="P385" s="22">
        <v>82.4</v>
      </c>
      <c r="Q385" s="22" t="str">
        <f>IF(OR(L385&lt;$Y$18,L385&gt;$Y$19),"Outlier","Normal")</f>
        <v>Normal</v>
      </c>
      <c r="R385" s="26" t="str">
        <f>A385&amp;B385&amp;C385&amp;D385&amp;E385&amp;F385&amp;G385&amp;H385&amp;I385&amp;J385&amp;K385&amp;L385&amp;M385&amp;N385&amp;O385&amp;P385</f>
        <v>USR-10038445723ControlWestMobileSocialBasic100000082.4</v>
      </c>
      <c r="S385" s="22" t="str">
        <f>IF(COUNTIF($R$2:$R$1409,R385)=1,"OK",IF(COUNTIF($R$2:$R$1409,R385)&gt;1,"Exact Duplicate","Review Required"))</f>
        <v>OK</v>
      </c>
      <c r="T385" s="22" t="s">
        <v>24</v>
      </c>
      <c r="U385" s="22" t="s">
        <v>41</v>
      </c>
      <c r="V385" s="22"/>
    </row>
    <row r="386" spans="1:22" ht="41.4">
      <c r="A386" s="22" t="s">
        <v>416</v>
      </c>
      <c r="B386" s="25">
        <v>45787</v>
      </c>
      <c r="C386" s="22" t="s">
        <v>17</v>
      </c>
      <c r="D386" s="22" t="s">
        <v>32</v>
      </c>
      <c r="E386" s="22" t="s">
        <v>24</v>
      </c>
      <c r="F386" s="22" t="s">
        <v>25</v>
      </c>
      <c r="G386" s="22" t="s">
        <v>21</v>
      </c>
      <c r="H386" s="22">
        <v>1</v>
      </c>
      <c r="I386" s="22">
        <v>1</v>
      </c>
      <c r="J386" s="22">
        <v>1</v>
      </c>
      <c r="K386" s="22">
        <v>0</v>
      </c>
      <c r="L386" s="22">
        <v>0</v>
      </c>
      <c r="M386" s="22">
        <v>0</v>
      </c>
      <c r="N386" s="22">
        <v>0</v>
      </c>
      <c r="O386" s="22"/>
      <c r="P386" s="22">
        <v>71.900000000000006</v>
      </c>
      <c r="Q386" s="22" t="str">
        <f>IF(OR(L386&lt;$Y$18,L386&gt;$Y$19),"Outlier","Normal")</f>
        <v>Normal</v>
      </c>
      <c r="R386" s="26" t="str">
        <f>A386&amp;B386&amp;C386&amp;D386&amp;E386&amp;F386&amp;G386&amp;H386&amp;I386&amp;J386&amp;K386&amp;L386&amp;M386&amp;N386&amp;O386&amp;P386</f>
        <v>USR-10038545787ControlSouthMobileOrganicBasic111000071.9</v>
      </c>
      <c r="S386" s="22" t="str">
        <f>IF(COUNTIF($R$2:$R$1409,R386)=1,"OK",IF(COUNTIF($R$2:$R$1409,R386)&gt;1,"Exact Duplicate","Review Required"))</f>
        <v>OK</v>
      </c>
      <c r="T386" s="22" t="s">
        <v>24</v>
      </c>
      <c r="U386" s="22" t="s">
        <v>25</v>
      </c>
      <c r="V386" s="22"/>
    </row>
    <row r="387" spans="1:22" ht="41.4">
      <c r="A387" s="22" t="s">
        <v>417</v>
      </c>
      <c r="B387" s="25">
        <v>45799</v>
      </c>
      <c r="C387" s="22" t="s">
        <v>17</v>
      </c>
      <c r="D387" s="22" t="s">
        <v>28</v>
      </c>
      <c r="E387" s="22" t="s">
        <v>24</v>
      </c>
      <c r="F387" s="22" t="s">
        <v>25</v>
      </c>
      <c r="G387" s="22" t="s">
        <v>26</v>
      </c>
      <c r="H387" s="22">
        <v>0</v>
      </c>
      <c r="I387" s="22">
        <v>0</v>
      </c>
      <c r="J387" s="22">
        <v>0</v>
      </c>
      <c r="K387" s="22">
        <v>0</v>
      </c>
      <c r="L387" s="22">
        <v>0</v>
      </c>
      <c r="M387" s="22">
        <v>2</v>
      </c>
      <c r="N387" s="22">
        <v>0</v>
      </c>
      <c r="O387" s="22"/>
      <c r="P387" s="22">
        <v>38</v>
      </c>
      <c r="Q387" s="22" t="str">
        <f>IF(OR(L387&lt;$Y$18,L387&gt;$Y$19),"Outlier","Normal")</f>
        <v>Normal</v>
      </c>
      <c r="R387" s="26" t="str">
        <f>A387&amp;B387&amp;C387&amp;D387&amp;E387&amp;F387&amp;G387&amp;H387&amp;I387&amp;J387&amp;K387&amp;L387&amp;M387&amp;N387&amp;O387&amp;P387</f>
        <v>USR-10038645799ControlEastMobileOrganicFree000002038</v>
      </c>
      <c r="S387" s="22" t="str">
        <f>IF(COUNTIF($R$2:$R$1409,R387)=1,"OK",IF(COUNTIF($R$2:$R$1409,R387)&gt;1,"Exact Duplicate","Review Required"))</f>
        <v>OK</v>
      </c>
      <c r="T387" s="22" t="s">
        <v>24</v>
      </c>
      <c r="U387" s="22" t="s">
        <v>25</v>
      </c>
      <c r="V387" s="22"/>
    </row>
    <row r="388" spans="1:22" ht="41.4">
      <c r="A388" s="22" t="s">
        <v>418</v>
      </c>
      <c r="B388" s="25">
        <v>45697</v>
      </c>
      <c r="C388" s="22" t="s">
        <v>17</v>
      </c>
      <c r="D388" s="22" t="s">
        <v>28</v>
      </c>
      <c r="E388" s="22" t="s">
        <v>24</v>
      </c>
      <c r="F388" s="22" t="s">
        <v>29</v>
      </c>
      <c r="G388" s="22" t="s">
        <v>26</v>
      </c>
      <c r="H388" s="22">
        <v>1</v>
      </c>
      <c r="I388" s="22">
        <v>1</v>
      </c>
      <c r="J388" s="22">
        <v>0</v>
      </c>
      <c r="K388" s="22">
        <v>0</v>
      </c>
      <c r="L388" s="22">
        <v>0</v>
      </c>
      <c r="M388" s="22">
        <v>0</v>
      </c>
      <c r="N388" s="22">
        <v>0</v>
      </c>
      <c r="O388" s="22"/>
      <c r="P388" s="22">
        <v>43.7</v>
      </c>
      <c r="Q388" s="22" t="str">
        <f>IF(OR(L388&lt;$Y$18,L388&gt;$Y$19),"Outlier","Normal")</f>
        <v>Normal</v>
      </c>
      <c r="R388" s="26" t="str">
        <f>A388&amp;B388&amp;C388&amp;D388&amp;E388&amp;F388&amp;G388&amp;H388&amp;I388&amp;J388&amp;K388&amp;L388&amp;M388&amp;N388&amp;O388&amp;P388</f>
        <v>USR-10038745697ControlEastMobilePaid SearchFree110000043.7</v>
      </c>
      <c r="S388" s="22" t="str">
        <f>IF(COUNTIF($R$2:$R$1409,R388)=1,"OK",IF(COUNTIF($R$2:$R$1409,R388)&gt;1,"Exact Duplicate","Review Required"))</f>
        <v>OK</v>
      </c>
      <c r="T388" s="22" t="s">
        <v>24</v>
      </c>
      <c r="U388" s="22" t="s">
        <v>29</v>
      </c>
      <c r="V388" s="22"/>
    </row>
    <row r="389" spans="1:22" ht="41.4">
      <c r="A389" s="22" t="s">
        <v>419</v>
      </c>
      <c r="B389" s="25">
        <v>45807</v>
      </c>
      <c r="C389" s="22" t="s">
        <v>17</v>
      </c>
      <c r="D389" s="22" t="s">
        <v>23</v>
      </c>
      <c r="E389" s="22" t="s">
        <v>19</v>
      </c>
      <c r="F389" s="22" t="s">
        <v>25</v>
      </c>
      <c r="G389" s="22" t="s">
        <v>30</v>
      </c>
      <c r="H389" s="22">
        <v>1</v>
      </c>
      <c r="I389" s="22">
        <v>0</v>
      </c>
      <c r="J389" s="22">
        <v>0</v>
      </c>
      <c r="K389" s="22">
        <v>0</v>
      </c>
      <c r="L389" s="22">
        <v>0</v>
      </c>
      <c r="M389" s="22">
        <v>1</v>
      </c>
      <c r="N389" s="22">
        <v>0</v>
      </c>
      <c r="O389" s="22"/>
      <c r="P389" s="22">
        <v>32.200000000000003</v>
      </c>
      <c r="Q389" s="22" t="str">
        <f>IF(OR(L389&lt;$Y$18,L389&gt;$Y$19),"Outlier","Normal")</f>
        <v>Normal</v>
      </c>
      <c r="R389" s="26" t="str">
        <f>A389&amp;B389&amp;C389&amp;D389&amp;E389&amp;F389&amp;G389&amp;H389&amp;I389&amp;J389&amp;K389&amp;L389&amp;M389&amp;N389&amp;O389&amp;P389</f>
        <v>USR-10038845807ControlWestDesktopOrganicPremium100001032.2</v>
      </c>
      <c r="S389" s="22" t="str">
        <f>IF(COUNTIF($R$2:$R$1409,R389)=1,"OK",IF(COUNTIF($R$2:$R$1409,R389)&gt;1,"Exact Duplicate","Review Required"))</f>
        <v>OK</v>
      </c>
      <c r="T389" s="22" t="s">
        <v>19</v>
      </c>
      <c r="U389" s="22" t="s">
        <v>25</v>
      </c>
      <c r="V389" s="22"/>
    </row>
    <row r="390" spans="1:22" ht="41.4">
      <c r="A390" s="22" t="s">
        <v>420</v>
      </c>
      <c r="B390" s="25">
        <v>45778</v>
      </c>
      <c r="C390" s="22" t="s">
        <v>17</v>
      </c>
      <c r="D390" s="22" t="s">
        <v>32</v>
      </c>
      <c r="E390" s="22" t="s">
        <v>24</v>
      </c>
      <c r="F390" s="22" t="s">
        <v>25</v>
      </c>
      <c r="G390" s="22" t="s">
        <v>30</v>
      </c>
      <c r="H390" s="22">
        <v>1</v>
      </c>
      <c r="I390" s="22">
        <v>0</v>
      </c>
      <c r="J390" s="22">
        <v>0</v>
      </c>
      <c r="K390" s="22">
        <v>0</v>
      </c>
      <c r="L390" s="22">
        <v>0</v>
      </c>
      <c r="M390" s="22">
        <v>0</v>
      </c>
      <c r="N390" s="22">
        <v>0</v>
      </c>
      <c r="O390" s="22"/>
      <c r="P390" s="22">
        <v>61</v>
      </c>
      <c r="Q390" s="22" t="str">
        <f>IF(OR(L390&lt;$Y$18,L390&gt;$Y$19),"Outlier","Normal")</f>
        <v>Normal</v>
      </c>
      <c r="R390" s="26" t="str">
        <f>A390&amp;B390&amp;C390&amp;D390&amp;E390&amp;F390&amp;G390&amp;H390&amp;I390&amp;J390&amp;K390&amp;L390&amp;M390&amp;N390&amp;O390&amp;P390</f>
        <v>USR-10038945778ControlSouthMobileOrganicPremium100000061</v>
      </c>
      <c r="S390" s="22" t="str">
        <f>IF(COUNTIF($R$2:$R$1409,R390)=1,"OK",IF(COUNTIF($R$2:$R$1409,R390)&gt;1,"Exact Duplicate","Review Required"))</f>
        <v>OK</v>
      </c>
      <c r="T390" s="22" t="s">
        <v>24</v>
      </c>
      <c r="U390" s="22" t="s">
        <v>25</v>
      </c>
      <c r="V390" s="22"/>
    </row>
    <row r="391" spans="1:22" ht="41.4">
      <c r="A391" s="22" t="s">
        <v>421</v>
      </c>
      <c r="B391" s="25">
        <v>45660</v>
      </c>
      <c r="C391" s="22" t="s">
        <v>17</v>
      </c>
      <c r="D391" s="22" t="s">
        <v>32</v>
      </c>
      <c r="E391" s="22" t="s">
        <v>24</v>
      </c>
      <c r="F391" s="22" t="s">
        <v>29</v>
      </c>
      <c r="G391" s="22" t="s">
        <v>26</v>
      </c>
      <c r="H391" s="22">
        <v>1</v>
      </c>
      <c r="I391" s="22">
        <v>0</v>
      </c>
      <c r="J391" s="22">
        <v>0</v>
      </c>
      <c r="K391" s="22">
        <v>0</v>
      </c>
      <c r="L391" s="22">
        <v>0</v>
      </c>
      <c r="M391" s="22">
        <v>0</v>
      </c>
      <c r="N391" s="22">
        <v>0</v>
      </c>
      <c r="O391" s="22"/>
      <c r="P391" s="22">
        <v>49</v>
      </c>
      <c r="Q391" s="22" t="str">
        <f>IF(OR(L391&lt;$Y$18,L391&gt;$Y$19),"Outlier","Normal")</f>
        <v>Normal</v>
      </c>
      <c r="R391" s="26" t="str">
        <f>A391&amp;B391&amp;C391&amp;D391&amp;E391&amp;F391&amp;G391&amp;H391&amp;I391&amp;J391&amp;K391&amp;L391&amp;M391&amp;N391&amp;O391&amp;P391</f>
        <v>USR-10039045660ControlSouthMobilePaid SearchFree100000049</v>
      </c>
      <c r="S391" s="22" t="str">
        <f>IF(COUNTIF($R$2:$R$1409,R391)=1,"OK",IF(COUNTIF($R$2:$R$1409,R391)&gt;1,"Exact Duplicate","Review Required"))</f>
        <v>OK</v>
      </c>
      <c r="T391" s="22" t="s">
        <v>24</v>
      </c>
      <c r="U391" s="22" t="s">
        <v>29</v>
      </c>
      <c r="V391" s="22"/>
    </row>
    <row r="392" spans="1:22" ht="41.4">
      <c r="A392" s="22" t="s">
        <v>422</v>
      </c>
      <c r="B392" s="25">
        <v>45701</v>
      </c>
      <c r="C392" s="22" t="s">
        <v>17</v>
      </c>
      <c r="D392" s="22" t="s">
        <v>28</v>
      </c>
      <c r="E392" s="22" t="s">
        <v>24</v>
      </c>
      <c r="F392" s="22" t="s">
        <v>25</v>
      </c>
      <c r="G392" s="22" t="s">
        <v>26</v>
      </c>
      <c r="H392" s="22">
        <v>0</v>
      </c>
      <c r="I392" s="22">
        <v>0</v>
      </c>
      <c r="J392" s="22">
        <v>0</v>
      </c>
      <c r="K392" s="22">
        <v>0</v>
      </c>
      <c r="L392" s="22">
        <v>0</v>
      </c>
      <c r="M392" s="22">
        <v>0</v>
      </c>
      <c r="N392" s="22">
        <v>0</v>
      </c>
      <c r="O392" s="22"/>
      <c r="P392" s="22">
        <v>48.1</v>
      </c>
      <c r="Q392" s="22" t="str">
        <f>IF(OR(L392&lt;$Y$18,L392&gt;$Y$19),"Outlier","Normal")</f>
        <v>Normal</v>
      </c>
      <c r="R392" s="26" t="str">
        <f>A392&amp;B392&amp;C392&amp;D392&amp;E392&amp;F392&amp;G392&amp;H392&amp;I392&amp;J392&amp;K392&amp;L392&amp;M392&amp;N392&amp;O392&amp;P392</f>
        <v>USR-10039145701ControlEastMobileOrganicFree000000048.1</v>
      </c>
      <c r="S392" s="22" t="str">
        <f>IF(COUNTIF($R$2:$R$1409,R392)=1,"OK",IF(COUNTIF($R$2:$R$1409,R392)&gt;1,"Exact Duplicate","Review Required"))</f>
        <v>OK</v>
      </c>
      <c r="T392" s="22" t="s">
        <v>24</v>
      </c>
      <c r="U392" s="22" t="s">
        <v>25</v>
      </c>
      <c r="V392" s="22"/>
    </row>
    <row r="393" spans="1:22" ht="41.4">
      <c r="A393" s="22" t="s">
        <v>423</v>
      </c>
      <c r="B393" s="25">
        <v>45671</v>
      </c>
      <c r="C393" s="22" t="s">
        <v>17</v>
      </c>
      <c r="D393" s="22" t="s">
        <v>32</v>
      </c>
      <c r="E393" s="22" t="s">
        <v>19</v>
      </c>
      <c r="F393" s="22" t="s">
        <v>25</v>
      </c>
      <c r="G393" s="22" t="s">
        <v>26</v>
      </c>
      <c r="H393" s="22">
        <v>0</v>
      </c>
      <c r="I393" s="22">
        <v>0</v>
      </c>
      <c r="J393" s="22">
        <v>0</v>
      </c>
      <c r="K393" s="22">
        <v>0</v>
      </c>
      <c r="L393" s="22">
        <v>0</v>
      </c>
      <c r="M393" s="22">
        <v>2</v>
      </c>
      <c r="N393" s="22">
        <v>0</v>
      </c>
      <c r="O393" s="22"/>
      <c r="P393" s="22">
        <v>46.3</v>
      </c>
      <c r="Q393" s="22" t="str">
        <f>IF(OR(L393&lt;$Y$18,L393&gt;$Y$19),"Outlier","Normal")</f>
        <v>Normal</v>
      </c>
      <c r="R393" s="26" t="str">
        <f>A393&amp;B393&amp;C393&amp;D393&amp;E393&amp;F393&amp;G393&amp;H393&amp;I393&amp;J393&amp;K393&amp;L393&amp;M393&amp;N393&amp;O393&amp;P393</f>
        <v>USR-10039245671ControlSouthDesktopOrganicFree000002046.3</v>
      </c>
      <c r="S393" s="22" t="str">
        <f>IF(COUNTIF($R$2:$R$1409,R393)=1,"OK",IF(COUNTIF($R$2:$R$1409,R393)&gt;1,"Exact Duplicate","Review Required"))</f>
        <v>OK</v>
      </c>
      <c r="T393" s="22" t="s">
        <v>19</v>
      </c>
      <c r="U393" s="22" t="s">
        <v>25</v>
      </c>
      <c r="V393" s="22"/>
    </row>
    <row r="394" spans="1:22" ht="41.4">
      <c r="A394" s="22" t="s">
        <v>424</v>
      </c>
      <c r="B394" s="25">
        <v>45712</v>
      </c>
      <c r="C394" s="22" t="s">
        <v>17</v>
      </c>
      <c r="D394" s="22" t="s">
        <v>18</v>
      </c>
      <c r="E394" s="22" t="s">
        <v>24</v>
      </c>
      <c r="F394" s="22" t="s">
        <v>39</v>
      </c>
      <c r="G394" s="22" t="s">
        <v>26</v>
      </c>
      <c r="H394" s="22">
        <v>0</v>
      </c>
      <c r="I394" s="22">
        <v>0</v>
      </c>
      <c r="J394" s="22">
        <v>0</v>
      </c>
      <c r="K394" s="22">
        <v>0</v>
      </c>
      <c r="L394" s="22">
        <v>0</v>
      </c>
      <c r="M394" s="22">
        <v>0</v>
      </c>
      <c r="N394" s="22">
        <v>0</v>
      </c>
      <c r="O394" s="22"/>
      <c r="P394" s="22">
        <v>64</v>
      </c>
      <c r="Q394" s="22" t="str">
        <f>IF(OR(L394&lt;$Y$18,L394&gt;$Y$19),"Outlier","Normal")</f>
        <v>Normal</v>
      </c>
      <c r="R394" s="26" t="str">
        <f>A394&amp;B394&amp;C394&amp;D394&amp;E394&amp;F394&amp;G394&amp;H394&amp;I394&amp;J394&amp;K394&amp;L394&amp;M394&amp;N394&amp;O394&amp;P394</f>
        <v>USR-10039345712ControlNorthMobileReferralFree000000064</v>
      </c>
      <c r="S394" s="22" t="str">
        <f>IF(COUNTIF($R$2:$R$1409,R394)=1,"OK",IF(COUNTIF($R$2:$R$1409,R394)&gt;1,"Exact Duplicate","Review Required"))</f>
        <v>OK</v>
      </c>
      <c r="T394" s="22" t="s">
        <v>24</v>
      </c>
      <c r="U394" s="22" t="s">
        <v>39</v>
      </c>
      <c r="V394" s="22"/>
    </row>
    <row r="395" spans="1:22" ht="41.4">
      <c r="A395" s="22" t="s">
        <v>425</v>
      </c>
      <c r="B395" s="25">
        <v>45793</v>
      </c>
      <c r="C395" s="22" t="s">
        <v>17</v>
      </c>
      <c r="D395" s="22" t="s">
        <v>23</v>
      </c>
      <c r="E395" s="22" t="s">
        <v>19</v>
      </c>
      <c r="F395" s="22" t="s">
        <v>25</v>
      </c>
      <c r="G395" s="22" t="s">
        <v>21</v>
      </c>
      <c r="H395" s="22">
        <v>1</v>
      </c>
      <c r="I395" s="22">
        <v>1</v>
      </c>
      <c r="J395" s="22">
        <v>0</v>
      </c>
      <c r="K395" s="22">
        <v>0</v>
      </c>
      <c r="L395" s="22">
        <v>0</v>
      </c>
      <c r="M395" s="22">
        <v>0</v>
      </c>
      <c r="N395" s="22">
        <v>0</v>
      </c>
      <c r="O395" s="22"/>
      <c r="P395" s="22">
        <v>56.2</v>
      </c>
      <c r="Q395" s="22" t="str">
        <f>IF(OR(L395&lt;$Y$18,L395&gt;$Y$19),"Outlier","Normal")</f>
        <v>Normal</v>
      </c>
      <c r="R395" s="26" t="str">
        <f>A395&amp;B395&amp;C395&amp;D395&amp;E395&amp;F395&amp;G395&amp;H395&amp;I395&amp;J395&amp;K395&amp;L395&amp;M395&amp;N395&amp;O395&amp;P395</f>
        <v>USR-10039445793ControlWestDesktopOrganicBasic110000056.2</v>
      </c>
      <c r="S395" s="22" t="str">
        <f>IF(COUNTIF($R$2:$R$1409,R395)=1,"OK",IF(COUNTIF($R$2:$R$1409,R395)&gt;1,"Exact Duplicate","Review Required"))</f>
        <v>OK</v>
      </c>
      <c r="T395" s="22" t="s">
        <v>19</v>
      </c>
      <c r="U395" s="22" t="s">
        <v>25</v>
      </c>
      <c r="V395" s="22"/>
    </row>
    <row r="396" spans="1:22" ht="41.4">
      <c r="A396" s="22" t="s">
        <v>426</v>
      </c>
      <c r="B396" s="25">
        <v>45776</v>
      </c>
      <c r="C396" s="22" t="s">
        <v>17</v>
      </c>
      <c r="D396" s="22" t="s">
        <v>18</v>
      </c>
      <c r="E396" s="22" t="s">
        <v>24</v>
      </c>
      <c r="F396" s="22" t="s">
        <v>29</v>
      </c>
      <c r="G396" s="22" t="s">
        <v>26</v>
      </c>
      <c r="H396" s="22">
        <v>1</v>
      </c>
      <c r="I396" s="22">
        <v>1</v>
      </c>
      <c r="J396" s="22">
        <v>1</v>
      </c>
      <c r="K396" s="22">
        <v>0</v>
      </c>
      <c r="L396" s="22">
        <v>0</v>
      </c>
      <c r="M396" s="22">
        <v>0</v>
      </c>
      <c r="N396" s="22">
        <v>0</v>
      </c>
      <c r="O396" s="22"/>
      <c r="P396" s="22">
        <v>77.5</v>
      </c>
      <c r="Q396" s="22" t="str">
        <f>IF(OR(L396&lt;$Y$18,L396&gt;$Y$19),"Outlier","Normal")</f>
        <v>Normal</v>
      </c>
      <c r="R396" s="26" t="str">
        <f>A396&amp;B396&amp;C396&amp;D396&amp;E396&amp;F396&amp;G396&amp;H396&amp;I396&amp;J396&amp;K396&amp;L396&amp;M396&amp;N396&amp;O396&amp;P396</f>
        <v>USR-10039545776ControlNorthMobilePaid SearchFree111000077.5</v>
      </c>
      <c r="S396" s="22" t="str">
        <f>IF(COUNTIF($R$2:$R$1409,R396)=1,"OK",IF(COUNTIF($R$2:$R$1409,R396)&gt;1,"Exact Duplicate","Review Required"))</f>
        <v>OK</v>
      </c>
      <c r="T396" s="22" t="s">
        <v>24</v>
      </c>
      <c r="U396" s="22" t="s">
        <v>29</v>
      </c>
      <c r="V396" s="22"/>
    </row>
    <row r="397" spans="1:22" ht="41.4">
      <c r="A397" s="22" t="s">
        <v>427</v>
      </c>
      <c r="B397" s="25">
        <v>45777</v>
      </c>
      <c r="C397" s="22" t="s">
        <v>17</v>
      </c>
      <c r="D397" s="22" t="s">
        <v>32</v>
      </c>
      <c r="E397" s="22" t="s">
        <v>19</v>
      </c>
      <c r="F397" s="22" t="s">
        <v>20</v>
      </c>
      <c r="G397" s="22" t="s">
        <v>21</v>
      </c>
      <c r="H397" s="22">
        <v>1</v>
      </c>
      <c r="I397" s="22">
        <v>0</v>
      </c>
      <c r="J397" s="22">
        <v>0</v>
      </c>
      <c r="K397" s="22">
        <v>0</v>
      </c>
      <c r="L397" s="22">
        <v>0</v>
      </c>
      <c r="M397" s="22">
        <v>0</v>
      </c>
      <c r="N397" s="22">
        <v>0</v>
      </c>
      <c r="O397" s="22"/>
      <c r="P397" s="22">
        <v>59.9</v>
      </c>
      <c r="Q397" s="22" t="str">
        <f>IF(OR(L397&lt;$Y$18,L397&gt;$Y$19),"Outlier","Normal")</f>
        <v>Normal</v>
      </c>
      <c r="R397" s="26" t="str">
        <f>A397&amp;B397&amp;C397&amp;D397&amp;E397&amp;F397&amp;G397&amp;H397&amp;I397&amp;J397&amp;K397&amp;L397&amp;M397&amp;N397&amp;O397&amp;P397</f>
        <v>USR-10039645777ControlSouthDesktopEmailBasic100000059.9</v>
      </c>
      <c r="S397" s="22" t="str">
        <f>IF(COUNTIF($R$2:$R$1409,R397)=1,"OK",IF(COUNTIF($R$2:$R$1409,R397)&gt;1,"Exact Duplicate","Review Required"))</f>
        <v>OK</v>
      </c>
      <c r="T397" s="22" t="s">
        <v>19</v>
      </c>
      <c r="U397" s="22" t="s">
        <v>20</v>
      </c>
      <c r="V397" s="22"/>
    </row>
    <row r="398" spans="1:22" ht="41.4">
      <c r="A398" s="22" t="s">
        <v>428</v>
      </c>
      <c r="B398" s="25">
        <v>45666</v>
      </c>
      <c r="C398" s="22" t="s">
        <v>17</v>
      </c>
      <c r="D398" s="22" t="s">
        <v>32</v>
      </c>
      <c r="E398" s="22" t="s">
        <v>19</v>
      </c>
      <c r="F398" s="22" t="s">
        <v>25</v>
      </c>
      <c r="G398" s="22" t="s">
        <v>26</v>
      </c>
      <c r="H398" s="22">
        <v>1</v>
      </c>
      <c r="I398" s="22">
        <v>1</v>
      </c>
      <c r="J398" s="22">
        <v>0</v>
      </c>
      <c r="K398" s="22">
        <v>0</v>
      </c>
      <c r="L398" s="22">
        <v>0</v>
      </c>
      <c r="M398" s="22">
        <v>0</v>
      </c>
      <c r="N398" s="22">
        <v>0</v>
      </c>
      <c r="O398" s="22"/>
      <c r="P398" s="22">
        <v>63</v>
      </c>
      <c r="Q398" s="22" t="str">
        <f>IF(OR(L398&lt;$Y$18,L398&gt;$Y$19),"Outlier","Normal")</f>
        <v>Normal</v>
      </c>
      <c r="R398" s="26" t="str">
        <f>A398&amp;B398&amp;C398&amp;D398&amp;E398&amp;F398&amp;G398&amp;H398&amp;I398&amp;J398&amp;K398&amp;L398&amp;M398&amp;N398&amp;O398&amp;P398</f>
        <v>USR-10039745666ControlSouthDesktopOrganicFree110000063</v>
      </c>
      <c r="S398" s="22" t="str">
        <f>IF(COUNTIF($R$2:$R$1409,R398)=1,"OK",IF(COUNTIF($R$2:$R$1409,R398)&gt;1,"Exact Duplicate","Review Required"))</f>
        <v>OK</v>
      </c>
      <c r="T398" s="22" t="s">
        <v>19</v>
      </c>
      <c r="U398" s="22" t="s">
        <v>25</v>
      </c>
      <c r="V398" s="22"/>
    </row>
    <row r="399" spans="1:22" ht="41.4">
      <c r="A399" s="22" t="s">
        <v>429</v>
      </c>
      <c r="B399" s="25">
        <v>45772</v>
      </c>
      <c r="C399" s="22" t="s">
        <v>17</v>
      </c>
      <c r="D399" s="22" t="s">
        <v>32</v>
      </c>
      <c r="E399" s="22" t="s">
        <v>24</v>
      </c>
      <c r="F399" s="22" t="s">
        <v>25</v>
      </c>
      <c r="G399" s="22" t="s">
        <v>26</v>
      </c>
      <c r="H399" s="22">
        <v>1</v>
      </c>
      <c r="I399" s="22">
        <v>1</v>
      </c>
      <c r="J399" s="22">
        <v>0</v>
      </c>
      <c r="K399" s="22">
        <v>0</v>
      </c>
      <c r="L399" s="22">
        <v>0</v>
      </c>
      <c r="M399" s="22">
        <v>0</v>
      </c>
      <c r="N399" s="22">
        <v>0</v>
      </c>
      <c r="O399" s="22"/>
      <c r="P399" s="22">
        <v>76.5</v>
      </c>
      <c r="Q399" s="22" t="str">
        <f>IF(OR(L399&lt;$Y$18,L399&gt;$Y$19),"Outlier","Normal")</f>
        <v>Normal</v>
      </c>
      <c r="R399" s="26" t="str">
        <f>A399&amp;B399&amp;C399&amp;D399&amp;E399&amp;F399&amp;G399&amp;H399&amp;I399&amp;J399&amp;K399&amp;L399&amp;M399&amp;N399&amp;O399&amp;P399</f>
        <v>USR-10039845772ControlSouthMobileOrganicFree110000076.5</v>
      </c>
      <c r="S399" s="22" t="str">
        <f>IF(COUNTIF($R$2:$R$1409,R399)=1,"OK",IF(COUNTIF($R$2:$R$1409,R399)&gt;1,"Exact Duplicate","Review Required"))</f>
        <v>OK</v>
      </c>
      <c r="T399" s="22" t="s">
        <v>24</v>
      </c>
      <c r="U399" s="22" t="s">
        <v>25</v>
      </c>
      <c r="V399" s="22"/>
    </row>
    <row r="400" spans="1:22" ht="41.4">
      <c r="A400" s="22" t="s">
        <v>430</v>
      </c>
      <c r="B400" s="25">
        <v>45728</v>
      </c>
      <c r="C400" s="22" t="s">
        <v>17</v>
      </c>
      <c r="D400" s="22" t="s">
        <v>18</v>
      </c>
      <c r="E400" s="22" t="s">
        <v>19</v>
      </c>
      <c r="F400" s="22" t="s">
        <v>29</v>
      </c>
      <c r="G400" s="22" t="s">
        <v>26</v>
      </c>
      <c r="H400" s="22">
        <v>1</v>
      </c>
      <c r="I400" s="22">
        <v>0</v>
      </c>
      <c r="J400" s="22">
        <v>0</v>
      </c>
      <c r="K400" s="22">
        <v>0</v>
      </c>
      <c r="L400" s="22">
        <v>0</v>
      </c>
      <c r="M400" s="22">
        <v>0</v>
      </c>
      <c r="N400" s="22">
        <v>0</v>
      </c>
      <c r="O400" s="22"/>
      <c r="P400" s="22">
        <v>39.700000000000003</v>
      </c>
      <c r="Q400" s="22" t="str">
        <f>IF(OR(L400&lt;$Y$18,L400&gt;$Y$19),"Outlier","Normal")</f>
        <v>Normal</v>
      </c>
      <c r="R400" s="26" t="str">
        <f>A400&amp;B400&amp;C400&amp;D400&amp;E400&amp;F400&amp;G400&amp;H400&amp;I400&amp;J400&amp;K400&amp;L400&amp;M400&amp;N400&amp;O400&amp;P400</f>
        <v>USR-10039945728ControlNorthDesktopPaid SearchFree100000039.7</v>
      </c>
      <c r="S400" s="22" t="str">
        <f>IF(COUNTIF($R$2:$R$1409,R400)=1,"OK",IF(COUNTIF($R$2:$R$1409,R400)&gt;1,"Exact Duplicate","Review Required"))</f>
        <v>OK</v>
      </c>
      <c r="T400" s="22" t="s">
        <v>19</v>
      </c>
      <c r="U400" s="22" t="s">
        <v>29</v>
      </c>
      <c r="V400" s="22"/>
    </row>
    <row r="401" spans="1:22" ht="41.4">
      <c r="A401" s="22" t="s">
        <v>431</v>
      </c>
      <c r="B401" s="25">
        <v>45736</v>
      </c>
      <c r="C401" s="22" t="s">
        <v>17</v>
      </c>
      <c r="D401" s="22" t="s">
        <v>18</v>
      </c>
      <c r="E401" s="22" t="s">
        <v>24</v>
      </c>
      <c r="F401" s="22" t="s">
        <v>25</v>
      </c>
      <c r="G401" s="22" t="s">
        <v>26</v>
      </c>
      <c r="H401" s="22">
        <v>1</v>
      </c>
      <c r="I401" s="22">
        <v>1</v>
      </c>
      <c r="J401" s="22">
        <v>0</v>
      </c>
      <c r="K401" s="22">
        <v>0</v>
      </c>
      <c r="L401" s="22">
        <v>0</v>
      </c>
      <c r="M401" s="22">
        <v>0</v>
      </c>
      <c r="N401" s="22">
        <v>0</v>
      </c>
      <c r="O401" s="22"/>
      <c r="P401" s="22">
        <v>80.2</v>
      </c>
      <c r="Q401" s="22" t="str">
        <f>IF(OR(L401&lt;$Y$18,L401&gt;$Y$19),"Outlier","Normal")</f>
        <v>Normal</v>
      </c>
      <c r="R401" s="26" t="str">
        <f>A401&amp;B401&amp;C401&amp;D401&amp;E401&amp;F401&amp;G401&amp;H401&amp;I401&amp;J401&amp;K401&amp;L401&amp;M401&amp;N401&amp;O401&amp;P401</f>
        <v>USR-10040045736ControlNorthMobileOrganicFree110000080.2</v>
      </c>
      <c r="S401" s="22" t="str">
        <f>IF(COUNTIF($R$2:$R$1409,R401)=1,"OK",IF(COUNTIF($R$2:$R$1409,R401)&gt;1,"Exact Duplicate","Review Required"))</f>
        <v>OK</v>
      </c>
      <c r="T401" s="22" t="s">
        <v>24</v>
      </c>
      <c r="U401" s="22" t="s">
        <v>25</v>
      </c>
      <c r="V401" s="22"/>
    </row>
    <row r="402" spans="1:22" ht="41.4">
      <c r="A402" s="22" t="s">
        <v>432</v>
      </c>
      <c r="B402" s="25">
        <v>45706</v>
      </c>
      <c r="C402" s="22" t="s">
        <v>17</v>
      </c>
      <c r="D402" s="22" t="s">
        <v>23</v>
      </c>
      <c r="E402" s="22" t="s">
        <v>24</v>
      </c>
      <c r="F402" s="22" t="s">
        <v>29</v>
      </c>
      <c r="G402" s="22" t="s">
        <v>26</v>
      </c>
      <c r="H402" s="22">
        <v>1</v>
      </c>
      <c r="I402" s="22">
        <v>0</v>
      </c>
      <c r="J402" s="22">
        <v>0</v>
      </c>
      <c r="K402" s="22">
        <v>0</v>
      </c>
      <c r="L402" s="22">
        <v>0</v>
      </c>
      <c r="M402" s="22">
        <v>0</v>
      </c>
      <c r="N402" s="22">
        <v>0</v>
      </c>
      <c r="O402" s="22"/>
      <c r="P402" s="22">
        <v>72.2</v>
      </c>
      <c r="Q402" s="22" t="str">
        <f>IF(OR(L402&lt;$Y$18,L402&gt;$Y$19),"Outlier","Normal")</f>
        <v>Normal</v>
      </c>
      <c r="R402" s="26" t="str">
        <f>A402&amp;B402&amp;C402&amp;D402&amp;E402&amp;F402&amp;G402&amp;H402&amp;I402&amp;J402&amp;K402&amp;L402&amp;M402&amp;N402&amp;O402&amp;P402</f>
        <v>USR-10040145706ControlWestMobilePaid SearchFree100000072.2</v>
      </c>
      <c r="S402" s="22" t="str">
        <f>IF(COUNTIF($R$2:$R$1409,R402)=1,"OK",IF(COUNTIF($R$2:$R$1409,R402)&gt;1,"Exact Duplicate","Review Required"))</f>
        <v>OK</v>
      </c>
      <c r="T402" s="22" t="s">
        <v>24</v>
      </c>
      <c r="U402" s="22" t="s">
        <v>29</v>
      </c>
      <c r="V402" s="22"/>
    </row>
    <row r="403" spans="1:22" ht="41.4">
      <c r="A403" s="22" t="s">
        <v>433</v>
      </c>
      <c r="B403" s="25">
        <v>45679</v>
      </c>
      <c r="C403" s="22" t="s">
        <v>17</v>
      </c>
      <c r="D403" s="22" t="s">
        <v>18</v>
      </c>
      <c r="E403" s="22" t="s">
        <v>24</v>
      </c>
      <c r="F403" s="22" t="s">
        <v>41</v>
      </c>
      <c r="G403" s="22" t="s">
        <v>21</v>
      </c>
      <c r="H403" s="22">
        <v>0</v>
      </c>
      <c r="I403" s="22">
        <v>0</v>
      </c>
      <c r="J403" s="22">
        <v>0</v>
      </c>
      <c r="K403" s="22">
        <v>0</v>
      </c>
      <c r="L403" s="22">
        <v>0</v>
      </c>
      <c r="M403" s="22">
        <v>0</v>
      </c>
      <c r="N403" s="22">
        <v>0</v>
      </c>
      <c r="O403" s="22"/>
      <c r="P403" s="22">
        <v>56</v>
      </c>
      <c r="Q403" s="22" t="str">
        <f>IF(OR(L403&lt;$Y$18,L403&gt;$Y$19),"Outlier","Normal")</f>
        <v>Normal</v>
      </c>
      <c r="R403" s="26" t="str">
        <f>A403&amp;B403&amp;C403&amp;D403&amp;E403&amp;F403&amp;G403&amp;H403&amp;I403&amp;J403&amp;K403&amp;L403&amp;M403&amp;N403&amp;O403&amp;P403</f>
        <v>USR-10040245679ControlNorthMobileSocialBasic000000056</v>
      </c>
      <c r="S403" s="22" t="str">
        <f>IF(COUNTIF($R$2:$R$1409,R403)=1,"OK",IF(COUNTIF($R$2:$R$1409,R403)&gt;1,"Exact Duplicate","Review Required"))</f>
        <v>OK</v>
      </c>
      <c r="T403" s="22" t="s">
        <v>24</v>
      </c>
      <c r="U403" s="22" t="s">
        <v>41</v>
      </c>
      <c r="V403" s="22"/>
    </row>
    <row r="404" spans="1:22" ht="41.4">
      <c r="A404" s="22" t="s">
        <v>434</v>
      </c>
      <c r="B404" s="25">
        <v>45696</v>
      </c>
      <c r="C404" s="22" t="s">
        <v>17</v>
      </c>
      <c r="D404" s="22" t="s">
        <v>23</v>
      </c>
      <c r="E404" s="22" t="s">
        <v>24</v>
      </c>
      <c r="F404" s="22" t="s">
        <v>20</v>
      </c>
      <c r="G404" s="22" t="s">
        <v>21</v>
      </c>
      <c r="H404" s="22">
        <v>1</v>
      </c>
      <c r="I404" s="22">
        <v>1</v>
      </c>
      <c r="J404" s="22">
        <v>1</v>
      </c>
      <c r="K404" s="22">
        <v>0</v>
      </c>
      <c r="L404" s="22">
        <v>0</v>
      </c>
      <c r="M404" s="22">
        <v>0</v>
      </c>
      <c r="N404" s="22">
        <v>0</v>
      </c>
      <c r="O404" s="22"/>
      <c r="P404" s="22">
        <v>69.099999999999994</v>
      </c>
      <c r="Q404" s="22" t="str">
        <f>IF(OR(L404&lt;$Y$18,L404&gt;$Y$19),"Outlier","Normal")</f>
        <v>Normal</v>
      </c>
      <c r="R404" s="26" t="str">
        <f>A404&amp;B404&amp;C404&amp;D404&amp;E404&amp;F404&amp;G404&amp;H404&amp;I404&amp;J404&amp;K404&amp;L404&amp;M404&amp;N404&amp;O404&amp;P404</f>
        <v>USR-10040345696ControlWestMobileEmailBasic111000069.1</v>
      </c>
      <c r="S404" s="22" t="str">
        <f>IF(COUNTIF($R$2:$R$1409,R404)=1,"OK",IF(COUNTIF($R$2:$R$1409,R404)&gt;1,"Exact Duplicate","Review Required"))</f>
        <v>OK</v>
      </c>
      <c r="T404" s="22" t="s">
        <v>24</v>
      </c>
      <c r="U404" s="22" t="s">
        <v>20</v>
      </c>
      <c r="V404" s="22"/>
    </row>
    <row r="405" spans="1:22" ht="41.4">
      <c r="A405" s="22" t="s">
        <v>435</v>
      </c>
      <c r="B405" s="25">
        <v>45677</v>
      </c>
      <c r="C405" s="22" t="s">
        <v>17</v>
      </c>
      <c r="D405" s="22" t="s">
        <v>18</v>
      </c>
      <c r="E405" s="22" t="s">
        <v>24</v>
      </c>
      <c r="F405" s="22" t="s">
        <v>20</v>
      </c>
      <c r="G405" s="22" t="s">
        <v>30</v>
      </c>
      <c r="H405" s="22">
        <v>0</v>
      </c>
      <c r="I405" s="22">
        <v>0</v>
      </c>
      <c r="J405" s="22">
        <v>0</v>
      </c>
      <c r="K405" s="22">
        <v>0</v>
      </c>
      <c r="L405" s="22">
        <v>0</v>
      </c>
      <c r="M405" s="22">
        <v>1</v>
      </c>
      <c r="N405" s="22">
        <v>0</v>
      </c>
      <c r="O405" s="22"/>
      <c r="P405" s="22">
        <v>70.599999999999994</v>
      </c>
      <c r="Q405" s="22" t="str">
        <f>IF(OR(L405&lt;$Y$18,L405&gt;$Y$19),"Outlier","Normal")</f>
        <v>Normal</v>
      </c>
      <c r="R405" s="26" t="str">
        <f>A405&amp;B405&amp;C405&amp;D405&amp;E405&amp;F405&amp;G405&amp;H405&amp;I405&amp;J405&amp;K405&amp;L405&amp;M405&amp;N405&amp;O405&amp;P405</f>
        <v>USR-10040445677ControlNorthMobileEmailPremium000001070.6</v>
      </c>
      <c r="S405" s="22" t="str">
        <f>IF(COUNTIF($R$2:$R$1409,R405)=1,"OK",IF(COUNTIF($R$2:$R$1409,R405)&gt;1,"Exact Duplicate","Review Required"))</f>
        <v>OK</v>
      </c>
      <c r="T405" s="22" t="s">
        <v>24</v>
      </c>
      <c r="U405" s="22" t="s">
        <v>20</v>
      </c>
      <c r="V405" s="22"/>
    </row>
    <row r="406" spans="1:22" ht="41.4">
      <c r="A406" s="22" t="s">
        <v>436</v>
      </c>
      <c r="B406" s="25">
        <v>45769</v>
      </c>
      <c r="C406" s="22" t="s">
        <v>17</v>
      </c>
      <c r="D406" s="22" t="s">
        <v>23</v>
      </c>
      <c r="E406" s="22" t="s">
        <v>19</v>
      </c>
      <c r="F406" s="22" t="s">
        <v>39</v>
      </c>
      <c r="G406" s="22" t="s">
        <v>26</v>
      </c>
      <c r="H406" s="22">
        <v>1</v>
      </c>
      <c r="I406" s="22">
        <v>0</v>
      </c>
      <c r="J406" s="22">
        <v>0</v>
      </c>
      <c r="K406" s="22">
        <v>0</v>
      </c>
      <c r="L406" s="22">
        <v>0</v>
      </c>
      <c r="M406" s="22">
        <v>0</v>
      </c>
      <c r="N406" s="22">
        <v>0</v>
      </c>
      <c r="O406" s="22"/>
      <c r="P406" s="22">
        <v>57.9</v>
      </c>
      <c r="Q406" s="22" t="str">
        <f>IF(OR(L406&lt;$Y$18,L406&gt;$Y$19),"Outlier","Normal")</f>
        <v>Normal</v>
      </c>
      <c r="R406" s="26" t="str">
        <f>A406&amp;B406&amp;C406&amp;D406&amp;E406&amp;F406&amp;G406&amp;H406&amp;I406&amp;J406&amp;K406&amp;L406&amp;M406&amp;N406&amp;O406&amp;P406</f>
        <v>USR-10040545769ControlWestDesktopReferralFree100000057.9</v>
      </c>
      <c r="S406" s="22" t="str">
        <f>IF(COUNTIF($R$2:$R$1409,R406)=1,"OK",IF(COUNTIF($R$2:$R$1409,R406)&gt;1,"Exact Duplicate","Review Required"))</f>
        <v>OK</v>
      </c>
      <c r="T406" s="22" t="s">
        <v>19</v>
      </c>
      <c r="U406" s="22" t="s">
        <v>39</v>
      </c>
      <c r="V406" s="22"/>
    </row>
    <row r="407" spans="1:22" ht="41.4">
      <c r="A407" s="22" t="s">
        <v>437</v>
      </c>
      <c r="B407" s="25">
        <v>45679</v>
      </c>
      <c r="C407" s="22" t="s">
        <v>17</v>
      </c>
      <c r="D407" s="22" t="s">
        <v>28</v>
      </c>
      <c r="E407" s="22" t="s">
        <v>24</v>
      </c>
      <c r="F407" s="22" t="s">
        <v>25</v>
      </c>
      <c r="G407" s="22" t="s">
        <v>21</v>
      </c>
      <c r="H407" s="22">
        <v>1</v>
      </c>
      <c r="I407" s="22">
        <v>1</v>
      </c>
      <c r="J407" s="22">
        <v>0</v>
      </c>
      <c r="K407" s="22">
        <v>0</v>
      </c>
      <c r="L407" s="22">
        <v>0</v>
      </c>
      <c r="M407" s="22">
        <v>0</v>
      </c>
      <c r="N407" s="22">
        <v>0</v>
      </c>
      <c r="O407" s="22"/>
      <c r="P407" s="22">
        <v>41.4</v>
      </c>
      <c r="Q407" s="22" t="str">
        <f>IF(OR(L407&lt;$Y$18,L407&gt;$Y$19),"Outlier","Normal")</f>
        <v>Normal</v>
      </c>
      <c r="R407" s="26" t="str">
        <f>A407&amp;B407&amp;C407&amp;D407&amp;E407&amp;F407&amp;G407&amp;H407&amp;I407&amp;J407&amp;K407&amp;L407&amp;M407&amp;N407&amp;O407&amp;P407</f>
        <v>USR-10040645679ControlEastMobileOrganicBasic110000041.4</v>
      </c>
      <c r="S407" s="22" t="str">
        <f>IF(COUNTIF($R$2:$R$1409,R407)=1,"OK",IF(COUNTIF($R$2:$R$1409,R407)&gt;1,"Exact Duplicate","Review Required"))</f>
        <v>OK</v>
      </c>
      <c r="T407" s="22" t="s">
        <v>24</v>
      </c>
      <c r="U407" s="22" t="s">
        <v>25</v>
      </c>
      <c r="V407" s="22"/>
    </row>
    <row r="408" spans="1:22" ht="41.4">
      <c r="A408" s="22" t="s">
        <v>438</v>
      </c>
      <c r="B408" s="25">
        <v>45788</v>
      </c>
      <c r="C408" s="22" t="s">
        <v>17</v>
      </c>
      <c r="D408" s="22" t="s">
        <v>23</v>
      </c>
      <c r="E408" s="22" t="s">
        <v>24</v>
      </c>
      <c r="F408" s="22" t="s">
        <v>25</v>
      </c>
      <c r="G408" s="22" t="s">
        <v>21</v>
      </c>
      <c r="H408" s="22">
        <v>1</v>
      </c>
      <c r="I408" s="22">
        <v>0</v>
      </c>
      <c r="J408" s="22">
        <v>0</v>
      </c>
      <c r="K408" s="22">
        <v>0</v>
      </c>
      <c r="L408" s="22">
        <v>0</v>
      </c>
      <c r="M408" s="22">
        <v>0</v>
      </c>
      <c r="N408" s="22">
        <v>0</v>
      </c>
      <c r="O408" s="22"/>
      <c r="P408" s="22">
        <v>60.9</v>
      </c>
      <c r="Q408" s="22" t="str">
        <f>IF(OR(L408&lt;$Y$18,L408&gt;$Y$19),"Outlier","Normal")</f>
        <v>Normal</v>
      </c>
      <c r="R408" s="26" t="str">
        <f>A408&amp;B408&amp;C408&amp;D408&amp;E408&amp;F408&amp;G408&amp;H408&amp;I408&amp;J408&amp;K408&amp;L408&amp;M408&amp;N408&amp;O408&amp;P408</f>
        <v>USR-10040745788ControlWestMobileOrganicBasic100000060.9</v>
      </c>
      <c r="S408" s="22" t="str">
        <f>IF(COUNTIF($R$2:$R$1409,R408)=1,"OK",IF(COUNTIF($R$2:$R$1409,R408)&gt;1,"Exact Duplicate","Review Required"))</f>
        <v>OK</v>
      </c>
      <c r="T408" s="22" t="s">
        <v>24</v>
      </c>
      <c r="U408" s="22" t="s">
        <v>25</v>
      </c>
      <c r="V408" s="22"/>
    </row>
    <row r="409" spans="1:22" ht="41.4">
      <c r="A409" s="22" t="s">
        <v>439</v>
      </c>
      <c r="B409" s="25">
        <v>45694</v>
      </c>
      <c r="C409" s="22" t="s">
        <v>17</v>
      </c>
      <c r="D409" s="22" t="s">
        <v>32</v>
      </c>
      <c r="E409" s="22" t="s">
        <v>24</v>
      </c>
      <c r="F409" s="22" t="s">
        <v>25</v>
      </c>
      <c r="G409" s="22" t="s">
        <v>21</v>
      </c>
      <c r="H409" s="22">
        <v>0</v>
      </c>
      <c r="I409" s="22">
        <v>0</v>
      </c>
      <c r="J409" s="22">
        <v>0</v>
      </c>
      <c r="K409" s="22">
        <v>0</v>
      </c>
      <c r="L409" s="22">
        <v>0</v>
      </c>
      <c r="M409" s="22">
        <v>1</v>
      </c>
      <c r="N409" s="22">
        <v>0</v>
      </c>
      <c r="O409" s="22"/>
      <c r="P409" s="22">
        <v>63.8</v>
      </c>
      <c r="Q409" s="22" t="str">
        <f>IF(OR(L409&lt;$Y$18,L409&gt;$Y$19),"Outlier","Normal")</f>
        <v>Normal</v>
      </c>
      <c r="R409" s="26" t="str">
        <f>A409&amp;B409&amp;C409&amp;D409&amp;E409&amp;F409&amp;G409&amp;H409&amp;I409&amp;J409&amp;K409&amp;L409&amp;M409&amp;N409&amp;O409&amp;P409</f>
        <v>USR-10040845694ControlSouthMobileOrganicBasic000001063.8</v>
      </c>
      <c r="S409" s="22" t="str">
        <f>IF(COUNTIF($R$2:$R$1409,R409)=1,"OK",IF(COUNTIF($R$2:$R$1409,R409)&gt;1,"Exact Duplicate","Review Required"))</f>
        <v>OK</v>
      </c>
      <c r="T409" s="22" t="s">
        <v>24</v>
      </c>
      <c r="U409" s="22" t="s">
        <v>25</v>
      </c>
      <c r="V409" s="22"/>
    </row>
    <row r="410" spans="1:22" ht="41.4">
      <c r="A410" s="22" t="s">
        <v>440</v>
      </c>
      <c r="B410" s="25">
        <v>45709</v>
      </c>
      <c r="C410" s="22" t="s">
        <v>17</v>
      </c>
      <c r="D410" s="22" t="s">
        <v>18</v>
      </c>
      <c r="E410" s="22" t="s">
        <v>19</v>
      </c>
      <c r="F410" s="22" t="s">
        <v>25</v>
      </c>
      <c r="G410" s="22" t="s">
        <v>30</v>
      </c>
      <c r="H410" s="22">
        <v>1</v>
      </c>
      <c r="I410" s="22">
        <v>0</v>
      </c>
      <c r="J410" s="22">
        <v>0</v>
      </c>
      <c r="K410" s="22">
        <v>0</v>
      </c>
      <c r="L410" s="22">
        <v>0</v>
      </c>
      <c r="M410" s="22">
        <v>0</v>
      </c>
      <c r="N410" s="22">
        <v>0</v>
      </c>
      <c r="O410" s="22"/>
      <c r="P410" s="22">
        <v>79.2</v>
      </c>
      <c r="Q410" s="22" t="str">
        <f>IF(OR(L410&lt;$Y$18,L410&gt;$Y$19),"Outlier","Normal")</f>
        <v>Normal</v>
      </c>
      <c r="R410" s="26" t="str">
        <f>A410&amp;B410&amp;C410&amp;D410&amp;E410&amp;F410&amp;G410&amp;H410&amp;I410&amp;J410&amp;K410&amp;L410&amp;M410&amp;N410&amp;O410&amp;P410</f>
        <v>USR-10040945709ControlNorthDesktopOrganicPremium100000079.2</v>
      </c>
      <c r="S410" s="22" t="str">
        <f>IF(COUNTIF($R$2:$R$1409,R410)=1,"OK",IF(COUNTIF($R$2:$R$1409,R410)&gt;1,"Exact Duplicate","Review Required"))</f>
        <v>OK</v>
      </c>
      <c r="T410" s="22" t="s">
        <v>19</v>
      </c>
      <c r="U410" s="22" t="s">
        <v>25</v>
      </c>
      <c r="V410" s="22"/>
    </row>
    <row r="411" spans="1:22" ht="41.4">
      <c r="A411" s="22" t="s">
        <v>441</v>
      </c>
      <c r="B411" s="25">
        <v>45670</v>
      </c>
      <c r="C411" s="22" t="s">
        <v>17</v>
      </c>
      <c r="D411" s="22" t="s">
        <v>23</v>
      </c>
      <c r="E411" s="22" t="s">
        <v>24</v>
      </c>
      <c r="F411" s="22" t="s">
        <v>20</v>
      </c>
      <c r="G411" s="22" t="s">
        <v>30</v>
      </c>
      <c r="H411" s="22">
        <v>1</v>
      </c>
      <c r="I411" s="22">
        <v>1</v>
      </c>
      <c r="J411" s="22">
        <v>1</v>
      </c>
      <c r="K411" s="22">
        <v>0</v>
      </c>
      <c r="L411" s="22">
        <v>0</v>
      </c>
      <c r="M411" s="22">
        <v>0</v>
      </c>
      <c r="N411" s="22">
        <v>0</v>
      </c>
      <c r="O411" s="22"/>
      <c r="P411" s="22">
        <v>53.3</v>
      </c>
      <c r="Q411" s="22" t="str">
        <f>IF(OR(L411&lt;$Y$18,L411&gt;$Y$19),"Outlier","Normal")</f>
        <v>Normal</v>
      </c>
      <c r="R411" s="26" t="str">
        <f>A411&amp;B411&amp;C411&amp;D411&amp;E411&amp;F411&amp;G411&amp;H411&amp;I411&amp;J411&amp;K411&amp;L411&amp;M411&amp;N411&amp;O411&amp;P411</f>
        <v>USR-10041045670ControlWestMobileEmailPremium111000053.3</v>
      </c>
      <c r="S411" s="22" t="str">
        <f>IF(COUNTIF($R$2:$R$1409,R411)=1,"OK",IF(COUNTIF($R$2:$R$1409,R411)&gt;1,"Exact Duplicate","Review Required"))</f>
        <v>OK</v>
      </c>
      <c r="T411" s="22" t="s">
        <v>24</v>
      </c>
      <c r="U411" s="22" t="s">
        <v>20</v>
      </c>
      <c r="V411" s="22"/>
    </row>
    <row r="412" spans="1:22" ht="41.4">
      <c r="A412" s="22" t="s">
        <v>442</v>
      </c>
      <c r="B412" s="25">
        <v>45723</v>
      </c>
      <c r="C412" s="22" t="s">
        <v>17</v>
      </c>
      <c r="D412" s="22" t="s">
        <v>18</v>
      </c>
      <c r="E412" s="22" t="s">
        <v>24</v>
      </c>
      <c r="F412" s="22" t="s">
        <v>39</v>
      </c>
      <c r="G412" s="22" t="s">
        <v>30</v>
      </c>
      <c r="H412" s="22">
        <v>1</v>
      </c>
      <c r="I412" s="22">
        <v>1</v>
      </c>
      <c r="J412" s="22">
        <v>1</v>
      </c>
      <c r="K412" s="22">
        <v>1</v>
      </c>
      <c r="L412" s="22">
        <v>2144.8200000000002</v>
      </c>
      <c r="M412" s="22">
        <v>0</v>
      </c>
      <c r="N412" s="22">
        <v>0</v>
      </c>
      <c r="O412" s="22">
        <v>6</v>
      </c>
      <c r="P412" s="22">
        <v>52.3</v>
      </c>
      <c r="Q412" s="22" t="str">
        <f>IF(OR(L412&lt;$Y$18,L412&gt;$Y$19),"Outlier","Normal")</f>
        <v>Normal</v>
      </c>
      <c r="R412" s="26" t="str">
        <f>A412&amp;B412&amp;C412&amp;D412&amp;E412&amp;F412&amp;G412&amp;H412&amp;I412&amp;J412&amp;K412&amp;L412&amp;M412&amp;N412&amp;O412&amp;P412</f>
        <v>USR-10041145723ControlNorthMobileReferralPremium11112144.8200652.3</v>
      </c>
      <c r="S412" s="22" t="str">
        <f>IF(COUNTIF($R$2:$R$1409,R412)=1,"OK",IF(COUNTIF($R$2:$R$1409,R412)&gt;1,"Exact Duplicate","Review Required"))</f>
        <v>OK</v>
      </c>
      <c r="T412" s="22" t="s">
        <v>24</v>
      </c>
      <c r="U412" s="22" t="s">
        <v>39</v>
      </c>
      <c r="V412" s="22"/>
    </row>
    <row r="413" spans="1:22" ht="41.4">
      <c r="A413" s="22" t="s">
        <v>443</v>
      </c>
      <c r="B413" s="25">
        <v>45714</v>
      </c>
      <c r="C413" s="22" t="s">
        <v>17</v>
      </c>
      <c r="D413" s="22" t="s">
        <v>23</v>
      </c>
      <c r="E413" s="22" t="s">
        <v>19</v>
      </c>
      <c r="F413" s="22" t="s">
        <v>25</v>
      </c>
      <c r="G413" s="22" t="s">
        <v>21</v>
      </c>
      <c r="H413" s="22">
        <v>1</v>
      </c>
      <c r="I413" s="22">
        <v>1</v>
      </c>
      <c r="J413" s="22">
        <v>0</v>
      </c>
      <c r="K413" s="22">
        <v>0</v>
      </c>
      <c r="L413" s="22">
        <v>0</v>
      </c>
      <c r="M413" s="22">
        <v>0</v>
      </c>
      <c r="N413" s="22">
        <v>0</v>
      </c>
      <c r="O413" s="22"/>
      <c r="P413" s="22">
        <v>62.4</v>
      </c>
      <c r="Q413" s="22" t="str">
        <f>IF(OR(L413&lt;$Y$18,L413&gt;$Y$19),"Outlier","Normal")</f>
        <v>Normal</v>
      </c>
      <c r="R413" s="26" t="str">
        <f>A413&amp;B413&amp;C413&amp;D413&amp;E413&amp;F413&amp;G413&amp;H413&amp;I413&amp;J413&amp;K413&amp;L413&amp;M413&amp;N413&amp;O413&amp;P413</f>
        <v>USR-10041245714ControlWestDesktopOrganicBasic110000062.4</v>
      </c>
      <c r="S413" s="22" t="str">
        <f>IF(COUNTIF($R$2:$R$1409,R413)=1,"OK",IF(COUNTIF($R$2:$R$1409,R413)&gt;1,"Exact Duplicate","Review Required"))</f>
        <v>OK</v>
      </c>
      <c r="T413" s="22" t="s">
        <v>19</v>
      </c>
      <c r="U413" s="22" t="s">
        <v>25</v>
      </c>
      <c r="V413" s="22"/>
    </row>
    <row r="414" spans="1:22" ht="41.4">
      <c r="A414" s="22" t="s">
        <v>444</v>
      </c>
      <c r="B414" s="25">
        <v>45782</v>
      </c>
      <c r="C414" s="22" t="s">
        <v>17</v>
      </c>
      <c r="D414" s="22" t="s">
        <v>18</v>
      </c>
      <c r="E414" s="22" t="s">
        <v>24</v>
      </c>
      <c r="F414" s="22" t="s">
        <v>39</v>
      </c>
      <c r="G414" s="22" t="s">
        <v>30</v>
      </c>
      <c r="H414" s="22">
        <v>1</v>
      </c>
      <c r="I414" s="22">
        <v>0</v>
      </c>
      <c r="J414" s="22">
        <v>0</v>
      </c>
      <c r="K414" s="22">
        <v>0</v>
      </c>
      <c r="L414" s="22">
        <v>0</v>
      </c>
      <c r="M414" s="22">
        <v>0</v>
      </c>
      <c r="N414" s="22">
        <v>0</v>
      </c>
      <c r="O414" s="22"/>
      <c r="P414" s="22">
        <v>45.5</v>
      </c>
      <c r="Q414" s="22" t="str">
        <f>IF(OR(L414&lt;$Y$18,L414&gt;$Y$19),"Outlier","Normal")</f>
        <v>Normal</v>
      </c>
      <c r="R414" s="26" t="str">
        <f>A414&amp;B414&amp;C414&amp;D414&amp;E414&amp;F414&amp;G414&amp;H414&amp;I414&amp;J414&amp;K414&amp;L414&amp;M414&amp;N414&amp;O414&amp;P414</f>
        <v>USR-10041345782ControlNorthMobileReferralPremium100000045.5</v>
      </c>
      <c r="S414" s="22" t="str">
        <f>IF(COUNTIF($R$2:$R$1409,R414)=1,"OK",IF(COUNTIF($R$2:$R$1409,R414)&gt;1,"Exact Duplicate","Review Required"))</f>
        <v>OK</v>
      </c>
      <c r="T414" s="22" t="s">
        <v>24</v>
      </c>
      <c r="U414" s="22" t="s">
        <v>39</v>
      </c>
      <c r="V414" s="22"/>
    </row>
    <row r="415" spans="1:22" ht="41.4">
      <c r="A415" s="22" t="s">
        <v>445</v>
      </c>
      <c r="B415" s="25">
        <v>45665</v>
      </c>
      <c r="C415" s="22" t="s">
        <v>17</v>
      </c>
      <c r="D415" s="22" t="s">
        <v>28</v>
      </c>
      <c r="E415" s="22" t="s">
        <v>19</v>
      </c>
      <c r="F415" s="22" t="s">
        <v>25</v>
      </c>
      <c r="G415" s="22" t="s">
        <v>21</v>
      </c>
      <c r="H415" s="22">
        <v>0</v>
      </c>
      <c r="I415" s="22">
        <v>0</v>
      </c>
      <c r="J415" s="22">
        <v>0</v>
      </c>
      <c r="K415" s="22">
        <v>0</v>
      </c>
      <c r="L415" s="22">
        <v>0</v>
      </c>
      <c r="M415" s="22">
        <v>1</v>
      </c>
      <c r="N415" s="22">
        <v>0</v>
      </c>
      <c r="O415" s="22"/>
      <c r="P415" s="22">
        <v>72.599999999999994</v>
      </c>
      <c r="Q415" s="22" t="str">
        <f>IF(OR(L415&lt;$Y$18,L415&gt;$Y$19),"Outlier","Normal")</f>
        <v>Normal</v>
      </c>
      <c r="R415" s="26" t="str">
        <f>A415&amp;B415&amp;C415&amp;D415&amp;E415&amp;F415&amp;G415&amp;H415&amp;I415&amp;J415&amp;K415&amp;L415&amp;M415&amp;N415&amp;O415&amp;P415</f>
        <v>USR-10041445665ControlEastDesktopOrganicBasic000001072.6</v>
      </c>
      <c r="S415" s="22" t="str">
        <f>IF(COUNTIF($R$2:$R$1409,R415)=1,"OK",IF(COUNTIF($R$2:$R$1409,R415)&gt;1,"Exact Duplicate","Review Required"))</f>
        <v>OK</v>
      </c>
      <c r="T415" s="22" t="s">
        <v>19</v>
      </c>
      <c r="U415" s="22" t="s">
        <v>25</v>
      </c>
      <c r="V415" s="22"/>
    </row>
    <row r="416" spans="1:22" ht="41.4">
      <c r="A416" s="22" t="s">
        <v>446</v>
      </c>
      <c r="B416" s="25">
        <v>45735</v>
      </c>
      <c r="C416" s="22" t="s">
        <v>17</v>
      </c>
      <c r="D416" s="22" t="s">
        <v>32</v>
      </c>
      <c r="E416" s="22" t="s">
        <v>24</v>
      </c>
      <c r="F416" s="22" t="s">
        <v>20</v>
      </c>
      <c r="G416" s="22" t="s">
        <v>30</v>
      </c>
      <c r="H416" s="22">
        <v>1</v>
      </c>
      <c r="I416" s="22">
        <v>1</v>
      </c>
      <c r="J416" s="22">
        <v>1</v>
      </c>
      <c r="K416" s="22">
        <v>0</v>
      </c>
      <c r="L416" s="22">
        <v>0</v>
      </c>
      <c r="M416" s="22">
        <v>0</v>
      </c>
      <c r="N416" s="22">
        <v>0</v>
      </c>
      <c r="O416" s="22"/>
      <c r="P416" s="22">
        <v>50.1</v>
      </c>
      <c r="Q416" s="22" t="str">
        <f>IF(OR(L416&lt;$Y$18,L416&gt;$Y$19),"Outlier","Normal")</f>
        <v>Normal</v>
      </c>
      <c r="R416" s="26" t="str">
        <f>A416&amp;B416&amp;C416&amp;D416&amp;E416&amp;F416&amp;G416&amp;H416&amp;I416&amp;J416&amp;K416&amp;L416&amp;M416&amp;N416&amp;O416&amp;P416</f>
        <v>USR-10041545735ControlSouthMobileEmailPremium111000050.1</v>
      </c>
      <c r="S416" s="22" t="str">
        <f>IF(COUNTIF($R$2:$R$1409,R416)=1,"OK",IF(COUNTIF($R$2:$R$1409,R416)&gt;1,"Exact Duplicate","Review Required"))</f>
        <v>OK</v>
      </c>
      <c r="T416" s="22" t="s">
        <v>24</v>
      </c>
      <c r="U416" s="22" t="s">
        <v>20</v>
      </c>
      <c r="V416" s="22"/>
    </row>
    <row r="417" spans="1:22" ht="41.4">
      <c r="A417" s="22" t="s">
        <v>447</v>
      </c>
      <c r="B417" s="25">
        <v>45687</v>
      </c>
      <c r="C417" s="22" t="s">
        <v>17</v>
      </c>
      <c r="D417" s="22" t="s">
        <v>28</v>
      </c>
      <c r="E417" s="22" t="s">
        <v>19</v>
      </c>
      <c r="F417" s="22" t="s">
        <v>29</v>
      </c>
      <c r="G417" s="22" t="s">
        <v>26</v>
      </c>
      <c r="H417" s="22">
        <v>1</v>
      </c>
      <c r="I417" s="22">
        <v>1</v>
      </c>
      <c r="J417" s="22">
        <v>1</v>
      </c>
      <c r="K417" s="22">
        <v>0</v>
      </c>
      <c r="L417" s="22">
        <v>0</v>
      </c>
      <c r="M417" s="22">
        <v>2</v>
      </c>
      <c r="N417" s="22">
        <v>0</v>
      </c>
      <c r="O417" s="22"/>
      <c r="P417" s="22">
        <v>58.1</v>
      </c>
      <c r="Q417" s="22" t="str">
        <f>IF(OR(L417&lt;$Y$18,L417&gt;$Y$19),"Outlier","Normal")</f>
        <v>Normal</v>
      </c>
      <c r="R417" s="26" t="str">
        <f>A417&amp;B417&amp;C417&amp;D417&amp;E417&amp;F417&amp;G417&amp;H417&amp;I417&amp;J417&amp;K417&amp;L417&amp;M417&amp;N417&amp;O417&amp;P417</f>
        <v>USR-10041645687ControlEastDesktopPaid SearchFree111002058.1</v>
      </c>
      <c r="S417" s="22" t="str">
        <f>IF(COUNTIF($R$2:$R$1409,R417)=1,"OK",IF(COUNTIF($R$2:$R$1409,R417)&gt;1,"Exact Duplicate","Review Required"))</f>
        <v>OK</v>
      </c>
      <c r="T417" s="22" t="s">
        <v>19</v>
      </c>
      <c r="U417" s="22" t="s">
        <v>29</v>
      </c>
      <c r="V417" s="22"/>
    </row>
    <row r="418" spans="1:22" ht="41.4">
      <c r="A418" s="22" t="s">
        <v>448</v>
      </c>
      <c r="B418" s="25">
        <v>45775</v>
      </c>
      <c r="C418" s="22" t="s">
        <v>17</v>
      </c>
      <c r="D418" s="22" t="s">
        <v>28</v>
      </c>
      <c r="E418" s="22" t="s">
        <v>24</v>
      </c>
      <c r="F418" s="22" t="s">
        <v>25</v>
      </c>
      <c r="G418" s="22" t="s">
        <v>21</v>
      </c>
      <c r="H418" s="22">
        <v>1</v>
      </c>
      <c r="I418" s="22">
        <v>0</v>
      </c>
      <c r="J418" s="22">
        <v>0</v>
      </c>
      <c r="K418" s="22">
        <v>0</v>
      </c>
      <c r="L418" s="22">
        <v>0</v>
      </c>
      <c r="M418" s="22">
        <v>0</v>
      </c>
      <c r="N418" s="22">
        <v>0</v>
      </c>
      <c r="O418" s="22"/>
      <c r="P418" s="22">
        <v>42.9</v>
      </c>
      <c r="Q418" s="22" t="str">
        <f>IF(OR(L418&lt;$Y$18,L418&gt;$Y$19),"Outlier","Normal")</f>
        <v>Normal</v>
      </c>
      <c r="R418" s="26" t="str">
        <f>A418&amp;B418&amp;C418&amp;D418&amp;E418&amp;F418&amp;G418&amp;H418&amp;I418&amp;J418&amp;K418&amp;L418&amp;M418&amp;N418&amp;O418&amp;P418</f>
        <v>USR-10041745775ControlEastMobileOrganicBasic100000042.9</v>
      </c>
      <c r="S418" s="22" t="str">
        <f>IF(COUNTIF($R$2:$R$1409,R418)=1,"OK",IF(COUNTIF($R$2:$R$1409,R418)&gt;1,"Exact Duplicate","Review Required"))</f>
        <v>OK</v>
      </c>
      <c r="T418" s="22" t="s">
        <v>24</v>
      </c>
      <c r="U418" s="22" t="s">
        <v>25</v>
      </c>
      <c r="V418" s="22"/>
    </row>
    <row r="419" spans="1:22" ht="41.4">
      <c r="A419" s="22" t="s">
        <v>449</v>
      </c>
      <c r="B419" s="25">
        <v>45723</v>
      </c>
      <c r="C419" s="22" t="s">
        <v>17</v>
      </c>
      <c r="D419" s="22" t="s">
        <v>18</v>
      </c>
      <c r="E419" s="22" t="s">
        <v>24</v>
      </c>
      <c r="F419" s="22" t="s">
        <v>39</v>
      </c>
      <c r="G419" s="22" t="s">
        <v>21</v>
      </c>
      <c r="H419" s="22">
        <v>0</v>
      </c>
      <c r="I419" s="22">
        <v>0</v>
      </c>
      <c r="J419" s="22">
        <v>0</v>
      </c>
      <c r="K419" s="22">
        <v>0</v>
      </c>
      <c r="L419" s="22">
        <v>0</v>
      </c>
      <c r="M419" s="22">
        <v>0</v>
      </c>
      <c r="N419" s="22">
        <v>0</v>
      </c>
      <c r="O419" s="22"/>
      <c r="P419" s="22">
        <v>69.7</v>
      </c>
      <c r="Q419" s="22" t="str">
        <f>IF(OR(L419&lt;$Y$18,L419&gt;$Y$19),"Outlier","Normal")</f>
        <v>Normal</v>
      </c>
      <c r="R419" s="26" t="str">
        <f>A419&amp;B419&amp;C419&amp;D419&amp;E419&amp;F419&amp;G419&amp;H419&amp;I419&amp;J419&amp;K419&amp;L419&amp;M419&amp;N419&amp;O419&amp;P419</f>
        <v>USR-10041845723ControlNorthMobileReferralBasic000000069.7</v>
      </c>
      <c r="S419" s="22" t="str">
        <f>IF(COUNTIF($R$2:$R$1409,R419)=1,"OK",IF(COUNTIF($R$2:$R$1409,R419)&gt;1,"Exact Duplicate","Review Required"))</f>
        <v>OK</v>
      </c>
      <c r="T419" s="22" t="s">
        <v>24</v>
      </c>
      <c r="U419" s="22" t="s">
        <v>39</v>
      </c>
      <c r="V419" s="22"/>
    </row>
    <row r="420" spans="1:22" ht="41.4">
      <c r="A420" s="22" t="s">
        <v>450</v>
      </c>
      <c r="B420" s="25">
        <v>45754</v>
      </c>
      <c r="C420" s="22" t="s">
        <v>17</v>
      </c>
      <c r="D420" s="22" t="s">
        <v>18</v>
      </c>
      <c r="E420" s="22" t="s">
        <v>19</v>
      </c>
      <c r="F420" s="22" t="s">
        <v>25</v>
      </c>
      <c r="G420" s="22" t="s">
        <v>26</v>
      </c>
      <c r="H420" s="22">
        <v>0</v>
      </c>
      <c r="I420" s="22">
        <v>0</v>
      </c>
      <c r="J420" s="22">
        <v>0</v>
      </c>
      <c r="K420" s="22">
        <v>0</v>
      </c>
      <c r="L420" s="22">
        <v>0</v>
      </c>
      <c r="M420" s="22">
        <v>0</v>
      </c>
      <c r="N420" s="22">
        <v>0</v>
      </c>
      <c r="O420" s="22"/>
      <c r="P420" s="22">
        <v>63.3</v>
      </c>
      <c r="Q420" s="22" t="str">
        <f>IF(OR(L420&lt;$Y$18,L420&gt;$Y$19),"Outlier","Normal")</f>
        <v>Normal</v>
      </c>
      <c r="R420" s="26" t="str">
        <f>A420&amp;B420&amp;C420&amp;D420&amp;E420&amp;F420&amp;G420&amp;H420&amp;I420&amp;J420&amp;K420&amp;L420&amp;M420&amp;N420&amp;O420&amp;P420</f>
        <v>USR-10041945754ControlNorthDesktopOrganicFree000000063.3</v>
      </c>
      <c r="S420" s="22" t="str">
        <f>IF(COUNTIF($R$2:$R$1409,R420)=1,"OK",IF(COUNTIF($R$2:$R$1409,R420)&gt;1,"Exact Duplicate","Review Required"))</f>
        <v>OK</v>
      </c>
      <c r="T420" s="22" t="s">
        <v>19</v>
      </c>
      <c r="U420" s="22" t="s">
        <v>25</v>
      </c>
      <c r="V420" s="22"/>
    </row>
    <row r="421" spans="1:22" ht="41.4">
      <c r="A421" s="22" t="s">
        <v>451</v>
      </c>
      <c r="B421" s="25">
        <v>45785</v>
      </c>
      <c r="C421" s="22" t="s">
        <v>17</v>
      </c>
      <c r="D421" s="22" t="s">
        <v>18</v>
      </c>
      <c r="E421" s="22" t="s">
        <v>19</v>
      </c>
      <c r="F421" s="22" t="s">
        <v>25</v>
      </c>
      <c r="G421" s="22" t="s">
        <v>30</v>
      </c>
      <c r="H421" s="22">
        <v>1</v>
      </c>
      <c r="I421" s="22">
        <v>0</v>
      </c>
      <c r="J421" s="22">
        <v>0</v>
      </c>
      <c r="K421" s="22">
        <v>0</v>
      </c>
      <c r="L421" s="22">
        <v>0</v>
      </c>
      <c r="M421" s="22">
        <v>0</v>
      </c>
      <c r="N421" s="22">
        <v>0</v>
      </c>
      <c r="O421" s="22"/>
      <c r="P421" s="22">
        <v>71.2</v>
      </c>
      <c r="Q421" s="22" t="str">
        <f>IF(OR(L421&lt;$Y$18,L421&gt;$Y$19),"Outlier","Normal")</f>
        <v>Normal</v>
      </c>
      <c r="R421" s="26" t="str">
        <f>A421&amp;B421&amp;C421&amp;D421&amp;E421&amp;F421&amp;G421&amp;H421&amp;I421&amp;J421&amp;K421&amp;L421&amp;M421&amp;N421&amp;O421&amp;P421</f>
        <v>USR-10042045785ControlNorthDesktopOrganicPremium100000071.2</v>
      </c>
      <c r="S421" s="22" t="str">
        <f>IF(COUNTIF($R$2:$R$1409,R421)=1,"OK",IF(COUNTIF($R$2:$R$1409,R421)&gt;1,"Exact Duplicate","Review Required"))</f>
        <v>OK</v>
      </c>
      <c r="T421" s="22" t="s">
        <v>19</v>
      </c>
      <c r="U421" s="22" t="s">
        <v>25</v>
      </c>
      <c r="V421" s="22"/>
    </row>
    <row r="422" spans="1:22" ht="41.4">
      <c r="A422" s="22" t="s">
        <v>452</v>
      </c>
      <c r="B422" s="25">
        <v>45762</v>
      </c>
      <c r="C422" s="22" t="s">
        <v>17</v>
      </c>
      <c r="D422" s="22" t="s">
        <v>32</v>
      </c>
      <c r="E422" s="22" t="s">
        <v>24</v>
      </c>
      <c r="F422" s="22" t="s">
        <v>20</v>
      </c>
      <c r="G422" s="22" t="s">
        <v>26</v>
      </c>
      <c r="H422" s="22">
        <v>1</v>
      </c>
      <c r="I422" s="22">
        <v>0</v>
      </c>
      <c r="J422" s="22">
        <v>0</v>
      </c>
      <c r="K422" s="22">
        <v>0</v>
      </c>
      <c r="L422" s="22">
        <v>0</v>
      </c>
      <c r="M422" s="22">
        <v>0</v>
      </c>
      <c r="N422" s="22">
        <v>0</v>
      </c>
      <c r="O422" s="22"/>
      <c r="P422" s="22">
        <v>39.1</v>
      </c>
      <c r="Q422" s="22" t="str">
        <f>IF(OR(L422&lt;$Y$18,L422&gt;$Y$19),"Outlier","Normal")</f>
        <v>Normal</v>
      </c>
      <c r="R422" s="26" t="str">
        <f>A422&amp;B422&amp;C422&amp;D422&amp;E422&amp;F422&amp;G422&amp;H422&amp;I422&amp;J422&amp;K422&amp;L422&amp;M422&amp;N422&amp;O422&amp;P422</f>
        <v>USR-10042145762ControlSouthMobileEmailFree100000039.1</v>
      </c>
      <c r="S422" s="22" t="str">
        <f>IF(COUNTIF($R$2:$R$1409,R422)=1,"OK",IF(COUNTIF($R$2:$R$1409,R422)&gt;1,"Exact Duplicate","Review Required"))</f>
        <v>OK</v>
      </c>
      <c r="T422" s="22" t="s">
        <v>24</v>
      </c>
      <c r="U422" s="22" t="s">
        <v>20</v>
      </c>
      <c r="V422" s="22"/>
    </row>
    <row r="423" spans="1:22" ht="41.4">
      <c r="A423" s="22" t="s">
        <v>453</v>
      </c>
      <c r="B423" s="25">
        <v>45767</v>
      </c>
      <c r="C423" s="22" t="s">
        <v>17</v>
      </c>
      <c r="D423" s="22" t="s">
        <v>28</v>
      </c>
      <c r="E423" s="22" t="s">
        <v>19</v>
      </c>
      <c r="F423" s="22" t="s">
        <v>41</v>
      </c>
      <c r="G423" s="22" t="s">
        <v>26</v>
      </c>
      <c r="H423" s="22">
        <v>1</v>
      </c>
      <c r="I423" s="22">
        <v>0</v>
      </c>
      <c r="J423" s="22">
        <v>0</v>
      </c>
      <c r="K423" s="22">
        <v>0</v>
      </c>
      <c r="L423" s="22">
        <v>0</v>
      </c>
      <c r="M423" s="22">
        <v>0</v>
      </c>
      <c r="N423" s="22">
        <v>0</v>
      </c>
      <c r="O423" s="22"/>
      <c r="P423" s="22">
        <v>42.6</v>
      </c>
      <c r="Q423" s="22" t="str">
        <f>IF(OR(L423&lt;$Y$18,L423&gt;$Y$19),"Outlier","Normal")</f>
        <v>Normal</v>
      </c>
      <c r="R423" s="26" t="str">
        <f>A423&amp;B423&amp;C423&amp;D423&amp;E423&amp;F423&amp;G423&amp;H423&amp;I423&amp;J423&amp;K423&amp;L423&amp;M423&amp;N423&amp;O423&amp;P423</f>
        <v>USR-10042245767ControlEastDesktopSocialFree100000042.6</v>
      </c>
      <c r="S423" s="22" t="str">
        <f>IF(COUNTIF($R$2:$R$1409,R423)=1,"OK",IF(COUNTIF($R$2:$R$1409,R423)&gt;1,"Exact Duplicate","Review Required"))</f>
        <v>OK</v>
      </c>
      <c r="T423" s="22" t="s">
        <v>19</v>
      </c>
      <c r="U423" s="22" t="s">
        <v>41</v>
      </c>
      <c r="V423" s="22"/>
    </row>
    <row r="424" spans="1:22" ht="41.4">
      <c r="A424" s="22" t="s">
        <v>454</v>
      </c>
      <c r="B424" s="25">
        <v>45807</v>
      </c>
      <c r="C424" s="22" t="s">
        <v>17</v>
      </c>
      <c r="D424" s="22" t="s">
        <v>32</v>
      </c>
      <c r="E424" s="22" t="s">
        <v>34</v>
      </c>
      <c r="F424" s="22" t="s">
        <v>25</v>
      </c>
      <c r="G424" s="22" t="s">
        <v>26</v>
      </c>
      <c r="H424" s="22">
        <v>0</v>
      </c>
      <c r="I424" s="22">
        <v>0</v>
      </c>
      <c r="J424" s="22">
        <v>0</v>
      </c>
      <c r="K424" s="22">
        <v>0</v>
      </c>
      <c r="L424" s="22">
        <v>0</v>
      </c>
      <c r="M424" s="22">
        <v>0</v>
      </c>
      <c r="N424" s="22">
        <v>0</v>
      </c>
      <c r="O424" s="22"/>
      <c r="P424" s="22">
        <v>74.400000000000006</v>
      </c>
      <c r="Q424" s="22" t="str">
        <f>IF(OR(L424&lt;$Y$18,L424&gt;$Y$19),"Outlier","Normal")</f>
        <v>Normal</v>
      </c>
      <c r="R424" s="26" t="str">
        <f>A424&amp;B424&amp;C424&amp;D424&amp;E424&amp;F424&amp;G424&amp;H424&amp;I424&amp;J424&amp;K424&amp;L424&amp;M424&amp;N424&amp;O424&amp;P424</f>
        <v>USR-10042345807ControlSouthTabletOrganicFree000000074.4</v>
      </c>
      <c r="S424" s="22" t="str">
        <f>IF(COUNTIF($R$2:$R$1409,R424)=1,"OK",IF(COUNTIF($R$2:$R$1409,R424)&gt;1,"Exact Duplicate","Review Required"))</f>
        <v>OK</v>
      </c>
      <c r="T424" s="22" t="s">
        <v>34</v>
      </c>
      <c r="U424" s="22" t="s">
        <v>25</v>
      </c>
      <c r="V424" s="22"/>
    </row>
    <row r="425" spans="1:22" ht="41.4">
      <c r="A425" s="22" t="s">
        <v>455</v>
      </c>
      <c r="B425" s="25">
        <v>45701</v>
      </c>
      <c r="C425" s="22" t="s">
        <v>17</v>
      </c>
      <c r="D425" s="22" t="s">
        <v>23</v>
      </c>
      <c r="E425" s="22" t="s">
        <v>24</v>
      </c>
      <c r="F425" s="22" t="s">
        <v>39</v>
      </c>
      <c r="G425" s="22" t="s">
        <v>26</v>
      </c>
      <c r="H425" s="22">
        <v>0</v>
      </c>
      <c r="I425" s="22">
        <v>0</v>
      </c>
      <c r="J425" s="22">
        <v>0</v>
      </c>
      <c r="K425" s="22">
        <v>0</v>
      </c>
      <c r="L425" s="22">
        <v>0</v>
      </c>
      <c r="M425" s="22">
        <v>0</v>
      </c>
      <c r="N425" s="22">
        <v>0</v>
      </c>
      <c r="O425" s="22"/>
      <c r="P425" s="22">
        <v>55.6</v>
      </c>
      <c r="Q425" s="22" t="str">
        <f>IF(OR(L425&lt;$Y$18,L425&gt;$Y$19),"Outlier","Normal")</f>
        <v>Normal</v>
      </c>
      <c r="R425" s="26" t="str">
        <f>A425&amp;B425&amp;C425&amp;D425&amp;E425&amp;F425&amp;G425&amp;H425&amp;I425&amp;J425&amp;K425&amp;L425&amp;M425&amp;N425&amp;O425&amp;P425</f>
        <v>USR-10042445701ControlWestMobileReferralFree000000055.6</v>
      </c>
      <c r="S425" s="22" t="str">
        <f>IF(COUNTIF($R$2:$R$1409,R425)=1,"OK",IF(COUNTIF($R$2:$R$1409,R425)&gt;1,"Exact Duplicate","Review Required"))</f>
        <v>OK</v>
      </c>
      <c r="T425" s="22" t="s">
        <v>24</v>
      </c>
      <c r="U425" s="22" t="s">
        <v>39</v>
      </c>
      <c r="V425" s="22"/>
    </row>
    <row r="426" spans="1:22" ht="41.4">
      <c r="A426" s="22" t="s">
        <v>456</v>
      </c>
      <c r="B426" s="25">
        <v>45775</v>
      </c>
      <c r="C426" s="22" t="s">
        <v>17</v>
      </c>
      <c r="D426" s="22" t="s">
        <v>23</v>
      </c>
      <c r="E426" s="22" t="s">
        <v>24</v>
      </c>
      <c r="F426" s="22" t="s">
        <v>41</v>
      </c>
      <c r="G426" s="22" t="s">
        <v>26</v>
      </c>
      <c r="H426" s="22">
        <v>1</v>
      </c>
      <c r="I426" s="22">
        <v>0</v>
      </c>
      <c r="J426" s="22">
        <v>0</v>
      </c>
      <c r="K426" s="22">
        <v>0</v>
      </c>
      <c r="L426" s="22">
        <v>0</v>
      </c>
      <c r="M426" s="22">
        <v>0</v>
      </c>
      <c r="N426" s="22">
        <v>0</v>
      </c>
      <c r="O426" s="22"/>
      <c r="P426" s="22">
        <v>35.799999999999997</v>
      </c>
      <c r="Q426" s="22" t="str">
        <f>IF(OR(L426&lt;$Y$18,L426&gt;$Y$19),"Outlier","Normal")</f>
        <v>Normal</v>
      </c>
      <c r="R426" s="26" t="str">
        <f>A426&amp;B426&amp;C426&amp;D426&amp;E426&amp;F426&amp;G426&amp;H426&amp;I426&amp;J426&amp;K426&amp;L426&amp;M426&amp;N426&amp;O426&amp;P426</f>
        <v>USR-10042545775ControlWestMobileSocialFree100000035.8</v>
      </c>
      <c r="S426" s="22" t="str">
        <f>IF(COUNTIF($R$2:$R$1409,R426)=1,"OK",IF(COUNTIF($R$2:$R$1409,R426)&gt;1,"Exact Duplicate","Review Required"))</f>
        <v>OK</v>
      </c>
      <c r="T426" s="22" t="s">
        <v>24</v>
      </c>
      <c r="U426" s="22" t="s">
        <v>41</v>
      </c>
      <c r="V426" s="22"/>
    </row>
    <row r="427" spans="1:22" ht="41.4">
      <c r="A427" s="22" t="s">
        <v>457</v>
      </c>
      <c r="B427" s="25">
        <v>45700</v>
      </c>
      <c r="C427" s="22" t="s">
        <v>17</v>
      </c>
      <c r="D427" s="22" t="s">
        <v>18</v>
      </c>
      <c r="E427" s="22" t="s">
        <v>24</v>
      </c>
      <c r="F427" s="22" t="s">
        <v>29</v>
      </c>
      <c r="G427" s="22" t="s">
        <v>21</v>
      </c>
      <c r="H427" s="22">
        <v>1</v>
      </c>
      <c r="I427" s="22">
        <v>0</v>
      </c>
      <c r="J427" s="22">
        <v>0</v>
      </c>
      <c r="K427" s="22">
        <v>0</v>
      </c>
      <c r="L427" s="22">
        <v>0</v>
      </c>
      <c r="M427" s="22">
        <v>1</v>
      </c>
      <c r="N427" s="22">
        <v>0</v>
      </c>
      <c r="O427" s="22"/>
      <c r="P427" s="22">
        <v>28.2</v>
      </c>
      <c r="Q427" s="22" t="str">
        <f>IF(OR(L427&lt;$Y$18,L427&gt;$Y$19),"Outlier","Normal")</f>
        <v>Normal</v>
      </c>
      <c r="R427" s="26" t="str">
        <f>A427&amp;B427&amp;C427&amp;D427&amp;E427&amp;F427&amp;G427&amp;H427&amp;I427&amp;J427&amp;K427&amp;L427&amp;M427&amp;N427&amp;O427&amp;P427</f>
        <v>USR-10042645700ControlNorthMobilePaid SearchBasic100001028.2</v>
      </c>
      <c r="S427" s="22" t="str">
        <f>IF(COUNTIF($R$2:$R$1409,R427)=1,"OK",IF(COUNTIF($R$2:$R$1409,R427)&gt;1,"Exact Duplicate","Review Required"))</f>
        <v>OK</v>
      </c>
      <c r="T427" s="22" t="s">
        <v>24</v>
      </c>
      <c r="U427" s="22" t="s">
        <v>29</v>
      </c>
      <c r="V427" s="22"/>
    </row>
    <row r="428" spans="1:22" ht="41.4">
      <c r="A428" s="22" t="s">
        <v>458</v>
      </c>
      <c r="B428" s="25">
        <v>45700</v>
      </c>
      <c r="C428" s="22" t="s">
        <v>17</v>
      </c>
      <c r="D428" s="22" t="s">
        <v>28</v>
      </c>
      <c r="E428" s="22" t="s">
        <v>24</v>
      </c>
      <c r="F428" s="22" t="s">
        <v>25</v>
      </c>
      <c r="G428" s="22" t="s">
        <v>26</v>
      </c>
      <c r="H428" s="22">
        <v>0</v>
      </c>
      <c r="I428" s="22">
        <v>0</v>
      </c>
      <c r="J428" s="22">
        <v>0</v>
      </c>
      <c r="K428" s="22">
        <v>0</v>
      </c>
      <c r="L428" s="22">
        <v>0</v>
      </c>
      <c r="M428" s="22">
        <v>2</v>
      </c>
      <c r="N428" s="22">
        <v>0</v>
      </c>
      <c r="O428" s="22"/>
      <c r="P428" s="22">
        <v>44.4</v>
      </c>
      <c r="Q428" s="22" t="str">
        <f>IF(OR(L428&lt;$Y$18,L428&gt;$Y$19),"Outlier","Normal")</f>
        <v>Normal</v>
      </c>
      <c r="R428" s="26" t="str">
        <f>A428&amp;B428&amp;C428&amp;D428&amp;E428&amp;F428&amp;G428&amp;H428&amp;I428&amp;J428&amp;K428&amp;L428&amp;M428&amp;N428&amp;O428&amp;P428</f>
        <v>USR-10042745700ControlEastMobileOrganicFree000002044.4</v>
      </c>
      <c r="S428" s="22" t="str">
        <f>IF(COUNTIF($R$2:$R$1409,R428)=1,"OK",IF(COUNTIF($R$2:$R$1409,R428)&gt;1,"Exact Duplicate","Review Required"))</f>
        <v>OK</v>
      </c>
      <c r="T428" s="22" t="s">
        <v>24</v>
      </c>
      <c r="U428" s="22" t="s">
        <v>25</v>
      </c>
      <c r="V428" s="22"/>
    </row>
    <row r="429" spans="1:22" ht="41.4">
      <c r="A429" s="22" t="s">
        <v>459</v>
      </c>
      <c r="B429" s="25">
        <v>45743</v>
      </c>
      <c r="C429" s="22" t="s">
        <v>17</v>
      </c>
      <c r="D429" s="22" t="s">
        <v>18</v>
      </c>
      <c r="E429" s="22" t="s">
        <v>24</v>
      </c>
      <c r="F429" s="22" t="s">
        <v>20</v>
      </c>
      <c r="G429" s="22" t="s">
        <v>30</v>
      </c>
      <c r="H429" s="22">
        <v>1</v>
      </c>
      <c r="I429" s="22">
        <v>0</v>
      </c>
      <c r="J429" s="22">
        <v>0</v>
      </c>
      <c r="K429" s="22">
        <v>0</v>
      </c>
      <c r="L429" s="22">
        <v>0</v>
      </c>
      <c r="M429" s="22">
        <v>0</v>
      </c>
      <c r="N429" s="22">
        <v>0</v>
      </c>
      <c r="O429" s="22"/>
      <c r="P429" s="22">
        <v>49.9</v>
      </c>
      <c r="Q429" s="22" t="str">
        <f>IF(OR(L429&lt;$Y$18,L429&gt;$Y$19),"Outlier","Normal")</f>
        <v>Normal</v>
      </c>
      <c r="R429" s="26" t="str">
        <f>A429&amp;B429&amp;C429&amp;D429&amp;E429&amp;F429&amp;G429&amp;H429&amp;I429&amp;J429&amp;K429&amp;L429&amp;M429&amp;N429&amp;O429&amp;P429</f>
        <v>USR-10042845743ControlNorthMobileEmailPremium100000049.9</v>
      </c>
      <c r="S429" s="22" t="str">
        <f>IF(COUNTIF($R$2:$R$1409,R429)=1,"OK",IF(COUNTIF($R$2:$R$1409,R429)&gt;1,"Exact Duplicate","Review Required"))</f>
        <v>OK</v>
      </c>
      <c r="T429" s="22" t="s">
        <v>24</v>
      </c>
      <c r="U429" s="22" t="s">
        <v>20</v>
      </c>
      <c r="V429" s="22"/>
    </row>
    <row r="430" spans="1:22" ht="41.4">
      <c r="A430" s="22" t="s">
        <v>460</v>
      </c>
      <c r="B430" s="25">
        <v>45759</v>
      </c>
      <c r="C430" s="22" t="s">
        <v>17</v>
      </c>
      <c r="D430" s="22" t="s">
        <v>32</v>
      </c>
      <c r="E430" s="22" t="s">
        <v>19</v>
      </c>
      <c r="F430" s="22" t="s">
        <v>25</v>
      </c>
      <c r="G430" s="22" t="s">
        <v>26</v>
      </c>
      <c r="H430" s="22">
        <v>0</v>
      </c>
      <c r="I430" s="22">
        <v>0</v>
      </c>
      <c r="J430" s="22">
        <v>0</v>
      </c>
      <c r="K430" s="22">
        <v>0</v>
      </c>
      <c r="L430" s="22">
        <v>0</v>
      </c>
      <c r="M430" s="22">
        <v>0</v>
      </c>
      <c r="N430" s="22">
        <v>0</v>
      </c>
      <c r="O430" s="22"/>
      <c r="P430" s="22">
        <v>40.4</v>
      </c>
      <c r="Q430" s="22" t="str">
        <f>IF(OR(L430&lt;$Y$18,L430&gt;$Y$19),"Outlier","Normal")</f>
        <v>Normal</v>
      </c>
      <c r="R430" s="26" t="str">
        <f>A430&amp;B430&amp;C430&amp;D430&amp;E430&amp;F430&amp;G430&amp;H430&amp;I430&amp;J430&amp;K430&amp;L430&amp;M430&amp;N430&amp;O430&amp;P430</f>
        <v>USR-10042945759ControlSouthDesktopOrganicFree000000040.4</v>
      </c>
      <c r="S430" s="22" t="str">
        <f>IF(COUNTIF($R$2:$R$1409,R430)=1,"OK",IF(COUNTIF($R$2:$R$1409,R430)&gt;1,"Exact Duplicate","Review Required"))</f>
        <v>OK</v>
      </c>
      <c r="T430" s="22" t="s">
        <v>19</v>
      </c>
      <c r="U430" s="22" t="s">
        <v>25</v>
      </c>
      <c r="V430" s="22"/>
    </row>
    <row r="431" spans="1:22" ht="41.4">
      <c r="A431" s="22" t="s">
        <v>461</v>
      </c>
      <c r="B431" s="25">
        <v>45687</v>
      </c>
      <c r="C431" s="22" t="s">
        <v>17</v>
      </c>
      <c r="D431" s="22" t="s">
        <v>23</v>
      </c>
      <c r="E431" s="22" t="s">
        <v>24</v>
      </c>
      <c r="F431" s="22" t="s">
        <v>41</v>
      </c>
      <c r="G431" s="22" t="s">
        <v>26</v>
      </c>
      <c r="H431" s="22">
        <v>0</v>
      </c>
      <c r="I431" s="22">
        <v>0</v>
      </c>
      <c r="J431" s="22">
        <v>0</v>
      </c>
      <c r="K431" s="22">
        <v>0</v>
      </c>
      <c r="L431" s="22">
        <v>0</v>
      </c>
      <c r="M431" s="22">
        <v>0</v>
      </c>
      <c r="N431" s="22">
        <v>0</v>
      </c>
      <c r="O431" s="22"/>
      <c r="P431" s="22">
        <v>60.4</v>
      </c>
      <c r="Q431" s="22" t="str">
        <f>IF(OR(L431&lt;$Y$18,L431&gt;$Y$19),"Outlier","Normal")</f>
        <v>Normal</v>
      </c>
      <c r="R431" s="26" t="str">
        <f>A431&amp;B431&amp;C431&amp;D431&amp;E431&amp;F431&amp;G431&amp;H431&amp;I431&amp;J431&amp;K431&amp;L431&amp;M431&amp;N431&amp;O431&amp;P431</f>
        <v>USR-10043045687ControlWestMobileSocialFree000000060.4</v>
      </c>
      <c r="S431" s="22" t="str">
        <f>IF(COUNTIF($R$2:$R$1409,R431)=1,"OK",IF(COUNTIF($R$2:$R$1409,R431)&gt;1,"Exact Duplicate","Review Required"))</f>
        <v>OK</v>
      </c>
      <c r="T431" s="22" t="s">
        <v>24</v>
      </c>
      <c r="U431" s="22" t="s">
        <v>41</v>
      </c>
      <c r="V431" s="22"/>
    </row>
    <row r="432" spans="1:22" ht="41.4">
      <c r="A432" s="22" t="s">
        <v>462</v>
      </c>
      <c r="B432" s="25">
        <v>45805</v>
      </c>
      <c r="C432" s="22" t="s">
        <v>17</v>
      </c>
      <c r="D432" s="22" t="s">
        <v>23</v>
      </c>
      <c r="E432" s="22" t="s">
        <v>24</v>
      </c>
      <c r="F432" s="22" t="s">
        <v>41</v>
      </c>
      <c r="G432" s="22" t="s">
        <v>30</v>
      </c>
      <c r="H432" s="22">
        <v>0</v>
      </c>
      <c r="I432" s="22">
        <v>0</v>
      </c>
      <c r="J432" s="22">
        <v>0</v>
      </c>
      <c r="K432" s="22">
        <v>0</v>
      </c>
      <c r="L432" s="22">
        <v>0</v>
      </c>
      <c r="M432" s="22">
        <v>1</v>
      </c>
      <c r="N432" s="22">
        <v>0</v>
      </c>
      <c r="O432" s="22"/>
      <c r="P432" s="22">
        <v>52.4</v>
      </c>
      <c r="Q432" s="22" t="str">
        <f>IF(OR(L432&lt;$Y$18,L432&gt;$Y$19),"Outlier","Normal")</f>
        <v>Normal</v>
      </c>
      <c r="R432" s="26" t="str">
        <f>A432&amp;B432&amp;C432&amp;D432&amp;E432&amp;F432&amp;G432&amp;H432&amp;I432&amp;J432&amp;K432&amp;L432&amp;M432&amp;N432&amp;O432&amp;P432</f>
        <v>USR-10043145805ControlWestMobileSocialPremium000001052.4</v>
      </c>
      <c r="S432" s="22" t="str">
        <f>IF(COUNTIF($R$2:$R$1409,R432)=1,"OK",IF(COUNTIF($R$2:$R$1409,R432)&gt;1,"Exact Duplicate","Review Required"))</f>
        <v>OK</v>
      </c>
      <c r="T432" s="22" t="s">
        <v>24</v>
      </c>
      <c r="U432" s="22" t="s">
        <v>41</v>
      </c>
      <c r="V432" s="22"/>
    </row>
    <row r="433" spans="1:22" ht="41.4">
      <c r="A433" s="22" t="s">
        <v>463</v>
      </c>
      <c r="B433" s="25">
        <v>45778</v>
      </c>
      <c r="C433" s="22" t="s">
        <v>17</v>
      </c>
      <c r="D433" s="22" t="s">
        <v>32</v>
      </c>
      <c r="E433" s="22" t="s">
        <v>24</v>
      </c>
      <c r="F433" s="22" t="s">
        <v>25</v>
      </c>
      <c r="G433" s="22" t="s">
        <v>21</v>
      </c>
      <c r="H433" s="22">
        <v>1</v>
      </c>
      <c r="I433" s="22">
        <v>1</v>
      </c>
      <c r="J433" s="22">
        <v>0</v>
      </c>
      <c r="K433" s="22">
        <v>0</v>
      </c>
      <c r="L433" s="22">
        <v>0</v>
      </c>
      <c r="M433" s="22">
        <v>0</v>
      </c>
      <c r="N433" s="22">
        <v>0</v>
      </c>
      <c r="O433" s="22"/>
      <c r="P433" s="22">
        <v>48.8</v>
      </c>
      <c r="Q433" s="22" t="str">
        <f>IF(OR(L433&lt;$Y$18,L433&gt;$Y$19),"Outlier","Normal")</f>
        <v>Normal</v>
      </c>
      <c r="R433" s="26" t="str">
        <f>A433&amp;B433&amp;C433&amp;D433&amp;E433&amp;F433&amp;G433&amp;H433&amp;I433&amp;J433&amp;K433&amp;L433&amp;M433&amp;N433&amp;O433&amp;P433</f>
        <v>USR-10043245778ControlSouthMobileOrganicBasic110000048.8</v>
      </c>
      <c r="S433" s="22" t="str">
        <f>IF(COUNTIF($R$2:$R$1409,R433)=1,"OK",IF(COUNTIF($R$2:$R$1409,R433)&gt;1,"Exact Duplicate","Review Required"))</f>
        <v>OK</v>
      </c>
      <c r="T433" s="22" t="s">
        <v>24</v>
      </c>
      <c r="U433" s="22" t="s">
        <v>25</v>
      </c>
      <c r="V433" s="22"/>
    </row>
    <row r="434" spans="1:22" ht="41.4">
      <c r="A434" s="22" t="s">
        <v>464</v>
      </c>
      <c r="B434" s="25">
        <v>45691</v>
      </c>
      <c r="C434" s="22" t="s">
        <v>17</v>
      </c>
      <c r="D434" s="22" t="s">
        <v>18</v>
      </c>
      <c r="E434" s="22" t="s">
        <v>34</v>
      </c>
      <c r="F434" s="22" t="s">
        <v>20</v>
      </c>
      <c r="G434" s="22" t="s">
        <v>21</v>
      </c>
      <c r="H434" s="22">
        <v>1</v>
      </c>
      <c r="I434" s="22">
        <v>0</v>
      </c>
      <c r="J434" s="22">
        <v>0</v>
      </c>
      <c r="K434" s="22">
        <v>0</v>
      </c>
      <c r="L434" s="22">
        <v>0</v>
      </c>
      <c r="M434" s="22">
        <v>0</v>
      </c>
      <c r="N434" s="22">
        <v>0</v>
      </c>
      <c r="O434" s="22"/>
      <c r="P434" s="22">
        <v>60.9</v>
      </c>
      <c r="Q434" s="22" t="str">
        <f>IF(OR(L434&lt;$Y$18,L434&gt;$Y$19),"Outlier","Normal")</f>
        <v>Normal</v>
      </c>
      <c r="R434" s="26" t="str">
        <f>A434&amp;B434&amp;C434&amp;D434&amp;E434&amp;F434&amp;G434&amp;H434&amp;I434&amp;J434&amp;K434&amp;L434&amp;M434&amp;N434&amp;O434&amp;P434</f>
        <v>USR-10043345691ControlNorthTabletEmailBasic100000060.9</v>
      </c>
      <c r="S434" s="22" t="str">
        <f>IF(COUNTIF($R$2:$R$1409,R434)=1,"OK",IF(COUNTIF($R$2:$R$1409,R434)&gt;1,"Exact Duplicate","Review Required"))</f>
        <v>OK</v>
      </c>
      <c r="T434" s="22" t="s">
        <v>34</v>
      </c>
      <c r="U434" s="22" t="s">
        <v>20</v>
      </c>
      <c r="V434" s="22"/>
    </row>
    <row r="435" spans="1:22" ht="41.4">
      <c r="A435" s="22" t="s">
        <v>465</v>
      </c>
      <c r="B435" s="25">
        <v>45667</v>
      </c>
      <c r="C435" s="22" t="s">
        <v>17</v>
      </c>
      <c r="D435" s="22" t="s">
        <v>32</v>
      </c>
      <c r="E435" s="22" t="s">
        <v>19</v>
      </c>
      <c r="F435" s="22" t="s">
        <v>41</v>
      </c>
      <c r="G435" s="22" t="s">
        <v>21</v>
      </c>
      <c r="H435" s="22">
        <v>0</v>
      </c>
      <c r="I435" s="22">
        <v>0</v>
      </c>
      <c r="J435" s="22">
        <v>0</v>
      </c>
      <c r="K435" s="22">
        <v>0</v>
      </c>
      <c r="L435" s="22">
        <v>0</v>
      </c>
      <c r="M435" s="22">
        <v>0</v>
      </c>
      <c r="N435" s="22">
        <v>0</v>
      </c>
      <c r="O435" s="22"/>
      <c r="P435" s="22">
        <v>68.2</v>
      </c>
      <c r="Q435" s="22" t="str">
        <f>IF(OR(L435&lt;$Y$18,L435&gt;$Y$19),"Outlier","Normal")</f>
        <v>Normal</v>
      </c>
      <c r="R435" s="26" t="str">
        <f>A435&amp;B435&amp;C435&amp;D435&amp;E435&amp;F435&amp;G435&amp;H435&amp;I435&amp;J435&amp;K435&amp;L435&amp;M435&amp;N435&amp;O435&amp;P435</f>
        <v>USR-10043445667ControlSouthDesktopSocialBasic000000068.2</v>
      </c>
      <c r="S435" s="22" t="str">
        <f>IF(COUNTIF($R$2:$R$1409,R435)=1,"OK",IF(COUNTIF($R$2:$R$1409,R435)&gt;1,"Exact Duplicate","Review Required"))</f>
        <v>OK</v>
      </c>
      <c r="T435" s="22" t="s">
        <v>19</v>
      </c>
      <c r="U435" s="22" t="s">
        <v>41</v>
      </c>
      <c r="V435" s="22"/>
    </row>
    <row r="436" spans="1:22" ht="41.4">
      <c r="A436" s="22" t="s">
        <v>466</v>
      </c>
      <c r="B436" s="25">
        <v>45779</v>
      </c>
      <c r="C436" s="22" t="s">
        <v>17</v>
      </c>
      <c r="D436" s="22" t="s">
        <v>18</v>
      </c>
      <c r="E436" s="22" t="s">
        <v>19</v>
      </c>
      <c r="F436" s="22" t="s">
        <v>25</v>
      </c>
      <c r="G436" s="22" t="s">
        <v>21</v>
      </c>
      <c r="H436" s="22">
        <v>1</v>
      </c>
      <c r="I436" s="22">
        <v>0</v>
      </c>
      <c r="J436" s="22">
        <v>0</v>
      </c>
      <c r="K436" s="22">
        <v>0</v>
      </c>
      <c r="L436" s="22">
        <v>0</v>
      </c>
      <c r="M436" s="22">
        <v>0</v>
      </c>
      <c r="N436" s="22">
        <v>0</v>
      </c>
      <c r="O436" s="22"/>
      <c r="P436" s="22">
        <v>65.599999999999994</v>
      </c>
      <c r="Q436" s="22" t="str">
        <f>IF(OR(L436&lt;$Y$18,L436&gt;$Y$19),"Outlier","Normal")</f>
        <v>Normal</v>
      </c>
      <c r="R436" s="26" t="str">
        <f>A436&amp;B436&amp;C436&amp;D436&amp;E436&amp;F436&amp;G436&amp;H436&amp;I436&amp;J436&amp;K436&amp;L436&amp;M436&amp;N436&amp;O436&amp;P436</f>
        <v>USR-10043545779ControlNorthDesktopOrganicBasic100000065.6</v>
      </c>
      <c r="S436" s="22" t="str">
        <f>IF(COUNTIF($R$2:$R$1409,R436)=1,"OK",IF(COUNTIF($R$2:$R$1409,R436)&gt;1,"Exact Duplicate","Review Required"))</f>
        <v>OK</v>
      </c>
      <c r="T436" s="22" t="s">
        <v>19</v>
      </c>
      <c r="U436" s="22" t="s">
        <v>25</v>
      </c>
      <c r="V436" s="22"/>
    </row>
    <row r="437" spans="1:22" ht="41.4">
      <c r="A437" s="22" t="s">
        <v>467</v>
      </c>
      <c r="B437" s="25">
        <v>45803</v>
      </c>
      <c r="C437" s="22" t="s">
        <v>17</v>
      </c>
      <c r="D437" s="22" t="s">
        <v>18</v>
      </c>
      <c r="E437" s="22" t="s">
        <v>19</v>
      </c>
      <c r="F437" s="22" t="s">
        <v>25</v>
      </c>
      <c r="G437" s="22" t="s">
        <v>21</v>
      </c>
      <c r="H437" s="22">
        <v>1</v>
      </c>
      <c r="I437" s="22">
        <v>0</v>
      </c>
      <c r="J437" s="22">
        <v>0</v>
      </c>
      <c r="K437" s="22">
        <v>0</v>
      </c>
      <c r="L437" s="22">
        <v>0</v>
      </c>
      <c r="M437" s="22">
        <v>0</v>
      </c>
      <c r="N437" s="22">
        <v>0</v>
      </c>
      <c r="O437" s="22"/>
      <c r="P437" s="22">
        <v>65.400000000000006</v>
      </c>
      <c r="Q437" s="22" t="str">
        <f>IF(OR(L437&lt;$Y$18,L437&gt;$Y$19),"Outlier","Normal")</f>
        <v>Normal</v>
      </c>
      <c r="R437" s="26" t="str">
        <f>A437&amp;B437&amp;C437&amp;D437&amp;E437&amp;F437&amp;G437&amp;H437&amp;I437&amp;J437&amp;K437&amp;L437&amp;M437&amp;N437&amp;O437&amp;P437</f>
        <v>USR-10043645803ControlNorthDesktopOrganicBasic100000065.4</v>
      </c>
      <c r="S437" s="22" t="str">
        <f>IF(COUNTIF($R$2:$R$1409,R437)=1,"OK",IF(COUNTIF($R$2:$R$1409,R437)&gt;1,"Exact Duplicate","Review Required"))</f>
        <v>OK</v>
      </c>
      <c r="T437" s="22" t="s">
        <v>19</v>
      </c>
      <c r="U437" s="22" t="s">
        <v>25</v>
      </c>
      <c r="V437" s="22"/>
    </row>
    <row r="438" spans="1:22" ht="41.4">
      <c r="A438" s="22" t="s">
        <v>468</v>
      </c>
      <c r="B438" s="25">
        <v>45669</v>
      </c>
      <c r="C438" s="22" t="s">
        <v>17</v>
      </c>
      <c r="D438" s="22" t="s">
        <v>23</v>
      </c>
      <c r="E438" s="22" t="s">
        <v>24</v>
      </c>
      <c r="F438" s="22" t="s">
        <v>25</v>
      </c>
      <c r="G438" s="22" t="s">
        <v>21</v>
      </c>
      <c r="H438" s="22">
        <v>1</v>
      </c>
      <c r="I438" s="22">
        <v>0</v>
      </c>
      <c r="J438" s="22">
        <v>0</v>
      </c>
      <c r="K438" s="22">
        <v>0</v>
      </c>
      <c r="L438" s="22">
        <v>0</v>
      </c>
      <c r="M438" s="22">
        <v>0</v>
      </c>
      <c r="N438" s="22">
        <v>0</v>
      </c>
      <c r="O438" s="22"/>
      <c r="P438" s="22">
        <v>78.900000000000006</v>
      </c>
      <c r="Q438" s="22" t="str">
        <f>IF(OR(L438&lt;$Y$18,L438&gt;$Y$19),"Outlier","Normal")</f>
        <v>Normal</v>
      </c>
      <c r="R438" s="26" t="str">
        <f>A438&amp;B438&amp;C438&amp;D438&amp;E438&amp;F438&amp;G438&amp;H438&amp;I438&amp;J438&amp;K438&amp;L438&amp;M438&amp;N438&amp;O438&amp;P438</f>
        <v>USR-10043745669ControlWestMobileOrganicBasic100000078.9</v>
      </c>
      <c r="S438" s="22" t="str">
        <f>IF(COUNTIF($R$2:$R$1409,R438)=1,"OK",IF(COUNTIF($R$2:$R$1409,R438)&gt;1,"Exact Duplicate","Review Required"))</f>
        <v>OK</v>
      </c>
      <c r="T438" s="22" t="s">
        <v>24</v>
      </c>
      <c r="U438" s="22" t="s">
        <v>25</v>
      </c>
      <c r="V438" s="22"/>
    </row>
    <row r="439" spans="1:22" ht="41.4">
      <c r="A439" s="22" t="s">
        <v>469</v>
      </c>
      <c r="B439" s="25">
        <v>45804</v>
      </c>
      <c r="C439" s="22" t="s">
        <v>17</v>
      </c>
      <c r="D439" s="22" t="s">
        <v>28</v>
      </c>
      <c r="E439" s="22" t="s">
        <v>24</v>
      </c>
      <c r="F439" s="22" t="s">
        <v>29</v>
      </c>
      <c r="G439" s="22" t="s">
        <v>21</v>
      </c>
      <c r="H439" s="22">
        <v>1</v>
      </c>
      <c r="I439" s="22">
        <v>1</v>
      </c>
      <c r="J439" s="22">
        <v>1</v>
      </c>
      <c r="K439" s="22">
        <v>0</v>
      </c>
      <c r="L439" s="22">
        <v>0</v>
      </c>
      <c r="M439" s="22">
        <v>0</v>
      </c>
      <c r="N439" s="22">
        <v>0</v>
      </c>
      <c r="O439" s="22"/>
      <c r="P439" s="22">
        <v>78.3</v>
      </c>
      <c r="Q439" s="22" t="str">
        <f>IF(OR(L439&lt;$Y$18,L439&gt;$Y$19),"Outlier","Normal")</f>
        <v>Normal</v>
      </c>
      <c r="R439" s="26" t="str">
        <f>A439&amp;B439&amp;C439&amp;D439&amp;E439&amp;F439&amp;G439&amp;H439&amp;I439&amp;J439&amp;K439&amp;L439&amp;M439&amp;N439&amp;O439&amp;P439</f>
        <v>USR-10043845804ControlEastMobilePaid SearchBasic111000078.3</v>
      </c>
      <c r="S439" s="22" t="str">
        <f>IF(COUNTIF($R$2:$R$1409,R439)=1,"OK",IF(COUNTIF($R$2:$R$1409,R439)&gt;1,"Exact Duplicate","Review Required"))</f>
        <v>OK</v>
      </c>
      <c r="T439" s="22" t="s">
        <v>24</v>
      </c>
      <c r="U439" s="22" t="s">
        <v>29</v>
      </c>
      <c r="V439" s="22"/>
    </row>
    <row r="440" spans="1:22" ht="41.4">
      <c r="A440" s="22" t="s">
        <v>470</v>
      </c>
      <c r="B440" s="25">
        <v>45799</v>
      </c>
      <c r="C440" s="22" t="s">
        <v>17</v>
      </c>
      <c r="D440" s="22" t="s">
        <v>23</v>
      </c>
      <c r="E440" s="22" t="s">
        <v>19</v>
      </c>
      <c r="F440" s="22" t="s">
        <v>20</v>
      </c>
      <c r="G440" s="22" t="s">
        <v>21</v>
      </c>
      <c r="H440" s="22">
        <v>0</v>
      </c>
      <c r="I440" s="22">
        <v>0</v>
      </c>
      <c r="J440" s="22">
        <v>0</v>
      </c>
      <c r="K440" s="22">
        <v>0</v>
      </c>
      <c r="L440" s="22">
        <v>0</v>
      </c>
      <c r="M440" s="22">
        <v>0</v>
      </c>
      <c r="N440" s="22">
        <v>0</v>
      </c>
      <c r="O440" s="22"/>
      <c r="P440" s="22">
        <v>49.2</v>
      </c>
      <c r="Q440" s="22" t="str">
        <f>IF(OR(L440&lt;$Y$18,L440&gt;$Y$19),"Outlier","Normal")</f>
        <v>Normal</v>
      </c>
      <c r="R440" s="26" t="str">
        <f>A440&amp;B440&amp;C440&amp;D440&amp;E440&amp;F440&amp;G440&amp;H440&amp;I440&amp;J440&amp;K440&amp;L440&amp;M440&amp;N440&amp;O440&amp;P440</f>
        <v>USR-10043945799ControlWestDesktopEmailBasic000000049.2</v>
      </c>
      <c r="S440" s="22" t="str">
        <f>IF(COUNTIF($R$2:$R$1409,R440)=1,"OK",IF(COUNTIF($R$2:$R$1409,R440)&gt;1,"Exact Duplicate","Review Required"))</f>
        <v>OK</v>
      </c>
      <c r="T440" s="22" t="s">
        <v>19</v>
      </c>
      <c r="U440" s="22" t="s">
        <v>20</v>
      </c>
      <c r="V440" s="22"/>
    </row>
    <row r="441" spans="1:22" ht="41.4">
      <c r="A441" s="22" t="s">
        <v>471</v>
      </c>
      <c r="B441" s="25">
        <v>45748</v>
      </c>
      <c r="C441" s="22" t="s">
        <v>17</v>
      </c>
      <c r="D441" s="22" t="s">
        <v>28</v>
      </c>
      <c r="E441" s="22" t="s">
        <v>24</v>
      </c>
      <c r="F441" s="22" t="s">
        <v>41</v>
      </c>
      <c r="G441" s="22" t="s">
        <v>30</v>
      </c>
      <c r="H441" s="22">
        <v>1</v>
      </c>
      <c r="I441" s="22">
        <v>1</v>
      </c>
      <c r="J441" s="22">
        <v>1</v>
      </c>
      <c r="K441" s="22">
        <v>1</v>
      </c>
      <c r="L441" s="22">
        <v>1518.83</v>
      </c>
      <c r="M441" s="22">
        <v>0</v>
      </c>
      <c r="N441" s="22">
        <v>0</v>
      </c>
      <c r="O441" s="22">
        <v>9</v>
      </c>
      <c r="P441" s="22">
        <v>32.200000000000003</v>
      </c>
      <c r="Q441" s="22" t="str">
        <f>IF(OR(L441&lt;$Y$18,L441&gt;$Y$19),"Outlier","Normal")</f>
        <v>Normal</v>
      </c>
      <c r="R441" s="26" t="str">
        <f>A441&amp;B441&amp;C441&amp;D441&amp;E441&amp;F441&amp;G441&amp;H441&amp;I441&amp;J441&amp;K441&amp;L441&amp;M441&amp;N441&amp;O441&amp;P441</f>
        <v>USR-10044045748ControlEastMobileSocialPremium11111518.8300932.2</v>
      </c>
      <c r="S441" s="22" t="str">
        <f>IF(COUNTIF($R$2:$R$1409,R441)=1,"OK",IF(COUNTIF($R$2:$R$1409,R441)&gt;1,"Exact Duplicate","Review Required"))</f>
        <v>OK</v>
      </c>
      <c r="T441" s="22" t="s">
        <v>24</v>
      </c>
      <c r="U441" s="22" t="s">
        <v>41</v>
      </c>
      <c r="V441" s="22"/>
    </row>
    <row r="442" spans="1:22" ht="41.4">
      <c r="A442" s="22" t="s">
        <v>472</v>
      </c>
      <c r="B442" s="25">
        <v>45679</v>
      </c>
      <c r="C442" s="22" t="s">
        <v>17</v>
      </c>
      <c r="D442" s="22" t="s">
        <v>18</v>
      </c>
      <c r="E442" s="22" t="s">
        <v>24</v>
      </c>
      <c r="F442" s="22" t="s">
        <v>29</v>
      </c>
      <c r="G442" s="22" t="s">
        <v>21</v>
      </c>
      <c r="H442" s="22">
        <v>1</v>
      </c>
      <c r="I442" s="22">
        <v>1</v>
      </c>
      <c r="J442" s="22">
        <v>1</v>
      </c>
      <c r="K442" s="22">
        <v>0</v>
      </c>
      <c r="L442" s="22">
        <v>0</v>
      </c>
      <c r="M442" s="22">
        <v>0</v>
      </c>
      <c r="N442" s="22">
        <v>0</v>
      </c>
      <c r="O442" s="22"/>
      <c r="P442" s="22">
        <v>46.3</v>
      </c>
      <c r="Q442" s="22" t="str">
        <f>IF(OR(L442&lt;$Y$18,L442&gt;$Y$19),"Outlier","Normal")</f>
        <v>Normal</v>
      </c>
      <c r="R442" s="26" t="str">
        <f>A442&amp;B442&amp;C442&amp;D442&amp;E442&amp;F442&amp;G442&amp;H442&amp;I442&amp;J442&amp;K442&amp;L442&amp;M442&amp;N442&amp;O442&amp;P442</f>
        <v>USR-10044145679ControlNorthMobilePaid SearchBasic111000046.3</v>
      </c>
      <c r="S442" s="22" t="str">
        <f>IF(COUNTIF($R$2:$R$1409,R442)=1,"OK",IF(COUNTIF($R$2:$R$1409,R442)&gt;1,"Exact Duplicate","Review Required"))</f>
        <v>OK</v>
      </c>
      <c r="T442" s="22" t="s">
        <v>24</v>
      </c>
      <c r="U442" s="22" t="s">
        <v>29</v>
      </c>
      <c r="V442" s="22"/>
    </row>
    <row r="443" spans="1:22" ht="41.4">
      <c r="A443" s="22" t="s">
        <v>473</v>
      </c>
      <c r="B443" s="25">
        <v>45801</v>
      </c>
      <c r="C443" s="22" t="s">
        <v>17</v>
      </c>
      <c r="D443" s="22" t="s">
        <v>28</v>
      </c>
      <c r="E443" s="22" t="s">
        <v>24</v>
      </c>
      <c r="F443" s="22" t="s">
        <v>29</v>
      </c>
      <c r="G443" s="22" t="s">
        <v>21</v>
      </c>
      <c r="H443" s="22">
        <v>1</v>
      </c>
      <c r="I443" s="22">
        <v>0</v>
      </c>
      <c r="J443" s="22">
        <v>0</v>
      </c>
      <c r="K443" s="22">
        <v>0</v>
      </c>
      <c r="L443" s="22">
        <v>0</v>
      </c>
      <c r="M443" s="22">
        <v>0</v>
      </c>
      <c r="N443" s="22">
        <v>0</v>
      </c>
      <c r="O443" s="22"/>
      <c r="P443" s="22">
        <v>55.7</v>
      </c>
      <c r="Q443" s="22" t="str">
        <f>IF(OR(L443&lt;$Y$18,L443&gt;$Y$19),"Outlier","Normal")</f>
        <v>Normal</v>
      </c>
      <c r="R443" s="26" t="str">
        <f>A443&amp;B443&amp;C443&amp;D443&amp;E443&amp;F443&amp;G443&amp;H443&amp;I443&amp;J443&amp;K443&amp;L443&amp;M443&amp;N443&amp;O443&amp;P443</f>
        <v>USR-10044245801ControlEastMobilePaid SearchBasic100000055.7</v>
      </c>
      <c r="S443" s="22" t="str">
        <f>IF(COUNTIF($R$2:$R$1409,R443)=1,"OK",IF(COUNTIF($R$2:$R$1409,R443)&gt;1,"Exact Duplicate","Review Required"))</f>
        <v>OK</v>
      </c>
      <c r="T443" s="22" t="s">
        <v>24</v>
      </c>
      <c r="U443" s="22" t="s">
        <v>29</v>
      </c>
      <c r="V443" s="22"/>
    </row>
    <row r="444" spans="1:22" ht="41.4">
      <c r="A444" s="22" t="s">
        <v>474</v>
      </c>
      <c r="B444" s="25">
        <v>45772</v>
      </c>
      <c r="C444" s="22" t="s">
        <v>17</v>
      </c>
      <c r="D444" s="22" t="s">
        <v>32</v>
      </c>
      <c r="E444" s="22" t="s">
        <v>24</v>
      </c>
      <c r="F444" s="22" t="s">
        <v>41</v>
      </c>
      <c r="G444" s="22" t="s">
        <v>26</v>
      </c>
      <c r="H444" s="22">
        <v>1</v>
      </c>
      <c r="I444" s="22">
        <v>0</v>
      </c>
      <c r="J444" s="22">
        <v>0</v>
      </c>
      <c r="K444" s="22">
        <v>0</v>
      </c>
      <c r="L444" s="22">
        <v>0</v>
      </c>
      <c r="M444" s="22">
        <v>0</v>
      </c>
      <c r="N444" s="22">
        <v>0</v>
      </c>
      <c r="O444" s="22"/>
      <c r="P444" s="22">
        <v>44.5</v>
      </c>
      <c r="Q444" s="22" t="str">
        <f>IF(OR(L444&lt;$Y$18,L444&gt;$Y$19),"Outlier","Normal")</f>
        <v>Normal</v>
      </c>
      <c r="R444" s="26" t="str">
        <f>A444&amp;B444&amp;C444&amp;D444&amp;E444&amp;F444&amp;G444&amp;H444&amp;I444&amp;J444&amp;K444&amp;L444&amp;M444&amp;N444&amp;O444&amp;P444</f>
        <v>USR-10044345772ControlSouthMobileSocialFree100000044.5</v>
      </c>
      <c r="S444" s="22" t="str">
        <f>IF(COUNTIF($R$2:$R$1409,R444)=1,"OK",IF(COUNTIF($R$2:$R$1409,R444)&gt;1,"Exact Duplicate","Review Required"))</f>
        <v>OK</v>
      </c>
      <c r="T444" s="22" t="s">
        <v>24</v>
      </c>
      <c r="U444" s="22" t="s">
        <v>41</v>
      </c>
      <c r="V444" s="22"/>
    </row>
    <row r="445" spans="1:22" ht="41.4">
      <c r="A445" s="22" t="s">
        <v>475</v>
      </c>
      <c r="B445" s="25">
        <v>45759</v>
      </c>
      <c r="C445" s="22" t="s">
        <v>17</v>
      </c>
      <c r="D445" s="22" t="s">
        <v>23</v>
      </c>
      <c r="E445" s="22" t="s">
        <v>19</v>
      </c>
      <c r="F445" s="22" t="s">
        <v>39</v>
      </c>
      <c r="G445" s="22" t="s">
        <v>26</v>
      </c>
      <c r="H445" s="22">
        <v>1</v>
      </c>
      <c r="I445" s="22">
        <v>1</v>
      </c>
      <c r="J445" s="22">
        <v>1</v>
      </c>
      <c r="K445" s="22">
        <v>0</v>
      </c>
      <c r="L445" s="22">
        <v>0</v>
      </c>
      <c r="M445" s="22">
        <v>1</v>
      </c>
      <c r="N445" s="22">
        <v>0</v>
      </c>
      <c r="O445" s="22"/>
      <c r="P445" s="22">
        <v>47.9</v>
      </c>
      <c r="Q445" s="22" t="str">
        <f>IF(OR(L445&lt;$Y$18,L445&gt;$Y$19),"Outlier","Normal")</f>
        <v>Normal</v>
      </c>
      <c r="R445" s="26" t="str">
        <f>A445&amp;B445&amp;C445&amp;D445&amp;E445&amp;F445&amp;G445&amp;H445&amp;I445&amp;J445&amp;K445&amp;L445&amp;M445&amp;N445&amp;O445&amp;P445</f>
        <v>USR-10044445759ControlWestDesktopReferralFree111001047.9</v>
      </c>
      <c r="S445" s="22" t="str">
        <f>IF(COUNTIF($R$2:$R$1409,R445)=1,"OK",IF(COUNTIF($R$2:$R$1409,R445)&gt;1,"Exact Duplicate","Review Required"))</f>
        <v>OK</v>
      </c>
      <c r="T445" s="22" t="s">
        <v>19</v>
      </c>
      <c r="U445" s="22" t="s">
        <v>39</v>
      </c>
      <c r="V445" s="22"/>
    </row>
    <row r="446" spans="1:22" ht="41.4">
      <c r="A446" s="22" t="s">
        <v>476</v>
      </c>
      <c r="B446" s="25">
        <v>45770</v>
      </c>
      <c r="C446" s="22" t="s">
        <v>17</v>
      </c>
      <c r="D446" s="22" t="s">
        <v>32</v>
      </c>
      <c r="E446" s="22" t="s">
        <v>24</v>
      </c>
      <c r="F446" s="22" t="s">
        <v>25</v>
      </c>
      <c r="G446" s="22" t="s">
        <v>30</v>
      </c>
      <c r="H446" s="22">
        <v>1</v>
      </c>
      <c r="I446" s="22">
        <v>0</v>
      </c>
      <c r="J446" s="22">
        <v>0</v>
      </c>
      <c r="K446" s="22">
        <v>0</v>
      </c>
      <c r="L446" s="22">
        <v>0</v>
      </c>
      <c r="M446" s="22">
        <v>0</v>
      </c>
      <c r="N446" s="22">
        <v>0</v>
      </c>
      <c r="O446" s="22"/>
      <c r="P446" s="22">
        <v>43.9</v>
      </c>
      <c r="Q446" s="22" t="str">
        <f>IF(OR(L446&lt;$Y$18,L446&gt;$Y$19),"Outlier","Normal")</f>
        <v>Normal</v>
      </c>
      <c r="R446" s="26" t="str">
        <f>A446&amp;B446&amp;C446&amp;D446&amp;E446&amp;F446&amp;G446&amp;H446&amp;I446&amp;J446&amp;K446&amp;L446&amp;M446&amp;N446&amp;O446&amp;P446</f>
        <v>USR-10044545770ControlSouthMobileOrganicPremium100000043.9</v>
      </c>
      <c r="S446" s="22" t="str">
        <f>IF(COUNTIF($R$2:$R$1409,R446)=1,"OK",IF(COUNTIF($R$2:$R$1409,R446)&gt;1,"Exact Duplicate","Review Required"))</f>
        <v>OK</v>
      </c>
      <c r="T446" s="22" t="s">
        <v>24</v>
      </c>
      <c r="U446" s="22" t="s">
        <v>25</v>
      </c>
      <c r="V446" s="22"/>
    </row>
    <row r="447" spans="1:22" ht="41.4">
      <c r="A447" s="22" t="s">
        <v>477</v>
      </c>
      <c r="B447" s="25">
        <v>45746</v>
      </c>
      <c r="C447" s="22" t="s">
        <v>17</v>
      </c>
      <c r="D447" s="22" t="s">
        <v>18</v>
      </c>
      <c r="E447" s="22" t="s">
        <v>19</v>
      </c>
      <c r="F447" s="22" t="s">
        <v>39</v>
      </c>
      <c r="G447" s="22" t="s">
        <v>26</v>
      </c>
      <c r="H447" s="22">
        <v>1</v>
      </c>
      <c r="I447" s="22">
        <v>1</v>
      </c>
      <c r="J447" s="22">
        <v>1</v>
      </c>
      <c r="K447" s="22">
        <v>0</v>
      </c>
      <c r="L447" s="22">
        <v>0</v>
      </c>
      <c r="M447" s="22">
        <v>1</v>
      </c>
      <c r="N447" s="22">
        <v>0</v>
      </c>
      <c r="O447" s="22"/>
      <c r="P447" s="22">
        <v>67.7</v>
      </c>
      <c r="Q447" s="22" t="str">
        <f>IF(OR(L447&lt;$Y$18,L447&gt;$Y$19),"Outlier","Normal")</f>
        <v>Normal</v>
      </c>
      <c r="R447" s="26" t="str">
        <f>A447&amp;B447&amp;C447&amp;D447&amp;E447&amp;F447&amp;G447&amp;H447&amp;I447&amp;J447&amp;K447&amp;L447&amp;M447&amp;N447&amp;O447&amp;P447</f>
        <v>USR-10044645746ControlNorthDesktopReferralFree111001067.7</v>
      </c>
      <c r="S447" s="22" t="str">
        <f>IF(COUNTIF($R$2:$R$1409,R447)=1,"OK",IF(COUNTIF($R$2:$R$1409,R447)&gt;1,"Exact Duplicate","Review Required"))</f>
        <v>OK</v>
      </c>
      <c r="T447" s="22" t="s">
        <v>19</v>
      </c>
      <c r="U447" s="22" t="s">
        <v>39</v>
      </c>
      <c r="V447" s="22"/>
    </row>
    <row r="448" spans="1:22" ht="41.4">
      <c r="A448" s="22" t="s">
        <v>478</v>
      </c>
      <c r="B448" s="25">
        <v>45675</v>
      </c>
      <c r="C448" s="22" t="s">
        <v>17</v>
      </c>
      <c r="D448" s="22" t="s">
        <v>28</v>
      </c>
      <c r="E448" s="22" t="s">
        <v>24</v>
      </c>
      <c r="F448" s="22" t="s">
        <v>39</v>
      </c>
      <c r="G448" s="22" t="s">
        <v>21</v>
      </c>
      <c r="H448" s="22">
        <v>0</v>
      </c>
      <c r="I448" s="22">
        <v>0</v>
      </c>
      <c r="J448" s="22">
        <v>0</v>
      </c>
      <c r="K448" s="22">
        <v>0</v>
      </c>
      <c r="L448" s="22">
        <v>0</v>
      </c>
      <c r="M448" s="22">
        <v>0</v>
      </c>
      <c r="N448" s="22">
        <v>0</v>
      </c>
      <c r="O448" s="22"/>
      <c r="P448" s="22">
        <v>43.7</v>
      </c>
      <c r="Q448" s="22" t="str">
        <f>IF(OR(L448&lt;$Y$18,L448&gt;$Y$19),"Outlier","Normal")</f>
        <v>Normal</v>
      </c>
      <c r="R448" s="26" t="str">
        <f>A448&amp;B448&amp;C448&amp;D448&amp;E448&amp;F448&amp;G448&amp;H448&amp;I448&amp;J448&amp;K448&amp;L448&amp;M448&amp;N448&amp;O448&amp;P448</f>
        <v>USR-10044745675ControlEastMobileReferralBasic000000043.7</v>
      </c>
      <c r="S448" s="22" t="str">
        <f>IF(COUNTIF($R$2:$R$1409,R448)=1,"OK",IF(COUNTIF($R$2:$R$1409,R448)&gt;1,"Exact Duplicate","Review Required"))</f>
        <v>OK</v>
      </c>
      <c r="T448" s="22" t="s">
        <v>24</v>
      </c>
      <c r="U448" s="22" t="s">
        <v>39</v>
      </c>
      <c r="V448" s="22"/>
    </row>
    <row r="449" spans="1:22" ht="41.4">
      <c r="A449" s="22" t="s">
        <v>479</v>
      </c>
      <c r="B449" s="25">
        <v>45756</v>
      </c>
      <c r="C449" s="22" t="s">
        <v>17</v>
      </c>
      <c r="D449" s="22" t="s">
        <v>28</v>
      </c>
      <c r="E449" s="22" t="s">
        <v>24</v>
      </c>
      <c r="F449" s="22" t="s">
        <v>25</v>
      </c>
      <c r="G449" s="22" t="s">
        <v>26</v>
      </c>
      <c r="H449" s="22">
        <v>1</v>
      </c>
      <c r="I449" s="22">
        <v>0</v>
      </c>
      <c r="J449" s="22">
        <v>0</v>
      </c>
      <c r="K449" s="22">
        <v>0</v>
      </c>
      <c r="L449" s="22">
        <v>0</v>
      </c>
      <c r="M449" s="22">
        <v>0</v>
      </c>
      <c r="N449" s="22">
        <v>0</v>
      </c>
      <c r="O449" s="22"/>
      <c r="P449" s="22">
        <v>68.8</v>
      </c>
      <c r="Q449" s="22" t="str">
        <f>IF(OR(L449&lt;$Y$18,L449&gt;$Y$19),"Outlier","Normal")</f>
        <v>Normal</v>
      </c>
      <c r="R449" s="26" t="str">
        <f>A449&amp;B449&amp;C449&amp;D449&amp;E449&amp;F449&amp;G449&amp;H449&amp;I449&amp;J449&amp;K449&amp;L449&amp;M449&amp;N449&amp;O449&amp;P449</f>
        <v>USR-10044845756ControlEastMobileOrganicFree100000068.8</v>
      </c>
      <c r="S449" s="22" t="str">
        <f>IF(COUNTIF($R$2:$R$1409,R449)=1,"OK",IF(COUNTIF($R$2:$R$1409,R449)&gt;1,"Exact Duplicate","Review Required"))</f>
        <v>OK</v>
      </c>
      <c r="T449" s="22" t="s">
        <v>24</v>
      </c>
      <c r="U449" s="22" t="s">
        <v>25</v>
      </c>
      <c r="V449" s="22"/>
    </row>
    <row r="450" spans="1:22" ht="41.4">
      <c r="A450" s="22" t="s">
        <v>480</v>
      </c>
      <c r="B450" s="25">
        <v>45668</v>
      </c>
      <c r="C450" s="22" t="s">
        <v>17</v>
      </c>
      <c r="D450" s="22" t="s">
        <v>23</v>
      </c>
      <c r="E450" s="22" t="s">
        <v>24</v>
      </c>
      <c r="F450" s="22" t="s">
        <v>25</v>
      </c>
      <c r="G450" s="22" t="s">
        <v>26</v>
      </c>
      <c r="H450" s="22">
        <v>1</v>
      </c>
      <c r="I450" s="22">
        <v>1</v>
      </c>
      <c r="J450" s="22">
        <v>1</v>
      </c>
      <c r="K450" s="22">
        <v>0</v>
      </c>
      <c r="L450" s="22">
        <v>0</v>
      </c>
      <c r="M450" s="22">
        <v>0</v>
      </c>
      <c r="N450" s="22">
        <v>0</v>
      </c>
      <c r="O450" s="22"/>
      <c r="P450" s="22">
        <v>59.2</v>
      </c>
      <c r="Q450" s="22" t="str">
        <f>IF(OR(L450&lt;$Y$18,L450&gt;$Y$19),"Outlier","Normal")</f>
        <v>Normal</v>
      </c>
      <c r="R450" s="26" t="str">
        <f>A450&amp;B450&amp;C450&amp;D450&amp;E450&amp;F450&amp;G450&amp;H450&amp;I450&amp;J450&amp;K450&amp;L450&amp;M450&amp;N450&amp;O450&amp;P450</f>
        <v>USR-10044945668ControlWestMobileOrganicFree111000059.2</v>
      </c>
      <c r="S450" s="22" t="str">
        <f>IF(COUNTIF($R$2:$R$1409,R450)=1,"OK",IF(COUNTIF($R$2:$R$1409,R450)&gt;1,"Exact Duplicate","Review Required"))</f>
        <v>OK</v>
      </c>
      <c r="T450" s="22" t="s">
        <v>24</v>
      </c>
      <c r="U450" s="22" t="s">
        <v>25</v>
      </c>
      <c r="V450" s="22"/>
    </row>
    <row r="451" spans="1:22" ht="41.4">
      <c r="A451" s="22" t="s">
        <v>481</v>
      </c>
      <c r="B451" s="25">
        <v>45721</v>
      </c>
      <c r="C451" s="22" t="s">
        <v>17</v>
      </c>
      <c r="D451" s="22" t="s">
        <v>28</v>
      </c>
      <c r="E451" s="22" t="s">
        <v>24</v>
      </c>
      <c r="F451" s="22" t="s">
        <v>29</v>
      </c>
      <c r="G451" s="22" t="s">
        <v>26</v>
      </c>
      <c r="H451" s="22">
        <v>1</v>
      </c>
      <c r="I451" s="22">
        <v>0</v>
      </c>
      <c r="J451" s="22">
        <v>0</v>
      </c>
      <c r="K451" s="22">
        <v>0</v>
      </c>
      <c r="L451" s="22">
        <v>0</v>
      </c>
      <c r="M451" s="22">
        <v>0</v>
      </c>
      <c r="N451" s="22">
        <v>0</v>
      </c>
      <c r="O451" s="22"/>
      <c r="P451" s="22">
        <v>48.6</v>
      </c>
      <c r="Q451" s="22" t="str">
        <f>IF(OR(L451&lt;$Y$18,L451&gt;$Y$19),"Outlier","Normal")</f>
        <v>Normal</v>
      </c>
      <c r="R451" s="26" t="str">
        <f>A451&amp;B451&amp;C451&amp;D451&amp;E451&amp;F451&amp;G451&amp;H451&amp;I451&amp;J451&amp;K451&amp;L451&amp;M451&amp;N451&amp;O451&amp;P451</f>
        <v>USR-10045045721ControlEastMobilePaid SearchFree100000048.6</v>
      </c>
      <c r="S451" s="22" t="str">
        <f>IF(COUNTIF($R$2:$R$1409,R451)=1,"OK",IF(COUNTIF($R$2:$R$1409,R451)&gt;1,"Exact Duplicate","Review Required"))</f>
        <v>OK</v>
      </c>
      <c r="T451" s="22" t="s">
        <v>24</v>
      </c>
      <c r="U451" s="22" t="s">
        <v>29</v>
      </c>
      <c r="V451" s="22"/>
    </row>
    <row r="452" spans="1:22" ht="41.4">
      <c r="A452" s="22" t="s">
        <v>482</v>
      </c>
      <c r="B452" s="25">
        <v>45705</v>
      </c>
      <c r="C452" s="22" t="s">
        <v>17</v>
      </c>
      <c r="D452" s="22" t="s">
        <v>18</v>
      </c>
      <c r="E452" s="22" t="s">
        <v>34</v>
      </c>
      <c r="F452" s="22" t="s">
        <v>41</v>
      </c>
      <c r="G452" s="22" t="s">
        <v>26</v>
      </c>
      <c r="H452" s="22">
        <v>1</v>
      </c>
      <c r="I452" s="22">
        <v>1</v>
      </c>
      <c r="J452" s="22">
        <v>1</v>
      </c>
      <c r="K452" s="22">
        <v>0</v>
      </c>
      <c r="L452" s="22">
        <v>0</v>
      </c>
      <c r="M452" s="22">
        <v>0</v>
      </c>
      <c r="N452" s="22">
        <v>0</v>
      </c>
      <c r="O452" s="22"/>
      <c r="P452" s="22">
        <v>56.9</v>
      </c>
      <c r="Q452" s="22" t="str">
        <f>IF(OR(L452&lt;$Y$18,L452&gt;$Y$19),"Outlier","Normal")</f>
        <v>Normal</v>
      </c>
      <c r="R452" s="26" t="str">
        <f>A452&amp;B452&amp;C452&amp;D452&amp;E452&amp;F452&amp;G452&amp;H452&amp;I452&amp;J452&amp;K452&amp;L452&amp;M452&amp;N452&amp;O452&amp;P452</f>
        <v>USR-10045145705ControlNorthTabletSocialFree111000056.9</v>
      </c>
      <c r="S452" s="22" t="str">
        <f>IF(COUNTIF($R$2:$R$1409,R452)=1,"OK",IF(COUNTIF($R$2:$R$1409,R452)&gt;1,"Exact Duplicate","Review Required"))</f>
        <v>OK</v>
      </c>
      <c r="T452" s="22" t="s">
        <v>34</v>
      </c>
      <c r="U452" s="22" t="s">
        <v>41</v>
      </c>
      <c r="V452" s="22"/>
    </row>
    <row r="453" spans="1:22" ht="41.4">
      <c r="A453" s="22" t="s">
        <v>483</v>
      </c>
      <c r="B453" s="25">
        <v>45784</v>
      </c>
      <c r="C453" s="22" t="s">
        <v>17</v>
      </c>
      <c r="D453" s="22" t="s">
        <v>18</v>
      </c>
      <c r="E453" s="22" t="s">
        <v>19</v>
      </c>
      <c r="F453" s="22" t="s">
        <v>29</v>
      </c>
      <c r="G453" s="22" t="s">
        <v>26</v>
      </c>
      <c r="H453" s="22">
        <v>0</v>
      </c>
      <c r="I453" s="22">
        <v>0</v>
      </c>
      <c r="J453" s="22">
        <v>0</v>
      </c>
      <c r="K453" s="22">
        <v>0</v>
      </c>
      <c r="L453" s="22">
        <v>0</v>
      </c>
      <c r="M453" s="22">
        <v>0</v>
      </c>
      <c r="N453" s="22">
        <v>0</v>
      </c>
      <c r="O453" s="22"/>
      <c r="P453" s="22">
        <v>55.8</v>
      </c>
      <c r="Q453" s="22" t="str">
        <f>IF(OR(L453&lt;$Y$18,L453&gt;$Y$19),"Outlier","Normal")</f>
        <v>Normal</v>
      </c>
      <c r="R453" s="26" t="str">
        <f>A453&amp;B453&amp;C453&amp;D453&amp;E453&amp;F453&amp;G453&amp;H453&amp;I453&amp;J453&amp;K453&amp;L453&amp;M453&amp;N453&amp;O453&amp;P453</f>
        <v>USR-10045245784ControlNorthDesktopPaid SearchFree000000055.8</v>
      </c>
      <c r="S453" s="22" t="str">
        <f>IF(COUNTIF($R$2:$R$1409,R453)=1,"OK",IF(COUNTIF($R$2:$R$1409,R453)&gt;1,"Exact Duplicate","Review Required"))</f>
        <v>OK</v>
      </c>
      <c r="T453" s="22" t="s">
        <v>19</v>
      </c>
      <c r="U453" s="22" t="s">
        <v>29</v>
      </c>
      <c r="V453" s="22"/>
    </row>
    <row r="454" spans="1:22" ht="41.4">
      <c r="A454" s="22" t="s">
        <v>484</v>
      </c>
      <c r="B454" s="25">
        <v>45757</v>
      </c>
      <c r="C454" s="22" t="s">
        <v>17</v>
      </c>
      <c r="D454" s="22" t="s">
        <v>28</v>
      </c>
      <c r="E454" s="22" t="s">
        <v>24</v>
      </c>
      <c r="F454" s="22" t="s">
        <v>29</v>
      </c>
      <c r="G454" s="22" t="s">
        <v>30</v>
      </c>
      <c r="H454" s="22">
        <v>0</v>
      </c>
      <c r="I454" s="22">
        <v>0</v>
      </c>
      <c r="J454" s="22">
        <v>0</v>
      </c>
      <c r="K454" s="22">
        <v>0</v>
      </c>
      <c r="L454" s="22">
        <v>0</v>
      </c>
      <c r="M454" s="22">
        <v>0</v>
      </c>
      <c r="N454" s="22">
        <v>0</v>
      </c>
      <c r="O454" s="22"/>
      <c r="P454" s="22">
        <v>63.3</v>
      </c>
      <c r="Q454" s="22" t="str">
        <f>IF(OR(L454&lt;$Y$18,L454&gt;$Y$19),"Outlier","Normal")</f>
        <v>Normal</v>
      </c>
      <c r="R454" s="26" t="str">
        <f>A454&amp;B454&amp;C454&amp;D454&amp;E454&amp;F454&amp;G454&amp;H454&amp;I454&amp;J454&amp;K454&amp;L454&amp;M454&amp;N454&amp;O454&amp;P454</f>
        <v>USR-10045345757ControlEastMobilePaid SearchPremium000000063.3</v>
      </c>
      <c r="S454" s="22" t="str">
        <f>IF(COUNTIF($R$2:$R$1409,R454)=1,"OK",IF(COUNTIF($R$2:$R$1409,R454)&gt;1,"Exact Duplicate","Review Required"))</f>
        <v>OK</v>
      </c>
      <c r="T454" s="22" t="s">
        <v>24</v>
      </c>
      <c r="U454" s="22" t="s">
        <v>29</v>
      </c>
      <c r="V454" s="22"/>
    </row>
    <row r="455" spans="1:22" ht="41.4">
      <c r="A455" s="22" t="s">
        <v>485</v>
      </c>
      <c r="B455" s="25">
        <v>45768</v>
      </c>
      <c r="C455" s="22" t="s">
        <v>17</v>
      </c>
      <c r="D455" s="22" t="s">
        <v>18</v>
      </c>
      <c r="E455" s="22" t="s">
        <v>24</v>
      </c>
      <c r="F455" s="22" t="s">
        <v>41</v>
      </c>
      <c r="G455" s="22" t="s">
        <v>26</v>
      </c>
      <c r="H455" s="22">
        <v>1</v>
      </c>
      <c r="I455" s="22">
        <v>0</v>
      </c>
      <c r="J455" s="22">
        <v>0</v>
      </c>
      <c r="K455" s="22">
        <v>0</v>
      </c>
      <c r="L455" s="22">
        <v>0</v>
      </c>
      <c r="M455" s="22">
        <v>0</v>
      </c>
      <c r="N455" s="22">
        <v>0</v>
      </c>
      <c r="O455" s="22"/>
      <c r="P455" s="22">
        <v>52.2</v>
      </c>
      <c r="Q455" s="22" t="str">
        <f>IF(OR(L455&lt;$Y$18,L455&gt;$Y$19),"Outlier","Normal")</f>
        <v>Normal</v>
      </c>
      <c r="R455" s="26" t="str">
        <f>A455&amp;B455&amp;C455&amp;D455&amp;E455&amp;F455&amp;G455&amp;H455&amp;I455&amp;J455&amp;K455&amp;L455&amp;M455&amp;N455&amp;O455&amp;P455</f>
        <v>USR-10045445768ControlNorthMobileSocialFree100000052.2</v>
      </c>
      <c r="S455" s="22" t="str">
        <f>IF(COUNTIF($R$2:$R$1409,R455)=1,"OK",IF(COUNTIF($R$2:$R$1409,R455)&gt;1,"Exact Duplicate","Review Required"))</f>
        <v>OK</v>
      </c>
      <c r="T455" s="22" t="s">
        <v>24</v>
      </c>
      <c r="U455" s="22" t="s">
        <v>41</v>
      </c>
      <c r="V455" s="22"/>
    </row>
    <row r="456" spans="1:22" ht="41.4">
      <c r="A456" s="22" t="s">
        <v>486</v>
      </c>
      <c r="B456" s="25">
        <v>45713</v>
      </c>
      <c r="C456" s="22" t="s">
        <v>17</v>
      </c>
      <c r="D456" s="22" t="s">
        <v>32</v>
      </c>
      <c r="E456" s="22" t="s">
        <v>34</v>
      </c>
      <c r="F456" s="22" t="s">
        <v>1482</v>
      </c>
      <c r="G456" s="22" t="s">
        <v>26</v>
      </c>
      <c r="H456" s="22">
        <v>0</v>
      </c>
      <c r="I456" s="22">
        <v>0</v>
      </c>
      <c r="J456" s="22">
        <v>0</v>
      </c>
      <c r="K456" s="22">
        <v>0</v>
      </c>
      <c r="L456" s="22">
        <v>0</v>
      </c>
      <c r="M456" s="22">
        <v>0</v>
      </c>
      <c r="N456" s="22">
        <v>0</v>
      </c>
      <c r="O456" s="22"/>
      <c r="P456" s="22">
        <v>51.5</v>
      </c>
      <c r="Q456" s="22" t="str">
        <f>IF(OR(L456&lt;$Y$18,L456&gt;$Y$19),"Outlier","Normal")</f>
        <v>Normal</v>
      </c>
      <c r="R456" s="26" t="str">
        <f>A456&amp;B456&amp;C456&amp;D456&amp;E456&amp;F456&amp;G456&amp;H456&amp;I456&amp;J456&amp;K456&amp;L456&amp;M456&amp;N456&amp;O456&amp;P456</f>
        <v>USR-10045545713ControlSouthTabletUnknownFree000000051.5</v>
      </c>
      <c r="S456" s="22" t="str">
        <f>IF(COUNTIF($R$2:$R$1409,R456)=1,"OK",IF(COUNTIF($R$2:$R$1409,R456)&gt;1,"Exact Duplicate","Review Required"))</f>
        <v>OK</v>
      </c>
      <c r="T456" s="22" t="s">
        <v>34</v>
      </c>
      <c r="U456" s="22"/>
      <c r="V456" s="22"/>
    </row>
    <row r="457" spans="1:22" ht="41.4">
      <c r="A457" s="22" t="s">
        <v>487</v>
      </c>
      <c r="B457" s="25">
        <v>45791</v>
      </c>
      <c r="C457" s="22" t="s">
        <v>17</v>
      </c>
      <c r="D457" s="22" t="s">
        <v>28</v>
      </c>
      <c r="E457" s="22" t="s">
        <v>19</v>
      </c>
      <c r="F457" s="22" t="s">
        <v>25</v>
      </c>
      <c r="G457" s="22" t="s">
        <v>26</v>
      </c>
      <c r="H457" s="22">
        <v>0</v>
      </c>
      <c r="I457" s="22">
        <v>0</v>
      </c>
      <c r="J457" s="22">
        <v>0</v>
      </c>
      <c r="K457" s="22">
        <v>0</v>
      </c>
      <c r="L457" s="22">
        <v>0</v>
      </c>
      <c r="M457" s="22">
        <v>0</v>
      </c>
      <c r="N457" s="22">
        <v>0</v>
      </c>
      <c r="O457" s="22"/>
      <c r="P457" s="22">
        <v>50.3</v>
      </c>
      <c r="Q457" s="22" t="str">
        <f>IF(OR(L457&lt;$Y$18,L457&gt;$Y$19),"Outlier","Normal")</f>
        <v>Normal</v>
      </c>
      <c r="R457" s="26" t="str">
        <f>A457&amp;B457&amp;C457&amp;D457&amp;E457&amp;F457&amp;G457&amp;H457&amp;I457&amp;J457&amp;K457&amp;L457&amp;M457&amp;N457&amp;O457&amp;P457</f>
        <v>USR-10045645791ControlEastDesktopOrganicFree000000050.3</v>
      </c>
      <c r="S457" s="22" t="str">
        <f>IF(COUNTIF($R$2:$R$1409,R457)=1,"OK",IF(COUNTIF($R$2:$R$1409,R457)&gt;1,"Exact Duplicate","Review Required"))</f>
        <v>OK</v>
      </c>
      <c r="T457" s="22" t="s">
        <v>19</v>
      </c>
      <c r="U457" s="22" t="s">
        <v>25</v>
      </c>
      <c r="V457" s="22"/>
    </row>
    <row r="458" spans="1:22" ht="41.4">
      <c r="A458" s="22" t="s">
        <v>488</v>
      </c>
      <c r="B458" s="25">
        <v>45726</v>
      </c>
      <c r="C458" s="22" t="s">
        <v>17</v>
      </c>
      <c r="D458" s="22" t="s">
        <v>18</v>
      </c>
      <c r="E458" s="22" t="s">
        <v>24</v>
      </c>
      <c r="F458" s="22" t="s">
        <v>20</v>
      </c>
      <c r="G458" s="22" t="s">
        <v>21</v>
      </c>
      <c r="H458" s="22">
        <v>1</v>
      </c>
      <c r="I458" s="22">
        <v>0</v>
      </c>
      <c r="J458" s="22">
        <v>0</v>
      </c>
      <c r="K458" s="22">
        <v>0</v>
      </c>
      <c r="L458" s="22">
        <v>0</v>
      </c>
      <c r="M458" s="22">
        <v>1</v>
      </c>
      <c r="N458" s="22">
        <v>0</v>
      </c>
      <c r="O458" s="22"/>
      <c r="P458" s="22">
        <v>35.4</v>
      </c>
      <c r="Q458" s="22" t="str">
        <f>IF(OR(L458&lt;$Y$18,L458&gt;$Y$19),"Outlier","Normal")</f>
        <v>Normal</v>
      </c>
      <c r="R458" s="26" t="str">
        <f>A458&amp;B458&amp;C458&amp;D458&amp;E458&amp;F458&amp;G458&amp;H458&amp;I458&amp;J458&amp;K458&amp;L458&amp;M458&amp;N458&amp;O458&amp;P458</f>
        <v>USR-10045745726ControlNorthMobileEmailBasic100001035.4</v>
      </c>
      <c r="S458" s="22" t="str">
        <f>IF(COUNTIF($R$2:$R$1409,R458)=1,"OK",IF(COUNTIF($R$2:$R$1409,R458)&gt;1,"Exact Duplicate","Review Required"))</f>
        <v>OK</v>
      </c>
      <c r="T458" s="22" t="s">
        <v>24</v>
      </c>
      <c r="U458" s="22" t="s">
        <v>20</v>
      </c>
      <c r="V458" s="22"/>
    </row>
    <row r="459" spans="1:22" ht="41.4">
      <c r="A459" s="22" t="s">
        <v>489</v>
      </c>
      <c r="B459" s="25">
        <v>45688</v>
      </c>
      <c r="C459" s="22" t="s">
        <v>17</v>
      </c>
      <c r="D459" s="22" t="s">
        <v>23</v>
      </c>
      <c r="E459" s="22" t="s">
        <v>19</v>
      </c>
      <c r="F459" s="22" t="s">
        <v>25</v>
      </c>
      <c r="G459" s="22" t="s">
        <v>30</v>
      </c>
      <c r="H459" s="22">
        <v>1</v>
      </c>
      <c r="I459" s="22">
        <v>0</v>
      </c>
      <c r="J459" s="22">
        <v>0</v>
      </c>
      <c r="K459" s="22">
        <v>0</v>
      </c>
      <c r="L459" s="22">
        <v>0</v>
      </c>
      <c r="M459" s="22">
        <v>1</v>
      </c>
      <c r="N459" s="22">
        <v>0</v>
      </c>
      <c r="O459" s="22"/>
      <c r="P459" s="22">
        <v>54.1</v>
      </c>
      <c r="Q459" s="22" t="str">
        <f>IF(OR(L459&lt;$Y$18,L459&gt;$Y$19),"Outlier","Normal")</f>
        <v>Normal</v>
      </c>
      <c r="R459" s="26" t="str">
        <f>A459&amp;B459&amp;C459&amp;D459&amp;E459&amp;F459&amp;G459&amp;H459&amp;I459&amp;J459&amp;K459&amp;L459&amp;M459&amp;N459&amp;O459&amp;P459</f>
        <v>USR-10045845688ControlWestDesktopOrganicPremium100001054.1</v>
      </c>
      <c r="S459" s="22" t="str">
        <f>IF(COUNTIF($R$2:$R$1409,R459)=1,"OK",IF(COUNTIF($R$2:$R$1409,R459)&gt;1,"Exact Duplicate","Review Required"))</f>
        <v>OK</v>
      </c>
      <c r="T459" s="22" t="s">
        <v>19</v>
      </c>
      <c r="U459" s="22" t="s">
        <v>25</v>
      </c>
      <c r="V459" s="22"/>
    </row>
    <row r="460" spans="1:22" ht="41.4">
      <c r="A460" s="22" t="s">
        <v>490</v>
      </c>
      <c r="B460" s="25">
        <v>45674</v>
      </c>
      <c r="C460" s="22" t="s">
        <v>17</v>
      </c>
      <c r="D460" s="22" t="s">
        <v>32</v>
      </c>
      <c r="E460" s="22" t="s">
        <v>24</v>
      </c>
      <c r="F460" s="22" t="s">
        <v>25</v>
      </c>
      <c r="G460" s="22" t="s">
        <v>30</v>
      </c>
      <c r="H460" s="22">
        <v>1</v>
      </c>
      <c r="I460" s="22">
        <v>0</v>
      </c>
      <c r="J460" s="22">
        <v>0</v>
      </c>
      <c r="K460" s="22">
        <v>0</v>
      </c>
      <c r="L460" s="22">
        <v>0</v>
      </c>
      <c r="M460" s="22">
        <v>0</v>
      </c>
      <c r="N460" s="22">
        <v>0</v>
      </c>
      <c r="O460" s="22"/>
      <c r="P460" s="22">
        <v>56.2</v>
      </c>
      <c r="Q460" s="22" t="str">
        <f>IF(OR(L460&lt;$Y$18,L460&gt;$Y$19),"Outlier","Normal")</f>
        <v>Normal</v>
      </c>
      <c r="R460" s="26" t="str">
        <f>A460&amp;B460&amp;C460&amp;D460&amp;E460&amp;F460&amp;G460&amp;H460&amp;I460&amp;J460&amp;K460&amp;L460&amp;M460&amp;N460&amp;O460&amp;P460</f>
        <v>USR-10045945674ControlSouthMobileOrganicPremium100000056.2</v>
      </c>
      <c r="S460" s="22" t="str">
        <f>IF(COUNTIF($R$2:$R$1409,R460)=1,"OK",IF(COUNTIF($R$2:$R$1409,R460)&gt;1,"Exact Duplicate","Review Required"))</f>
        <v>OK</v>
      </c>
      <c r="T460" s="22" t="s">
        <v>24</v>
      </c>
      <c r="U460" s="22" t="s">
        <v>25</v>
      </c>
      <c r="V460" s="22"/>
    </row>
    <row r="461" spans="1:22" ht="41.4">
      <c r="A461" s="22" t="s">
        <v>491</v>
      </c>
      <c r="B461" s="25">
        <v>45728</v>
      </c>
      <c r="C461" s="22" t="s">
        <v>17</v>
      </c>
      <c r="D461" s="22" t="s">
        <v>32</v>
      </c>
      <c r="E461" s="22" t="s">
        <v>24</v>
      </c>
      <c r="F461" s="22" t="s">
        <v>29</v>
      </c>
      <c r="G461" s="22" t="s">
        <v>26</v>
      </c>
      <c r="H461" s="22">
        <v>0</v>
      </c>
      <c r="I461" s="22">
        <v>0</v>
      </c>
      <c r="J461" s="22">
        <v>0</v>
      </c>
      <c r="K461" s="22">
        <v>0</v>
      </c>
      <c r="L461" s="22">
        <v>0</v>
      </c>
      <c r="M461" s="22">
        <v>3</v>
      </c>
      <c r="N461" s="22">
        <v>0</v>
      </c>
      <c r="O461" s="22"/>
      <c r="P461" s="22">
        <v>43.7</v>
      </c>
      <c r="Q461" s="22" t="str">
        <f>IF(OR(L461&lt;$Y$18,L461&gt;$Y$19),"Outlier","Normal")</f>
        <v>Normal</v>
      </c>
      <c r="R461" s="26" t="str">
        <f>A461&amp;B461&amp;C461&amp;D461&amp;E461&amp;F461&amp;G461&amp;H461&amp;I461&amp;J461&amp;K461&amp;L461&amp;M461&amp;N461&amp;O461&amp;P461</f>
        <v>USR-10046045728ControlSouthMobilePaid SearchFree000003043.7</v>
      </c>
      <c r="S461" s="22" t="str">
        <f>IF(COUNTIF($R$2:$R$1409,R461)=1,"OK",IF(COUNTIF($R$2:$R$1409,R461)&gt;1,"Exact Duplicate","Review Required"))</f>
        <v>OK</v>
      </c>
      <c r="T461" s="22" t="s">
        <v>24</v>
      </c>
      <c r="U461" s="22" t="s">
        <v>29</v>
      </c>
      <c r="V461" s="22"/>
    </row>
    <row r="462" spans="1:22" ht="41.4">
      <c r="A462" s="22" t="s">
        <v>492</v>
      </c>
      <c r="B462" s="25">
        <v>45716</v>
      </c>
      <c r="C462" s="22" t="s">
        <v>17</v>
      </c>
      <c r="D462" s="22" t="s">
        <v>23</v>
      </c>
      <c r="E462" s="22" t="s">
        <v>19</v>
      </c>
      <c r="F462" s="22" t="s">
        <v>25</v>
      </c>
      <c r="G462" s="22" t="s">
        <v>30</v>
      </c>
      <c r="H462" s="22">
        <v>1</v>
      </c>
      <c r="I462" s="22">
        <v>1</v>
      </c>
      <c r="J462" s="22">
        <v>0</v>
      </c>
      <c r="K462" s="22">
        <v>0</v>
      </c>
      <c r="L462" s="22">
        <v>0</v>
      </c>
      <c r="M462" s="22">
        <v>0</v>
      </c>
      <c r="N462" s="22">
        <v>0</v>
      </c>
      <c r="O462" s="22"/>
      <c r="P462" s="22">
        <v>51.3</v>
      </c>
      <c r="Q462" s="22" t="str">
        <f>IF(OR(L462&lt;$Y$18,L462&gt;$Y$19),"Outlier","Normal")</f>
        <v>Normal</v>
      </c>
      <c r="R462" s="26" t="str">
        <f>A462&amp;B462&amp;C462&amp;D462&amp;E462&amp;F462&amp;G462&amp;H462&amp;I462&amp;J462&amp;K462&amp;L462&amp;M462&amp;N462&amp;O462&amp;P462</f>
        <v>USR-10046145716ControlWestDesktopOrganicPremium110000051.3</v>
      </c>
      <c r="S462" s="22" t="str">
        <f>IF(COUNTIF($R$2:$R$1409,R462)=1,"OK",IF(COUNTIF($R$2:$R$1409,R462)&gt;1,"Exact Duplicate","Review Required"))</f>
        <v>OK</v>
      </c>
      <c r="T462" s="22" t="s">
        <v>19</v>
      </c>
      <c r="U462" s="22" t="s">
        <v>25</v>
      </c>
      <c r="V462" s="22"/>
    </row>
    <row r="463" spans="1:22" ht="41.4">
      <c r="A463" s="22" t="s">
        <v>493</v>
      </c>
      <c r="B463" s="25">
        <v>45796</v>
      </c>
      <c r="C463" s="22" t="s">
        <v>17</v>
      </c>
      <c r="D463" s="22" t="s">
        <v>18</v>
      </c>
      <c r="E463" s="22" t="s">
        <v>1482</v>
      </c>
      <c r="F463" s="22" t="s">
        <v>25</v>
      </c>
      <c r="G463" s="22" t="s">
        <v>21</v>
      </c>
      <c r="H463" s="22">
        <v>1</v>
      </c>
      <c r="I463" s="22">
        <v>0</v>
      </c>
      <c r="J463" s="22">
        <v>0</v>
      </c>
      <c r="K463" s="22">
        <v>0</v>
      </c>
      <c r="L463" s="22">
        <v>0</v>
      </c>
      <c r="M463" s="22">
        <v>0</v>
      </c>
      <c r="N463" s="22">
        <v>0</v>
      </c>
      <c r="O463" s="22"/>
      <c r="P463" s="22">
        <v>50.5</v>
      </c>
      <c r="Q463" s="22" t="str">
        <f>IF(OR(L463&lt;$Y$18,L463&gt;$Y$19),"Outlier","Normal")</f>
        <v>Normal</v>
      </c>
      <c r="R463" s="26" t="str">
        <f>A463&amp;B463&amp;C463&amp;D463&amp;E463&amp;F463&amp;G463&amp;H463&amp;I463&amp;J463&amp;K463&amp;L463&amp;M463&amp;N463&amp;O463&amp;P463</f>
        <v>USR-10046245796ControlNorthUnknownOrganicBasic100000050.5</v>
      </c>
      <c r="S463" s="22" t="str">
        <f>IF(COUNTIF($R$2:$R$1409,R463)=1,"OK",IF(COUNTIF($R$2:$R$1409,R463)&gt;1,"Exact Duplicate","Review Required"))</f>
        <v>OK</v>
      </c>
      <c r="T463" s="22"/>
      <c r="U463" s="22" t="s">
        <v>25</v>
      </c>
      <c r="V463" s="22"/>
    </row>
    <row r="464" spans="1:22" ht="41.4">
      <c r="A464" s="22" t="s">
        <v>494</v>
      </c>
      <c r="B464" s="25">
        <v>45711</v>
      </c>
      <c r="C464" s="22" t="s">
        <v>17</v>
      </c>
      <c r="D464" s="22" t="s">
        <v>18</v>
      </c>
      <c r="E464" s="22" t="s">
        <v>24</v>
      </c>
      <c r="F464" s="22" t="s">
        <v>39</v>
      </c>
      <c r="G464" s="22" t="s">
        <v>21</v>
      </c>
      <c r="H464" s="22">
        <v>1</v>
      </c>
      <c r="I464" s="22">
        <v>0</v>
      </c>
      <c r="J464" s="22">
        <v>0</v>
      </c>
      <c r="K464" s="22">
        <v>0</v>
      </c>
      <c r="L464" s="22">
        <v>0</v>
      </c>
      <c r="M464" s="22">
        <v>0</v>
      </c>
      <c r="N464" s="22">
        <v>0</v>
      </c>
      <c r="O464" s="22"/>
      <c r="P464" s="22">
        <v>57.3</v>
      </c>
      <c r="Q464" s="22" t="str">
        <f>IF(OR(L464&lt;$Y$18,L464&gt;$Y$19),"Outlier","Normal")</f>
        <v>Normal</v>
      </c>
      <c r="R464" s="26" t="str">
        <f>A464&amp;B464&amp;C464&amp;D464&amp;E464&amp;F464&amp;G464&amp;H464&amp;I464&amp;J464&amp;K464&amp;L464&amp;M464&amp;N464&amp;O464&amp;P464</f>
        <v>USR-10046345711ControlNorthMobileReferralBasic100000057.3</v>
      </c>
      <c r="S464" s="22" t="str">
        <f>IF(COUNTIF($R$2:$R$1409,R464)=1,"OK",IF(COUNTIF($R$2:$R$1409,R464)&gt;1,"Exact Duplicate","Review Required"))</f>
        <v>OK</v>
      </c>
      <c r="T464" s="22" t="s">
        <v>24</v>
      </c>
      <c r="U464" s="22" t="s">
        <v>39</v>
      </c>
      <c r="V464" s="22"/>
    </row>
    <row r="465" spans="1:22" ht="41.4">
      <c r="A465" s="22" t="s">
        <v>495</v>
      </c>
      <c r="B465" s="25">
        <v>45708</v>
      </c>
      <c r="C465" s="22" t="s">
        <v>17</v>
      </c>
      <c r="D465" s="22" t="s">
        <v>23</v>
      </c>
      <c r="E465" s="22" t="s">
        <v>19</v>
      </c>
      <c r="F465" s="22" t="s">
        <v>25</v>
      </c>
      <c r="G465" s="22" t="s">
        <v>26</v>
      </c>
      <c r="H465" s="22">
        <v>1</v>
      </c>
      <c r="I465" s="22">
        <v>1</v>
      </c>
      <c r="J465" s="22">
        <v>1</v>
      </c>
      <c r="K465" s="22">
        <v>0</v>
      </c>
      <c r="L465" s="22">
        <v>0</v>
      </c>
      <c r="M465" s="22">
        <v>0</v>
      </c>
      <c r="N465" s="22">
        <v>0</v>
      </c>
      <c r="O465" s="22"/>
      <c r="P465" s="22">
        <v>58.4</v>
      </c>
      <c r="Q465" s="22" t="str">
        <f>IF(OR(L465&lt;$Y$18,L465&gt;$Y$19),"Outlier","Normal")</f>
        <v>Normal</v>
      </c>
      <c r="R465" s="26" t="str">
        <f>A465&amp;B465&amp;C465&amp;D465&amp;E465&amp;F465&amp;G465&amp;H465&amp;I465&amp;J465&amp;K465&amp;L465&amp;M465&amp;N465&amp;O465&amp;P465</f>
        <v>USR-10046445708ControlWestDesktopOrganicFree111000058.4</v>
      </c>
      <c r="S465" s="22" t="str">
        <f>IF(COUNTIF($R$2:$R$1409,R465)=1,"OK",IF(COUNTIF($R$2:$R$1409,R465)&gt;1,"Exact Duplicate","Review Required"))</f>
        <v>OK</v>
      </c>
      <c r="T465" s="22" t="s">
        <v>19</v>
      </c>
      <c r="U465" s="22" t="s">
        <v>25</v>
      </c>
      <c r="V465" s="22"/>
    </row>
    <row r="466" spans="1:22" ht="41.4">
      <c r="A466" s="22" t="s">
        <v>496</v>
      </c>
      <c r="B466" s="25">
        <v>45759</v>
      </c>
      <c r="C466" s="22" t="s">
        <v>17</v>
      </c>
      <c r="D466" s="22" t="s">
        <v>18</v>
      </c>
      <c r="E466" s="22" t="s">
        <v>24</v>
      </c>
      <c r="F466" s="22" t="s">
        <v>1482</v>
      </c>
      <c r="G466" s="22" t="s">
        <v>26</v>
      </c>
      <c r="H466" s="22">
        <v>0</v>
      </c>
      <c r="I466" s="22">
        <v>0</v>
      </c>
      <c r="J466" s="22">
        <v>0</v>
      </c>
      <c r="K466" s="22">
        <v>0</v>
      </c>
      <c r="L466" s="22">
        <v>0</v>
      </c>
      <c r="M466" s="22">
        <v>0</v>
      </c>
      <c r="N466" s="22">
        <v>0</v>
      </c>
      <c r="O466" s="22"/>
      <c r="P466" s="22">
        <v>56.5</v>
      </c>
      <c r="Q466" s="22" t="str">
        <f>IF(OR(L466&lt;$Y$18,L466&gt;$Y$19),"Outlier","Normal")</f>
        <v>Normal</v>
      </c>
      <c r="R466" s="26" t="str">
        <f>A466&amp;B466&amp;C466&amp;D466&amp;E466&amp;F466&amp;G466&amp;H466&amp;I466&amp;J466&amp;K466&amp;L466&amp;M466&amp;N466&amp;O466&amp;P466</f>
        <v>USR-10046545759ControlNorthMobileUnknownFree000000056.5</v>
      </c>
      <c r="S466" s="22" t="str">
        <f>IF(COUNTIF($R$2:$R$1409,R466)=1,"OK",IF(COUNTIF($R$2:$R$1409,R466)&gt;1,"Exact Duplicate","Review Required"))</f>
        <v>OK</v>
      </c>
      <c r="T466" s="22" t="s">
        <v>24</v>
      </c>
      <c r="U466" s="22"/>
      <c r="V466" s="22"/>
    </row>
    <row r="467" spans="1:22" ht="41.4">
      <c r="A467" s="22" t="s">
        <v>497</v>
      </c>
      <c r="B467" s="25">
        <v>45665</v>
      </c>
      <c r="C467" s="22" t="s">
        <v>17</v>
      </c>
      <c r="D467" s="22" t="s">
        <v>23</v>
      </c>
      <c r="E467" s="22" t="s">
        <v>24</v>
      </c>
      <c r="F467" s="22" t="s">
        <v>20</v>
      </c>
      <c r="G467" s="22" t="s">
        <v>26</v>
      </c>
      <c r="H467" s="22">
        <v>0</v>
      </c>
      <c r="I467" s="22">
        <v>0</v>
      </c>
      <c r="J467" s="22">
        <v>0</v>
      </c>
      <c r="K467" s="22">
        <v>0</v>
      </c>
      <c r="L467" s="22">
        <v>0</v>
      </c>
      <c r="M467" s="22">
        <v>0</v>
      </c>
      <c r="N467" s="22">
        <v>0</v>
      </c>
      <c r="O467" s="22"/>
      <c r="P467" s="22">
        <v>69.599999999999994</v>
      </c>
      <c r="Q467" s="22" t="str">
        <f>IF(OR(L467&lt;$Y$18,L467&gt;$Y$19),"Outlier","Normal")</f>
        <v>Normal</v>
      </c>
      <c r="R467" s="26" t="str">
        <f>A467&amp;B467&amp;C467&amp;D467&amp;E467&amp;F467&amp;G467&amp;H467&amp;I467&amp;J467&amp;K467&amp;L467&amp;M467&amp;N467&amp;O467&amp;P467</f>
        <v>USR-10046645665ControlWestMobileEmailFree000000069.6</v>
      </c>
      <c r="S467" s="22" t="str">
        <f>IF(COUNTIF($R$2:$R$1409,R467)=1,"OK",IF(COUNTIF($R$2:$R$1409,R467)&gt;1,"Exact Duplicate","Review Required"))</f>
        <v>OK</v>
      </c>
      <c r="T467" s="22" t="s">
        <v>24</v>
      </c>
      <c r="U467" s="22" t="s">
        <v>20</v>
      </c>
      <c r="V467" s="22"/>
    </row>
    <row r="468" spans="1:22" ht="41.4">
      <c r="A468" s="22" t="s">
        <v>498</v>
      </c>
      <c r="B468" s="25">
        <v>45701</v>
      </c>
      <c r="C468" s="22" t="s">
        <v>17</v>
      </c>
      <c r="D468" s="22" t="s">
        <v>23</v>
      </c>
      <c r="E468" s="22" t="s">
        <v>24</v>
      </c>
      <c r="F468" s="22" t="s">
        <v>25</v>
      </c>
      <c r="G468" s="22" t="s">
        <v>21</v>
      </c>
      <c r="H468" s="22">
        <v>0</v>
      </c>
      <c r="I468" s="22">
        <v>0</v>
      </c>
      <c r="J468" s="22">
        <v>0</v>
      </c>
      <c r="K468" s="22">
        <v>0</v>
      </c>
      <c r="L468" s="22">
        <v>0</v>
      </c>
      <c r="M468" s="22">
        <v>0</v>
      </c>
      <c r="N468" s="22">
        <v>0</v>
      </c>
      <c r="O468" s="22"/>
      <c r="P468" s="22">
        <v>6.2</v>
      </c>
      <c r="Q468" s="22" t="str">
        <f>IF(OR(L468&lt;$Y$18,L468&gt;$Y$19),"Outlier","Normal")</f>
        <v>Normal</v>
      </c>
      <c r="R468" s="26" t="str">
        <f>A468&amp;B468&amp;C468&amp;D468&amp;E468&amp;F468&amp;G468&amp;H468&amp;I468&amp;J468&amp;K468&amp;L468&amp;M468&amp;N468&amp;O468&amp;P468</f>
        <v>USR-10046745701ControlWestMobileOrganicBasic00000006.2</v>
      </c>
      <c r="S468" s="22" t="str">
        <f>IF(COUNTIF($R$2:$R$1409,R468)=1,"OK",IF(COUNTIF($R$2:$R$1409,R468)&gt;1,"Exact Duplicate","Review Required"))</f>
        <v>OK</v>
      </c>
      <c r="T468" s="22" t="s">
        <v>24</v>
      </c>
      <c r="U468" s="22" t="s">
        <v>25</v>
      </c>
      <c r="V468" s="22"/>
    </row>
    <row r="469" spans="1:22" ht="41.4">
      <c r="A469" s="22" t="s">
        <v>499</v>
      </c>
      <c r="B469" s="25">
        <v>45798</v>
      </c>
      <c r="C469" s="22" t="s">
        <v>17</v>
      </c>
      <c r="D469" s="22" t="s">
        <v>28</v>
      </c>
      <c r="E469" s="22" t="s">
        <v>19</v>
      </c>
      <c r="F469" s="22" t="s">
        <v>20</v>
      </c>
      <c r="G469" s="22" t="s">
        <v>26</v>
      </c>
      <c r="H469" s="22">
        <v>1</v>
      </c>
      <c r="I469" s="22">
        <v>1</v>
      </c>
      <c r="J469" s="22">
        <v>1</v>
      </c>
      <c r="K469" s="22">
        <v>0</v>
      </c>
      <c r="L469" s="22">
        <v>0</v>
      </c>
      <c r="M469" s="22">
        <v>0</v>
      </c>
      <c r="N469" s="22">
        <v>0</v>
      </c>
      <c r="O469" s="22"/>
      <c r="P469" s="22">
        <v>54.3</v>
      </c>
      <c r="Q469" s="22" t="str">
        <f>IF(OR(L469&lt;$Y$18,L469&gt;$Y$19),"Outlier","Normal")</f>
        <v>Normal</v>
      </c>
      <c r="R469" s="26" t="str">
        <f>A469&amp;B469&amp;C469&amp;D469&amp;E469&amp;F469&amp;G469&amp;H469&amp;I469&amp;J469&amp;K469&amp;L469&amp;M469&amp;N469&amp;O469&amp;P469</f>
        <v>USR-10046845798ControlEastDesktopEmailFree111000054.3</v>
      </c>
      <c r="S469" s="22" t="str">
        <f>IF(COUNTIF($R$2:$R$1409,R469)=1,"OK",IF(COUNTIF($R$2:$R$1409,R469)&gt;1,"Exact Duplicate","Review Required"))</f>
        <v>OK</v>
      </c>
      <c r="T469" s="22" t="s">
        <v>19</v>
      </c>
      <c r="U469" s="22" t="s">
        <v>20</v>
      </c>
      <c r="V469" s="22"/>
    </row>
    <row r="470" spans="1:22" ht="41.4">
      <c r="A470" s="22" t="s">
        <v>500</v>
      </c>
      <c r="B470" s="25">
        <v>45807</v>
      </c>
      <c r="C470" s="22" t="s">
        <v>17</v>
      </c>
      <c r="D470" s="22" t="s">
        <v>18</v>
      </c>
      <c r="E470" s="22" t="s">
        <v>24</v>
      </c>
      <c r="F470" s="22" t="s">
        <v>25</v>
      </c>
      <c r="G470" s="22" t="s">
        <v>21</v>
      </c>
      <c r="H470" s="22">
        <v>0</v>
      </c>
      <c r="I470" s="22">
        <v>0</v>
      </c>
      <c r="J470" s="22">
        <v>0</v>
      </c>
      <c r="K470" s="22">
        <v>0</v>
      </c>
      <c r="L470" s="22">
        <v>0</v>
      </c>
      <c r="M470" s="22">
        <v>0</v>
      </c>
      <c r="N470" s="22">
        <v>0</v>
      </c>
      <c r="O470" s="22"/>
      <c r="P470" s="22">
        <v>59.8</v>
      </c>
      <c r="Q470" s="22" t="str">
        <f>IF(OR(L470&lt;$Y$18,L470&gt;$Y$19),"Outlier","Normal")</f>
        <v>Normal</v>
      </c>
      <c r="R470" s="26" t="str">
        <f>A470&amp;B470&amp;C470&amp;D470&amp;E470&amp;F470&amp;G470&amp;H470&amp;I470&amp;J470&amp;K470&amp;L470&amp;M470&amp;N470&amp;O470&amp;P470</f>
        <v>USR-10046945807ControlNorthMobileOrganicBasic000000059.8</v>
      </c>
      <c r="S470" s="22" t="str">
        <f>IF(COUNTIF($R$2:$R$1409,R470)=1,"OK",IF(COUNTIF($R$2:$R$1409,R470)&gt;1,"Exact Duplicate","Review Required"))</f>
        <v>OK</v>
      </c>
      <c r="T470" s="22" t="s">
        <v>24</v>
      </c>
      <c r="U470" s="22" t="s">
        <v>25</v>
      </c>
      <c r="V470" s="22"/>
    </row>
    <row r="471" spans="1:22" ht="41.4">
      <c r="A471" s="22" t="s">
        <v>501</v>
      </c>
      <c r="B471" s="25">
        <v>45797</v>
      </c>
      <c r="C471" s="22" t="s">
        <v>17</v>
      </c>
      <c r="D471" s="22" t="s">
        <v>23</v>
      </c>
      <c r="E471" s="22" t="s">
        <v>24</v>
      </c>
      <c r="F471" s="22" t="s">
        <v>29</v>
      </c>
      <c r="G471" s="22" t="s">
        <v>26</v>
      </c>
      <c r="H471" s="22">
        <v>0</v>
      </c>
      <c r="I471" s="22">
        <v>0</v>
      </c>
      <c r="J471" s="22">
        <v>0</v>
      </c>
      <c r="K471" s="22">
        <v>0</v>
      </c>
      <c r="L471" s="22">
        <v>0</v>
      </c>
      <c r="M471" s="22">
        <v>0</v>
      </c>
      <c r="N471" s="22">
        <v>0</v>
      </c>
      <c r="O471" s="22"/>
      <c r="P471" s="22">
        <v>58.9</v>
      </c>
      <c r="Q471" s="22" t="str">
        <f>IF(OR(L471&lt;$Y$18,L471&gt;$Y$19),"Outlier","Normal")</f>
        <v>Normal</v>
      </c>
      <c r="R471" s="26" t="str">
        <f>A471&amp;B471&amp;C471&amp;D471&amp;E471&amp;F471&amp;G471&amp;H471&amp;I471&amp;J471&amp;K471&amp;L471&amp;M471&amp;N471&amp;O471&amp;P471</f>
        <v>USR-10047045797ControlWestMobilePaid SearchFree000000058.9</v>
      </c>
      <c r="S471" s="22" t="str">
        <f>IF(COUNTIF($R$2:$R$1409,R471)=1,"OK",IF(COUNTIF($R$2:$R$1409,R471)&gt;1,"Exact Duplicate","Review Required"))</f>
        <v>OK</v>
      </c>
      <c r="T471" s="22" t="s">
        <v>24</v>
      </c>
      <c r="U471" s="22" t="s">
        <v>29</v>
      </c>
      <c r="V471" s="22"/>
    </row>
    <row r="472" spans="1:22" ht="41.4">
      <c r="A472" s="22" t="s">
        <v>502</v>
      </c>
      <c r="B472" s="25">
        <v>45666</v>
      </c>
      <c r="C472" s="22" t="s">
        <v>17</v>
      </c>
      <c r="D472" s="22" t="s">
        <v>28</v>
      </c>
      <c r="E472" s="22" t="s">
        <v>19</v>
      </c>
      <c r="F472" s="22" t="s">
        <v>25</v>
      </c>
      <c r="G472" s="22" t="s">
        <v>26</v>
      </c>
      <c r="H472" s="22">
        <v>0</v>
      </c>
      <c r="I472" s="22">
        <v>0</v>
      </c>
      <c r="J472" s="22">
        <v>0</v>
      </c>
      <c r="K472" s="22">
        <v>0</v>
      </c>
      <c r="L472" s="22">
        <v>0</v>
      </c>
      <c r="M472" s="22">
        <v>1</v>
      </c>
      <c r="N472" s="22">
        <v>0</v>
      </c>
      <c r="O472" s="22"/>
      <c r="P472" s="22">
        <v>52.9</v>
      </c>
      <c r="Q472" s="22" t="str">
        <f>IF(OR(L472&lt;$Y$18,L472&gt;$Y$19),"Outlier","Normal")</f>
        <v>Normal</v>
      </c>
      <c r="R472" s="26" t="str">
        <f>A472&amp;B472&amp;C472&amp;D472&amp;E472&amp;F472&amp;G472&amp;H472&amp;I472&amp;J472&amp;K472&amp;L472&amp;M472&amp;N472&amp;O472&amp;P472</f>
        <v>USR-10047145666ControlEastDesktopOrganicFree000001052.9</v>
      </c>
      <c r="S472" s="22" t="str">
        <f>IF(COUNTIF($R$2:$R$1409,R472)=1,"OK",IF(COUNTIF($R$2:$R$1409,R472)&gt;1,"Exact Duplicate","Review Required"))</f>
        <v>OK</v>
      </c>
      <c r="T472" s="22" t="s">
        <v>19</v>
      </c>
      <c r="U472" s="22" t="s">
        <v>25</v>
      </c>
      <c r="V472" s="22"/>
    </row>
    <row r="473" spans="1:22" ht="41.4">
      <c r="A473" s="22" t="s">
        <v>503</v>
      </c>
      <c r="B473" s="25">
        <v>45723</v>
      </c>
      <c r="C473" s="22" t="s">
        <v>17</v>
      </c>
      <c r="D473" s="22" t="s">
        <v>23</v>
      </c>
      <c r="E473" s="22" t="s">
        <v>24</v>
      </c>
      <c r="F473" s="22" t="s">
        <v>25</v>
      </c>
      <c r="G473" s="22" t="s">
        <v>26</v>
      </c>
      <c r="H473" s="22">
        <v>0</v>
      </c>
      <c r="I473" s="22">
        <v>0</v>
      </c>
      <c r="J473" s="22">
        <v>0</v>
      </c>
      <c r="K473" s="22">
        <v>0</v>
      </c>
      <c r="L473" s="22">
        <v>0</v>
      </c>
      <c r="M473" s="22">
        <v>0</v>
      </c>
      <c r="N473" s="22">
        <v>0</v>
      </c>
      <c r="O473" s="22"/>
      <c r="P473" s="22">
        <v>67.8</v>
      </c>
      <c r="Q473" s="22" t="str">
        <f>IF(OR(L473&lt;$Y$18,L473&gt;$Y$19),"Outlier","Normal")</f>
        <v>Normal</v>
      </c>
      <c r="R473" s="26" t="str">
        <f>A473&amp;B473&amp;C473&amp;D473&amp;E473&amp;F473&amp;G473&amp;H473&amp;I473&amp;J473&amp;K473&amp;L473&amp;M473&amp;N473&amp;O473&amp;P473</f>
        <v>USR-10047245723ControlWestMobileOrganicFree000000067.8</v>
      </c>
      <c r="S473" s="22" t="str">
        <f>IF(COUNTIF($R$2:$R$1409,R473)=1,"OK",IF(COUNTIF($R$2:$R$1409,R473)&gt;1,"Exact Duplicate","Review Required"))</f>
        <v>OK</v>
      </c>
      <c r="T473" s="22" t="s">
        <v>24</v>
      </c>
      <c r="U473" s="22" t="s">
        <v>25</v>
      </c>
      <c r="V473" s="22"/>
    </row>
    <row r="474" spans="1:22" ht="41.4">
      <c r="A474" s="22" t="s">
        <v>504</v>
      </c>
      <c r="B474" s="25">
        <v>45770</v>
      </c>
      <c r="C474" s="22" t="s">
        <v>17</v>
      </c>
      <c r="D474" s="22" t="s">
        <v>32</v>
      </c>
      <c r="E474" s="22" t="s">
        <v>24</v>
      </c>
      <c r="F474" s="22" t="s">
        <v>41</v>
      </c>
      <c r="G474" s="22" t="s">
        <v>26</v>
      </c>
      <c r="H474" s="22">
        <v>0</v>
      </c>
      <c r="I474" s="22">
        <v>0</v>
      </c>
      <c r="J474" s="22">
        <v>0</v>
      </c>
      <c r="K474" s="22">
        <v>0</v>
      </c>
      <c r="L474" s="22">
        <v>0</v>
      </c>
      <c r="M474" s="22">
        <v>0</v>
      </c>
      <c r="N474" s="22">
        <v>0</v>
      </c>
      <c r="O474" s="22"/>
      <c r="P474" s="22">
        <v>48.7</v>
      </c>
      <c r="Q474" s="22" t="str">
        <f>IF(OR(L474&lt;$Y$18,L474&gt;$Y$19),"Outlier","Normal")</f>
        <v>Normal</v>
      </c>
      <c r="R474" s="26" t="str">
        <f>A474&amp;B474&amp;C474&amp;D474&amp;E474&amp;F474&amp;G474&amp;H474&amp;I474&amp;J474&amp;K474&amp;L474&amp;M474&amp;N474&amp;O474&amp;P474</f>
        <v>USR-10047345770ControlSouthMobileSocialFree000000048.7</v>
      </c>
      <c r="S474" s="22" t="str">
        <f>IF(COUNTIF($R$2:$R$1409,R474)=1,"OK",IF(COUNTIF($R$2:$R$1409,R474)&gt;1,"Exact Duplicate","Review Required"))</f>
        <v>OK</v>
      </c>
      <c r="T474" s="22" t="s">
        <v>24</v>
      </c>
      <c r="U474" s="22" t="s">
        <v>41</v>
      </c>
      <c r="V474" s="22"/>
    </row>
    <row r="475" spans="1:22" ht="41.4">
      <c r="A475" s="22" t="s">
        <v>505</v>
      </c>
      <c r="B475" s="25">
        <v>45724</v>
      </c>
      <c r="C475" s="22" t="s">
        <v>17</v>
      </c>
      <c r="D475" s="22" t="s">
        <v>28</v>
      </c>
      <c r="E475" s="22" t="s">
        <v>24</v>
      </c>
      <c r="F475" s="22" t="s">
        <v>25</v>
      </c>
      <c r="G475" s="22" t="s">
        <v>21</v>
      </c>
      <c r="H475" s="22">
        <v>0</v>
      </c>
      <c r="I475" s="22">
        <v>0</v>
      </c>
      <c r="J475" s="22">
        <v>0</v>
      </c>
      <c r="K475" s="22">
        <v>0</v>
      </c>
      <c r="L475" s="22">
        <v>0</v>
      </c>
      <c r="M475" s="22">
        <v>0</v>
      </c>
      <c r="N475" s="22">
        <v>0</v>
      </c>
      <c r="O475" s="22"/>
      <c r="P475" s="22">
        <v>59</v>
      </c>
      <c r="Q475" s="22" t="str">
        <f>IF(OR(L475&lt;$Y$18,L475&gt;$Y$19),"Outlier","Normal")</f>
        <v>Normal</v>
      </c>
      <c r="R475" s="26" t="str">
        <f>A475&amp;B475&amp;C475&amp;D475&amp;E475&amp;F475&amp;G475&amp;H475&amp;I475&amp;J475&amp;K475&amp;L475&amp;M475&amp;N475&amp;O475&amp;P475</f>
        <v>USR-10047445724ControlEastMobileOrganicBasic000000059</v>
      </c>
      <c r="S475" s="22" t="str">
        <f>IF(COUNTIF($R$2:$R$1409,R475)=1,"OK",IF(COUNTIF($R$2:$R$1409,R475)&gt;1,"Exact Duplicate","Review Required"))</f>
        <v>OK</v>
      </c>
      <c r="T475" s="22" t="s">
        <v>24</v>
      </c>
      <c r="U475" s="22" t="s">
        <v>25</v>
      </c>
      <c r="V475" s="22"/>
    </row>
    <row r="476" spans="1:22" ht="41.4">
      <c r="A476" s="22" t="s">
        <v>506</v>
      </c>
      <c r="B476" s="25">
        <v>45702</v>
      </c>
      <c r="C476" s="22" t="s">
        <v>17</v>
      </c>
      <c r="D476" s="22" t="s">
        <v>32</v>
      </c>
      <c r="E476" s="22" t="s">
        <v>24</v>
      </c>
      <c r="F476" s="22" t="s">
        <v>39</v>
      </c>
      <c r="G476" s="22" t="s">
        <v>26</v>
      </c>
      <c r="H476" s="22">
        <v>0</v>
      </c>
      <c r="I476" s="22">
        <v>0</v>
      </c>
      <c r="J476" s="22">
        <v>0</v>
      </c>
      <c r="K476" s="22">
        <v>0</v>
      </c>
      <c r="L476" s="22">
        <v>0</v>
      </c>
      <c r="M476" s="22">
        <v>0</v>
      </c>
      <c r="N476" s="22">
        <v>0</v>
      </c>
      <c r="O476" s="22"/>
      <c r="P476" s="22">
        <v>63.2</v>
      </c>
      <c r="Q476" s="22" t="str">
        <f>IF(OR(L476&lt;$Y$18,L476&gt;$Y$19),"Outlier","Normal")</f>
        <v>Normal</v>
      </c>
      <c r="R476" s="26" t="str">
        <f>A476&amp;B476&amp;C476&amp;D476&amp;E476&amp;F476&amp;G476&amp;H476&amp;I476&amp;J476&amp;K476&amp;L476&amp;M476&amp;N476&amp;O476&amp;P476</f>
        <v>USR-10047545702ControlSouthMobileReferralFree000000063.2</v>
      </c>
      <c r="S476" s="22" t="str">
        <f>IF(COUNTIF($R$2:$R$1409,R476)=1,"OK",IF(COUNTIF($R$2:$R$1409,R476)&gt;1,"Exact Duplicate","Review Required"))</f>
        <v>OK</v>
      </c>
      <c r="T476" s="22" t="s">
        <v>24</v>
      </c>
      <c r="U476" s="22" t="s">
        <v>39</v>
      </c>
      <c r="V476" s="22"/>
    </row>
    <row r="477" spans="1:22" ht="41.4">
      <c r="A477" s="22" t="s">
        <v>507</v>
      </c>
      <c r="B477" s="25">
        <v>45794</v>
      </c>
      <c r="C477" s="22" t="s">
        <v>17</v>
      </c>
      <c r="D477" s="22" t="s">
        <v>23</v>
      </c>
      <c r="E477" s="22" t="s">
        <v>24</v>
      </c>
      <c r="F477" s="22" t="s">
        <v>39</v>
      </c>
      <c r="G477" s="22" t="s">
        <v>21</v>
      </c>
      <c r="H477" s="22">
        <v>1</v>
      </c>
      <c r="I477" s="22">
        <v>0</v>
      </c>
      <c r="J477" s="22">
        <v>0</v>
      </c>
      <c r="K477" s="22">
        <v>0</v>
      </c>
      <c r="L477" s="22">
        <v>0</v>
      </c>
      <c r="M477" s="22">
        <v>0</v>
      </c>
      <c r="N477" s="22">
        <v>0</v>
      </c>
      <c r="O477" s="22"/>
      <c r="P477" s="22">
        <v>68.7</v>
      </c>
      <c r="Q477" s="22" t="str">
        <f>IF(OR(L477&lt;$Y$18,L477&gt;$Y$19),"Outlier","Normal")</f>
        <v>Normal</v>
      </c>
      <c r="R477" s="26" t="str">
        <f>A477&amp;B477&amp;C477&amp;D477&amp;E477&amp;F477&amp;G477&amp;H477&amp;I477&amp;J477&amp;K477&amp;L477&amp;M477&amp;N477&amp;O477&amp;P477</f>
        <v>USR-10047645794ControlWestMobileReferralBasic100000068.7</v>
      </c>
      <c r="S477" s="22" t="str">
        <f>IF(COUNTIF($R$2:$R$1409,R477)=1,"OK",IF(COUNTIF($R$2:$R$1409,R477)&gt;1,"Exact Duplicate","Review Required"))</f>
        <v>OK</v>
      </c>
      <c r="T477" s="22" t="s">
        <v>24</v>
      </c>
      <c r="U477" s="22" t="s">
        <v>39</v>
      </c>
      <c r="V477" s="22"/>
    </row>
    <row r="478" spans="1:22" ht="41.4">
      <c r="A478" s="22" t="s">
        <v>508</v>
      </c>
      <c r="B478" s="25">
        <v>45772</v>
      </c>
      <c r="C478" s="22" t="s">
        <v>17</v>
      </c>
      <c r="D478" s="22" t="s">
        <v>32</v>
      </c>
      <c r="E478" s="22" t="s">
        <v>24</v>
      </c>
      <c r="F478" s="22" t="s">
        <v>39</v>
      </c>
      <c r="G478" s="22" t="s">
        <v>26</v>
      </c>
      <c r="H478" s="22">
        <v>0</v>
      </c>
      <c r="I478" s="22">
        <v>0</v>
      </c>
      <c r="J478" s="22">
        <v>0</v>
      </c>
      <c r="K478" s="22">
        <v>0</v>
      </c>
      <c r="L478" s="22">
        <v>0</v>
      </c>
      <c r="M478" s="22">
        <v>0</v>
      </c>
      <c r="N478" s="22">
        <v>0</v>
      </c>
      <c r="O478" s="22"/>
      <c r="P478" s="22">
        <v>52.1</v>
      </c>
      <c r="Q478" s="22" t="str">
        <f>IF(OR(L478&lt;$Y$18,L478&gt;$Y$19),"Outlier","Normal")</f>
        <v>Normal</v>
      </c>
      <c r="R478" s="26" t="str">
        <f>A478&amp;B478&amp;C478&amp;D478&amp;E478&amp;F478&amp;G478&amp;H478&amp;I478&amp;J478&amp;K478&amp;L478&amp;M478&amp;N478&amp;O478&amp;P478</f>
        <v>USR-10047745772ControlSouthMobileReferralFree000000052.1</v>
      </c>
      <c r="S478" s="22" t="str">
        <f>IF(COUNTIF($R$2:$R$1409,R478)=1,"OK",IF(COUNTIF($R$2:$R$1409,R478)&gt;1,"Exact Duplicate","Review Required"))</f>
        <v>OK</v>
      </c>
      <c r="T478" s="22" t="s">
        <v>24</v>
      </c>
      <c r="U478" s="22" t="s">
        <v>39</v>
      </c>
      <c r="V478" s="22"/>
    </row>
    <row r="479" spans="1:22" ht="41.4">
      <c r="A479" s="22" t="s">
        <v>509</v>
      </c>
      <c r="B479" s="25">
        <v>45720</v>
      </c>
      <c r="C479" s="22" t="s">
        <v>17</v>
      </c>
      <c r="D479" s="22" t="s">
        <v>32</v>
      </c>
      <c r="E479" s="22" t="s">
        <v>19</v>
      </c>
      <c r="F479" s="22" t="s">
        <v>41</v>
      </c>
      <c r="G479" s="22" t="s">
        <v>21</v>
      </c>
      <c r="H479" s="22">
        <v>0</v>
      </c>
      <c r="I479" s="22">
        <v>0</v>
      </c>
      <c r="J479" s="22">
        <v>0</v>
      </c>
      <c r="K479" s="22">
        <v>0</v>
      </c>
      <c r="L479" s="22">
        <v>0</v>
      </c>
      <c r="M479" s="22">
        <v>0</v>
      </c>
      <c r="N479" s="22">
        <v>0</v>
      </c>
      <c r="O479" s="22"/>
      <c r="P479" s="22">
        <v>56.5</v>
      </c>
      <c r="Q479" s="22" t="str">
        <f>IF(OR(L479&lt;$Y$18,L479&gt;$Y$19),"Outlier","Normal")</f>
        <v>Normal</v>
      </c>
      <c r="R479" s="26" t="str">
        <f>A479&amp;B479&amp;C479&amp;D479&amp;E479&amp;F479&amp;G479&amp;H479&amp;I479&amp;J479&amp;K479&amp;L479&amp;M479&amp;N479&amp;O479&amp;P479</f>
        <v>USR-10047845720ControlSouthDesktopSocialBasic000000056.5</v>
      </c>
      <c r="S479" s="22" t="str">
        <f>IF(COUNTIF($R$2:$R$1409,R479)=1,"OK",IF(COUNTIF($R$2:$R$1409,R479)&gt;1,"Exact Duplicate","Review Required"))</f>
        <v>OK</v>
      </c>
      <c r="T479" s="22" t="s">
        <v>19</v>
      </c>
      <c r="U479" s="22" t="s">
        <v>41</v>
      </c>
      <c r="V479" s="22"/>
    </row>
    <row r="480" spans="1:22" ht="41.4">
      <c r="A480" s="22" t="s">
        <v>510</v>
      </c>
      <c r="B480" s="25">
        <v>45734</v>
      </c>
      <c r="C480" s="22" t="s">
        <v>17</v>
      </c>
      <c r="D480" s="22" t="s">
        <v>32</v>
      </c>
      <c r="E480" s="22" t="s">
        <v>24</v>
      </c>
      <c r="F480" s="22" t="s">
        <v>25</v>
      </c>
      <c r="G480" s="22" t="s">
        <v>26</v>
      </c>
      <c r="H480" s="22">
        <v>1</v>
      </c>
      <c r="I480" s="22">
        <v>0</v>
      </c>
      <c r="J480" s="22">
        <v>0</v>
      </c>
      <c r="K480" s="22">
        <v>0</v>
      </c>
      <c r="L480" s="22">
        <v>0</v>
      </c>
      <c r="M480" s="22">
        <v>0</v>
      </c>
      <c r="N480" s="22">
        <v>0</v>
      </c>
      <c r="O480" s="22"/>
      <c r="P480" s="22">
        <v>64.400000000000006</v>
      </c>
      <c r="Q480" s="22" t="str">
        <f>IF(OR(L480&lt;$Y$18,L480&gt;$Y$19),"Outlier","Normal")</f>
        <v>Normal</v>
      </c>
      <c r="R480" s="26" t="str">
        <f>A480&amp;B480&amp;C480&amp;D480&amp;E480&amp;F480&amp;G480&amp;H480&amp;I480&amp;J480&amp;K480&amp;L480&amp;M480&amp;N480&amp;O480&amp;P480</f>
        <v>USR-10047945734ControlSouthMobileOrganicFree100000064.4</v>
      </c>
      <c r="S480" s="22" t="str">
        <f>IF(COUNTIF($R$2:$R$1409,R480)=1,"OK",IF(COUNTIF($R$2:$R$1409,R480)&gt;1,"Exact Duplicate","Review Required"))</f>
        <v>OK</v>
      </c>
      <c r="T480" s="22" t="s">
        <v>24</v>
      </c>
      <c r="U480" s="22" t="s">
        <v>25</v>
      </c>
      <c r="V480" s="22"/>
    </row>
    <row r="481" spans="1:22" ht="41.4">
      <c r="A481" s="22" t="s">
        <v>511</v>
      </c>
      <c r="B481" s="25">
        <v>45687</v>
      </c>
      <c r="C481" s="22" t="s">
        <v>17</v>
      </c>
      <c r="D481" s="22" t="s">
        <v>23</v>
      </c>
      <c r="E481" s="22" t="s">
        <v>24</v>
      </c>
      <c r="F481" s="22" t="s">
        <v>29</v>
      </c>
      <c r="G481" s="22" t="s">
        <v>30</v>
      </c>
      <c r="H481" s="22">
        <v>1</v>
      </c>
      <c r="I481" s="22">
        <v>0</v>
      </c>
      <c r="J481" s="22">
        <v>0</v>
      </c>
      <c r="K481" s="22">
        <v>0</v>
      </c>
      <c r="L481" s="22">
        <v>0</v>
      </c>
      <c r="M481" s="22">
        <v>0</v>
      </c>
      <c r="N481" s="22">
        <v>0</v>
      </c>
      <c r="O481" s="22"/>
      <c r="P481" s="22">
        <v>65.900000000000006</v>
      </c>
      <c r="Q481" s="22" t="str">
        <f>IF(OR(L481&lt;$Y$18,L481&gt;$Y$19),"Outlier","Normal")</f>
        <v>Normal</v>
      </c>
      <c r="R481" s="26" t="str">
        <f>A481&amp;B481&amp;C481&amp;D481&amp;E481&amp;F481&amp;G481&amp;H481&amp;I481&amp;J481&amp;K481&amp;L481&amp;M481&amp;N481&amp;O481&amp;P481</f>
        <v>USR-10048045687ControlWestMobilePaid SearchPremium100000065.9</v>
      </c>
      <c r="S481" s="22" t="str">
        <f>IF(COUNTIF($R$2:$R$1409,R481)=1,"OK",IF(COUNTIF($R$2:$R$1409,R481)&gt;1,"Exact Duplicate","Review Required"))</f>
        <v>OK</v>
      </c>
      <c r="T481" s="22" t="s">
        <v>24</v>
      </c>
      <c r="U481" s="22" t="s">
        <v>29</v>
      </c>
      <c r="V481" s="22"/>
    </row>
    <row r="482" spans="1:22" ht="41.4">
      <c r="A482" s="22" t="s">
        <v>512</v>
      </c>
      <c r="B482" s="25">
        <v>45797</v>
      </c>
      <c r="C482" s="22" t="s">
        <v>17</v>
      </c>
      <c r="D482" s="22" t="s">
        <v>23</v>
      </c>
      <c r="E482" s="22" t="s">
        <v>34</v>
      </c>
      <c r="F482" s="22" t="s">
        <v>39</v>
      </c>
      <c r="G482" s="22" t="s">
        <v>26</v>
      </c>
      <c r="H482" s="22">
        <v>1</v>
      </c>
      <c r="I482" s="22">
        <v>1</v>
      </c>
      <c r="J482" s="22">
        <v>1</v>
      </c>
      <c r="K482" s="22">
        <v>0</v>
      </c>
      <c r="L482" s="22">
        <v>0</v>
      </c>
      <c r="M482" s="22">
        <v>0</v>
      </c>
      <c r="N482" s="22">
        <v>0</v>
      </c>
      <c r="O482" s="22"/>
      <c r="P482" s="22">
        <v>100</v>
      </c>
      <c r="Q482" s="22" t="str">
        <f>IF(OR(L482&lt;$Y$18,L482&gt;$Y$19),"Outlier","Normal")</f>
        <v>Normal</v>
      </c>
      <c r="R482" s="26" t="str">
        <f>A482&amp;B482&amp;C482&amp;D482&amp;E482&amp;F482&amp;G482&amp;H482&amp;I482&amp;J482&amp;K482&amp;L482&amp;M482&amp;N482&amp;O482&amp;P482</f>
        <v>USR-10048145797ControlWestTabletReferralFree1110000100</v>
      </c>
      <c r="S482" s="22" t="str">
        <f>IF(COUNTIF($R$2:$R$1409,R482)=1,"OK",IF(COUNTIF($R$2:$R$1409,R482)&gt;1,"Exact Duplicate","Review Required"))</f>
        <v>OK</v>
      </c>
      <c r="T482" s="22" t="s">
        <v>34</v>
      </c>
      <c r="U482" s="22" t="s">
        <v>39</v>
      </c>
      <c r="V482" s="22"/>
    </row>
    <row r="483" spans="1:22" ht="41.4">
      <c r="A483" s="22" t="s">
        <v>513</v>
      </c>
      <c r="B483" s="25">
        <v>45701</v>
      </c>
      <c r="C483" s="22" t="s">
        <v>17</v>
      </c>
      <c r="D483" s="22" t="s">
        <v>18</v>
      </c>
      <c r="E483" s="22" t="s">
        <v>1482</v>
      </c>
      <c r="F483" s="22" t="s">
        <v>25</v>
      </c>
      <c r="G483" s="22" t="s">
        <v>21</v>
      </c>
      <c r="H483" s="22">
        <v>1</v>
      </c>
      <c r="I483" s="22">
        <v>1</v>
      </c>
      <c r="J483" s="22">
        <v>1</v>
      </c>
      <c r="K483" s="22">
        <v>0</v>
      </c>
      <c r="L483" s="22">
        <v>0</v>
      </c>
      <c r="M483" s="22">
        <v>0</v>
      </c>
      <c r="N483" s="22">
        <v>0</v>
      </c>
      <c r="O483" s="22"/>
      <c r="P483" s="22">
        <v>50.4</v>
      </c>
      <c r="Q483" s="22" t="str">
        <f>IF(OR(L483&lt;$Y$18,L483&gt;$Y$19),"Outlier","Normal")</f>
        <v>Normal</v>
      </c>
      <c r="R483" s="26" t="str">
        <f>A483&amp;B483&amp;C483&amp;D483&amp;E483&amp;F483&amp;G483&amp;H483&amp;I483&amp;J483&amp;K483&amp;L483&amp;M483&amp;N483&amp;O483&amp;P483</f>
        <v>USR-10048245701ControlNorthUnknownOrganicBasic111000050.4</v>
      </c>
      <c r="S483" s="22" t="str">
        <f>IF(COUNTIF($R$2:$R$1409,R483)=1,"OK",IF(COUNTIF($R$2:$R$1409,R483)&gt;1,"Exact Duplicate","Review Required"))</f>
        <v>OK</v>
      </c>
      <c r="T483" s="22"/>
      <c r="U483" s="22" t="s">
        <v>25</v>
      </c>
      <c r="V483" s="22"/>
    </row>
    <row r="484" spans="1:22" ht="41.4">
      <c r="A484" s="22" t="s">
        <v>514</v>
      </c>
      <c r="B484" s="25">
        <v>45759</v>
      </c>
      <c r="C484" s="22" t="s">
        <v>17</v>
      </c>
      <c r="D484" s="22" t="s">
        <v>23</v>
      </c>
      <c r="E484" s="22" t="s">
        <v>19</v>
      </c>
      <c r="F484" s="22" t="s">
        <v>25</v>
      </c>
      <c r="G484" s="22" t="s">
        <v>21</v>
      </c>
      <c r="H484" s="22">
        <v>0</v>
      </c>
      <c r="I484" s="22">
        <v>0</v>
      </c>
      <c r="J484" s="22">
        <v>0</v>
      </c>
      <c r="K484" s="22">
        <v>0</v>
      </c>
      <c r="L484" s="22">
        <v>0</v>
      </c>
      <c r="M484" s="22">
        <v>0</v>
      </c>
      <c r="N484" s="22">
        <v>0</v>
      </c>
      <c r="O484" s="22"/>
      <c r="P484" s="22">
        <v>41.5</v>
      </c>
      <c r="Q484" s="22" t="str">
        <f>IF(OR(L484&lt;$Y$18,L484&gt;$Y$19),"Outlier","Normal")</f>
        <v>Normal</v>
      </c>
      <c r="R484" s="26" t="str">
        <f>A484&amp;B484&amp;C484&amp;D484&amp;E484&amp;F484&amp;G484&amp;H484&amp;I484&amp;J484&amp;K484&amp;L484&amp;M484&amp;N484&amp;O484&amp;P484</f>
        <v>USR-10048345759ControlWestDesktopOrganicBasic000000041.5</v>
      </c>
      <c r="S484" s="22" t="str">
        <f>IF(COUNTIF($R$2:$R$1409,R484)=1,"OK",IF(COUNTIF($R$2:$R$1409,R484)&gt;1,"Exact Duplicate","Review Required"))</f>
        <v>OK</v>
      </c>
      <c r="T484" s="22" t="s">
        <v>19</v>
      </c>
      <c r="U484" s="22" t="s">
        <v>25</v>
      </c>
      <c r="V484" s="22"/>
    </row>
    <row r="485" spans="1:22" ht="41.4">
      <c r="A485" s="22" t="s">
        <v>515</v>
      </c>
      <c r="B485" s="25">
        <v>45754</v>
      </c>
      <c r="C485" s="22" t="s">
        <v>17</v>
      </c>
      <c r="D485" s="22" t="s">
        <v>18</v>
      </c>
      <c r="E485" s="22" t="s">
        <v>24</v>
      </c>
      <c r="F485" s="22" t="s">
        <v>20</v>
      </c>
      <c r="G485" s="22" t="s">
        <v>26</v>
      </c>
      <c r="H485" s="22">
        <v>0</v>
      </c>
      <c r="I485" s="22">
        <v>0</v>
      </c>
      <c r="J485" s="22">
        <v>0</v>
      </c>
      <c r="K485" s="22">
        <v>0</v>
      </c>
      <c r="L485" s="22">
        <v>0</v>
      </c>
      <c r="M485" s="22">
        <v>0</v>
      </c>
      <c r="N485" s="22">
        <v>0</v>
      </c>
      <c r="O485" s="22"/>
      <c r="P485" s="22">
        <v>86.2</v>
      </c>
      <c r="Q485" s="22" t="str">
        <f>IF(OR(L485&lt;$Y$18,L485&gt;$Y$19),"Outlier","Normal")</f>
        <v>Normal</v>
      </c>
      <c r="R485" s="26" t="str">
        <f>A485&amp;B485&amp;C485&amp;D485&amp;E485&amp;F485&amp;G485&amp;H485&amp;I485&amp;J485&amp;K485&amp;L485&amp;M485&amp;N485&amp;O485&amp;P485</f>
        <v>USR-10048445754ControlNorthMobileEmailFree000000086.2</v>
      </c>
      <c r="S485" s="22" t="str">
        <f>IF(COUNTIF($R$2:$R$1409,R485)=1,"OK",IF(COUNTIF($R$2:$R$1409,R485)&gt;1,"Exact Duplicate","Review Required"))</f>
        <v>OK</v>
      </c>
      <c r="T485" s="22" t="s">
        <v>24</v>
      </c>
      <c r="U485" s="22" t="s">
        <v>20</v>
      </c>
      <c r="V485" s="22"/>
    </row>
    <row r="486" spans="1:22" ht="41.4">
      <c r="A486" s="22" t="s">
        <v>516</v>
      </c>
      <c r="B486" s="25">
        <v>45728</v>
      </c>
      <c r="C486" s="22" t="s">
        <v>17</v>
      </c>
      <c r="D486" s="22" t="s">
        <v>18</v>
      </c>
      <c r="E486" s="22" t="s">
        <v>19</v>
      </c>
      <c r="F486" s="22" t="s">
        <v>41</v>
      </c>
      <c r="G486" s="22" t="s">
        <v>26</v>
      </c>
      <c r="H486" s="22">
        <v>1</v>
      </c>
      <c r="I486" s="22">
        <v>1</v>
      </c>
      <c r="J486" s="22">
        <v>1</v>
      </c>
      <c r="K486" s="22">
        <v>0</v>
      </c>
      <c r="L486" s="22">
        <v>0</v>
      </c>
      <c r="M486" s="22">
        <v>2</v>
      </c>
      <c r="N486" s="22">
        <v>0</v>
      </c>
      <c r="O486" s="22"/>
      <c r="P486" s="22">
        <v>50.8</v>
      </c>
      <c r="Q486" s="22" t="str">
        <f>IF(OR(L486&lt;$Y$18,L486&gt;$Y$19),"Outlier","Normal")</f>
        <v>Normal</v>
      </c>
      <c r="R486" s="26" t="str">
        <f>A486&amp;B486&amp;C486&amp;D486&amp;E486&amp;F486&amp;G486&amp;H486&amp;I486&amp;J486&amp;K486&amp;L486&amp;M486&amp;N486&amp;O486&amp;P486</f>
        <v>USR-10048545728ControlNorthDesktopSocialFree111002050.8</v>
      </c>
      <c r="S486" s="22" t="str">
        <f>IF(COUNTIF($R$2:$R$1409,R486)=1,"OK",IF(COUNTIF($R$2:$R$1409,R486)&gt;1,"Exact Duplicate","Review Required"))</f>
        <v>OK</v>
      </c>
      <c r="T486" s="22" t="s">
        <v>19</v>
      </c>
      <c r="U486" s="22" t="s">
        <v>41</v>
      </c>
      <c r="V486" s="22"/>
    </row>
    <row r="487" spans="1:22" ht="41.4">
      <c r="A487" s="22" t="s">
        <v>517</v>
      </c>
      <c r="B487" s="25">
        <v>45695</v>
      </c>
      <c r="C487" s="22" t="s">
        <v>17</v>
      </c>
      <c r="D487" s="22" t="s">
        <v>23</v>
      </c>
      <c r="E487" s="22" t="s">
        <v>24</v>
      </c>
      <c r="F487" s="22" t="s">
        <v>25</v>
      </c>
      <c r="G487" s="22" t="s">
        <v>26</v>
      </c>
      <c r="H487" s="22">
        <v>1</v>
      </c>
      <c r="I487" s="22">
        <v>0</v>
      </c>
      <c r="J487" s="22">
        <v>0</v>
      </c>
      <c r="K487" s="22">
        <v>0</v>
      </c>
      <c r="L487" s="22">
        <v>0</v>
      </c>
      <c r="M487" s="22">
        <v>0</v>
      </c>
      <c r="N487" s="22">
        <v>0</v>
      </c>
      <c r="O487" s="22"/>
      <c r="P487" s="22">
        <v>50.9</v>
      </c>
      <c r="Q487" s="22" t="str">
        <f>IF(OR(L487&lt;$Y$18,L487&gt;$Y$19),"Outlier","Normal")</f>
        <v>Normal</v>
      </c>
      <c r="R487" s="26" t="str">
        <f>A487&amp;B487&amp;C487&amp;D487&amp;E487&amp;F487&amp;G487&amp;H487&amp;I487&amp;J487&amp;K487&amp;L487&amp;M487&amp;N487&amp;O487&amp;P487</f>
        <v>USR-10048645695ControlWestMobileOrganicFree100000050.9</v>
      </c>
      <c r="S487" s="22" t="str">
        <f>IF(COUNTIF($R$2:$R$1409,R487)=1,"OK",IF(COUNTIF($R$2:$R$1409,R487)&gt;1,"Exact Duplicate","Review Required"))</f>
        <v>OK</v>
      </c>
      <c r="T487" s="22" t="s">
        <v>24</v>
      </c>
      <c r="U487" s="22" t="s">
        <v>25</v>
      </c>
      <c r="V487" s="22"/>
    </row>
    <row r="488" spans="1:22" ht="41.4">
      <c r="A488" s="22" t="s">
        <v>518</v>
      </c>
      <c r="B488" s="25">
        <v>45782</v>
      </c>
      <c r="C488" s="22" t="s">
        <v>17</v>
      </c>
      <c r="D488" s="22" t="s">
        <v>18</v>
      </c>
      <c r="E488" s="22" t="s">
        <v>24</v>
      </c>
      <c r="F488" s="22" t="s">
        <v>25</v>
      </c>
      <c r="G488" s="22" t="s">
        <v>30</v>
      </c>
      <c r="H488" s="22">
        <v>1</v>
      </c>
      <c r="I488" s="22">
        <v>1</v>
      </c>
      <c r="J488" s="22">
        <v>0</v>
      </c>
      <c r="K488" s="22">
        <v>0</v>
      </c>
      <c r="L488" s="22">
        <v>0</v>
      </c>
      <c r="M488" s="22">
        <v>0</v>
      </c>
      <c r="N488" s="22">
        <v>0</v>
      </c>
      <c r="O488" s="22"/>
      <c r="P488" s="22">
        <v>87.5</v>
      </c>
      <c r="Q488" s="22" t="str">
        <f>IF(OR(L488&lt;$Y$18,L488&gt;$Y$19),"Outlier","Normal")</f>
        <v>Normal</v>
      </c>
      <c r="R488" s="26" t="str">
        <f>A488&amp;B488&amp;C488&amp;D488&amp;E488&amp;F488&amp;G488&amp;H488&amp;I488&amp;J488&amp;K488&amp;L488&amp;M488&amp;N488&amp;O488&amp;P488</f>
        <v>USR-10048745782ControlNorthMobileOrganicPremium110000087.5</v>
      </c>
      <c r="S488" s="22" t="str">
        <f>IF(COUNTIF($R$2:$R$1409,R488)=1,"OK",IF(COUNTIF($R$2:$R$1409,R488)&gt;1,"Exact Duplicate","Review Required"))</f>
        <v>OK</v>
      </c>
      <c r="T488" s="22" t="s">
        <v>24</v>
      </c>
      <c r="U488" s="22" t="s">
        <v>25</v>
      </c>
      <c r="V488" s="22"/>
    </row>
    <row r="489" spans="1:22" ht="41.4">
      <c r="A489" s="22" t="s">
        <v>519</v>
      </c>
      <c r="B489" s="25">
        <v>45734</v>
      </c>
      <c r="C489" s="22" t="s">
        <v>17</v>
      </c>
      <c r="D489" s="22" t="s">
        <v>32</v>
      </c>
      <c r="E489" s="22" t="s">
        <v>24</v>
      </c>
      <c r="F489" s="22" t="s">
        <v>39</v>
      </c>
      <c r="G489" s="22" t="s">
        <v>26</v>
      </c>
      <c r="H489" s="22">
        <v>0</v>
      </c>
      <c r="I489" s="22">
        <v>0</v>
      </c>
      <c r="J489" s="22">
        <v>0</v>
      </c>
      <c r="K489" s="22">
        <v>0</v>
      </c>
      <c r="L489" s="22">
        <v>0</v>
      </c>
      <c r="M489" s="22">
        <v>0</v>
      </c>
      <c r="N489" s="22">
        <v>0</v>
      </c>
      <c r="O489" s="22"/>
      <c r="P489" s="22">
        <v>43.6</v>
      </c>
      <c r="Q489" s="22" t="str">
        <f>IF(OR(L489&lt;$Y$18,L489&gt;$Y$19),"Outlier","Normal")</f>
        <v>Normal</v>
      </c>
      <c r="R489" s="26" t="str">
        <f>A489&amp;B489&amp;C489&amp;D489&amp;E489&amp;F489&amp;G489&amp;H489&amp;I489&amp;J489&amp;K489&amp;L489&amp;M489&amp;N489&amp;O489&amp;P489</f>
        <v>USR-10048845734ControlSouthMobileReferralFree000000043.6</v>
      </c>
      <c r="S489" s="22" t="str">
        <f>IF(COUNTIF($R$2:$R$1409,R489)=1,"OK",IF(COUNTIF($R$2:$R$1409,R489)&gt;1,"Exact Duplicate","Review Required"))</f>
        <v>OK</v>
      </c>
      <c r="T489" s="22" t="s">
        <v>24</v>
      </c>
      <c r="U489" s="22" t="s">
        <v>39</v>
      </c>
      <c r="V489" s="22"/>
    </row>
    <row r="490" spans="1:22" ht="41.4">
      <c r="A490" s="22" t="s">
        <v>520</v>
      </c>
      <c r="B490" s="25">
        <v>45662</v>
      </c>
      <c r="C490" s="22" t="s">
        <v>17</v>
      </c>
      <c r="D490" s="22" t="s">
        <v>32</v>
      </c>
      <c r="E490" s="22" t="s">
        <v>24</v>
      </c>
      <c r="F490" s="22" t="s">
        <v>29</v>
      </c>
      <c r="G490" s="22" t="s">
        <v>21</v>
      </c>
      <c r="H490" s="22">
        <v>1</v>
      </c>
      <c r="I490" s="22">
        <v>0</v>
      </c>
      <c r="J490" s="22">
        <v>0</v>
      </c>
      <c r="K490" s="22">
        <v>0</v>
      </c>
      <c r="L490" s="22">
        <v>0</v>
      </c>
      <c r="M490" s="22">
        <v>0</v>
      </c>
      <c r="N490" s="22">
        <v>0</v>
      </c>
      <c r="O490" s="22"/>
      <c r="P490" s="22">
        <v>55.5</v>
      </c>
      <c r="Q490" s="22" t="str">
        <f>IF(OR(L490&lt;$Y$18,L490&gt;$Y$19),"Outlier","Normal")</f>
        <v>Normal</v>
      </c>
      <c r="R490" s="26" t="str">
        <f>A490&amp;B490&amp;C490&amp;D490&amp;E490&amp;F490&amp;G490&amp;H490&amp;I490&amp;J490&amp;K490&amp;L490&amp;M490&amp;N490&amp;O490&amp;P490</f>
        <v>USR-10048945662ControlSouthMobilePaid SearchBasic100000055.5</v>
      </c>
      <c r="S490" s="22" t="str">
        <f>IF(COUNTIF($R$2:$R$1409,R490)=1,"OK",IF(COUNTIF($R$2:$R$1409,R490)&gt;1,"Exact Duplicate","Review Required"))</f>
        <v>OK</v>
      </c>
      <c r="T490" s="22" t="s">
        <v>24</v>
      </c>
      <c r="U490" s="22" t="s">
        <v>29</v>
      </c>
      <c r="V490" s="22"/>
    </row>
    <row r="491" spans="1:22" ht="41.4">
      <c r="A491" s="22" t="s">
        <v>521</v>
      </c>
      <c r="B491" s="25">
        <v>45787</v>
      </c>
      <c r="C491" s="22" t="s">
        <v>17</v>
      </c>
      <c r="D491" s="22" t="s">
        <v>32</v>
      </c>
      <c r="E491" s="22" t="s">
        <v>19</v>
      </c>
      <c r="F491" s="22" t="s">
        <v>39</v>
      </c>
      <c r="G491" s="22" t="s">
        <v>21</v>
      </c>
      <c r="H491" s="22">
        <v>0</v>
      </c>
      <c r="I491" s="22">
        <v>0</v>
      </c>
      <c r="J491" s="22">
        <v>0</v>
      </c>
      <c r="K491" s="22">
        <v>0</v>
      </c>
      <c r="L491" s="22">
        <v>0</v>
      </c>
      <c r="M491" s="22">
        <v>0</v>
      </c>
      <c r="N491" s="22">
        <v>0</v>
      </c>
      <c r="O491" s="22"/>
      <c r="P491" s="22">
        <v>78.599999999999994</v>
      </c>
      <c r="Q491" s="22" t="str">
        <f>IF(OR(L491&lt;$Y$18,L491&gt;$Y$19),"Outlier","Normal")</f>
        <v>Normal</v>
      </c>
      <c r="R491" s="26" t="str">
        <f>A491&amp;B491&amp;C491&amp;D491&amp;E491&amp;F491&amp;G491&amp;H491&amp;I491&amp;J491&amp;K491&amp;L491&amp;M491&amp;N491&amp;O491&amp;P491</f>
        <v>USR-10049045787ControlSouthDesktopReferralBasic000000078.6</v>
      </c>
      <c r="S491" s="22" t="str">
        <f>IF(COUNTIF($R$2:$R$1409,R491)=1,"OK",IF(COUNTIF($R$2:$R$1409,R491)&gt;1,"Exact Duplicate","Review Required"))</f>
        <v>OK</v>
      </c>
      <c r="T491" s="22" t="s">
        <v>19</v>
      </c>
      <c r="U491" s="22" t="s">
        <v>39</v>
      </c>
      <c r="V491" s="22"/>
    </row>
    <row r="492" spans="1:22" ht="41.4">
      <c r="A492" s="22" t="s">
        <v>522</v>
      </c>
      <c r="B492" s="25">
        <v>45660</v>
      </c>
      <c r="C492" s="22" t="s">
        <v>17</v>
      </c>
      <c r="D492" s="22" t="s">
        <v>32</v>
      </c>
      <c r="E492" s="22" t="s">
        <v>24</v>
      </c>
      <c r="F492" s="22" t="s">
        <v>41</v>
      </c>
      <c r="G492" s="22" t="s">
        <v>21</v>
      </c>
      <c r="H492" s="22">
        <v>1</v>
      </c>
      <c r="I492" s="22">
        <v>1</v>
      </c>
      <c r="J492" s="22">
        <v>0</v>
      </c>
      <c r="K492" s="22">
        <v>0</v>
      </c>
      <c r="L492" s="22">
        <v>0</v>
      </c>
      <c r="M492" s="22">
        <v>1</v>
      </c>
      <c r="N492" s="22">
        <v>0</v>
      </c>
      <c r="O492" s="22"/>
      <c r="P492" s="22">
        <v>44.3</v>
      </c>
      <c r="Q492" s="22" t="str">
        <f>IF(OR(L492&lt;$Y$18,L492&gt;$Y$19),"Outlier","Normal")</f>
        <v>Normal</v>
      </c>
      <c r="R492" s="26" t="str">
        <f>A492&amp;B492&amp;C492&amp;D492&amp;E492&amp;F492&amp;G492&amp;H492&amp;I492&amp;J492&amp;K492&amp;L492&amp;M492&amp;N492&amp;O492&amp;P492</f>
        <v>USR-10049145660ControlSouthMobileSocialBasic110001044.3</v>
      </c>
      <c r="S492" s="22" t="str">
        <f>IF(COUNTIF($R$2:$R$1409,R492)=1,"OK",IF(COUNTIF($R$2:$R$1409,R492)&gt;1,"Exact Duplicate","Review Required"))</f>
        <v>OK</v>
      </c>
      <c r="T492" s="22" t="s">
        <v>24</v>
      </c>
      <c r="U492" s="22" t="s">
        <v>41</v>
      </c>
      <c r="V492" s="22"/>
    </row>
    <row r="493" spans="1:22" ht="41.4">
      <c r="A493" s="22" t="s">
        <v>523</v>
      </c>
      <c r="B493" s="25">
        <v>45785</v>
      </c>
      <c r="C493" s="22" t="s">
        <v>17</v>
      </c>
      <c r="D493" s="22" t="s">
        <v>32</v>
      </c>
      <c r="E493" s="22" t="s">
        <v>24</v>
      </c>
      <c r="F493" s="22" t="s">
        <v>29</v>
      </c>
      <c r="G493" s="22" t="s">
        <v>26</v>
      </c>
      <c r="H493" s="22">
        <v>1</v>
      </c>
      <c r="I493" s="22">
        <v>1</v>
      </c>
      <c r="J493" s="22">
        <v>0</v>
      </c>
      <c r="K493" s="22">
        <v>0</v>
      </c>
      <c r="L493" s="22">
        <v>0</v>
      </c>
      <c r="M493" s="22">
        <v>0</v>
      </c>
      <c r="N493" s="22">
        <v>0</v>
      </c>
      <c r="O493" s="22"/>
      <c r="P493" s="22">
        <v>45.2</v>
      </c>
      <c r="Q493" s="22" t="str">
        <f>IF(OR(L493&lt;$Y$18,L493&gt;$Y$19),"Outlier","Normal")</f>
        <v>Normal</v>
      </c>
      <c r="R493" s="26" t="str">
        <f>A493&amp;B493&amp;C493&amp;D493&amp;E493&amp;F493&amp;G493&amp;H493&amp;I493&amp;J493&amp;K493&amp;L493&amp;M493&amp;N493&amp;O493&amp;P493</f>
        <v>USR-10049245785ControlSouthMobilePaid SearchFree110000045.2</v>
      </c>
      <c r="S493" s="22" t="str">
        <f>IF(COUNTIF($R$2:$R$1409,R493)=1,"OK",IF(COUNTIF($R$2:$R$1409,R493)&gt;1,"Exact Duplicate","Review Required"))</f>
        <v>OK</v>
      </c>
      <c r="T493" s="22" t="s">
        <v>24</v>
      </c>
      <c r="U493" s="22" t="s">
        <v>29</v>
      </c>
      <c r="V493" s="22"/>
    </row>
    <row r="494" spans="1:22" ht="41.4">
      <c r="A494" s="22" t="s">
        <v>524</v>
      </c>
      <c r="B494" s="25">
        <v>45721</v>
      </c>
      <c r="C494" s="22" t="s">
        <v>17</v>
      </c>
      <c r="D494" s="22" t="s">
        <v>32</v>
      </c>
      <c r="E494" s="22" t="s">
        <v>19</v>
      </c>
      <c r="F494" s="22" t="s">
        <v>20</v>
      </c>
      <c r="G494" s="22" t="s">
        <v>21</v>
      </c>
      <c r="H494" s="22">
        <v>1</v>
      </c>
      <c r="I494" s="22">
        <v>0</v>
      </c>
      <c r="J494" s="22">
        <v>0</v>
      </c>
      <c r="K494" s="22">
        <v>0</v>
      </c>
      <c r="L494" s="22">
        <v>0</v>
      </c>
      <c r="M494" s="22">
        <v>2</v>
      </c>
      <c r="N494" s="22">
        <v>0</v>
      </c>
      <c r="O494" s="22"/>
      <c r="P494" s="22">
        <v>46.1</v>
      </c>
      <c r="Q494" s="22" t="str">
        <f>IF(OR(L494&lt;$Y$18,L494&gt;$Y$19),"Outlier","Normal")</f>
        <v>Normal</v>
      </c>
      <c r="R494" s="26" t="str">
        <f>A494&amp;B494&amp;C494&amp;D494&amp;E494&amp;F494&amp;G494&amp;H494&amp;I494&amp;J494&amp;K494&amp;L494&amp;M494&amp;N494&amp;O494&amp;P494</f>
        <v>USR-10049345721ControlSouthDesktopEmailBasic100002046.1</v>
      </c>
      <c r="S494" s="22" t="str">
        <f>IF(COUNTIF($R$2:$R$1409,R494)=1,"OK",IF(COUNTIF($R$2:$R$1409,R494)&gt;1,"Exact Duplicate","Review Required"))</f>
        <v>OK</v>
      </c>
      <c r="T494" s="22" t="s">
        <v>19</v>
      </c>
      <c r="U494" s="22" t="s">
        <v>20</v>
      </c>
      <c r="V494" s="22"/>
    </row>
    <row r="495" spans="1:22" ht="41.4">
      <c r="A495" s="22" t="s">
        <v>525</v>
      </c>
      <c r="B495" s="25">
        <v>45705</v>
      </c>
      <c r="C495" s="22" t="s">
        <v>17</v>
      </c>
      <c r="D495" s="22" t="s">
        <v>18</v>
      </c>
      <c r="E495" s="22" t="s">
        <v>24</v>
      </c>
      <c r="F495" s="22" t="s">
        <v>25</v>
      </c>
      <c r="G495" s="22" t="s">
        <v>30</v>
      </c>
      <c r="H495" s="22">
        <v>1</v>
      </c>
      <c r="I495" s="22">
        <v>0</v>
      </c>
      <c r="J495" s="22">
        <v>0</v>
      </c>
      <c r="K495" s="22">
        <v>0</v>
      </c>
      <c r="L495" s="22">
        <v>0</v>
      </c>
      <c r="M495" s="22">
        <v>0</v>
      </c>
      <c r="N495" s="22">
        <v>0</v>
      </c>
      <c r="O495" s="22"/>
      <c r="P495" s="22">
        <v>49.6</v>
      </c>
      <c r="Q495" s="22" t="str">
        <f>IF(OR(L495&lt;$Y$18,L495&gt;$Y$19),"Outlier","Normal")</f>
        <v>Normal</v>
      </c>
      <c r="R495" s="26" t="str">
        <f>A495&amp;B495&amp;C495&amp;D495&amp;E495&amp;F495&amp;G495&amp;H495&amp;I495&amp;J495&amp;K495&amp;L495&amp;M495&amp;N495&amp;O495&amp;P495</f>
        <v>USR-10049445705ControlNorthMobileOrganicPremium100000049.6</v>
      </c>
      <c r="S495" s="22" t="str">
        <f>IF(COUNTIF($R$2:$R$1409,R495)=1,"OK",IF(COUNTIF($R$2:$R$1409,R495)&gt;1,"Exact Duplicate","Review Required"))</f>
        <v>OK</v>
      </c>
      <c r="T495" s="22" t="s">
        <v>24</v>
      </c>
      <c r="U495" s="22" t="s">
        <v>25</v>
      </c>
      <c r="V495" s="22"/>
    </row>
    <row r="496" spans="1:22" ht="41.4">
      <c r="A496" s="22" t="s">
        <v>526</v>
      </c>
      <c r="B496" s="25">
        <v>45666</v>
      </c>
      <c r="C496" s="22" t="s">
        <v>17</v>
      </c>
      <c r="D496" s="22" t="s">
        <v>32</v>
      </c>
      <c r="E496" s="22" t="s">
        <v>24</v>
      </c>
      <c r="F496" s="22" t="s">
        <v>39</v>
      </c>
      <c r="G496" s="22" t="s">
        <v>21</v>
      </c>
      <c r="H496" s="22">
        <v>0</v>
      </c>
      <c r="I496" s="22">
        <v>0</v>
      </c>
      <c r="J496" s="22">
        <v>0</v>
      </c>
      <c r="K496" s="22">
        <v>0</v>
      </c>
      <c r="L496" s="22">
        <v>0</v>
      </c>
      <c r="M496" s="22">
        <v>0</v>
      </c>
      <c r="N496" s="22">
        <v>0</v>
      </c>
      <c r="O496" s="22"/>
      <c r="P496" s="22">
        <v>70.5</v>
      </c>
      <c r="Q496" s="22" t="str">
        <f>IF(OR(L496&lt;$Y$18,L496&gt;$Y$19),"Outlier","Normal")</f>
        <v>Normal</v>
      </c>
      <c r="R496" s="26" t="str">
        <f>A496&amp;B496&amp;C496&amp;D496&amp;E496&amp;F496&amp;G496&amp;H496&amp;I496&amp;J496&amp;K496&amp;L496&amp;M496&amp;N496&amp;O496&amp;P496</f>
        <v>USR-10049545666ControlSouthMobileReferralBasic000000070.5</v>
      </c>
      <c r="S496" s="22" t="str">
        <f>IF(COUNTIF($R$2:$R$1409,R496)=1,"OK",IF(COUNTIF($R$2:$R$1409,R496)&gt;1,"Exact Duplicate","Review Required"))</f>
        <v>OK</v>
      </c>
      <c r="T496" s="22" t="s">
        <v>24</v>
      </c>
      <c r="U496" s="22" t="s">
        <v>39</v>
      </c>
      <c r="V496" s="22"/>
    </row>
    <row r="497" spans="1:22" ht="41.4">
      <c r="A497" s="22" t="s">
        <v>527</v>
      </c>
      <c r="B497" s="25">
        <v>45782</v>
      </c>
      <c r="C497" s="22" t="s">
        <v>17</v>
      </c>
      <c r="D497" s="22" t="s">
        <v>32</v>
      </c>
      <c r="E497" s="22" t="s">
        <v>24</v>
      </c>
      <c r="F497" s="22" t="s">
        <v>20</v>
      </c>
      <c r="G497" s="22" t="s">
        <v>21</v>
      </c>
      <c r="H497" s="22">
        <v>0</v>
      </c>
      <c r="I497" s="22">
        <v>0</v>
      </c>
      <c r="J497" s="22">
        <v>0</v>
      </c>
      <c r="K497" s="22">
        <v>0</v>
      </c>
      <c r="L497" s="22">
        <v>0</v>
      </c>
      <c r="M497" s="22">
        <v>1</v>
      </c>
      <c r="N497" s="22">
        <v>0</v>
      </c>
      <c r="O497" s="22"/>
      <c r="P497" s="22">
        <v>60.8</v>
      </c>
      <c r="Q497" s="22" t="str">
        <f>IF(OR(L497&lt;$Y$18,L497&gt;$Y$19),"Outlier","Normal")</f>
        <v>Normal</v>
      </c>
      <c r="R497" s="26" t="str">
        <f>A497&amp;B497&amp;C497&amp;D497&amp;E497&amp;F497&amp;G497&amp;H497&amp;I497&amp;J497&amp;K497&amp;L497&amp;M497&amp;N497&amp;O497&amp;P497</f>
        <v>USR-10049645782ControlSouthMobileEmailBasic000001060.8</v>
      </c>
      <c r="S497" s="22" t="str">
        <f>IF(COUNTIF($R$2:$R$1409,R497)=1,"OK",IF(COUNTIF($R$2:$R$1409,R497)&gt;1,"Exact Duplicate","Review Required"))</f>
        <v>OK</v>
      </c>
      <c r="T497" s="22" t="s">
        <v>24</v>
      </c>
      <c r="U497" s="22" t="s">
        <v>20</v>
      </c>
      <c r="V497" s="22"/>
    </row>
    <row r="498" spans="1:22" ht="41.4">
      <c r="A498" s="22" t="s">
        <v>528</v>
      </c>
      <c r="B498" s="25">
        <v>45763</v>
      </c>
      <c r="C498" s="22" t="s">
        <v>17</v>
      </c>
      <c r="D498" s="22" t="s">
        <v>28</v>
      </c>
      <c r="E498" s="22" t="s">
        <v>24</v>
      </c>
      <c r="F498" s="22" t="s">
        <v>20</v>
      </c>
      <c r="G498" s="22" t="s">
        <v>21</v>
      </c>
      <c r="H498" s="22">
        <v>0</v>
      </c>
      <c r="I498" s="22">
        <v>0</v>
      </c>
      <c r="J498" s="22">
        <v>0</v>
      </c>
      <c r="K498" s="22">
        <v>0</v>
      </c>
      <c r="L498" s="22">
        <v>0</v>
      </c>
      <c r="M498" s="22">
        <v>1</v>
      </c>
      <c r="N498" s="22">
        <v>0</v>
      </c>
      <c r="O498" s="22"/>
      <c r="P498" s="22">
        <v>50.5</v>
      </c>
      <c r="Q498" s="22" t="str">
        <f>IF(OR(L498&lt;$Y$18,L498&gt;$Y$19),"Outlier","Normal")</f>
        <v>Normal</v>
      </c>
      <c r="R498" s="26" t="str">
        <f>A498&amp;B498&amp;C498&amp;D498&amp;E498&amp;F498&amp;G498&amp;H498&amp;I498&amp;J498&amp;K498&amp;L498&amp;M498&amp;N498&amp;O498&amp;P498</f>
        <v>USR-10049745763ControlEastMobileEmailBasic000001050.5</v>
      </c>
      <c r="S498" s="22" t="str">
        <f>IF(COUNTIF($R$2:$R$1409,R498)=1,"OK",IF(COUNTIF($R$2:$R$1409,R498)&gt;1,"Exact Duplicate","Review Required"))</f>
        <v>OK</v>
      </c>
      <c r="T498" s="22" t="s">
        <v>24</v>
      </c>
      <c r="U498" s="22" t="s">
        <v>20</v>
      </c>
      <c r="V498" s="22"/>
    </row>
    <row r="499" spans="1:22" ht="41.4">
      <c r="A499" s="22" t="s">
        <v>529</v>
      </c>
      <c r="B499" s="25">
        <v>45718</v>
      </c>
      <c r="C499" s="22" t="s">
        <v>17</v>
      </c>
      <c r="D499" s="22" t="s">
        <v>32</v>
      </c>
      <c r="E499" s="22" t="s">
        <v>19</v>
      </c>
      <c r="F499" s="22" t="s">
        <v>25</v>
      </c>
      <c r="G499" s="22" t="s">
        <v>26</v>
      </c>
      <c r="H499" s="22">
        <v>1</v>
      </c>
      <c r="I499" s="22">
        <v>0</v>
      </c>
      <c r="J499" s="22">
        <v>0</v>
      </c>
      <c r="K499" s="22">
        <v>0</v>
      </c>
      <c r="L499" s="22">
        <v>0</v>
      </c>
      <c r="M499" s="22">
        <v>0</v>
      </c>
      <c r="N499" s="22">
        <v>0</v>
      </c>
      <c r="O499" s="22"/>
      <c r="P499" s="22">
        <v>54.9</v>
      </c>
      <c r="Q499" s="22" t="str">
        <f>IF(OR(L499&lt;$Y$18,L499&gt;$Y$19),"Outlier","Normal")</f>
        <v>Normal</v>
      </c>
      <c r="R499" s="26" t="str">
        <f>A499&amp;B499&amp;C499&amp;D499&amp;E499&amp;F499&amp;G499&amp;H499&amp;I499&amp;J499&amp;K499&amp;L499&amp;M499&amp;N499&amp;O499&amp;P499</f>
        <v>USR-10049845718ControlSouthDesktopOrganicFree100000054.9</v>
      </c>
      <c r="S499" s="22" t="str">
        <f>IF(COUNTIF($R$2:$R$1409,R499)=1,"OK",IF(COUNTIF($R$2:$R$1409,R499)&gt;1,"Exact Duplicate","Review Required"))</f>
        <v>OK</v>
      </c>
      <c r="T499" s="22" t="s">
        <v>19</v>
      </c>
      <c r="U499" s="22" t="s">
        <v>25</v>
      </c>
      <c r="V499" s="22"/>
    </row>
    <row r="500" spans="1:22" ht="41.4">
      <c r="A500" s="22" t="s">
        <v>530</v>
      </c>
      <c r="B500" s="25">
        <v>45761</v>
      </c>
      <c r="C500" s="22" t="s">
        <v>17</v>
      </c>
      <c r="D500" s="22" t="s">
        <v>32</v>
      </c>
      <c r="E500" s="22" t="s">
        <v>24</v>
      </c>
      <c r="F500" s="22" t="s">
        <v>41</v>
      </c>
      <c r="G500" s="22" t="s">
        <v>30</v>
      </c>
      <c r="H500" s="22">
        <v>0</v>
      </c>
      <c r="I500" s="22">
        <v>0</v>
      </c>
      <c r="J500" s="22">
        <v>0</v>
      </c>
      <c r="K500" s="22">
        <v>0</v>
      </c>
      <c r="L500" s="22">
        <v>0</v>
      </c>
      <c r="M500" s="22">
        <v>0</v>
      </c>
      <c r="N500" s="22">
        <v>0</v>
      </c>
      <c r="O500" s="22"/>
      <c r="P500" s="22">
        <v>29.9</v>
      </c>
      <c r="Q500" s="22" t="str">
        <f>IF(OR(L500&lt;$Y$18,L500&gt;$Y$19),"Outlier","Normal")</f>
        <v>Normal</v>
      </c>
      <c r="R500" s="26" t="str">
        <f>A500&amp;B500&amp;C500&amp;D500&amp;E500&amp;F500&amp;G500&amp;H500&amp;I500&amp;J500&amp;K500&amp;L500&amp;M500&amp;N500&amp;O500&amp;P500</f>
        <v>USR-10049945761ControlSouthMobileSocialPremium000000029.9</v>
      </c>
      <c r="S500" s="22" t="str">
        <f>IF(COUNTIF($R$2:$R$1409,R500)=1,"OK",IF(COUNTIF($R$2:$R$1409,R500)&gt;1,"Exact Duplicate","Review Required"))</f>
        <v>OK</v>
      </c>
      <c r="T500" s="22" t="s">
        <v>24</v>
      </c>
      <c r="U500" s="22" t="s">
        <v>41</v>
      </c>
      <c r="V500" s="22"/>
    </row>
    <row r="501" spans="1:22" ht="41.4">
      <c r="A501" s="22" t="s">
        <v>531</v>
      </c>
      <c r="B501" s="25">
        <v>45703</v>
      </c>
      <c r="C501" s="22" t="s">
        <v>17</v>
      </c>
      <c r="D501" s="22" t="s">
        <v>28</v>
      </c>
      <c r="E501" s="22" t="s">
        <v>19</v>
      </c>
      <c r="F501" s="22" t="s">
        <v>29</v>
      </c>
      <c r="G501" s="22" t="s">
        <v>21</v>
      </c>
      <c r="H501" s="22">
        <v>0</v>
      </c>
      <c r="I501" s="22">
        <v>0</v>
      </c>
      <c r="J501" s="22">
        <v>0</v>
      </c>
      <c r="K501" s="22">
        <v>0</v>
      </c>
      <c r="L501" s="22">
        <v>0</v>
      </c>
      <c r="M501" s="22">
        <v>0</v>
      </c>
      <c r="N501" s="22">
        <v>0</v>
      </c>
      <c r="O501" s="22"/>
      <c r="P501" s="22">
        <v>48.3</v>
      </c>
      <c r="Q501" s="22" t="str">
        <f>IF(OR(L501&lt;$Y$18,L501&gt;$Y$19),"Outlier","Normal")</f>
        <v>Normal</v>
      </c>
      <c r="R501" s="26" t="str">
        <f>A501&amp;B501&amp;C501&amp;D501&amp;E501&amp;F501&amp;G501&amp;H501&amp;I501&amp;J501&amp;K501&amp;L501&amp;M501&amp;N501&amp;O501&amp;P501</f>
        <v>USR-10050045703ControlEastDesktopPaid SearchBasic000000048.3</v>
      </c>
      <c r="S501" s="22" t="str">
        <f>IF(COUNTIF($R$2:$R$1409,R501)=1,"OK",IF(COUNTIF($R$2:$R$1409,R501)&gt;1,"Exact Duplicate","Review Required"))</f>
        <v>OK</v>
      </c>
      <c r="T501" s="22" t="s">
        <v>19</v>
      </c>
      <c r="U501" s="22" t="s">
        <v>29</v>
      </c>
      <c r="V501" s="22"/>
    </row>
    <row r="502" spans="1:22" ht="41.4">
      <c r="A502" s="22" t="s">
        <v>532</v>
      </c>
      <c r="B502" s="25">
        <v>45701</v>
      </c>
      <c r="C502" s="22" t="s">
        <v>17</v>
      </c>
      <c r="D502" s="22" t="s">
        <v>23</v>
      </c>
      <c r="E502" s="22" t="s">
        <v>24</v>
      </c>
      <c r="F502" s="22" t="s">
        <v>41</v>
      </c>
      <c r="G502" s="22" t="s">
        <v>26</v>
      </c>
      <c r="H502" s="22">
        <v>1</v>
      </c>
      <c r="I502" s="22">
        <v>1</v>
      </c>
      <c r="J502" s="22">
        <v>1</v>
      </c>
      <c r="K502" s="22">
        <v>1</v>
      </c>
      <c r="L502" s="22">
        <v>513.61</v>
      </c>
      <c r="M502" s="22">
        <v>0</v>
      </c>
      <c r="N502" s="22">
        <v>0</v>
      </c>
      <c r="O502" s="22">
        <v>7</v>
      </c>
      <c r="P502" s="22">
        <v>41.3</v>
      </c>
      <c r="Q502" s="22" t="str">
        <f>IF(OR(L502&lt;$Y$18,L502&gt;$Y$19),"Outlier","Normal")</f>
        <v>Normal</v>
      </c>
      <c r="R502" s="26" t="str">
        <f>A502&amp;B502&amp;C502&amp;D502&amp;E502&amp;F502&amp;G502&amp;H502&amp;I502&amp;J502&amp;K502&amp;L502&amp;M502&amp;N502&amp;O502&amp;P502</f>
        <v>USR-10050145701ControlWestMobileSocialFree1111513.6100741.3</v>
      </c>
      <c r="S502" s="22" t="str">
        <f>IF(COUNTIF($R$2:$R$1409,R502)=1,"OK",IF(COUNTIF($R$2:$R$1409,R502)&gt;1,"Exact Duplicate","Review Required"))</f>
        <v>OK</v>
      </c>
      <c r="T502" s="22" t="s">
        <v>24</v>
      </c>
      <c r="U502" s="22" t="s">
        <v>41</v>
      </c>
      <c r="V502" s="22"/>
    </row>
    <row r="503" spans="1:22" ht="41.4">
      <c r="A503" s="22" t="s">
        <v>533</v>
      </c>
      <c r="B503" s="25">
        <v>45722</v>
      </c>
      <c r="C503" s="22" t="s">
        <v>17</v>
      </c>
      <c r="D503" s="22" t="s">
        <v>18</v>
      </c>
      <c r="E503" s="22" t="s">
        <v>24</v>
      </c>
      <c r="F503" s="22" t="s">
        <v>20</v>
      </c>
      <c r="G503" s="22" t="s">
        <v>26</v>
      </c>
      <c r="H503" s="22">
        <v>0</v>
      </c>
      <c r="I503" s="22">
        <v>0</v>
      </c>
      <c r="J503" s="22">
        <v>0</v>
      </c>
      <c r="K503" s="22">
        <v>0</v>
      </c>
      <c r="L503" s="22">
        <v>0</v>
      </c>
      <c r="M503" s="22">
        <v>0</v>
      </c>
      <c r="N503" s="22">
        <v>0</v>
      </c>
      <c r="O503" s="22"/>
      <c r="P503" s="22">
        <v>61.4</v>
      </c>
      <c r="Q503" s="22" t="str">
        <f>IF(OR(L503&lt;$Y$18,L503&gt;$Y$19),"Outlier","Normal")</f>
        <v>Normal</v>
      </c>
      <c r="R503" s="26" t="str">
        <f>A503&amp;B503&amp;C503&amp;D503&amp;E503&amp;F503&amp;G503&amp;H503&amp;I503&amp;J503&amp;K503&amp;L503&amp;M503&amp;N503&amp;O503&amp;P503</f>
        <v>USR-10050245722ControlNorthMobileEmailFree000000061.4</v>
      </c>
      <c r="S503" s="22" t="str">
        <f>IF(COUNTIF($R$2:$R$1409,R503)=1,"OK",IF(COUNTIF($R$2:$R$1409,R503)&gt;1,"Exact Duplicate","Review Required"))</f>
        <v>OK</v>
      </c>
      <c r="T503" s="22" t="s">
        <v>24</v>
      </c>
      <c r="U503" s="22" t="s">
        <v>20</v>
      </c>
      <c r="V503" s="22"/>
    </row>
    <row r="504" spans="1:22" ht="41.4">
      <c r="A504" s="22" t="s">
        <v>534</v>
      </c>
      <c r="B504" s="25">
        <v>45706</v>
      </c>
      <c r="C504" s="22" t="s">
        <v>17</v>
      </c>
      <c r="D504" s="22" t="s">
        <v>32</v>
      </c>
      <c r="E504" s="22" t="s">
        <v>19</v>
      </c>
      <c r="F504" s="22" t="s">
        <v>41</v>
      </c>
      <c r="G504" s="22" t="s">
        <v>26</v>
      </c>
      <c r="H504" s="22">
        <v>0</v>
      </c>
      <c r="I504" s="22">
        <v>0</v>
      </c>
      <c r="J504" s="22">
        <v>0</v>
      </c>
      <c r="K504" s="22">
        <v>0</v>
      </c>
      <c r="L504" s="22">
        <v>0</v>
      </c>
      <c r="M504" s="22">
        <v>0</v>
      </c>
      <c r="N504" s="22">
        <v>0</v>
      </c>
      <c r="O504" s="22"/>
      <c r="P504" s="22">
        <v>57.8</v>
      </c>
      <c r="Q504" s="22" t="str">
        <f>IF(OR(L504&lt;$Y$18,L504&gt;$Y$19),"Outlier","Normal")</f>
        <v>Normal</v>
      </c>
      <c r="R504" s="26" t="str">
        <f>A504&amp;B504&amp;C504&amp;D504&amp;E504&amp;F504&amp;G504&amp;H504&amp;I504&amp;J504&amp;K504&amp;L504&amp;M504&amp;N504&amp;O504&amp;P504</f>
        <v>USR-10050345706ControlSouthDesktopSocialFree000000057.8</v>
      </c>
      <c r="S504" s="22" t="str">
        <f>IF(COUNTIF($R$2:$R$1409,R504)=1,"OK",IF(COUNTIF($R$2:$R$1409,R504)&gt;1,"Exact Duplicate","Review Required"))</f>
        <v>OK</v>
      </c>
      <c r="T504" s="22" t="s">
        <v>19</v>
      </c>
      <c r="U504" s="22" t="s">
        <v>41</v>
      </c>
      <c r="V504" s="22"/>
    </row>
    <row r="505" spans="1:22" ht="41.4">
      <c r="A505" s="22" t="s">
        <v>535</v>
      </c>
      <c r="B505" s="25">
        <v>45754</v>
      </c>
      <c r="C505" s="22" t="s">
        <v>17</v>
      </c>
      <c r="D505" s="22" t="s">
        <v>18</v>
      </c>
      <c r="E505" s="22" t="s">
        <v>19</v>
      </c>
      <c r="F505" s="22" t="s">
        <v>25</v>
      </c>
      <c r="G505" s="22" t="s">
        <v>26</v>
      </c>
      <c r="H505" s="22">
        <v>0</v>
      </c>
      <c r="I505" s="22">
        <v>0</v>
      </c>
      <c r="J505" s="22">
        <v>0</v>
      </c>
      <c r="K505" s="22">
        <v>0</v>
      </c>
      <c r="L505" s="22">
        <v>0</v>
      </c>
      <c r="M505" s="22">
        <v>0</v>
      </c>
      <c r="N505" s="22">
        <v>0</v>
      </c>
      <c r="O505" s="22"/>
      <c r="P505" s="22">
        <v>78.2</v>
      </c>
      <c r="Q505" s="22" t="str">
        <f>IF(OR(L505&lt;$Y$18,L505&gt;$Y$19),"Outlier","Normal")</f>
        <v>Normal</v>
      </c>
      <c r="R505" s="26" t="str">
        <f>A505&amp;B505&amp;C505&amp;D505&amp;E505&amp;F505&amp;G505&amp;H505&amp;I505&amp;J505&amp;K505&amp;L505&amp;M505&amp;N505&amp;O505&amp;P505</f>
        <v>USR-10050445754ControlNorthDesktopOrganicFree000000078.2</v>
      </c>
      <c r="S505" s="22" t="str">
        <f>IF(COUNTIF($R$2:$R$1409,R505)=1,"OK",IF(COUNTIF($R$2:$R$1409,R505)&gt;1,"Exact Duplicate","Review Required"))</f>
        <v>OK</v>
      </c>
      <c r="T505" s="22" t="s">
        <v>19</v>
      </c>
      <c r="U505" s="22" t="s">
        <v>25</v>
      </c>
      <c r="V505" s="22"/>
    </row>
    <row r="506" spans="1:22" ht="41.4">
      <c r="A506" s="22" t="s">
        <v>536</v>
      </c>
      <c r="B506" s="25">
        <v>45753</v>
      </c>
      <c r="C506" s="22" t="s">
        <v>17</v>
      </c>
      <c r="D506" s="22" t="s">
        <v>18</v>
      </c>
      <c r="E506" s="22" t="s">
        <v>24</v>
      </c>
      <c r="F506" s="22" t="s">
        <v>39</v>
      </c>
      <c r="G506" s="22" t="s">
        <v>26</v>
      </c>
      <c r="H506" s="22">
        <v>0</v>
      </c>
      <c r="I506" s="22">
        <v>0</v>
      </c>
      <c r="J506" s="22">
        <v>0</v>
      </c>
      <c r="K506" s="22">
        <v>0</v>
      </c>
      <c r="L506" s="22">
        <v>0</v>
      </c>
      <c r="M506" s="22">
        <v>0</v>
      </c>
      <c r="N506" s="22">
        <v>0</v>
      </c>
      <c r="O506" s="22"/>
      <c r="P506" s="22">
        <v>63.8</v>
      </c>
      <c r="Q506" s="22" t="str">
        <f>IF(OR(L506&lt;$Y$18,L506&gt;$Y$19),"Outlier","Normal")</f>
        <v>Normal</v>
      </c>
      <c r="R506" s="26" t="str">
        <f>A506&amp;B506&amp;C506&amp;D506&amp;E506&amp;F506&amp;G506&amp;H506&amp;I506&amp;J506&amp;K506&amp;L506&amp;M506&amp;N506&amp;O506&amp;P506</f>
        <v>USR-10050545753ControlNorthMobileReferralFree000000063.8</v>
      </c>
      <c r="S506" s="22" t="str">
        <f>IF(COUNTIF($R$2:$R$1409,R506)=1,"OK",IF(COUNTIF($R$2:$R$1409,R506)&gt;1,"Exact Duplicate","Review Required"))</f>
        <v>OK</v>
      </c>
      <c r="T506" s="22" t="s">
        <v>24</v>
      </c>
      <c r="U506" s="22" t="s">
        <v>39</v>
      </c>
      <c r="V506" s="22"/>
    </row>
    <row r="507" spans="1:22" ht="41.4">
      <c r="A507" s="22" t="s">
        <v>537</v>
      </c>
      <c r="B507" s="25">
        <v>45687</v>
      </c>
      <c r="C507" s="22" t="s">
        <v>17</v>
      </c>
      <c r="D507" s="22" t="s">
        <v>18</v>
      </c>
      <c r="E507" s="22" t="s">
        <v>19</v>
      </c>
      <c r="F507" s="22" t="s">
        <v>41</v>
      </c>
      <c r="G507" s="22" t="s">
        <v>26</v>
      </c>
      <c r="H507" s="22">
        <v>1</v>
      </c>
      <c r="I507" s="22">
        <v>0</v>
      </c>
      <c r="J507" s="22">
        <v>0</v>
      </c>
      <c r="K507" s="22">
        <v>0</v>
      </c>
      <c r="L507" s="22">
        <v>0</v>
      </c>
      <c r="M507" s="22">
        <v>0</v>
      </c>
      <c r="N507" s="22">
        <v>0</v>
      </c>
      <c r="O507" s="22"/>
      <c r="P507" s="22">
        <v>56.8</v>
      </c>
      <c r="Q507" s="22" t="str">
        <f>IF(OR(L507&lt;$Y$18,L507&gt;$Y$19),"Outlier","Normal")</f>
        <v>Normal</v>
      </c>
      <c r="R507" s="26" t="str">
        <f>A507&amp;B507&amp;C507&amp;D507&amp;E507&amp;F507&amp;G507&amp;H507&amp;I507&amp;J507&amp;K507&amp;L507&amp;M507&amp;N507&amp;O507&amp;P507</f>
        <v>USR-10050645687ControlNorthDesktopSocialFree100000056.8</v>
      </c>
      <c r="S507" s="22" t="str">
        <f>IF(COUNTIF($R$2:$R$1409,R507)=1,"OK",IF(COUNTIF($R$2:$R$1409,R507)&gt;1,"Exact Duplicate","Review Required"))</f>
        <v>OK</v>
      </c>
      <c r="T507" s="22" t="s">
        <v>19</v>
      </c>
      <c r="U507" s="22" t="s">
        <v>41</v>
      </c>
      <c r="V507" s="22"/>
    </row>
    <row r="508" spans="1:22" ht="41.4">
      <c r="A508" s="22" t="s">
        <v>538</v>
      </c>
      <c r="B508" s="25">
        <v>45790</v>
      </c>
      <c r="C508" s="22" t="s">
        <v>17</v>
      </c>
      <c r="D508" s="22" t="s">
        <v>32</v>
      </c>
      <c r="E508" s="22" t="s">
        <v>19</v>
      </c>
      <c r="F508" s="22" t="s">
        <v>25</v>
      </c>
      <c r="G508" s="22" t="s">
        <v>21</v>
      </c>
      <c r="H508" s="22">
        <v>1</v>
      </c>
      <c r="I508" s="22">
        <v>1</v>
      </c>
      <c r="J508" s="22">
        <v>0</v>
      </c>
      <c r="K508" s="22">
        <v>0</v>
      </c>
      <c r="L508" s="22">
        <v>0</v>
      </c>
      <c r="M508" s="22">
        <v>0</v>
      </c>
      <c r="N508" s="22">
        <v>0</v>
      </c>
      <c r="O508" s="22"/>
      <c r="P508" s="22">
        <v>59.6</v>
      </c>
      <c r="Q508" s="22" t="str">
        <f>IF(OR(L508&lt;$Y$18,L508&gt;$Y$19),"Outlier","Normal")</f>
        <v>Normal</v>
      </c>
      <c r="R508" s="26" t="str">
        <f>A508&amp;B508&amp;C508&amp;D508&amp;E508&amp;F508&amp;G508&amp;H508&amp;I508&amp;J508&amp;K508&amp;L508&amp;M508&amp;N508&amp;O508&amp;P508</f>
        <v>USR-10050745790ControlSouthDesktopOrganicBasic110000059.6</v>
      </c>
      <c r="S508" s="22" t="str">
        <f>IF(COUNTIF($R$2:$R$1409,R508)=1,"OK",IF(COUNTIF($R$2:$R$1409,R508)&gt;1,"Exact Duplicate","Review Required"))</f>
        <v>OK</v>
      </c>
      <c r="T508" s="22" t="s">
        <v>19</v>
      </c>
      <c r="U508" s="22" t="s">
        <v>25</v>
      </c>
      <c r="V508" s="22"/>
    </row>
    <row r="509" spans="1:22" ht="41.4">
      <c r="A509" s="22" t="s">
        <v>539</v>
      </c>
      <c r="B509" s="25">
        <v>45677</v>
      </c>
      <c r="C509" s="22" t="s">
        <v>17</v>
      </c>
      <c r="D509" s="22" t="s">
        <v>23</v>
      </c>
      <c r="E509" s="22" t="s">
        <v>24</v>
      </c>
      <c r="F509" s="22" t="s">
        <v>29</v>
      </c>
      <c r="G509" s="22" t="s">
        <v>30</v>
      </c>
      <c r="H509" s="22">
        <v>1</v>
      </c>
      <c r="I509" s="22">
        <v>1</v>
      </c>
      <c r="J509" s="22">
        <v>0</v>
      </c>
      <c r="K509" s="22">
        <v>0</v>
      </c>
      <c r="L509" s="22">
        <v>0</v>
      </c>
      <c r="M509" s="22">
        <v>0</v>
      </c>
      <c r="N509" s="22">
        <v>0</v>
      </c>
      <c r="O509" s="22"/>
      <c r="P509" s="22">
        <v>50</v>
      </c>
      <c r="Q509" s="22" t="str">
        <f>IF(OR(L509&lt;$Y$18,L509&gt;$Y$19),"Outlier","Normal")</f>
        <v>Normal</v>
      </c>
      <c r="R509" s="26" t="str">
        <f>A509&amp;B509&amp;C509&amp;D509&amp;E509&amp;F509&amp;G509&amp;H509&amp;I509&amp;J509&amp;K509&amp;L509&amp;M509&amp;N509&amp;O509&amp;P509</f>
        <v>USR-10050845677ControlWestMobilePaid SearchPremium110000050</v>
      </c>
      <c r="S509" s="22" t="str">
        <f>IF(COUNTIF($R$2:$R$1409,R509)=1,"OK",IF(COUNTIF($R$2:$R$1409,R509)&gt;1,"Exact Duplicate","Review Required"))</f>
        <v>OK</v>
      </c>
      <c r="T509" s="22" t="s">
        <v>24</v>
      </c>
      <c r="U509" s="22" t="s">
        <v>29</v>
      </c>
      <c r="V509" s="22"/>
    </row>
    <row r="510" spans="1:22" ht="41.4">
      <c r="A510" s="22" t="s">
        <v>540</v>
      </c>
      <c r="B510" s="25">
        <v>45687</v>
      </c>
      <c r="C510" s="22" t="s">
        <v>17</v>
      </c>
      <c r="D510" s="22" t="s">
        <v>18</v>
      </c>
      <c r="E510" s="22" t="s">
        <v>34</v>
      </c>
      <c r="F510" s="22" t="s">
        <v>25</v>
      </c>
      <c r="G510" s="22" t="s">
        <v>26</v>
      </c>
      <c r="H510" s="22">
        <v>1</v>
      </c>
      <c r="I510" s="22">
        <v>0</v>
      </c>
      <c r="J510" s="22">
        <v>0</v>
      </c>
      <c r="K510" s="22">
        <v>0</v>
      </c>
      <c r="L510" s="22">
        <v>0</v>
      </c>
      <c r="M510" s="22">
        <v>0</v>
      </c>
      <c r="N510" s="22">
        <v>0</v>
      </c>
      <c r="O510" s="22"/>
      <c r="P510" s="22">
        <v>35.700000000000003</v>
      </c>
      <c r="Q510" s="22" t="str">
        <f>IF(OR(L510&lt;$Y$18,L510&gt;$Y$19),"Outlier","Normal")</f>
        <v>Normal</v>
      </c>
      <c r="R510" s="26" t="str">
        <f>A510&amp;B510&amp;C510&amp;D510&amp;E510&amp;F510&amp;G510&amp;H510&amp;I510&amp;J510&amp;K510&amp;L510&amp;M510&amp;N510&amp;O510&amp;P510</f>
        <v>USR-10050945687ControlNorthTabletOrganicFree100000035.7</v>
      </c>
      <c r="S510" s="22" t="str">
        <f>IF(COUNTIF($R$2:$R$1409,R510)=1,"OK",IF(COUNTIF($R$2:$R$1409,R510)&gt;1,"Exact Duplicate","Review Required"))</f>
        <v>OK</v>
      </c>
      <c r="T510" s="22" t="s">
        <v>34</v>
      </c>
      <c r="U510" s="22" t="s">
        <v>25</v>
      </c>
      <c r="V510" s="22"/>
    </row>
    <row r="511" spans="1:22" ht="41.4">
      <c r="A511" s="22" t="s">
        <v>541</v>
      </c>
      <c r="B511" s="25">
        <v>45670</v>
      </c>
      <c r="C511" s="22" t="s">
        <v>17</v>
      </c>
      <c r="D511" s="22" t="s">
        <v>32</v>
      </c>
      <c r="E511" s="22" t="s">
        <v>24</v>
      </c>
      <c r="F511" s="22" t="s">
        <v>25</v>
      </c>
      <c r="G511" s="22" t="s">
        <v>26</v>
      </c>
      <c r="H511" s="22">
        <v>0</v>
      </c>
      <c r="I511" s="22">
        <v>0</v>
      </c>
      <c r="J511" s="22">
        <v>0</v>
      </c>
      <c r="K511" s="22">
        <v>0</v>
      </c>
      <c r="L511" s="22">
        <v>0</v>
      </c>
      <c r="M511" s="22">
        <v>2</v>
      </c>
      <c r="N511" s="22">
        <v>0</v>
      </c>
      <c r="O511" s="22"/>
      <c r="P511" s="22">
        <v>47.2</v>
      </c>
      <c r="Q511" s="22" t="str">
        <f>IF(OR(L511&lt;$Y$18,L511&gt;$Y$19),"Outlier","Normal")</f>
        <v>Normal</v>
      </c>
      <c r="R511" s="26" t="str">
        <f>A511&amp;B511&amp;C511&amp;D511&amp;E511&amp;F511&amp;G511&amp;H511&amp;I511&amp;J511&amp;K511&amp;L511&amp;M511&amp;N511&amp;O511&amp;P511</f>
        <v>USR-10051045670ControlSouthMobileOrganicFree000002047.2</v>
      </c>
      <c r="S511" s="22" t="str">
        <f>IF(COUNTIF($R$2:$R$1409,R511)=1,"OK",IF(COUNTIF($R$2:$R$1409,R511)&gt;1,"Exact Duplicate","Review Required"))</f>
        <v>OK</v>
      </c>
      <c r="T511" s="22" t="s">
        <v>24</v>
      </c>
      <c r="U511" s="22" t="s">
        <v>25</v>
      </c>
      <c r="V511" s="22"/>
    </row>
    <row r="512" spans="1:22" ht="41.4">
      <c r="A512" s="22" t="s">
        <v>542</v>
      </c>
      <c r="B512" s="25">
        <v>45699</v>
      </c>
      <c r="C512" s="22" t="s">
        <v>17</v>
      </c>
      <c r="D512" s="22" t="s">
        <v>18</v>
      </c>
      <c r="E512" s="22" t="s">
        <v>24</v>
      </c>
      <c r="F512" s="22" t="s">
        <v>41</v>
      </c>
      <c r="G512" s="22" t="s">
        <v>26</v>
      </c>
      <c r="H512" s="22">
        <v>1</v>
      </c>
      <c r="I512" s="22">
        <v>1</v>
      </c>
      <c r="J512" s="22">
        <v>0</v>
      </c>
      <c r="K512" s="22">
        <v>0</v>
      </c>
      <c r="L512" s="22">
        <v>0</v>
      </c>
      <c r="M512" s="22">
        <v>0</v>
      </c>
      <c r="N512" s="22">
        <v>0</v>
      </c>
      <c r="O512" s="22"/>
      <c r="P512" s="22">
        <v>56.9</v>
      </c>
      <c r="Q512" s="22" t="str">
        <f>IF(OR(L512&lt;$Y$18,L512&gt;$Y$19),"Outlier","Normal")</f>
        <v>Normal</v>
      </c>
      <c r="R512" s="26" t="str">
        <f>A512&amp;B512&amp;C512&amp;D512&amp;E512&amp;F512&amp;G512&amp;H512&amp;I512&amp;J512&amp;K512&amp;L512&amp;M512&amp;N512&amp;O512&amp;P512</f>
        <v>USR-10051145699ControlNorthMobileSocialFree110000056.9</v>
      </c>
      <c r="S512" s="22" t="str">
        <f>IF(COUNTIF($R$2:$R$1409,R512)=1,"OK",IF(COUNTIF($R$2:$R$1409,R512)&gt;1,"Exact Duplicate","Review Required"))</f>
        <v>OK</v>
      </c>
      <c r="T512" s="22" t="s">
        <v>24</v>
      </c>
      <c r="U512" s="22" t="s">
        <v>41</v>
      </c>
      <c r="V512" s="22"/>
    </row>
    <row r="513" spans="1:22" ht="41.4">
      <c r="A513" s="22" t="s">
        <v>543</v>
      </c>
      <c r="B513" s="25">
        <v>45762</v>
      </c>
      <c r="C513" s="22" t="s">
        <v>17</v>
      </c>
      <c r="D513" s="22" t="s">
        <v>32</v>
      </c>
      <c r="E513" s="22" t="s">
        <v>24</v>
      </c>
      <c r="F513" s="22" t="s">
        <v>25</v>
      </c>
      <c r="G513" s="22" t="s">
        <v>26</v>
      </c>
      <c r="H513" s="22">
        <v>0</v>
      </c>
      <c r="I513" s="22">
        <v>0</v>
      </c>
      <c r="J513" s="22">
        <v>0</v>
      </c>
      <c r="K513" s="22">
        <v>0</v>
      </c>
      <c r="L513" s="22">
        <v>0</v>
      </c>
      <c r="M513" s="22">
        <v>1</v>
      </c>
      <c r="N513" s="22">
        <v>0</v>
      </c>
      <c r="O513" s="22"/>
      <c r="P513" s="22">
        <v>57.2</v>
      </c>
      <c r="Q513" s="22" t="str">
        <f>IF(OR(L513&lt;$Y$18,L513&gt;$Y$19),"Outlier","Normal")</f>
        <v>Normal</v>
      </c>
      <c r="R513" s="26" t="str">
        <f>A513&amp;B513&amp;C513&amp;D513&amp;E513&amp;F513&amp;G513&amp;H513&amp;I513&amp;J513&amp;K513&amp;L513&amp;M513&amp;N513&amp;O513&amp;P513</f>
        <v>USR-10051245762ControlSouthMobileOrganicFree000001057.2</v>
      </c>
      <c r="S513" s="22" t="str">
        <f>IF(COUNTIF($R$2:$R$1409,R513)=1,"OK",IF(COUNTIF($R$2:$R$1409,R513)&gt;1,"Exact Duplicate","Review Required"))</f>
        <v>OK</v>
      </c>
      <c r="T513" s="22" t="s">
        <v>24</v>
      </c>
      <c r="U513" s="22" t="s">
        <v>25</v>
      </c>
      <c r="V513" s="22"/>
    </row>
    <row r="514" spans="1:22" ht="41.4">
      <c r="A514" s="22" t="s">
        <v>544</v>
      </c>
      <c r="B514" s="25">
        <v>45701</v>
      </c>
      <c r="C514" s="22" t="s">
        <v>17</v>
      </c>
      <c r="D514" s="22" t="s">
        <v>32</v>
      </c>
      <c r="E514" s="22" t="s">
        <v>24</v>
      </c>
      <c r="F514" s="22" t="s">
        <v>1482</v>
      </c>
      <c r="G514" s="22" t="s">
        <v>26</v>
      </c>
      <c r="H514" s="22">
        <v>1</v>
      </c>
      <c r="I514" s="22">
        <v>1</v>
      </c>
      <c r="J514" s="22">
        <v>0</v>
      </c>
      <c r="K514" s="22">
        <v>0</v>
      </c>
      <c r="L514" s="22">
        <v>0</v>
      </c>
      <c r="M514" s="22">
        <v>0</v>
      </c>
      <c r="N514" s="22">
        <v>0</v>
      </c>
      <c r="O514" s="22"/>
      <c r="P514" s="22">
        <v>31.4</v>
      </c>
      <c r="Q514" s="22" t="str">
        <f>IF(OR(L514&lt;$Y$18,L514&gt;$Y$19),"Outlier","Normal")</f>
        <v>Normal</v>
      </c>
      <c r="R514" s="26" t="str">
        <f>A514&amp;B514&amp;C514&amp;D514&amp;E514&amp;F514&amp;G514&amp;H514&amp;I514&amp;J514&amp;K514&amp;L514&amp;M514&amp;N514&amp;O514&amp;P514</f>
        <v>USR-10051345701ControlSouthMobileUnknownFree110000031.4</v>
      </c>
      <c r="S514" s="22" t="str">
        <f>IF(COUNTIF($R$2:$R$1409,R514)=1,"OK",IF(COUNTIF($R$2:$R$1409,R514)&gt;1,"Exact Duplicate","Review Required"))</f>
        <v>OK</v>
      </c>
      <c r="T514" s="22" t="s">
        <v>24</v>
      </c>
      <c r="U514" s="22"/>
      <c r="V514" s="22"/>
    </row>
    <row r="515" spans="1:22" ht="41.4">
      <c r="A515" s="22" t="s">
        <v>545</v>
      </c>
      <c r="B515" s="25">
        <v>45786</v>
      </c>
      <c r="C515" s="22" t="s">
        <v>17</v>
      </c>
      <c r="D515" s="22" t="s">
        <v>32</v>
      </c>
      <c r="E515" s="22" t="s">
        <v>19</v>
      </c>
      <c r="F515" s="22" t="s">
        <v>25</v>
      </c>
      <c r="G515" s="22" t="s">
        <v>26</v>
      </c>
      <c r="H515" s="22">
        <v>0</v>
      </c>
      <c r="I515" s="22">
        <v>0</v>
      </c>
      <c r="J515" s="22">
        <v>0</v>
      </c>
      <c r="K515" s="22">
        <v>0</v>
      </c>
      <c r="L515" s="22">
        <v>0</v>
      </c>
      <c r="M515" s="22">
        <v>0</v>
      </c>
      <c r="N515" s="22">
        <v>0</v>
      </c>
      <c r="O515" s="22"/>
      <c r="P515" s="22">
        <v>71.2</v>
      </c>
      <c r="Q515" s="22" t="str">
        <f>IF(OR(L515&lt;$Y$18,L515&gt;$Y$19),"Outlier","Normal")</f>
        <v>Normal</v>
      </c>
      <c r="R515" s="26" t="str">
        <f>A515&amp;B515&amp;C515&amp;D515&amp;E515&amp;F515&amp;G515&amp;H515&amp;I515&amp;J515&amp;K515&amp;L515&amp;M515&amp;N515&amp;O515&amp;P515</f>
        <v>USR-10051445786ControlSouthDesktopOrganicFree000000071.2</v>
      </c>
      <c r="S515" s="22" t="str">
        <f>IF(COUNTIF($R$2:$R$1409,R515)=1,"OK",IF(COUNTIF($R$2:$R$1409,R515)&gt;1,"Exact Duplicate","Review Required"))</f>
        <v>OK</v>
      </c>
      <c r="T515" s="22" t="s">
        <v>19</v>
      </c>
      <c r="U515" s="22" t="s">
        <v>25</v>
      </c>
      <c r="V515" s="22"/>
    </row>
    <row r="516" spans="1:22" ht="41.4">
      <c r="A516" s="22" t="s">
        <v>546</v>
      </c>
      <c r="B516" s="25">
        <v>45726</v>
      </c>
      <c r="C516" s="22" t="s">
        <v>17</v>
      </c>
      <c r="D516" s="22" t="s">
        <v>18</v>
      </c>
      <c r="E516" s="22" t="s">
        <v>24</v>
      </c>
      <c r="F516" s="22" t="s">
        <v>29</v>
      </c>
      <c r="G516" s="22" t="s">
        <v>26</v>
      </c>
      <c r="H516" s="22">
        <v>1</v>
      </c>
      <c r="I516" s="22">
        <v>1</v>
      </c>
      <c r="J516" s="22">
        <v>1</v>
      </c>
      <c r="K516" s="22">
        <v>0</v>
      </c>
      <c r="L516" s="22">
        <v>0</v>
      </c>
      <c r="M516" s="22">
        <v>1</v>
      </c>
      <c r="N516" s="22">
        <v>0</v>
      </c>
      <c r="O516" s="22"/>
      <c r="P516" s="22">
        <v>38.299999999999997</v>
      </c>
      <c r="Q516" s="22" t="str">
        <f>IF(OR(L516&lt;$Y$18,L516&gt;$Y$19),"Outlier","Normal")</f>
        <v>Normal</v>
      </c>
      <c r="R516" s="26" t="str">
        <f>A516&amp;B516&amp;C516&amp;D516&amp;E516&amp;F516&amp;G516&amp;H516&amp;I516&amp;J516&amp;K516&amp;L516&amp;M516&amp;N516&amp;O516&amp;P516</f>
        <v>USR-10051545726ControlNorthMobilePaid SearchFree111001038.3</v>
      </c>
      <c r="S516" s="22" t="str">
        <f>IF(COUNTIF($R$2:$R$1409,R516)=1,"OK",IF(COUNTIF($R$2:$R$1409,R516)&gt;1,"Exact Duplicate","Review Required"))</f>
        <v>OK</v>
      </c>
      <c r="T516" s="22" t="s">
        <v>24</v>
      </c>
      <c r="U516" s="22" t="s">
        <v>29</v>
      </c>
      <c r="V516" s="22"/>
    </row>
    <row r="517" spans="1:22" ht="41.4">
      <c r="A517" s="22" t="s">
        <v>547</v>
      </c>
      <c r="B517" s="25">
        <v>45748</v>
      </c>
      <c r="C517" s="22" t="s">
        <v>17</v>
      </c>
      <c r="D517" s="22" t="s">
        <v>18</v>
      </c>
      <c r="E517" s="22" t="s">
        <v>24</v>
      </c>
      <c r="F517" s="22" t="s">
        <v>25</v>
      </c>
      <c r="G517" s="22" t="s">
        <v>26</v>
      </c>
      <c r="H517" s="22">
        <v>1</v>
      </c>
      <c r="I517" s="22">
        <v>1</v>
      </c>
      <c r="J517" s="22">
        <v>0</v>
      </c>
      <c r="K517" s="22">
        <v>0</v>
      </c>
      <c r="L517" s="22">
        <v>0</v>
      </c>
      <c r="M517" s="22">
        <v>0</v>
      </c>
      <c r="N517" s="22">
        <v>0</v>
      </c>
      <c r="O517" s="22"/>
      <c r="P517" s="22">
        <v>63.1</v>
      </c>
      <c r="Q517" s="22" t="str">
        <f>IF(OR(L517&lt;$Y$18,L517&gt;$Y$19),"Outlier","Normal")</f>
        <v>Normal</v>
      </c>
      <c r="R517" s="26" t="str">
        <f>A517&amp;B517&amp;C517&amp;D517&amp;E517&amp;F517&amp;G517&amp;H517&amp;I517&amp;J517&amp;K517&amp;L517&amp;M517&amp;N517&amp;O517&amp;P517</f>
        <v>USR-10051645748ControlNorthMobileOrganicFree110000063.1</v>
      </c>
      <c r="S517" s="22" t="str">
        <f>IF(COUNTIF($R$2:$R$1409,R517)=1,"OK",IF(COUNTIF($R$2:$R$1409,R517)&gt;1,"Exact Duplicate","Review Required"))</f>
        <v>OK</v>
      </c>
      <c r="T517" s="22" t="s">
        <v>24</v>
      </c>
      <c r="U517" s="22" t="s">
        <v>25</v>
      </c>
      <c r="V517" s="22"/>
    </row>
    <row r="518" spans="1:22" ht="41.4">
      <c r="A518" s="22" t="s">
        <v>548</v>
      </c>
      <c r="B518" s="25">
        <v>45792</v>
      </c>
      <c r="C518" s="22" t="s">
        <v>17</v>
      </c>
      <c r="D518" s="22" t="s">
        <v>28</v>
      </c>
      <c r="E518" s="22" t="s">
        <v>24</v>
      </c>
      <c r="F518" s="22" t="s">
        <v>39</v>
      </c>
      <c r="G518" s="22" t="s">
        <v>21</v>
      </c>
      <c r="H518" s="22">
        <v>1</v>
      </c>
      <c r="I518" s="22">
        <v>0</v>
      </c>
      <c r="J518" s="22">
        <v>0</v>
      </c>
      <c r="K518" s="22">
        <v>0</v>
      </c>
      <c r="L518" s="22">
        <v>0</v>
      </c>
      <c r="M518" s="22">
        <v>0</v>
      </c>
      <c r="N518" s="22">
        <v>0</v>
      </c>
      <c r="O518" s="22"/>
      <c r="P518" s="22">
        <v>59.7</v>
      </c>
      <c r="Q518" s="22" t="str">
        <f>IF(OR(L518&lt;$Y$18,L518&gt;$Y$19),"Outlier","Normal")</f>
        <v>Normal</v>
      </c>
      <c r="R518" s="26" t="str">
        <f>A518&amp;B518&amp;C518&amp;D518&amp;E518&amp;F518&amp;G518&amp;H518&amp;I518&amp;J518&amp;K518&amp;L518&amp;M518&amp;N518&amp;O518&amp;P518</f>
        <v>USR-10051745792ControlEastMobileReferralBasic100000059.7</v>
      </c>
      <c r="S518" s="22" t="str">
        <f>IF(COUNTIF($R$2:$R$1409,R518)=1,"OK",IF(COUNTIF($R$2:$R$1409,R518)&gt;1,"Exact Duplicate","Review Required"))</f>
        <v>OK</v>
      </c>
      <c r="T518" s="22" t="s">
        <v>24</v>
      </c>
      <c r="U518" s="22" t="s">
        <v>39</v>
      </c>
      <c r="V518" s="22"/>
    </row>
    <row r="519" spans="1:22" ht="41.4">
      <c r="A519" s="22" t="s">
        <v>549</v>
      </c>
      <c r="B519" s="25">
        <v>45781</v>
      </c>
      <c r="C519" s="22" t="s">
        <v>17</v>
      </c>
      <c r="D519" s="22" t="s">
        <v>32</v>
      </c>
      <c r="E519" s="22" t="s">
        <v>19</v>
      </c>
      <c r="F519" s="22" t="s">
        <v>41</v>
      </c>
      <c r="G519" s="22" t="s">
        <v>30</v>
      </c>
      <c r="H519" s="22">
        <v>1</v>
      </c>
      <c r="I519" s="22">
        <v>1</v>
      </c>
      <c r="J519" s="22">
        <v>1</v>
      </c>
      <c r="K519" s="22">
        <v>0</v>
      </c>
      <c r="L519" s="22">
        <v>0</v>
      </c>
      <c r="M519" s="22">
        <v>0</v>
      </c>
      <c r="N519" s="22">
        <v>0</v>
      </c>
      <c r="O519" s="22"/>
      <c r="P519" s="22">
        <v>59.5</v>
      </c>
      <c r="Q519" s="22" t="str">
        <f>IF(OR(L519&lt;$Y$18,L519&gt;$Y$19),"Outlier","Normal")</f>
        <v>Normal</v>
      </c>
      <c r="R519" s="26" t="str">
        <f>A519&amp;B519&amp;C519&amp;D519&amp;E519&amp;F519&amp;G519&amp;H519&amp;I519&amp;J519&amp;K519&amp;L519&amp;M519&amp;N519&amp;O519&amp;P519</f>
        <v>USR-10051845781ControlSouthDesktopSocialPremium111000059.5</v>
      </c>
      <c r="S519" s="22" t="str">
        <f>IF(COUNTIF($R$2:$R$1409,R519)=1,"OK",IF(COUNTIF($R$2:$R$1409,R519)&gt;1,"Exact Duplicate","Review Required"))</f>
        <v>OK</v>
      </c>
      <c r="T519" s="22" t="s">
        <v>19</v>
      </c>
      <c r="U519" s="22" t="s">
        <v>41</v>
      </c>
      <c r="V519" s="22"/>
    </row>
    <row r="520" spans="1:22" ht="41.4">
      <c r="A520" s="22" t="s">
        <v>550</v>
      </c>
      <c r="B520" s="25">
        <v>45797</v>
      </c>
      <c r="C520" s="22" t="s">
        <v>17</v>
      </c>
      <c r="D520" s="22" t="s">
        <v>28</v>
      </c>
      <c r="E520" s="22" t="s">
        <v>24</v>
      </c>
      <c r="F520" s="22" t="s">
        <v>29</v>
      </c>
      <c r="G520" s="22" t="s">
        <v>26</v>
      </c>
      <c r="H520" s="22">
        <v>0</v>
      </c>
      <c r="I520" s="22">
        <v>0</v>
      </c>
      <c r="J520" s="22">
        <v>0</v>
      </c>
      <c r="K520" s="22">
        <v>0</v>
      </c>
      <c r="L520" s="22">
        <v>0</v>
      </c>
      <c r="M520" s="22">
        <v>0</v>
      </c>
      <c r="N520" s="22">
        <v>0</v>
      </c>
      <c r="O520" s="22"/>
      <c r="P520" s="22">
        <v>78.8</v>
      </c>
      <c r="Q520" s="22" t="str">
        <f>IF(OR(L520&lt;$Y$18,L520&gt;$Y$19),"Outlier","Normal")</f>
        <v>Normal</v>
      </c>
      <c r="R520" s="26" t="str">
        <f>A520&amp;B520&amp;C520&amp;D520&amp;E520&amp;F520&amp;G520&amp;H520&amp;I520&amp;J520&amp;K520&amp;L520&amp;M520&amp;N520&amp;O520&amp;P520</f>
        <v>USR-10051945797ControlEastMobilePaid SearchFree000000078.8</v>
      </c>
      <c r="S520" s="22" t="str">
        <f>IF(COUNTIF($R$2:$R$1409,R520)=1,"OK",IF(COUNTIF($R$2:$R$1409,R520)&gt;1,"Exact Duplicate","Review Required"))</f>
        <v>OK</v>
      </c>
      <c r="T520" s="22" t="s">
        <v>24</v>
      </c>
      <c r="U520" s="22" t="s">
        <v>29</v>
      </c>
      <c r="V520" s="22"/>
    </row>
    <row r="521" spans="1:22" ht="41.4">
      <c r="A521" s="22" t="s">
        <v>551</v>
      </c>
      <c r="B521" s="25">
        <v>45793</v>
      </c>
      <c r="C521" s="22" t="s">
        <v>17</v>
      </c>
      <c r="D521" s="22" t="s">
        <v>23</v>
      </c>
      <c r="E521" s="22" t="s">
        <v>19</v>
      </c>
      <c r="F521" s="22" t="s">
        <v>39</v>
      </c>
      <c r="G521" s="22" t="s">
        <v>26</v>
      </c>
      <c r="H521" s="22">
        <v>0</v>
      </c>
      <c r="I521" s="22">
        <v>0</v>
      </c>
      <c r="J521" s="22">
        <v>0</v>
      </c>
      <c r="K521" s="22">
        <v>0</v>
      </c>
      <c r="L521" s="22">
        <v>0</v>
      </c>
      <c r="M521" s="22">
        <v>0</v>
      </c>
      <c r="N521" s="22">
        <v>0</v>
      </c>
      <c r="O521" s="22"/>
      <c r="P521" s="22">
        <v>54</v>
      </c>
      <c r="Q521" s="22" t="str">
        <f>IF(OR(L521&lt;$Y$18,L521&gt;$Y$19),"Outlier","Normal")</f>
        <v>Normal</v>
      </c>
      <c r="R521" s="26" t="str">
        <f>A521&amp;B521&amp;C521&amp;D521&amp;E521&amp;F521&amp;G521&amp;H521&amp;I521&amp;J521&amp;K521&amp;L521&amp;M521&amp;N521&amp;O521&amp;P521</f>
        <v>USR-10052045793ControlWestDesktopReferralFree000000054</v>
      </c>
      <c r="S521" s="22" t="str">
        <f>IF(COUNTIF($R$2:$R$1409,R521)=1,"OK",IF(COUNTIF($R$2:$R$1409,R521)&gt;1,"Exact Duplicate","Review Required"))</f>
        <v>OK</v>
      </c>
      <c r="T521" s="22" t="s">
        <v>19</v>
      </c>
      <c r="U521" s="22" t="s">
        <v>39</v>
      </c>
      <c r="V521" s="22"/>
    </row>
    <row r="522" spans="1:22" ht="41.4">
      <c r="A522" s="22" t="s">
        <v>552</v>
      </c>
      <c r="B522" s="25">
        <v>45733</v>
      </c>
      <c r="C522" s="22" t="s">
        <v>17</v>
      </c>
      <c r="D522" s="22" t="s">
        <v>23</v>
      </c>
      <c r="E522" s="22" t="s">
        <v>24</v>
      </c>
      <c r="F522" s="22" t="s">
        <v>25</v>
      </c>
      <c r="G522" s="22" t="s">
        <v>26</v>
      </c>
      <c r="H522" s="22">
        <v>1</v>
      </c>
      <c r="I522" s="22">
        <v>0</v>
      </c>
      <c r="J522" s="22">
        <v>0</v>
      </c>
      <c r="K522" s="22">
        <v>0</v>
      </c>
      <c r="L522" s="22">
        <v>0</v>
      </c>
      <c r="M522" s="22">
        <v>0</v>
      </c>
      <c r="N522" s="22">
        <v>0</v>
      </c>
      <c r="O522" s="22"/>
      <c r="P522" s="22">
        <v>66.3</v>
      </c>
      <c r="Q522" s="22" t="str">
        <f>IF(OR(L522&lt;$Y$18,L522&gt;$Y$19),"Outlier","Normal")</f>
        <v>Normal</v>
      </c>
      <c r="R522" s="26" t="str">
        <f>A522&amp;B522&amp;C522&amp;D522&amp;E522&amp;F522&amp;G522&amp;H522&amp;I522&amp;J522&amp;K522&amp;L522&amp;M522&amp;N522&amp;O522&amp;P522</f>
        <v>USR-10052145733ControlWestMobileOrganicFree100000066.3</v>
      </c>
      <c r="S522" s="22" t="str">
        <f>IF(COUNTIF($R$2:$R$1409,R522)=1,"OK",IF(COUNTIF($R$2:$R$1409,R522)&gt;1,"Exact Duplicate","Review Required"))</f>
        <v>OK</v>
      </c>
      <c r="T522" s="22" t="s">
        <v>24</v>
      </c>
      <c r="U522" s="22" t="s">
        <v>25</v>
      </c>
      <c r="V522" s="22"/>
    </row>
    <row r="523" spans="1:22" ht="41.4">
      <c r="A523" s="22" t="s">
        <v>553</v>
      </c>
      <c r="B523" s="25">
        <v>45684</v>
      </c>
      <c r="C523" s="22" t="s">
        <v>17</v>
      </c>
      <c r="D523" s="22" t="s">
        <v>28</v>
      </c>
      <c r="E523" s="22" t="s">
        <v>34</v>
      </c>
      <c r="F523" s="22" t="s">
        <v>29</v>
      </c>
      <c r="G523" s="22" t="s">
        <v>26</v>
      </c>
      <c r="H523" s="22">
        <v>1</v>
      </c>
      <c r="I523" s="22">
        <v>1</v>
      </c>
      <c r="J523" s="22">
        <v>0</v>
      </c>
      <c r="K523" s="22">
        <v>0</v>
      </c>
      <c r="L523" s="22">
        <v>0</v>
      </c>
      <c r="M523" s="22">
        <v>0</v>
      </c>
      <c r="N523" s="22">
        <v>0</v>
      </c>
      <c r="O523" s="22"/>
      <c r="P523" s="22">
        <v>54.7</v>
      </c>
      <c r="Q523" s="22" t="str">
        <f>IF(OR(L523&lt;$Y$18,L523&gt;$Y$19),"Outlier","Normal")</f>
        <v>Normal</v>
      </c>
      <c r="R523" s="26" t="str">
        <f>A523&amp;B523&amp;C523&amp;D523&amp;E523&amp;F523&amp;G523&amp;H523&amp;I523&amp;J523&amp;K523&amp;L523&amp;M523&amp;N523&amp;O523&amp;P523</f>
        <v>USR-10052245684ControlEastTabletPaid SearchFree110000054.7</v>
      </c>
      <c r="S523" s="22" t="str">
        <f>IF(COUNTIF($R$2:$R$1409,R523)=1,"OK",IF(COUNTIF($R$2:$R$1409,R523)&gt;1,"Exact Duplicate","Review Required"))</f>
        <v>OK</v>
      </c>
      <c r="T523" s="22" t="s">
        <v>34</v>
      </c>
      <c r="U523" s="22" t="s">
        <v>29</v>
      </c>
      <c r="V523" s="22"/>
    </row>
    <row r="524" spans="1:22" ht="41.4">
      <c r="A524" s="22" t="s">
        <v>554</v>
      </c>
      <c r="B524" s="25">
        <v>45760</v>
      </c>
      <c r="C524" s="22" t="s">
        <v>17</v>
      </c>
      <c r="D524" s="22" t="s">
        <v>32</v>
      </c>
      <c r="E524" s="22" t="s">
        <v>24</v>
      </c>
      <c r="F524" s="22" t="s">
        <v>25</v>
      </c>
      <c r="G524" s="22" t="s">
        <v>21</v>
      </c>
      <c r="H524" s="22">
        <v>1</v>
      </c>
      <c r="I524" s="22">
        <v>0</v>
      </c>
      <c r="J524" s="22">
        <v>0</v>
      </c>
      <c r="K524" s="22">
        <v>0</v>
      </c>
      <c r="L524" s="22">
        <v>0</v>
      </c>
      <c r="M524" s="22">
        <v>0</v>
      </c>
      <c r="N524" s="22">
        <v>0</v>
      </c>
      <c r="O524" s="22"/>
      <c r="P524" s="22">
        <v>76.7</v>
      </c>
      <c r="Q524" s="22" t="str">
        <f>IF(OR(L524&lt;$Y$18,L524&gt;$Y$19),"Outlier","Normal")</f>
        <v>Normal</v>
      </c>
      <c r="R524" s="26" t="str">
        <f>A524&amp;B524&amp;C524&amp;D524&amp;E524&amp;F524&amp;G524&amp;H524&amp;I524&amp;J524&amp;K524&amp;L524&amp;M524&amp;N524&amp;O524&amp;P524</f>
        <v>USR-10052345760ControlSouthMobileOrganicBasic100000076.7</v>
      </c>
      <c r="S524" s="22" t="str">
        <f>IF(COUNTIF($R$2:$R$1409,R524)=1,"OK",IF(COUNTIF($R$2:$R$1409,R524)&gt;1,"Exact Duplicate","Review Required"))</f>
        <v>OK</v>
      </c>
      <c r="T524" s="22" t="s">
        <v>24</v>
      </c>
      <c r="U524" s="22" t="s">
        <v>25</v>
      </c>
      <c r="V524" s="22"/>
    </row>
    <row r="525" spans="1:22" ht="41.4">
      <c r="A525" s="22" t="s">
        <v>555</v>
      </c>
      <c r="B525" s="25">
        <v>45780</v>
      </c>
      <c r="C525" s="22" t="s">
        <v>17</v>
      </c>
      <c r="D525" s="22" t="s">
        <v>32</v>
      </c>
      <c r="E525" s="22" t="s">
        <v>19</v>
      </c>
      <c r="F525" s="22" t="s">
        <v>20</v>
      </c>
      <c r="G525" s="22" t="s">
        <v>21</v>
      </c>
      <c r="H525" s="22">
        <v>1</v>
      </c>
      <c r="I525" s="22">
        <v>0</v>
      </c>
      <c r="J525" s="22">
        <v>0</v>
      </c>
      <c r="K525" s="22">
        <v>0</v>
      </c>
      <c r="L525" s="22">
        <v>0</v>
      </c>
      <c r="M525" s="22">
        <v>2</v>
      </c>
      <c r="N525" s="22">
        <v>0</v>
      </c>
      <c r="O525" s="22"/>
      <c r="P525" s="22">
        <v>47.4</v>
      </c>
      <c r="Q525" s="22" t="str">
        <f>IF(OR(L525&lt;$Y$18,L525&gt;$Y$19),"Outlier","Normal")</f>
        <v>Normal</v>
      </c>
      <c r="R525" s="26" t="str">
        <f>A525&amp;B525&amp;C525&amp;D525&amp;E525&amp;F525&amp;G525&amp;H525&amp;I525&amp;J525&amp;K525&amp;L525&amp;M525&amp;N525&amp;O525&amp;P525</f>
        <v>USR-10052445780ControlSouthDesktopEmailBasic100002047.4</v>
      </c>
      <c r="S525" s="22" t="str">
        <f>IF(COUNTIF($R$2:$R$1409,R525)=1,"OK",IF(COUNTIF($R$2:$R$1409,R525)&gt;1,"Exact Duplicate","Review Required"))</f>
        <v>OK</v>
      </c>
      <c r="T525" s="22" t="s">
        <v>19</v>
      </c>
      <c r="U525" s="22" t="s">
        <v>20</v>
      </c>
      <c r="V525" s="22"/>
    </row>
    <row r="526" spans="1:22" ht="41.4">
      <c r="A526" s="22" t="s">
        <v>556</v>
      </c>
      <c r="B526" s="25">
        <v>45746</v>
      </c>
      <c r="C526" s="22" t="s">
        <v>17</v>
      </c>
      <c r="D526" s="22" t="s">
        <v>18</v>
      </c>
      <c r="E526" s="22" t="s">
        <v>24</v>
      </c>
      <c r="F526" s="22" t="s">
        <v>25</v>
      </c>
      <c r="G526" s="22" t="s">
        <v>26</v>
      </c>
      <c r="H526" s="22">
        <v>1</v>
      </c>
      <c r="I526" s="22">
        <v>1</v>
      </c>
      <c r="J526" s="22">
        <v>1</v>
      </c>
      <c r="K526" s="22">
        <v>0</v>
      </c>
      <c r="L526" s="22">
        <v>0</v>
      </c>
      <c r="M526" s="22">
        <v>0</v>
      </c>
      <c r="N526" s="22">
        <v>0</v>
      </c>
      <c r="O526" s="22"/>
      <c r="P526" s="22">
        <v>81.7</v>
      </c>
      <c r="Q526" s="22" t="str">
        <f>IF(OR(L526&lt;$Y$18,L526&gt;$Y$19),"Outlier","Normal")</f>
        <v>Normal</v>
      </c>
      <c r="R526" s="26" t="str">
        <f>A526&amp;B526&amp;C526&amp;D526&amp;E526&amp;F526&amp;G526&amp;H526&amp;I526&amp;J526&amp;K526&amp;L526&amp;M526&amp;N526&amp;O526&amp;P526</f>
        <v>USR-10052545746ControlNorthMobileOrganicFree111000081.7</v>
      </c>
      <c r="S526" s="22" t="str">
        <f>IF(COUNTIF($R$2:$R$1409,R526)=1,"OK",IF(COUNTIF($R$2:$R$1409,R526)&gt;1,"Exact Duplicate","Review Required"))</f>
        <v>OK</v>
      </c>
      <c r="T526" s="22" t="s">
        <v>24</v>
      </c>
      <c r="U526" s="22" t="s">
        <v>25</v>
      </c>
      <c r="V526" s="22"/>
    </row>
    <row r="527" spans="1:22" ht="41.4">
      <c r="A527" s="22" t="s">
        <v>557</v>
      </c>
      <c r="B527" s="25">
        <v>45658</v>
      </c>
      <c r="C527" s="22" t="s">
        <v>17</v>
      </c>
      <c r="D527" s="22" t="s">
        <v>23</v>
      </c>
      <c r="E527" s="22" t="s">
        <v>24</v>
      </c>
      <c r="F527" s="22" t="s">
        <v>29</v>
      </c>
      <c r="G527" s="22" t="s">
        <v>21</v>
      </c>
      <c r="H527" s="22">
        <v>1</v>
      </c>
      <c r="I527" s="22">
        <v>1</v>
      </c>
      <c r="J527" s="22">
        <v>1</v>
      </c>
      <c r="K527" s="22">
        <v>0</v>
      </c>
      <c r="L527" s="22">
        <v>0</v>
      </c>
      <c r="M527" s="22">
        <v>0</v>
      </c>
      <c r="N527" s="22">
        <v>0</v>
      </c>
      <c r="O527" s="22"/>
      <c r="P527" s="22">
        <v>67.5</v>
      </c>
      <c r="Q527" s="22" t="str">
        <f>IF(OR(L527&lt;$Y$18,L527&gt;$Y$19),"Outlier","Normal")</f>
        <v>Normal</v>
      </c>
      <c r="R527" s="26" t="str">
        <f>A527&amp;B527&amp;C527&amp;D527&amp;E527&amp;F527&amp;G527&amp;H527&amp;I527&amp;J527&amp;K527&amp;L527&amp;M527&amp;N527&amp;O527&amp;P527</f>
        <v>USR-10052645658ControlWestMobilePaid SearchBasic111000067.5</v>
      </c>
      <c r="S527" s="22" t="str">
        <f>IF(COUNTIF($R$2:$R$1409,R527)=1,"OK",IF(COUNTIF($R$2:$R$1409,R527)&gt;1,"Exact Duplicate","Review Required"))</f>
        <v>OK</v>
      </c>
      <c r="T527" s="22" t="s">
        <v>24</v>
      </c>
      <c r="U527" s="22" t="s">
        <v>29</v>
      </c>
      <c r="V527" s="22"/>
    </row>
    <row r="528" spans="1:22" ht="41.4">
      <c r="A528" s="22" t="s">
        <v>558</v>
      </c>
      <c r="B528" s="25">
        <v>45694</v>
      </c>
      <c r="C528" s="22" t="s">
        <v>17</v>
      </c>
      <c r="D528" s="22" t="s">
        <v>23</v>
      </c>
      <c r="E528" s="22" t="s">
        <v>24</v>
      </c>
      <c r="F528" s="22" t="s">
        <v>29</v>
      </c>
      <c r="G528" s="22" t="s">
        <v>21</v>
      </c>
      <c r="H528" s="22">
        <v>1</v>
      </c>
      <c r="I528" s="22">
        <v>0</v>
      </c>
      <c r="J528" s="22">
        <v>0</v>
      </c>
      <c r="K528" s="22">
        <v>0</v>
      </c>
      <c r="L528" s="22">
        <v>0</v>
      </c>
      <c r="M528" s="22">
        <v>0</v>
      </c>
      <c r="N528" s="22">
        <v>0</v>
      </c>
      <c r="O528" s="22"/>
      <c r="P528" s="22">
        <v>36.799999999999997</v>
      </c>
      <c r="Q528" s="22" t="str">
        <f>IF(OR(L528&lt;$Y$18,L528&gt;$Y$19),"Outlier","Normal")</f>
        <v>Normal</v>
      </c>
      <c r="R528" s="26" t="str">
        <f>A528&amp;B528&amp;C528&amp;D528&amp;E528&amp;F528&amp;G528&amp;H528&amp;I528&amp;J528&amp;K528&amp;L528&amp;M528&amp;N528&amp;O528&amp;P528</f>
        <v>USR-10052745694ControlWestMobilePaid SearchBasic100000036.8</v>
      </c>
      <c r="S528" s="22" t="str">
        <f>IF(COUNTIF($R$2:$R$1409,R528)=1,"OK",IF(COUNTIF($R$2:$R$1409,R528)&gt;1,"Exact Duplicate","Review Required"))</f>
        <v>OK</v>
      </c>
      <c r="T528" s="22" t="s">
        <v>24</v>
      </c>
      <c r="U528" s="22" t="s">
        <v>29</v>
      </c>
      <c r="V528" s="22"/>
    </row>
    <row r="529" spans="1:22" ht="41.4">
      <c r="A529" s="22" t="s">
        <v>559</v>
      </c>
      <c r="B529" s="25">
        <v>45713</v>
      </c>
      <c r="C529" s="22" t="s">
        <v>17</v>
      </c>
      <c r="D529" s="22" t="s">
        <v>18</v>
      </c>
      <c r="E529" s="22" t="s">
        <v>19</v>
      </c>
      <c r="F529" s="22" t="s">
        <v>25</v>
      </c>
      <c r="G529" s="22" t="s">
        <v>26</v>
      </c>
      <c r="H529" s="22">
        <v>0</v>
      </c>
      <c r="I529" s="22">
        <v>0</v>
      </c>
      <c r="J529" s="22">
        <v>0</v>
      </c>
      <c r="K529" s="22">
        <v>0</v>
      </c>
      <c r="L529" s="22">
        <v>0</v>
      </c>
      <c r="M529" s="22">
        <v>0</v>
      </c>
      <c r="N529" s="22">
        <v>0</v>
      </c>
      <c r="O529" s="22"/>
      <c r="P529" s="22">
        <v>66.5</v>
      </c>
      <c r="Q529" s="22" t="str">
        <f>IF(OR(L529&lt;$Y$18,L529&gt;$Y$19),"Outlier","Normal")</f>
        <v>Normal</v>
      </c>
      <c r="R529" s="26" t="str">
        <f>A529&amp;B529&amp;C529&amp;D529&amp;E529&amp;F529&amp;G529&amp;H529&amp;I529&amp;J529&amp;K529&amp;L529&amp;M529&amp;N529&amp;O529&amp;P529</f>
        <v>USR-10052845713ControlNorthDesktopOrganicFree000000066.5</v>
      </c>
      <c r="S529" s="22" t="str">
        <f>IF(COUNTIF($R$2:$R$1409,R529)=1,"OK",IF(COUNTIF($R$2:$R$1409,R529)&gt;1,"Exact Duplicate","Review Required"))</f>
        <v>OK</v>
      </c>
      <c r="T529" s="22" t="s">
        <v>19</v>
      </c>
      <c r="U529" s="22" t="s">
        <v>25</v>
      </c>
      <c r="V529" s="22"/>
    </row>
    <row r="530" spans="1:22" ht="41.4">
      <c r="A530" s="22" t="s">
        <v>560</v>
      </c>
      <c r="B530" s="25">
        <v>45791</v>
      </c>
      <c r="C530" s="22" t="s">
        <v>17</v>
      </c>
      <c r="D530" s="22" t="s">
        <v>28</v>
      </c>
      <c r="E530" s="22" t="s">
        <v>34</v>
      </c>
      <c r="F530" s="22" t="s">
        <v>41</v>
      </c>
      <c r="G530" s="22" t="s">
        <v>26</v>
      </c>
      <c r="H530" s="22">
        <v>1</v>
      </c>
      <c r="I530" s="22">
        <v>0</v>
      </c>
      <c r="J530" s="22">
        <v>0</v>
      </c>
      <c r="K530" s="22">
        <v>0</v>
      </c>
      <c r="L530" s="22">
        <v>0</v>
      </c>
      <c r="M530" s="22">
        <v>0</v>
      </c>
      <c r="N530" s="22">
        <v>0</v>
      </c>
      <c r="O530" s="22"/>
      <c r="P530" s="22">
        <v>35.4</v>
      </c>
      <c r="Q530" s="22" t="str">
        <f>IF(OR(L530&lt;$Y$18,L530&gt;$Y$19),"Outlier","Normal")</f>
        <v>Normal</v>
      </c>
      <c r="R530" s="26" t="str">
        <f>A530&amp;B530&amp;C530&amp;D530&amp;E530&amp;F530&amp;G530&amp;H530&amp;I530&amp;J530&amp;K530&amp;L530&amp;M530&amp;N530&amp;O530&amp;P530</f>
        <v>USR-10052945791ControlEastTabletSocialFree100000035.4</v>
      </c>
      <c r="S530" s="22" t="str">
        <f>IF(COUNTIF($R$2:$R$1409,R530)=1,"OK",IF(COUNTIF($R$2:$R$1409,R530)&gt;1,"Exact Duplicate","Review Required"))</f>
        <v>OK</v>
      </c>
      <c r="T530" s="22" t="s">
        <v>34</v>
      </c>
      <c r="U530" s="22" t="s">
        <v>41</v>
      </c>
      <c r="V530" s="22"/>
    </row>
    <row r="531" spans="1:22" ht="41.4">
      <c r="A531" s="22" t="s">
        <v>561</v>
      </c>
      <c r="B531" s="25">
        <v>45797</v>
      </c>
      <c r="C531" s="22" t="s">
        <v>17</v>
      </c>
      <c r="D531" s="22" t="s">
        <v>32</v>
      </c>
      <c r="E531" s="22" t="s">
        <v>24</v>
      </c>
      <c r="F531" s="22" t="s">
        <v>25</v>
      </c>
      <c r="G531" s="22" t="s">
        <v>21</v>
      </c>
      <c r="H531" s="22">
        <v>0</v>
      </c>
      <c r="I531" s="22">
        <v>0</v>
      </c>
      <c r="J531" s="22">
        <v>0</v>
      </c>
      <c r="K531" s="22">
        <v>0</v>
      </c>
      <c r="L531" s="22">
        <v>0</v>
      </c>
      <c r="M531" s="22">
        <v>0</v>
      </c>
      <c r="N531" s="22">
        <v>0</v>
      </c>
      <c r="O531" s="22"/>
      <c r="P531" s="22">
        <v>64.3</v>
      </c>
      <c r="Q531" s="22" t="str">
        <f>IF(OR(L531&lt;$Y$18,L531&gt;$Y$19),"Outlier","Normal")</f>
        <v>Normal</v>
      </c>
      <c r="R531" s="26" t="str">
        <f>A531&amp;B531&amp;C531&amp;D531&amp;E531&amp;F531&amp;G531&amp;H531&amp;I531&amp;J531&amp;K531&amp;L531&amp;M531&amp;N531&amp;O531&amp;P531</f>
        <v>USR-10053045797ControlSouthMobileOrganicBasic000000064.3</v>
      </c>
      <c r="S531" s="22" t="str">
        <f>IF(COUNTIF($R$2:$R$1409,R531)=1,"OK",IF(COUNTIF($R$2:$R$1409,R531)&gt;1,"Exact Duplicate","Review Required"))</f>
        <v>OK</v>
      </c>
      <c r="T531" s="22" t="s">
        <v>24</v>
      </c>
      <c r="U531" s="22" t="s">
        <v>25</v>
      </c>
      <c r="V531" s="22"/>
    </row>
    <row r="532" spans="1:22" ht="41.4">
      <c r="A532" s="22" t="s">
        <v>562</v>
      </c>
      <c r="B532" s="25">
        <v>45699</v>
      </c>
      <c r="C532" s="22" t="s">
        <v>17</v>
      </c>
      <c r="D532" s="22" t="s">
        <v>32</v>
      </c>
      <c r="E532" s="22" t="s">
        <v>24</v>
      </c>
      <c r="F532" s="22" t="s">
        <v>25</v>
      </c>
      <c r="G532" s="22" t="s">
        <v>26</v>
      </c>
      <c r="H532" s="22">
        <v>0</v>
      </c>
      <c r="I532" s="22">
        <v>0</v>
      </c>
      <c r="J532" s="22">
        <v>0</v>
      </c>
      <c r="K532" s="22">
        <v>0</v>
      </c>
      <c r="L532" s="22">
        <v>0</v>
      </c>
      <c r="M532" s="22">
        <v>0</v>
      </c>
      <c r="N532" s="22">
        <v>0</v>
      </c>
      <c r="O532" s="22"/>
      <c r="P532" s="22">
        <v>49.1</v>
      </c>
      <c r="Q532" s="22" t="str">
        <f>IF(OR(L532&lt;$Y$18,L532&gt;$Y$19),"Outlier","Normal")</f>
        <v>Normal</v>
      </c>
      <c r="R532" s="26" t="str">
        <f>A532&amp;B532&amp;C532&amp;D532&amp;E532&amp;F532&amp;G532&amp;H532&amp;I532&amp;J532&amp;K532&amp;L532&amp;M532&amp;N532&amp;O532&amp;P532</f>
        <v>USR-10053145699ControlSouthMobileOrganicFree000000049.1</v>
      </c>
      <c r="S532" s="22" t="str">
        <f>IF(COUNTIF($R$2:$R$1409,R532)=1,"OK",IF(COUNTIF($R$2:$R$1409,R532)&gt;1,"Exact Duplicate","Review Required"))</f>
        <v>OK</v>
      </c>
      <c r="T532" s="22" t="s">
        <v>24</v>
      </c>
      <c r="U532" s="22" t="s">
        <v>25</v>
      </c>
      <c r="V532" s="22"/>
    </row>
    <row r="533" spans="1:22" ht="41.4">
      <c r="A533" s="22" t="s">
        <v>563</v>
      </c>
      <c r="B533" s="25">
        <v>45701</v>
      </c>
      <c r="C533" s="22" t="s">
        <v>17</v>
      </c>
      <c r="D533" s="22" t="s">
        <v>23</v>
      </c>
      <c r="E533" s="22" t="s">
        <v>24</v>
      </c>
      <c r="F533" s="22" t="s">
        <v>25</v>
      </c>
      <c r="G533" s="22" t="s">
        <v>26</v>
      </c>
      <c r="H533" s="22">
        <v>1</v>
      </c>
      <c r="I533" s="22">
        <v>0</v>
      </c>
      <c r="J533" s="22">
        <v>0</v>
      </c>
      <c r="K533" s="22">
        <v>0</v>
      </c>
      <c r="L533" s="22">
        <v>0</v>
      </c>
      <c r="M533" s="22">
        <v>0</v>
      </c>
      <c r="N533" s="22">
        <v>0</v>
      </c>
      <c r="O533" s="22"/>
      <c r="P533" s="22">
        <v>84.3</v>
      </c>
      <c r="Q533" s="22" t="str">
        <f>IF(OR(L533&lt;$Y$18,L533&gt;$Y$19),"Outlier","Normal")</f>
        <v>Normal</v>
      </c>
      <c r="R533" s="26" t="str">
        <f>A533&amp;B533&amp;C533&amp;D533&amp;E533&amp;F533&amp;G533&amp;H533&amp;I533&amp;J533&amp;K533&amp;L533&amp;M533&amp;N533&amp;O533&amp;P533</f>
        <v>USR-10053245701ControlWestMobileOrganicFree100000084.3</v>
      </c>
      <c r="S533" s="22" t="str">
        <f>IF(COUNTIF($R$2:$R$1409,R533)=1,"OK",IF(COUNTIF($R$2:$R$1409,R533)&gt;1,"Exact Duplicate","Review Required"))</f>
        <v>OK</v>
      </c>
      <c r="T533" s="22" t="s">
        <v>24</v>
      </c>
      <c r="U533" s="22" t="s">
        <v>25</v>
      </c>
      <c r="V533" s="22"/>
    </row>
    <row r="534" spans="1:22" ht="41.4">
      <c r="A534" s="22" t="s">
        <v>564</v>
      </c>
      <c r="B534" s="25">
        <v>45754</v>
      </c>
      <c r="C534" s="22" t="s">
        <v>17</v>
      </c>
      <c r="D534" s="22" t="s">
        <v>32</v>
      </c>
      <c r="E534" s="22" t="s">
        <v>24</v>
      </c>
      <c r="F534" s="22" t="s">
        <v>29</v>
      </c>
      <c r="G534" s="22" t="s">
        <v>30</v>
      </c>
      <c r="H534" s="22">
        <v>1</v>
      </c>
      <c r="I534" s="22">
        <v>0</v>
      </c>
      <c r="J534" s="22">
        <v>0</v>
      </c>
      <c r="K534" s="22">
        <v>0</v>
      </c>
      <c r="L534" s="22">
        <v>0</v>
      </c>
      <c r="M534" s="22">
        <v>0</v>
      </c>
      <c r="N534" s="22">
        <v>0</v>
      </c>
      <c r="O534" s="22"/>
      <c r="P534" s="22">
        <v>65.599999999999994</v>
      </c>
      <c r="Q534" s="22" t="str">
        <f>IF(OR(L534&lt;$Y$18,L534&gt;$Y$19),"Outlier","Normal")</f>
        <v>Normal</v>
      </c>
      <c r="R534" s="26" t="str">
        <f>A534&amp;B534&amp;C534&amp;D534&amp;E534&amp;F534&amp;G534&amp;H534&amp;I534&amp;J534&amp;K534&amp;L534&amp;M534&amp;N534&amp;O534&amp;P534</f>
        <v>USR-10053345754ControlSouthMobilePaid SearchPremium100000065.6</v>
      </c>
      <c r="S534" s="22" t="str">
        <f>IF(COUNTIF($R$2:$R$1409,R534)=1,"OK",IF(COUNTIF($R$2:$R$1409,R534)&gt;1,"Exact Duplicate","Review Required"))</f>
        <v>OK</v>
      </c>
      <c r="T534" s="22" t="s">
        <v>24</v>
      </c>
      <c r="U534" s="22" t="s">
        <v>29</v>
      </c>
      <c r="V534" s="22"/>
    </row>
    <row r="535" spans="1:22" ht="41.4">
      <c r="A535" s="22" t="s">
        <v>565</v>
      </c>
      <c r="B535" s="25">
        <v>45724</v>
      </c>
      <c r="C535" s="22" t="s">
        <v>17</v>
      </c>
      <c r="D535" s="22" t="s">
        <v>28</v>
      </c>
      <c r="E535" s="22" t="s">
        <v>24</v>
      </c>
      <c r="F535" s="22" t="s">
        <v>20</v>
      </c>
      <c r="G535" s="22" t="s">
        <v>26</v>
      </c>
      <c r="H535" s="22">
        <v>1</v>
      </c>
      <c r="I535" s="22">
        <v>0</v>
      </c>
      <c r="J535" s="22">
        <v>0</v>
      </c>
      <c r="K535" s="22">
        <v>0</v>
      </c>
      <c r="L535" s="22">
        <v>0</v>
      </c>
      <c r="M535" s="22">
        <v>0</v>
      </c>
      <c r="N535" s="22">
        <v>0</v>
      </c>
      <c r="O535" s="22"/>
      <c r="P535" s="22">
        <v>47.1</v>
      </c>
      <c r="Q535" s="22" t="str">
        <f>IF(OR(L535&lt;$Y$18,L535&gt;$Y$19),"Outlier","Normal")</f>
        <v>Normal</v>
      </c>
      <c r="R535" s="26" t="str">
        <f>A535&amp;B535&amp;C535&amp;D535&amp;E535&amp;F535&amp;G535&amp;H535&amp;I535&amp;J535&amp;K535&amp;L535&amp;M535&amp;N535&amp;O535&amp;P535</f>
        <v>USR-10053445724ControlEastMobileEmailFree100000047.1</v>
      </c>
      <c r="S535" s="22" t="str">
        <f>IF(COUNTIF($R$2:$R$1409,R535)=1,"OK",IF(COUNTIF($R$2:$R$1409,R535)&gt;1,"Exact Duplicate","Review Required"))</f>
        <v>OK</v>
      </c>
      <c r="T535" s="22" t="s">
        <v>24</v>
      </c>
      <c r="U535" s="22" t="s">
        <v>20</v>
      </c>
      <c r="V535" s="22"/>
    </row>
    <row r="536" spans="1:22" ht="41.4">
      <c r="A536" s="22" t="s">
        <v>566</v>
      </c>
      <c r="B536" s="25">
        <v>45704</v>
      </c>
      <c r="C536" s="22" t="s">
        <v>17</v>
      </c>
      <c r="D536" s="22" t="s">
        <v>18</v>
      </c>
      <c r="E536" s="22" t="s">
        <v>19</v>
      </c>
      <c r="F536" s="22" t="s">
        <v>29</v>
      </c>
      <c r="G536" s="22" t="s">
        <v>26</v>
      </c>
      <c r="H536" s="22">
        <v>1</v>
      </c>
      <c r="I536" s="22">
        <v>1</v>
      </c>
      <c r="J536" s="22">
        <v>1</v>
      </c>
      <c r="K536" s="22">
        <v>0</v>
      </c>
      <c r="L536" s="22">
        <v>0</v>
      </c>
      <c r="M536" s="22">
        <v>0</v>
      </c>
      <c r="N536" s="22">
        <v>0</v>
      </c>
      <c r="O536" s="22"/>
      <c r="P536" s="22">
        <v>70</v>
      </c>
      <c r="Q536" s="22" t="str">
        <f>IF(OR(L536&lt;$Y$18,L536&gt;$Y$19),"Outlier","Normal")</f>
        <v>Normal</v>
      </c>
      <c r="R536" s="26" t="str">
        <f>A536&amp;B536&amp;C536&amp;D536&amp;E536&amp;F536&amp;G536&amp;H536&amp;I536&amp;J536&amp;K536&amp;L536&amp;M536&amp;N536&amp;O536&amp;P536</f>
        <v>USR-10053545704ControlNorthDesktopPaid SearchFree111000070</v>
      </c>
      <c r="S536" s="22" t="str">
        <f>IF(COUNTIF($R$2:$R$1409,R536)=1,"OK",IF(COUNTIF($R$2:$R$1409,R536)&gt;1,"Exact Duplicate","Review Required"))</f>
        <v>OK</v>
      </c>
      <c r="T536" s="22" t="s">
        <v>19</v>
      </c>
      <c r="U536" s="22" t="s">
        <v>29</v>
      </c>
      <c r="V536" s="22"/>
    </row>
    <row r="537" spans="1:22" ht="41.4">
      <c r="A537" s="22" t="s">
        <v>567</v>
      </c>
      <c r="B537" s="25">
        <v>45775</v>
      </c>
      <c r="C537" s="22" t="s">
        <v>17</v>
      </c>
      <c r="D537" s="22" t="s">
        <v>32</v>
      </c>
      <c r="E537" s="22" t="s">
        <v>24</v>
      </c>
      <c r="F537" s="22" t="s">
        <v>29</v>
      </c>
      <c r="G537" s="22" t="s">
        <v>30</v>
      </c>
      <c r="H537" s="22">
        <v>1</v>
      </c>
      <c r="I537" s="22">
        <v>0</v>
      </c>
      <c r="J537" s="22">
        <v>0</v>
      </c>
      <c r="K537" s="22">
        <v>0</v>
      </c>
      <c r="L537" s="22">
        <v>0</v>
      </c>
      <c r="M537" s="22">
        <v>0</v>
      </c>
      <c r="N537" s="22">
        <v>0</v>
      </c>
      <c r="O537" s="22"/>
      <c r="P537" s="22">
        <v>54.6</v>
      </c>
      <c r="Q537" s="22" t="str">
        <f>IF(OR(L537&lt;$Y$18,L537&gt;$Y$19),"Outlier","Normal")</f>
        <v>Normal</v>
      </c>
      <c r="R537" s="26" t="str">
        <f>A537&amp;B537&amp;C537&amp;D537&amp;E537&amp;F537&amp;G537&amp;H537&amp;I537&amp;J537&amp;K537&amp;L537&amp;M537&amp;N537&amp;O537&amp;P537</f>
        <v>USR-10053645775ControlSouthMobilePaid SearchPremium100000054.6</v>
      </c>
      <c r="S537" s="22" t="str">
        <f>IF(COUNTIF($R$2:$R$1409,R537)=1,"OK",IF(COUNTIF($R$2:$R$1409,R537)&gt;1,"Exact Duplicate","Review Required"))</f>
        <v>OK</v>
      </c>
      <c r="T537" s="22" t="s">
        <v>24</v>
      </c>
      <c r="U537" s="22" t="s">
        <v>29</v>
      </c>
      <c r="V537" s="22"/>
    </row>
    <row r="538" spans="1:22" ht="41.4">
      <c r="A538" s="22" t="s">
        <v>568</v>
      </c>
      <c r="B538" s="25">
        <v>45726</v>
      </c>
      <c r="C538" s="22" t="s">
        <v>17</v>
      </c>
      <c r="D538" s="22" t="s">
        <v>23</v>
      </c>
      <c r="E538" s="22" t="s">
        <v>34</v>
      </c>
      <c r="F538" s="22" t="s">
        <v>41</v>
      </c>
      <c r="G538" s="22" t="s">
        <v>21</v>
      </c>
      <c r="H538" s="22">
        <v>1</v>
      </c>
      <c r="I538" s="22">
        <v>1</v>
      </c>
      <c r="J538" s="22">
        <v>0</v>
      </c>
      <c r="K538" s="22">
        <v>0</v>
      </c>
      <c r="L538" s="22">
        <v>0</v>
      </c>
      <c r="M538" s="22">
        <v>1</v>
      </c>
      <c r="N538" s="22">
        <v>0</v>
      </c>
      <c r="O538" s="22"/>
      <c r="P538" s="22">
        <v>65.2</v>
      </c>
      <c r="Q538" s="22" t="str">
        <f>IF(OR(L538&lt;$Y$18,L538&gt;$Y$19),"Outlier","Normal")</f>
        <v>Normal</v>
      </c>
      <c r="R538" s="26" t="str">
        <f>A538&amp;B538&amp;C538&amp;D538&amp;E538&amp;F538&amp;G538&amp;H538&amp;I538&amp;J538&amp;K538&amp;L538&amp;M538&amp;N538&amp;O538&amp;P538</f>
        <v>USR-10053745726ControlWestTabletSocialBasic110001065.2</v>
      </c>
      <c r="S538" s="22" t="str">
        <f>IF(COUNTIF($R$2:$R$1409,R538)=1,"OK",IF(COUNTIF($R$2:$R$1409,R538)&gt;1,"Exact Duplicate","Review Required"))</f>
        <v>OK</v>
      </c>
      <c r="T538" s="22" t="s">
        <v>34</v>
      </c>
      <c r="U538" s="22" t="s">
        <v>41</v>
      </c>
      <c r="V538" s="22"/>
    </row>
    <row r="539" spans="1:22" ht="41.4">
      <c r="A539" s="22" t="s">
        <v>569</v>
      </c>
      <c r="B539" s="25">
        <v>45682</v>
      </c>
      <c r="C539" s="22" t="s">
        <v>17</v>
      </c>
      <c r="D539" s="22" t="s">
        <v>28</v>
      </c>
      <c r="E539" s="22" t="s">
        <v>24</v>
      </c>
      <c r="F539" s="22" t="s">
        <v>41</v>
      </c>
      <c r="G539" s="22" t="s">
        <v>26</v>
      </c>
      <c r="H539" s="22">
        <v>1</v>
      </c>
      <c r="I539" s="22">
        <v>0</v>
      </c>
      <c r="J539" s="22">
        <v>0</v>
      </c>
      <c r="K539" s="22">
        <v>0</v>
      </c>
      <c r="L539" s="22">
        <v>0</v>
      </c>
      <c r="M539" s="22">
        <v>0</v>
      </c>
      <c r="N539" s="22">
        <v>0</v>
      </c>
      <c r="O539" s="22"/>
      <c r="P539" s="22">
        <v>65</v>
      </c>
      <c r="Q539" s="22" t="str">
        <f>IF(OR(L539&lt;$Y$18,L539&gt;$Y$19),"Outlier","Normal")</f>
        <v>Normal</v>
      </c>
      <c r="R539" s="26" t="str">
        <f>A539&amp;B539&amp;C539&amp;D539&amp;E539&amp;F539&amp;G539&amp;H539&amp;I539&amp;J539&amp;K539&amp;L539&amp;M539&amp;N539&amp;O539&amp;P539</f>
        <v>USR-10053845682ControlEastMobileSocialFree100000065</v>
      </c>
      <c r="S539" s="22" t="str">
        <f>IF(COUNTIF($R$2:$R$1409,R539)=1,"OK",IF(COUNTIF($R$2:$R$1409,R539)&gt;1,"Exact Duplicate","Review Required"))</f>
        <v>OK</v>
      </c>
      <c r="T539" s="22" t="s">
        <v>24</v>
      </c>
      <c r="U539" s="22" t="s">
        <v>41</v>
      </c>
      <c r="V539" s="22"/>
    </row>
    <row r="540" spans="1:22" ht="41.4">
      <c r="A540" s="22" t="s">
        <v>570</v>
      </c>
      <c r="B540" s="25">
        <v>45668</v>
      </c>
      <c r="C540" s="22" t="s">
        <v>17</v>
      </c>
      <c r="D540" s="22" t="s">
        <v>23</v>
      </c>
      <c r="E540" s="22" t="s">
        <v>24</v>
      </c>
      <c r="F540" s="22" t="s">
        <v>29</v>
      </c>
      <c r="G540" s="22" t="s">
        <v>30</v>
      </c>
      <c r="H540" s="22">
        <v>1</v>
      </c>
      <c r="I540" s="22">
        <v>1</v>
      </c>
      <c r="J540" s="22">
        <v>1</v>
      </c>
      <c r="K540" s="22">
        <v>0</v>
      </c>
      <c r="L540" s="22">
        <v>0</v>
      </c>
      <c r="M540" s="22">
        <v>1</v>
      </c>
      <c r="N540" s="22">
        <v>0</v>
      </c>
      <c r="O540" s="22"/>
      <c r="P540" s="22">
        <v>42.1</v>
      </c>
      <c r="Q540" s="22" t="str">
        <f>IF(OR(L540&lt;$Y$18,L540&gt;$Y$19),"Outlier","Normal")</f>
        <v>Normal</v>
      </c>
      <c r="R540" s="26" t="str">
        <f>A540&amp;B540&amp;C540&amp;D540&amp;E540&amp;F540&amp;G540&amp;H540&amp;I540&amp;J540&amp;K540&amp;L540&amp;M540&amp;N540&amp;O540&amp;P540</f>
        <v>USR-10053945668ControlWestMobilePaid SearchPremium111001042.1</v>
      </c>
      <c r="S540" s="22" t="str">
        <f>IF(COUNTIF($R$2:$R$1409,R540)=1,"OK",IF(COUNTIF($R$2:$R$1409,R540)&gt;1,"Exact Duplicate","Review Required"))</f>
        <v>OK</v>
      </c>
      <c r="T540" s="22" t="s">
        <v>24</v>
      </c>
      <c r="U540" s="22" t="s">
        <v>29</v>
      </c>
      <c r="V540" s="22"/>
    </row>
    <row r="541" spans="1:22" ht="41.4">
      <c r="A541" s="22" t="s">
        <v>571</v>
      </c>
      <c r="B541" s="25">
        <v>45747</v>
      </c>
      <c r="C541" s="22" t="s">
        <v>17</v>
      </c>
      <c r="D541" s="22" t="s">
        <v>23</v>
      </c>
      <c r="E541" s="22" t="s">
        <v>34</v>
      </c>
      <c r="F541" s="22" t="s">
        <v>29</v>
      </c>
      <c r="G541" s="22" t="s">
        <v>26</v>
      </c>
      <c r="H541" s="22">
        <v>1</v>
      </c>
      <c r="I541" s="22">
        <v>0</v>
      </c>
      <c r="J541" s="22">
        <v>0</v>
      </c>
      <c r="K541" s="22">
        <v>0</v>
      </c>
      <c r="L541" s="22">
        <v>0</v>
      </c>
      <c r="M541" s="22">
        <v>0</v>
      </c>
      <c r="N541" s="22">
        <v>0</v>
      </c>
      <c r="O541" s="22"/>
      <c r="P541" s="22">
        <v>43.4</v>
      </c>
      <c r="Q541" s="22" t="str">
        <f>IF(OR(L541&lt;$Y$18,L541&gt;$Y$19),"Outlier","Normal")</f>
        <v>Normal</v>
      </c>
      <c r="R541" s="26" t="str">
        <f>A541&amp;B541&amp;C541&amp;D541&amp;E541&amp;F541&amp;G541&amp;H541&amp;I541&amp;J541&amp;K541&amp;L541&amp;M541&amp;N541&amp;O541&amp;P541</f>
        <v>USR-10054045747ControlWestTabletPaid SearchFree100000043.4</v>
      </c>
      <c r="S541" s="22" t="str">
        <f>IF(COUNTIF($R$2:$R$1409,R541)=1,"OK",IF(COUNTIF($R$2:$R$1409,R541)&gt;1,"Exact Duplicate","Review Required"))</f>
        <v>OK</v>
      </c>
      <c r="T541" s="22" t="s">
        <v>34</v>
      </c>
      <c r="U541" s="22" t="s">
        <v>29</v>
      </c>
      <c r="V541" s="22"/>
    </row>
    <row r="542" spans="1:22" ht="41.4">
      <c r="A542" s="22" t="s">
        <v>572</v>
      </c>
      <c r="B542" s="25">
        <v>45799</v>
      </c>
      <c r="C542" s="22" t="s">
        <v>17</v>
      </c>
      <c r="D542" s="22" t="s">
        <v>18</v>
      </c>
      <c r="E542" s="22" t="s">
        <v>24</v>
      </c>
      <c r="F542" s="22" t="s">
        <v>29</v>
      </c>
      <c r="G542" s="22" t="s">
        <v>21</v>
      </c>
      <c r="H542" s="22">
        <v>1</v>
      </c>
      <c r="I542" s="22">
        <v>1</v>
      </c>
      <c r="J542" s="22">
        <v>0</v>
      </c>
      <c r="K542" s="22">
        <v>0</v>
      </c>
      <c r="L542" s="22">
        <v>0</v>
      </c>
      <c r="M542" s="22">
        <v>0</v>
      </c>
      <c r="N542" s="22">
        <v>0</v>
      </c>
      <c r="O542" s="22"/>
      <c r="P542" s="22">
        <v>39.9</v>
      </c>
      <c r="Q542" s="22" t="str">
        <f>IF(OR(L542&lt;$Y$18,L542&gt;$Y$19),"Outlier","Normal")</f>
        <v>Normal</v>
      </c>
      <c r="R542" s="26" t="str">
        <f>A542&amp;B542&amp;C542&amp;D542&amp;E542&amp;F542&amp;G542&amp;H542&amp;I542&amp;J542&amp;K542&amp;L542&amp;M542&amp;N542&amp;O542&amp;P542</f>
        <v>USR-10054145799ControlNorthMobilePaid SearchBasic110000039.9</v>
      </c>
      <c r="S542" s="22" t="str">
        <f>IF(COUNTIF($R$2:$R$1409,R542)=1,"OK",IF(COUNTIF($R$2:$R$1409,R542)&gt;1,"Exact Duplicate","Review Required"))</f>
        <v>OK</v>
      </c>
      <c r="T542" s="22" t="s">
        <v>24</v>
      </c>
      <c r="U542" s="22" t="s">
        <v>29</v>
      </c>
      <c r="V542" s="22"/>
    </row>
    <row r="543" spans="1:22" ht="41.4">
      <c r="A543" s="22" t="s">
        <v>573</v>
      </c>
      <c r="B543" s="25">
        <v>45793</v>
      </c>
      <c r="C543" s="22" t="s">
        <v>17</v>
      </c>
      <c r="D543" s="22" t="s">
        <v>18</v>
      </c>
      <c r="E543" s="22" t="s">
        <v>24</v>
      </c>
      <c r="F543" s="22" t="s">
        <v>39</v>
      </c>
      <c r="G543" s="22" t="s">
        <v>21</v>
      </c>
      <c r="H543" s="22">
        <v>0</v>
      </c>
      <c r="I543" s="22">
        <v>0</v>
      </c>
      <c r="J543" s="22">
        <v>0</v>
      </c>
      <c r="K543" s="22">
        <v>0</v>
      </c>
      <c r="L543" s="22">
        <v>0</v>
      </c>
      <c r="M543" s="22">
        <v>0</v>
      </c>
      <c r="N543" s="22">
        <v>0</v>
      </c>
      <c r="O543" s="22"/>
      <c r="P543" s="22">
        <v>74.099999999999994</v>
      </c>
      <c r="Q543" s="22" t="str">
        <f>IF(OR(L543&lt;$Y$18,L543&gt;$Y$19),"Outlier","Normal")</f>
        <v>Normal</v>
      </c>
      <c r="R543" s="26" t="str">
        <f>A543&amp;B543&amp;C543&amp;D543&amp;E543&amp;F543&amp;G543&amp;H543&amp;I543&amp;J543&amp;K543&amp;L543&amp;M543&amp;N543&amp;O543&amp;P543</f>
        <v>USR-10054245793ControlNorthMobileReferralBasic000000074.1</v>
      </c>
      <c r="S543" s="22" t="str">
        <f>IF(COUNTIF($R$2:$R$1409,R543)=1,"OK",IF(COUNTIF($R$2:$R$1409,R543)&gt;1,"Exact Duplicate","Review Required"))</f>
        <v>OK</v>
      </c>
      <c r="T543" s="22" t="s">
        <v>24</v>
      </c>
      <c r="U543" s="22" t="s">
        <v>39</v>
      </c>
      <c r="V543" s="22"/>
    </row>
    <row r="544" spans="1:22" ht="41.4">
      <c r="A544" s="22" t="s">
        <v>574</v>
      </c>
      <c r="B544" s="25">
        <v>45772</v>
      </c>
      <c r="C544" s="22" t="s">
        <v>17</v>
      </c>
      <c r="D544" s="22" t="s">
        <v>28</v>
      </c>
      <c r="E544" s="22" t="s">
        <v>19</v>
      </c>
      <c r="F544" s="22" t="s">
        <v>29</v>
      </c>
      <c r="G544" s="22" t="s">
        <v>26</v>
      </c>
      <c r="H544" s="22">
        <v>1</v>
      </c>
      <c r="I544" s="22">
        <v>0</v>
      </c>
      <c r="J544" s="22">
        <v>0</v>
      </c>
      <c r="K544" s="22">
        <v>0</v>
      </c>
      <c r="L544" s="22">
        <v>0</v>
      </c>
      <c r="M544" s="22">
        <v>0</v>
      </c>
      <c r="N544" s="22">
        <v>0</v>
      </c>
      <c r="O544" s="22"/>
      <c r="P544" s="22">
        <v>61.4</v>
      </c>
      <c r="Q544" s="22" t="str">
        <f>IF(OR(L544&lt;$Y$18,L544&gt;$Y$19),"Outlier","Normal")</f>
        <v>Normal</v>
      </c>
      <c r="R544" s="26" t="str">
        <f>A544&amp;B544&amp;C544&amp;D544&amp;E544&amp;F544&amp;G544&amp;H544&amp;I544&amp;J544&amp;K544&amp;L544&amp;M544&amp;N544&amp;O544&amp;P544</f>
        <v>USR-10054345772ControlEastDesktopPaid SearchFree100000061.4</v>
      </c>
      <c r="S544" s="22" t="str">
        <f>IF(COUNTIF($R$2:$R$1409,R544)=1,"OK",IF(COUNTIF($R$2:$R$1409,R544)&gt;1,"Exact Duplicate","Review Required"))</f>
        <v>OK</v>
      </c>
      <c r="T544" s="22" t="s">
        <v>19</v>
      </c>
      <c r="U544" s="22" t="s">
        <v>29</v>
      </c>
      <c r="V544" s="22"/>
    </row>
    <row r="545" spans="1:22" ht="41.4">
      <c r="A545" s="22" t="s">
        <v>575</v>
      </c>
      <c r="B545" s="25">
        <v>45764</v>
      </c>
      <c r="C545" s="22" t="s">
        <v>17</v>
      </c>
      <c r="D545" s="22" t="s">
        <v>28</v>
      </c>
      <c r="E545" s="22" t="s">
        <v>24</v>
      </c>
      <c r="F545" s="22" t="s">
        <v>41</v>
      </c>
      <c r="G545" s="22" t="s">
        <v>30</v>
      </c>
      <c r="H545" s="22">
        <v>1</v>
      </c>
      <c r="I545" s="22">
        <v>1</v>
      </c>
      <c r="J545" s="22">
        <v>1</v>
      </c>
      <c r="K545" s="22">
        <v>0</v>
      </c>
      <c r="L545" s="22">
        <v>0</v>
      </c>
      <c r="M545" s="22">
        <v>0</v>
      </c>
      <c r="N545" s="22">
        <v>0</v>
      </c>
      <c r="O545" s="22"/>
      <c r="P545" s="22">
        <v>76.8</v>
      </c>
      <c r="Q545" s="22" t="str">
        <f>IF(OR(L545&lt;$Y$18,L545&gt;$Y$19),"Outlier","Normal")</f>
        <v>Normal</v>
      </c>
      <c r="R545" s="26" t="str">
        <f>A545&amp;B545&amp;C545&amp;D545&amp;E545&amp;F545&amp;G545&amp;H545&amp;I545&amp;J545&amp;K545&amp;L545&amp;M545&amp;N545&amp;O545&amp;P545</f>
        <v>USR-10054445764ControlEastMobileSocialPremium111000076.8</v>
      </c>
      <c r="S545" s="22" t="str">
        <f>IF(COUNTIF($R$2:$R$1409,R545)=1,"OK",IF(COUNTIF($R$2:$R$1409,R545)&gt;1,"Exact Duplicate","Review Required"))</f>
        <v>OK</v>
      </c>
      <c r="T545" s="22" t="s">
        <v>24</v>
      </c>
      <c r="U545" s="22" t="s">
        <v>41</v>
      </c>
      <c r="V545" s="22"/>
    </row>
    <row r="546" spans="1:22" ht="41.4">
      <c r="A546" s="22" t="s">
        <v>576</v>
      </c>
      <c r="B546" s="25">
        <v>45658</v>
      </c>
      <c r="C546" s="22" t="s">
        <v>17</v>
      </c>
      <c r="D546" s="22" t="s">
        <v>32</v>
      </c>
      <c r="E546" s="22" t="s">
        <v>19</v>
      </c>
      <c r="F546" s="22" t="s">
        <v>41</v>
      </c>
      <c r="G546" s="22" t="s">
        <v>21</v>
      </c>
      <c r="H546" s="22">
        <v>0</v>
      </c>
      <c r="I546" s="22">
        <v>0</v>
      </c>
      <c r="J546" s="22">
        <v>0</v>
      </c>
      <c r="K546" s="22">
        <v>0</v>
      </c>
      <c r="L546" s="22">
        <v>0</v>
      </c>
      <c r="M546" s="22">
        <v>0</v>
      </c>
      <c r="N546" s="22">
        <v>0</v>
      </c>
      <c r="O546" s="22"/>
      <c r="P546" s="22"/>
      <c r="Q546" s="22" t="str">
        <f>IF(OR(L546&lt;$Y$18,L546&gt;$Y$19),"Outlier","Normal")</f>
        <v>Normal</v>
      </c>
      <c r="R546" s="26" t="str">
        <f>A546&amp;B546&amp;C546&amp;D546&amp;E546&amp;F546&amp;G546&amp;H546&amp;I546&amp;J546&amp;K546&amp;L546&amp;M546&amp;N546&amp;O546&amp;P546</f>
        <v>USR-10054545658ControlSouthDesktopSocialBasic0000000</v>
      </c>
      <c r="S546" s="22" t="str">
        <f>IF(COUNTIF($R$2:$R$1409,R546)=1,"OK",IF(COUNTIF($R$2:$R$1409,R546)&gt;1,"Exact Duplicate","Review Required"))</f>
        <v>OK</v>
      </c>
      <c r="T546" s="22" t="s">
        <v>19</v>
      </c>
      <c r="U546" s="22" t="s">
        <v>41</v>
      </c>
      <c r="V546" s="22"/>
    </row>
    <row r="547" spans="1:22" ht="41.4">
      <c r="A547" s="22" t="s">
        <v>577</v>
      </c>
      <c r="B547" s="25">
        <v>45734</v>
      </c>
      <c r="C547" s="22" t="s">
        <v>17</v>
      </c>
      <c r="D547" s="22" t="s">
        <v>28</v>
      </c>
      <c r="E547" s="22" t="s">
        <v>24</v>
      </c>
      <c r="F547" s="22" t="s">
        <v>29</v>
      </c>
      <c r="G547" s="22" t="s">
        <v>21</v>
      </c>
      <c r="H547" s="22">
        <v>1</v>
      </c>
      <c r="I547" s="22">
        <v>1</v>
      </c>
      <c r="J547" s="22">
        <v>1</v>
      </c>
      <c r="K547" s="22">
        <v>0</v>
      </c>
      <c r="L547" s="22">
        <v>0</v>
      </c>
      <c r="M547" s="22">
        <v>0</v>
      </c>
      <c r="N547" s="22">
        <v>0</v>
      </c>
      <c r="O547" s="22"/>
      <c r="P547" s="22">
        <v>45.3</v>
      </c>
      <c r="Q547" s="22" t="str">
        <f>IF(OR(L547&lt;$Y$18,L547&gt;$Y$19),"Outlier","Normal")</f>
        <v>Normal</v>
      </c>
      <c r="R547" s="26" t="str">
        <f>A547&amp;B547&amp;C547&amp;D547&amp;E547&amp;F547&amp;G547&amp;H547&amp;I547&amp;J547&amp;K547&amp;L547&amp;M547&amp;N547&amp;O547&amp;P547</f>
        <v>USR-10054645734ControlEastMobilePaid SearchBasic111000045.3</v>
      </c>
      <c r="S547" s="22" t="str">
        <f>IF(COUNTIF($R$2:$R$1409,R547)=1,"OK",IF(COUNTIF($R$2:$R$1409,R547)&gt;1,"Exact Duplicate","Review Required"))</f>
        <v>OK</v>
      </c>
      <c r="T547" s="22" t="s">
        <v>24</v>
      </c>
      <c r="U547" s="22" t="s">
        <v>29</v>
      </c>
      <c r="V547" s="22"/>
    </row>
    <row r="548" spans="1:22" ht="41.4">
      <c r="A548" s="22" t="s">
        <v>578</v>
      </c>
      <c r="B548" s="25">
        <v>45797</v>
      </c>
      <c r="C548" s="22" t="s">
        <v>17</v>
      </c>
      <c r="D548" s="22" t="s">
        <v>18</v>
      </c>
      <c r="E548" s="22" t="s">
        <v>34</v>
      </c>
      <c r="F548" s="22" t="s">
        <v>29</v>
      </c>
      <c r="G548" s="22" t="s">
        <v>26</v>
      </c>
      <c r="H548" s="22">
        <v>1</v>
      </c>
      <c r="I548" s="22">
        <v>0</v>
      </c>
      <c r="J548" s="22">
        <v>0</v>
      </c>
      <c r="K548" s="22">
        <v>0</v>
      </c>
      <c r="L548" s="22">
        <v>0</v>
      </c>
      <c r="M548" s="22">
        <v>0</v>
      </c>
      <c r="N548" s="22">
        <v>0</v>
      </c>
      <c r="O548" s="22"/>
      <c r="P548" s="22">
        <v>41.4</v>
      </c>
      <c r="Q548" s="22" t="str">
        <f>IF(OR(L548&lt;$Y$18,L548&gt;$Y$19),"Outlier","Normal")</f>
        <v>Normal</v>
      </c>
      <c r="R548" s="26" t="str">
        <f>A548&amp;B548&amp;C548&amp;D548&amp;E548&amp;F548&amp;G548&amp;H548&amp;I548&amp;J548&amp;K548&amp;L548&amp;M548&amp;N548&amp;O548&amp;P548</f>
        <v>USR-10054745797ControlNorthTabletPaid SearchFree100000041.4</v>
      </c>
      <c r="S548" s="22" t="str">
        <f>IF(COUNTIF($R$2:$R$1409,R548)=1,"OK",IF(COUNTIF($R$2:$R$1409,R548)&gt;1,"Exact Duplicate","Review Required"))</f>
        <v>OK</v>
      </c>
      <c r="T548" s="22" t="s">
        <v>34</v>
      </c>
      <c r="U548" s="22" t="s">
        <v>29</v>
      </c>
      <c r="V548" s="22"/>
    </row>
    <row r="549" spans="1:22" ht="41.4">
      <c r="A549" s="22" t="s">
        <v>579</v>
      </c>
      <c r="B549" s="25">
        <v>45732</v>
      </c>
      <c r="C549" s="22" t="s">
        <v>17</v>
      </c>
      <c r="D549" s="22" t="s">
        <v>18</v>
      </c>
      <c r="E549" s="22" t="s">
        <v>24</v>
      </c>
      <c r="F549" s="22" t="s">
        <v>25</v>
      </c>
      <c r="G549" s="22" t="s">
        <v>21</v>
      </c>
      <c r="H549" s="22">
        <v>1</v>
      </c>
      <c r="I549" s="22">
        <v>0</v>
      </c>
      <c r="J549" s="22">
        <v>0</v>
      </c>
      <c r="K549" s="22">
        <v>0</v>
      </c>
      <c r="L549" s="22">
        <v>0</v>
      </c>
      <c r="M549" s="22">
        <v>0</v>
      </c>
      <c r="N549" s="22">
        <v>0</v>
      </c>
      <c r="O549" s="22"/>
      <c r="P549" s="22">
        <v>37.1</v>
      </c>
      <c r="Q549" s="22" t="str">
        <f>IF(OR(L549&lt;$Y$18,L549&gt;$Y$19),"Outlier","Normal")</f>
        <v>Normal</v>
      </c>
      <c r="R549" s="26" t="str">
        <f>A549&amp;B549&amp;C549&amp;D549&amp;E549&amp;F549&amp;G549&amp;H549&amp;I549&amp;J549&amp;K549&amp;L549&amp;M549&amp;N549&amp;O549&amp;P549</f>
        <v>USR-10054845732ControlNorthMobileOrganicBasic100000037.1</v>
      </c>
      <c r="S549" s="22" t="str">
        <f>IF(COUNTIF($R$2:$R$1409,R549)=1,"OK",IF(COUNTIF($R$2:$R$1409,R549)&gt;1,"Exact Duplicate","Review Required"))</f>
        <v>OK</v>
      </c>
      <c r="T549" s="22" t="s">
        <v>24</v>
      </c>
      <c r="U549" s="22" t="s">
        <v>25</v>
      </c>
      <c r="V549" s="22"/>
    </row>
    <row r="550" spans="1:22" ht="41.4">
      <c r="A550" s="22" t="s">
        <v>580</v>
      </c>
      <c r="B550" s="25">
        <v>45807</v>
      </c>
      <c r="C550" s="22" t="s">
        <v>17</v>
      </c>
      <c r="D550" s="22" t="s">
        <v>28</v>
      </c>
      <c r="E550" s="22" t="s">
        <v>19</v>
      </c>
      <c r="F550" s="22" t="s">
        <v>41</v>
      </c>
      <c r="G550" s="22" t="s">
        <v>26</v>
      </c>
      <c r="H550" s="22">
        <v>1</v>
      </c>
      <c r="I550" s="22">
        <v>0</v>
      </c>
      <c r="J550" s="22">
        <v>0</v>
      </c>
      <c r="K550" s="22">
        <v>0</v>
      </c>
      <c r="L550" s="22">
        <v>0</v>
      </c>
      <c r="M550" s="22">
        <v>0</v>
      </c>
      <c r="N550" s="22">
        <v>0</v>
      </c>
      <c r="O550" s="22"/>
      <c r="P550" s="22">
        <v>40.700000000000003</v>
      </c>
      <c r="Q550" s="22" t="str">
        <f>IF(OR(L550&lt;$Y$18,L550&gt;$Y$19),"Outlier","Normal")</f>
        <v>Normal</v>
      </c>
      <c r="R550" s="26" t="str">
        <f>A550&amp;B550&amp;C550&amp;D550&amp;E550&amp;F550&amp;G550&amp;H550&amp;I550&amp;J550&amp;K550&amp;L550&amp;M550&amp;N550&amp;O550&amp;P550</f>
        <v>USR-10054945807ControlEastDesktopSocialFree100000040.7</v>
      </c>
      <c r="S550" s="22" t="str">
        <f>IF(COUNTIF($R$2:$R$1409,R550)=1,"OK",IF(COUNTIF($R$2:$R$1409,R550)&gt;1,"Exact Duplicate","Review Required"))</f>
        <v>OK</v>
      </c>
      <c r="T550" s="22" t="s">
        <v>19</v>
      </c>
      <c r="U550" s="22" t="s">
        <v>41</v>
      </c>
      <c r="V550" s="22"/>
    </row>
    <row r="551" spans="1:22" ht="41.4">
      <c r="A551" s="22" t="s">
        <v>581</v>
      </c>
      <c r="B551" s="25">
        <v>45708</v>
      </c>
      <c r="C551" s="22" t="s">
        <v>17</v>
      </c>
      <c r="D551" s="22" t="s">
        <v>18</v>
      </c>
      <c r="E551" s="22" t="s">
        <v>24</v>
      </c>
      <c r="F551" s="22" t="s">
        <v>41</v>
      </c>
      <c r="G551" s="22" t="s">
        <v>30</v>
      </c>
      <c r="H551" s="22">
        <v>0</v>
      </c>
      <c r="I551" s="22">
        <v>0</v>
      </c>
      <c r="J551" s="22">
        <v>0</v>
      </c>
      <c r="K551" s="22">
        <v>0</v>
      </c>
      <c r="L551" s="22">
        <v>0</v>
      </c>
      <c r="M551" s="22">
        <v>2</v>
      </c>
      <c r="N551" s="22">
        <v>0</v>
      </c>
      <c r="O551" s="22"/>
      <c r="P551" s="22">
        <v>55.9</v>
      </c>
      <c r="Q551" s="22" t="str">
        <f>IF(OR(L551&lt;$Y$18,L551&gt;$Y$19),"Outlier","Normal")</f>
        <v>Normal</v>
      </c>
      <c r="R551" s="26" t="str">
        <f>A551&amp;B551&amp;C551&amp;D551&amp;E551&amp;F551&amp;G551&amp;H551&amp;I551&amp;J551&amp;K551&amp;L551&amp;M551&amp;N551&amp;O551&amp;P551</f>
        <v>USR-10055045708ControlNorthMobileSocialPremium000002055.9</v>
      </c>
      <c r="S551" s="22" t="str">
        <f>IF(COUNTIF($R$2:$R$1409,R551)=1,"OK",IF(COUNTIF($R$2:$R$1409,R551)&gt;1,"Exact Duplicate","Review Required"))</f>
        <v>OK</v>
      </c>
      <c r="T551" s="22" t="s">
        <v>24</v>
      </c>
      <c r="U551" s="22" t="s">
        <v>41</v>
      </c>
      <c r="V551" s="22"/>
    </row>
    <row r="552" spans="1:22" ht="41.4">
      <c r="A552" s="22" t="s">
        <v>582</v>
      </c>
      <c r="B552" s="25">
        <v>45699</v>
      </c>
      <c r="C552" s="22" t="s">
        <v>17</v>
      </c>
      <c r="D552" s="22" t="s">
        <v>28</v>
      </c>
      <c r="E552" s="22" t="s">
        <v>1482</v>
      </c>
      <c r="F552" s="22" t="s">
        <v>41</v>
      </c>
      <c r="G552" s="22" t="s">
        <v>26</v>
      </c>
      <c r="H552" s="22">
        <v>1</v>
      </c>
      <c r="I552" s="22">
        <v>1</v>
      </c>
      <c r="J552" s="22">
        <v>0</v>
      </c>
      <c r="K552" s="22">
        <v>0</v>
      </c>
      <c r="L552" s="22">
        <v>0</v>
      </c>
      <c r="M552" s="22">
        <v>0</v>
      </c>
      <c r="N552" s="22">
        <v>0</v>
      </c>
      <c r="O552" s="22"/>
      <c r="P552" s="22">
        <v>55.8</v>
      </c>
      <c r="Q552" s="22" t="str">
        <f>IF(OR(L552&lt;$Y$18,L552&gt;$Y$19),"Outlier","Normal")</f>
        <v>Normal</v>
      </c>
      <c r="R552" s="26" t="str">
        <f>A552&amp;B552&amp;C552&amp;D552&amp;E552&amp;F552&amp;G552&amp;H552&amp;I552&amp;J552&amp;K552&amp;L552&amp;M552&amp;N552&amp;O552&amp;P552</f>
        <v>USR-10055145699ControlEastUnknownSocialFree110000055.8</v>
      </c>
      <c r="S552" s="22" t="str">
        <f>IF(COUNTIF($R$2:$R$1409,R552)=1,"OK",IF(COUNTIF($R$2:$R$1409,R552)&gt;1,"Exact Duplicate","Review Required"))</f>
        <v>OK</v>
      </c>
      <c r="T552" s="22"/>
      <c r="U552" s="22" t="s">
        <v>41</v>
      </c>
      <c r="V552" s="22"/>
    </row>
    <row r="553" spans="1:22" ht="41.4">
      <c r="A553" s="22" t="s">
        <v>583</v>
      </c>
      <c r="B553" s="25">
        <v>45659</v>
      </c>
      <c r="C553" s="22" t="s">
        <v>17</v>
      </c>
      <c r="D553" s="22" t="s">
        <v>32</v>
      </c>
      <c r="E553" s="22" t="s">
        <v>34</v>
      </c>
      <c r="F553" s="22" t="s">
        <v>39</v>
      </c>
      <c r="G553" s="22" t="s">
        <v>21</v>
      </c>
      <c r="H553" s="22">
        <v>1</v>
      </c>
      <c r="I553" s="22">
        <v>0</v>
      </c>
      <c r="J553" s="22">
        <v>0</v>
      </c>
      <c r="K553" s="22">
        <v>0</v>
      </c>
      <c r="L553" s="22">
        <v>0</v>
      </c>
      <c r="M553" s="22">
        <v>0</v>
      </c>
      <c r="N553" s="22">
        <v>0</v>
      </c>
      <c r="O553" s="22"/>
      <c r="P553" s="22">
        <v>64.3</v>
      </c>
      <c r="Q553" s="22" t="str">
        <f>IF(OR(L553&lt;$Y$18,L553&gt;$Y$19),"Outlier","Normal")</f>
        <v>Normal</v>
      </c>
      <c r="R553" s="26" t="str">
        <f>A553&amp;B553&amp;C553&amp;D553&amp;E553&amp;F553&amp;G553&amp;H553&amp;I553&amp;J553&amp;K553&amp;L553&amp;M553&amp;N553&amp;O553&amp;P553</f>
        <v>USR-10055245659ControlSouthTabletReferralBasic100000064.3</v>
      </c>
      <c r="S553" s="22" t="str">
        <f>IF(COUNTIF($R$2:$R$1409,R553)=1,"OK",IF(COUNTIF($R$2:$R$1409,R553)&gt;1,"Exact Duplicate","Review Required"))</f>
        <v>OK</v>
      </c>
      <c r="T553" s="22" t="s">
        <v>34</v>
      </c>
      <c r="U553" s="22" t="s">
        <v>39</v>
      </c>
      <c r="V553" s="22"/>
    </row>
    <row r="554" spans="1:22" ht="41.4">
      <c r="A554" s="22" t="s">
        <v>584</v>
      </c>
      <c r="B554" s="25">
        <v>45780</v>
      </c>
      <c r="C554" s="22" t="s">
        <v>17</v>
      </c>
      <c r="D554" s="22" t="s">
        <v>18</v>
      </c>
      <c r="E554" s="22" t="s">
        <v>24</v>
      </c>
      <c r="F554" s="22" t="s">
        <v>25</v>
      </c>
      <c r="G554" s="22" t="s">
        <v>26</v>
      </c>
      <c r="H554" s="22">
        <v>0</v>
      </c>
      <c r="I554" s="22">
        <v>0</v>
      </c>
      <c r="J554" s="22">
        <v>0</v>
      </c>
      <c r="K554" s="22">
        <v>0</v>
      </c>
      <c r="L554" s="22">
        <v>0</v>
      </c>
      <c r="M554" s="22">
        <v>0</v>
      </c>
      <c r="N554" s="22">
        <v>0</v>
      </c>
      <c r="O554" s="22"/>
      <c r="P554" s="22">
        <v>65.400000000000006</v>
      </c>
      <c r="Q554" s="22" t="str">
        <f>IF(OR(L554&lt;$Y$18,L554&gt;$Y$19),"Outlier","Normal")</f>
        <v>Normal</v>
      </c>
      <c r="R554" s="26" t="str">
        <f>A554&amp;B554&amp;C554&amp;D554&amp;E554&amp;F554&amp;G554&amp;H554&amp;I554&amp;J554&amp;K554&amp;L554&amp;M554&amp;N554&amp;O554&amp;P554</f>
        <v>USR-10055345780ControlNorthMobileOrganicFree000000065.4</v>
      </c>
      <c r="S554" s="22" t="str">
        <f>IF(COUNTIF($R$2:$R$1409,R554)=1,"OK",IF(COUNTIF($R$2:$R$1409,R554)&gt;1,"Exact Duplicate","Review Required"))</f>
        <v>OK</v>
      </c>
      <c r="T554" s="22" t="s">
        <v>24</v>
      </c>
      <c r="U554" s="22" t="s">
        <v>25</v>
      </c>
      <c r="V554" s="22"/>
    </row>
    <row r="555" spans="1:22" ht="41.4">
      <c r="A555" s="22" t="s">
        <v>585</v>
      </c>
      <c r="B555" s="25">
        <v>45712</v>
      </c>
      <c r="C555" s="22" t="s">
        <v>17</v>
      </c>
      <c r="D555" s="22" t="s">
        <v>23</v>
      </c>
      <c r="E555" s="22" t="s">
        <v>24</v>
      </c>
      <c r="F555" s="22" t="s">
        <v>25</v>
      </c>
      <c r="G555" s="22" t="s">
        <v>26</v>
      </c>
      <c r="H555" s="22">
        <v>1</v>
      </c>
      <c r="I555" s="22">
        <v>0</v>
      </c>
      <c r="J555" s="22">
        <v>0</v>
      </c>
      <c r="K555" s="22">
        <v>0</v>
      </c>
      <c r="L555" s="22">
        <v>0</v>
      </c>
      <c r="M555" s="22">
        <v>0</v>
      </c>
      <c r="N555" s="22">
        <v>0</v>
      </c>
      <c r="O555" s="22"/>
      <c r="P555" s="22">
        <v>89.8</v>
      </c>
      <c r="Q555" s="22" t="str">
        <f>IF(OR(L555&lt;$Y$18,L555&gt;$Y$19),"Outlier","Normal")</f>
        <v>Normal</v>
      </c>
      <c r="R555" s="26" t="str">
        <f>A555&amp;B555&amp;C555&amp;D555&amp;E555&amp;F555&amp;G555&amp;H555&amp;I555&amp;J555&amp;K555&amp;L555&amp;M555&amp;N555&amp;O555&amp;P555</f>
        <v>USR-10055445712ControlWestMobileOrganicFree100000089.8</v>
      </c>
      <c r="S555" s="22" t="str">
        <f>IF(COUNTIF($R$2:$R$1409,R555)=1,"OK",IF(COUNTIF($R$2:$R$1409,R555)&gt;1,"Exact Duplicate","Review Required"))</f>
        <v>OK</v>
      </c>
      <c r="T555" s="22" t="s">
        <v>24</v>
      </c>
      <c r="U555" s="22" t="s">
        <v>25</v>
      </c>
      <c r="V555" s="22"/>
    </row>
    <row r="556" spans="1:22" ht="41.4">
      <c r="A556" s="22" t="s">
        <v>586</v>
      </c>
      <c r="B556" s="25">
        <v>45699</v>
      </c>
      <c r="C556" s="22" t="s">
        <v>17</v>
      </c>
      <c r="D556" s="22" t="s">
        <v>32</v>
      </c>
      <c r="E556" s="22" t="s">
        <v>1482</v>
      </c>
      <c r="F556" s="22" t="s">
        <v>25</v>
      </c>
      <c r="G556" s="22" t="s">
        <v>26</v>
      </c>
      <c r="H556" s="22">
        <v>1</v>
      </c>
      <c r="I556" s="22">
        <v>1</v>
      </c>
      <c r="J556" s="22">
        <v>1</v>
      </c>
      <c r="K556" s="22">
        <v>0</v>
      </c>
      <c r="L556" s="22">
        <v>0</v>
      </c>
      <c r="M556" s="22">
        <v>0</v>
      </c>
      <c r="N556" s="22">
        <v>0</v>
      </c>
      <c r="O556" s="22"/>
      <c r="P556" s="22">
        <v>58.3</v>
      </c>
      <c r="Q556" s="22" t="str">
        <f>IF(OR(L556&lt;$Y$18,L556&gt;$Y$19),"Outlier","Normal")</f>
        <v>Normal</v>
      </c>
      <c r="R556" s="26" t="str">
        <f>A556&amp;B556&amp;C556&amp;D556&amp;E556&amp;F556&amp;G556&amp;H556&amp;I556&amp;J556&amp;K556&amp;L556&amp;M556&amp;N556&amp;O556&amp;P556</f>
        <v>USR-10055545699ControlSouthUnknownOrganicFree111000058.3</v>
      </c>
      <c r="S556" s="22" t="str">
        <f>IF(COUNTIF($R$2:$R$1409,R556)=1,"OK",IF(COUNTIF($R$2:$R$1409,R556)&gt;1,"Exact Duplicate","Review Required"))</f>
        <v>OK</v>
      </c>
      <c r="T556" s="22"/>
      <c r="U556" s="22" t="s">
        <v>25</v>
      </c>
      <c r="V556" s="22"/>
    </row>
    <row r="557" spans="1:22" ht="41.4">
      <c r="A557" s="22" t="s">
        <v>587</v>
      </c>
      <c r="B557" s="25">
        <v>45783</v>
      </c>
      <c r="C557" s="22" t="s">
        <v>17</v>
      </c>
      <c r="D557" s="22" t="s">
        <v>32</v>
      </c>
      <c r="E557" s="22" t="s">
        <v>24</v>
      </c>
      <c r="F557" s="22" t="s">
        <v>41</v>
      </c>
      <c r="G557" s="22" t="s">
        <v>21</v>
      </c>
      <c r="H557" s="22">
        <v>1</v>
      </c>
      <c r="I557" s="22">
        <v>0</v>
      </c>
      <c r="J557" s="22">
        <v>0</v>
      </c>
      <c r="K557" s="22">
        <v>0</v>
      </c>
      <c r="L557" s="22">
        <v>0</v>
      </c>
      <c r="M557" s="22">
        <v>0</v>
      </c>
      <c r="N557" s="22">
        <v>0</v>
      </c>
      <c r="O557" s="22"/>
      <c r="P557" s="22">
        <v>64.400000000000006</v>
      </c>
      <c r="Q557" s="22" t="str">
        <f>IF(OR(L557&lt;$Y$18,L557&gt;$Y$19),"Outlier","Normal")</f>
        <v>Normal</v>
      </c>
      <c r="R557" s="26" t="str">
        <f>A557&amp;B557&amp;C557&amp;D557&amp;E557&amp;F557&amp;G557&amp;H557&amp;I557&amp;J557&amp;K557&amp;L557&amp;M557&amp;N557&amp;O557&amp;P557</f>
        <v>USR-10055645783ControlSouthMobileSocialBasic100000064.4</v>
      </c>
      <c r="S557" s="22" t="str">
        <f>IF(COUNTIF($R$2:$R$1409,R557)=1,"OK",IF(COUNTIF($R$2:$R$1409,R557)&gt;1,"Exact Duplicate","Review Required"))</f>
        <v>OK</v>
      </c>
      <c r="T557" s="22" t="s">
        <v>24</v>
      </c>
      <c r="U557" s="22" t="s">
        <v>41</v>
      </c>
      <c r="V557" s="22"/>
    </row>
    <row r="558" spans="1:22" ht="41.4">
      <c r="A558" s="22" t="s">
        <v>588</v>
      </c>
      <c r="B558" s="25">
        <v>45800</v>
      </c>
      <c r="C558" s="22" t="s">
        <v>17</v>
      </c>
      <c r="D558" s="22" t="s">
        <v>18</v>
      </c>
      <c r="E558" s="22" t="s">
        <v>24</v>
      </c>
      <c r="F558" s="22" t="s">
        <v>29</v>
      </c>
      <c r="G558" s="22" t="s">
        <v>30</v>
      </c>
      <c r="H558" s="22">
        <v>0</v>
      </c>
      <c r="I558" s="22">
        <v>0</v>
      </c>
      <c r="J558" s="22">
        <v>0</v>
      </c>
      <c r="K558" s="22">
        <v>0</v>
      </c>
      <c r="L558" s="22">
        <v>0</v>
      </c>
      <c r="M558" s="22">
        <v>0</v>
      </c>
      <c r="N558" s="22">
        <v>0</v>
      </c>
      <c r="O558" s="22"/>
      <c r="P558" s="22">
        <v>46.2</v>
      </c>
      <c r="Q558" s="22" t="str">
        <f>IF(OR(L558&lt;$Y$18,L558&gt;$Y$19),"Outlier","Normal")</f>
        <v>Normal</v>
      </c>
      <c r="R558" s="26" t="str">
        <f>A558&amp;B558&amp;C558&amp;D558&amp;E558&amp;F558&amp;G558&amp;H558&amp;I558&amp;J558&amp;K558&amp;L558&amp;M558&amp;N558&amp;O558&amp;P558</f>
        <v>USR-10055745800ControlNorthMobilePaid SearchPremium000000046.2</v>
      </c>
      <c r="S558" s="22" t="str">
        <f>IF(COUNTIF($R$2:$R$1409,R558)=1,"OK",IF(COUNTIF($R$2:$R$1409,R558)&gt;1,"Exact Duplicate","Review Required"))</f>
        <v>OK</v>
      </c>
      <c r="T558" s="22" t="s">
        <v>24</v>
      </c>
      <c r="U558" s="22" t="s">
        <v>29</v>
      </c>
      <c r="V558" s="22"/>
    </row>
    <row r="559" spans="1:22" ht="41.4">
      <c r="A559" s="22" t="s">
        <v>589</v>
      </c>
      <c r="B559" s="25">
        <v>45666</v>
      </c>
      <c r="C559" s="22" t="s">
        <v>17</v>
      </c>
      <c r="D559" s="22" t="s">
        <v>18</v>
      </c>
      <c r="E559" s="22" t="s">
        <v>19</v>
      </c>
      <c r="F559" s="22" t="s">
        <v>29</v>
      </c>
      <c r="G559" s="22" t="s">
        <v>26</v>
      </c>
      <c r="H559" s="22">
        <v>0</v>
      </c>
      <c r="I559" s="22">
        <v>0</v>
      </c>
      <c r="J559" s="22">
        <v>0</v>
      </c>
      <c r="K559" s="22">
        <v>0</v>
      </c>
      <c r="L559" s="22">
        <v>0</v>
      </c>
      <c r="M559" s="22">
        <v>0</v>
      </c>
      <c r="N559" s="22">
        <v>0</v>
      </c>
      <c r="O559" s="22"/>
      <c r="P559" s="22">
        <v>78</v>
      </c>
      <c r="Q559" s="22" t="str">
        <f>IF(OR(L559&lt;$Y$18,L559&gt;$Y$19),"Outlier","Normal")</f>
        <v>Normal</v>
      </c>
      <c r="R559" s="26" t="str">
        <f>A559&amp;B559&amp;C559&amp;D559&amp;E559&amp;F559&amp;G559&amp;H559&amp;I559&amp;J559&amp;K559&amp;L559&amp;M559&amp;N559&amp;O559&amp;P559</f>
        <v>USR-10055845666ControlNorthDesktopPaid SearchFree000000078</v>
      </c>
      <c r="S559" s="22" t="str">
        <f>IF(COUNTIF($R$2:$R$1409,R559)=1,"OK",IF(COUNTIF($R$2:$R$1409,R559)&gt;1,"Exact Duplicate","Review Required"))</f>
        <v>OK</v>
      </c>
      <c r="T559" s="22" t="s">
        <v>19</v>
      </c>
      <c r="U559" s="22" t="s">
        <v>29</v>
      </c>
      <c r="V559" s="22"/>
    </row>
    <row r="560" spans="1:22" ht="41.4">
      <c r="A560" s="22" t="s">
        <v>590</v>
      </c>
      <c r="B560" s="25">
        <v>45748</v>
      </c>
      <c r="C560" s="22" t="s">
        <v>17</v>
      </c>
      <c r="D560" s="22" t="s">
        <v>18</v>
      </c>
      <c r="E560" s="22" t="s">
        <v>19</v>
      </c>
      <c r="F560" s="22" t="s">
        <v>25</v>
      </c>
      <c r="G560" s="22" t="s">
        <v>30</v>
      </c>
      <c r="H560" s="22">
        <v>1</v>
      </c>
      <c r="I560" s="22">
        <v>0</v>
      </c>
      <c r="J560" s="22">
        <v>0</v>
      </c>
      <c r="K560" s="22">
        <v>0</v>
      </c>
      <c r="L560" s="22">
        <v>0</v>
      </c>
      <c r="M560" s="22">
        <v>0</v>
      </c>
      <c r="N560" s="22">
        <v>0</v>
      </c>
      <c r="O560" s="22"/>
      <c r="P560" s="22">
        <v>62.3</v>
      </c>
      <c r="Q560" s="22" t="str">
        <f>IF(OR(L560&lt;$Y$18,L560&gt;$Y$19),"Outlier","Normal")</f>
        <v>Normal</v>
      </c>
      <c r="R560" s="26" t="str">
        <f>A560&amp;B560&amp;C560&amp;D560&amp;E560&amp;F560&amp;G560&amp;H560&amp;I560&amp;J560&amp;K560&amp;L560&amp;M560&amp;N560&amp;O560&amp;P560</f>
        <v>USR-10055945748ControlNorthDesktopOrganicPremium100000062.3</v>
      </c>
      <c r="S560" s="22" t="str">
        <f>IF(COUNTIF($R$2:$R$1409,R560)=1,"OK",IF(COUNTIF($R$2:$R$1409,R560)&gt;1,"Exact Duplicate","Review Required"))</f>
        <v>OK</v>
      </c>
      <c r="T560" s="22" t="s">
        <v>19</v>
      </c>
      <c r="U560" s="22" t="s">
        <v>25</v>
      </c>
      <c r="V560" s="22"/>
    </row>
    <row r="561" spans="1:22" ht="41.4">
      <c r="A561" s="22" t="s">
        <v>591</v>
      </c>
      <c r="B561" s="25">
        <v>45724</v>
      </c>
      <c r="C561" s="22" t="s">
        <v>17</v>
      </c>
      <c r="D561" s="22" t="s">
        <v>18</v>
      </c>
      <c r="E561" s="22" t="s">
        <v>24</v>
      </c>
      <c r="F561" s="22" t="s">
        <v>25</v>
      </c>
      <c r="G561" s="22" t="s">
        <v>26</v>
      </c>
      <c r="H561" s="22">
        <v>1</v>
      </c>
      <c r="I561" s="22">
        <v>0</v>
      </c>
      <c r="J561" s="22">
        <v>0</v>
      </c>
      <c r="K561" s="22">
        <v>0</v>
      </c>
      <c r="L561" s="22">
        <v>0</v>
      </c>
      <c r="M561" s="22">
        <v>0</v>
      </c>
      <c r="N561" s="22">
        <v>0</v>
      </c>
      <c r="O561" s="22"/>
      <c r="P561" s="22">
        <v>78.8</v>
      </c>
      <c r="Q561" s="22" t="str">
        <f>IF(OR(L561&lt;$Y$18,L561&gt;$Y$19),"Outlier","Normal")</f>
        <v>Normal</v>
      </c>
      <c r="R561" s="26" t="str">
        <f>A561&amp;B561&amp;C561&amp;D561&amp;E561&amp;F561&amp;G561&amp;H561&amp;I561&amp;J561&amp;K561&amp;L561&amp;M561&amp;N561&amp;O561&amp;P561</f>
        <v>USR-10056045724ControlNorthMobileOrganicFree100000078.8</v>
      </c>
      <c r="S561" s="22" t="str">
        <f>IF(COUNTIF($R$2:$R$1409,R561)=1,"OK",IF(COUNTIF($R$2:$R$1409,R561)&gt;1,"Exact Duplicate","Review Required"))</f>
        <v>OK</v>
      </c>
      <c r="T561" s="22" t="s">
        <v>24</v>
      </c>
      <c r="U561" s="22" t="s">
        <v>25</v>
      </c>
      <c r="V561" s="22"/>
    </row>
    <row r="562" spans="1:22" ht="41.4">
      <c r="A562" s="22" t="s">
        <v>592</v>
      </c>
      <c r="B562" s="25">
        <v>45708</v>
      </c>
      <c r="C562" s="22" t="s">
        <v>17</v>
      </c>
      <c r="D562" s="22" t="s">
        <v>18</v>
      </c>
      <c r="E562" s="22" t="s">
        <v>24</v>
      </c>
      <c r="F562" s="22" t="s">
        <v>41</v>
      </c>
      <c r="G562" s="22" t="s">
        <v>21</v>
      </c>
      <c r="H562" s="22">
        <v>1</v>
      </c>
      <c r="I562" s="22">
        <v>0</v>
      </c>
      <c r="J562" s="22">
        <v>0</v>
      </c>
      <c r="K562" s="22">
        <v>0</v>
      </c>
      <c r="L562" s="22">
        <v>0</v>
      </c>
      <c r="M562" s="22">
        <v>0</v>
      </c>
      <c r="N562" s="22">
        <v>0</v>
      </c>
      <c r="O562" s="22"/>
      <c r="P562" s="22">
        <v>25</v>
      </c>
      <c r="Q562" s="22" t="str">
        <f>IF(OR(L562&lt;$Y$18,L562&gt;$Y$19),"Outlier","Normal")</f>
        <v>Normal</v>
      </c>
      <c r="R562" s="26" t="str">
        <f>A562&amp;B562&amp;C562&amp;D562&amp;E562&amp;F562&amp;G562&amp;H562&amp;I562&amp;J562&amp;K562&amp;L562&amp;M562&amp;N562&amp;O562&amp;P562</f>
        <v>USR-10056145708ControlNorthMobileSocialBasic100000025</v>
      </c>
      <c r="S562" s="22" t="str">
        <f>IF(COUNTIF($R$2:$R$1409,R562)=1,"OK",IF(COUNTIF($R$2:$R$1409,R562)&gt;1,"Exact Duplicate","Review Required"))</f>
        <v>OK</v>
      </c>
      <c r="T562" s="22" t="s">
        <v>24</v>
      </c>
      <c r="U562" s="22" t="s">
        <v>41</v>
      </c>
      <c r="V562" s="22"/>
    </row>
    <row r="563" spans="1:22" ht="41.4">
      <c r="A563" s="22" t="s">
        <v>593</v>
      </c>
      <c r="B563" s="25">
        <v>45746</v>
      </c>
      <c r="C563" s="22" t="s">
        <v>17</v>
      </c>
      <c r="D563" s="22" t="s">
        <v>28</v>
      </c>
      <c r="E563" s="22" t="s">
        <v>24</v>
      </c>
      <c r="F563" s="22" t="s">
        <v>41</v>
      </c>
      <c r="G563" s="22" t="s">
        <v>21</v>
      </c>
      <c r="H563" s="22">
        <v>0</v>
      </c>
      <c r="I563" s="22">
        <v>0</v>
      </c>
      <c r="J563" s="22">
        <v>0</v>
      </c>
      <c r="K563" s="22">
        <v>0</v>
      </c>
      <c r="L563" s="22">
        <v>0</v>
      </c>
      <c r="M563" s="22">
        <v>0</v>
      </c>
      <c r="N563" s="22">
        <v>0</v>
      </c>
      <c r="O563" s="22"/>
      <c r="P563" s="22">
        <v>53.4</v>
      </c>
      <c r="Q563" s="22" t="str">
        <f>IF(OR(L563&lt;$Y$18,L563&gt;$Y$19),"Outlier","Normal")</f>
        <v>Normal</v>
      </c>
      <c r="R563" s="26" t="str">
        <f>A563&amp;B563&amp;C563&amp;D563&amp;E563&amp;F563&amp;G563&amp;H563&amp;I563&amp;J563&amp;K563&amp;L563&amp;M563&amp;N563&amp;O563&amp;P563</f>
        <v>USR-10056245746ControlEastMobileSocialBasic000000053.4</v>
      </c>
      <c r="S563" s="22" t="str">
        <f>IF(COUNTIF($R$2:$R$1409,R563)=1,"OK",IF(COUNTIF($R$2:$R$1409,R563)&gt;1,"Exact Duplicate","Review Required"))</f>
        <v>OK</v>
      </c>
      <c r="T563" s="22" t="s">
        <v>24</v>
      </c>
      <c r="U563" s="22" t="s">
        <v>41</v>
      </c>
      <c r="V563" s="22"/>
    </row>
    <row r="564" spans="1:22" ht="41.4">
      <c r="A564" s="22" t="s">
        <v>594</v>
      </c>
      <c r="B564" s="25">
        <v>45757</v>
      </c>
      <c r="C564" s="22" t="s">
        <v>17</v>
      </c>
      <c r="D564" s="22" t="s">
        <v>28</v>
      </c>
      <c r="E564" s="22" t="s">
        <v>19</v>
      </c>
      <c r="F564" s="22" t="s">
        <v>25</v>
      </c>
      <c r="G564" s="22" t="s">
        <v>21</v>
      </c>
      <c r="H564" s="22">
        <v>0</v>
      </c>
      <c r="I564" s="22">
        <v>0</v>
      </c>
      <c r="J564" s="22">
        <v>0</v>
      </c>
      <c r="K564" s="22">
        <v>0</v>
      </c>
      <c r="L564" s="22">
        <v>0</v>
      </c>
      <c r="M564" s="22">
        <v>0</v>
      </c>
      <c r="N564" s="22">
        <v>0</v>
      </c>
      <c r="O564" s="22"/>
      <c r="P564" s="22">
        <v>40.700000000000003</v>
      </c>
      <c r="Q564" s="22" t="str">
        <f>IF(OR(L564&lt;$Y$18,L564&gt;$Y$19),"Outlier","Normal")</f>
        <v>Normal</v>
      </c>
      <c r="R564" s="26" t="str">
        <f>A564&amp;B564&amp;C564&amp;D564&amp;E564&amp;F564&amp;G564&amp;H564&amp;I564&amp;J564&amp;K564&amp;L564&amp;M564&amp;N564&amp;O564&amp;P564</f>
        <v>USR-10056345757ControlEastDesktopOrganicBasic000000040.7</v>
      </c>
      <c r="S564" s="22" t="str">
        <f>IF(COUNTIF($R$2:$R$1409,R564)=1,"OK",IF(COUNTIF($R$2:$R$1409,R564)&gt;1,"Exact Duplicate","Review Required"))</f>
        <v>OK</v>
      </c>
      <c r="T564" s="22" t="s">
        <v>19</v>
      </c>
      <c r="U564" s="22" t="s">
        <v>25</v>
      </c>
      <c r="V564" s="22"/>
    </row>
    <row r="565" spans="1:22" ht="41.4">
      <c r="A565" s="22" t="s">
        <v>595</v>
      </c>
      <c r="B565" s="25">
        <v>45740</v>
      </c>
      <c r="C565" s="22" t="s">
        <v>17</v>
      </c>
      <c r="D565" s="22" t="s">
        <v>28</v>
      </c>
      <c r="E565" s="22" t="s">
        <v>24</v>
      </c>
      <c r="F565" s="22" t="s">
        <v>25</v>
      </c>
      <c r="G565" s="22" t="s">
        <v>30</v>
      </c>
      <c r="H565" s="22">
        <v>1</v>
      </c>
      <c r="I565" s="22">
        <v>1</v>
      </c>
      <c r="J565" s="22">
        <v>0</v>
      </c>
      <c r="K565" s="22">
        <v>0</v>
      </c>
      <c r="L565" s="22">
        <v>0</v>
      </c>
      <c r="M565" s="22">
        <v>0</v>
      </c>
      <c r="N565" s="22">
        <v>0</v>
      </c>
      <c r="O565" s="22"/>
      <c r="P565" s="22">
        <v>36.700000000000003</v>
      </c>
      <c r="Q565" s="22" t="str">
        <f>IF(OR(L565&lt;$Y$18,L565&gt;$Y$19),"Outlier","Normal")</f>
        <v>Normal</v>
      </c>
      <c r="R565" s="26" t="str">
        <f>A565&amp;B565&amp;C565&amp;D565&amp;E565&amp;F565&amp;G565&amp;H565&amp;I565&amp;J565&amp;K565&amp;L565&amp;M565&amp;N565&amp;O565&amp;P565</f>
        <v>USR-10056445740ControlEastMobileOrganicPremium110000036.7</v>
      </c>
      <c r="S565" s="22" t="str">
        <f>IF(COUNTIF($R$2:$R$1409,R565)=1,"OK",IF(COUNTIF($R$2:$R$1409,R565)&gt;1,"Exact Duplicate","Review Required"))</f>
        <v>OK</v>
      </c>
      <c r="T565" s="22" t="s">
        <v>24</v>
      </c>
      <c r="U565" s="22" t="s">
        <v>25</v>
      </c>
      <c r="V565" s="22"/>
    </row>
    <row r="566" spans="1:22" ht="41.4">
      <c r="A566" s="22" t="s">
        <v>596</v>
      </c>
      <c r="B566" s="25">
        <v>45798</v>
      </c>
      <c r="C566" s="22" t="s">
        <v>17</v>
      </c>
      <c r="D566" s="22" t="s">
        <v>23</v>
      </c>
      <c r="E566" s="22" t="s">
        <v>24</v>
      </c>
      <c r="F566" s="22" t="s">
        <v>25</v>
      </c>
      <c r="G566" s="22" t="s">
        <v>21</v>
      </c>
      <c r="H566" s="22">
        <v>1</v>
      </c>
      <c r="I566" s="22">
        <v>0</v>
      </c>
      <c r="J566" s="22">
        <v>0</v>
      </c>
      <c r="K566" s="22">
        <v>0</v>
      </c>
      <c r="L566" s="22">
        <v>0</v>
      </c>
      <c r="M566" s="22">
        <v>1</v>
      </c>
      <c r="N566" s="22">
        <v>0</v>
      </c>
      <c r="O566" s="22"/>
      <c r="P566" s="22">
        <v>67.5</v>
      </c>
      <c r="Q566" s="22" t="str">
        <f>IF(OR(L566&lt;$Y$18,L566&gt;$Y$19),"Outlier","Normal")</f>
        <v>Normal</v>
      </c>
      <c r="R566" s="26" t="str">
        <f>A566&amp;B566&amp;C566&amp;D566&amp;E566&amp;F566&amp;G566&amp;H566&amp;I566&amp;J566&amp;K566&amp;L566&amp;M566&amp;N566&amp;O566&amp;P566</f>
        <v>USR-10056545798ControlWestMobileOrganicBasic100001067.5</v>
      </c>
      <c r="S566" s="22" t="str">
        <f>IF(COUNTIF($R$2:$R$1409,R566)=1,"OK",IF(COUNTIF($R$2:$R$1409,R566)&gt;1,"Exact Duplicate","Review Required"))</f>
        <v>OK</v>
      </c>
      <c r="T566" s="22" t="s">
        <v>24</v>
      </c>
      <c r="U566" s="22" t="s">
        <v>25</v>
      </c>
      <c r="V566" s="22"/>
    </row>
    <row r="567" spans="1:22" ht="41.4">
      <c r="A567" s="22" t="s">
        <v>597</v>
      </c>
      <c r="B567" s="25">
        <v>45745</v>
      </c>
      <c r="C567" s="22" t="s">
        <v>17</v>
      </c>
      <c r="D567" s="22" t="s">
        <v>28</v>
      </c>
      <c r="E567" s="22" t="s">
        <v>24</v>
      </c>
      <c r="F567" s="22" t="s">
        <v>41</v>
      </c>
      <c r="G567" s="22" t="s">
        <v>30</v>
      </c>
      <c r="H567" s="22">
        <v>1</v>
      </c>
      <c r="I567" s="22">
        <v>1</v>
      </c>
      <c r="J567" s="22">
        <v>1</v>
      </c>
      <c r="K567" s="22">
        <v>0</v>
      </c>
      <c r="L567" s="22">
        <v>0</v>
      </c>
      <c r="M567" s="22">
        <v>0</v>
      </c>
      <c r="N567" s="22">
        <v>0</v>
      </c>
      <c r="O567" s="22"/>
      <c r="P567" s="22">
        <v>69.900000000000006</v>
      </c>
      <c r="Q567" s="22" t="str">
        <f>IF(OR(L567&lt;$Y$18,L567&gt;$Y$19),"Outlier","Normal")</f>
        <v>Normal</v>
      </c>
      <c r="R567" s="26" t="str">
        <f>A567&amp;B567&amp;C567&amp;D567&amp;E567&amp;F567&amp;G567&amp;H567&amp;I567&amp;J567&amp;K567&amp;L567&amp;M567&amp;N567&amp;O567&amp;P567</f>
        <v>USR-10056645745ControlEastMobileSocialPremium111000069.9</v>
      </c>
      <c r="S567" s="22" t="str">
        <f>IF(COUNTIF($R$2:$R$1409,R567)=1,"OK",IF(COUNTIF($R$2:$R$1409,R567)&gt;1,"Exact Duplicate","Review Required"))</f>
        <v>OK</v>
      </c>
      <c r="T567" s="22" t="s">
        <v>24</v>
      </c>
      <c r="U567" s="22" t="s">
        <v>41</v>
      </c>
      <c r="V567" s="22"/>
    </row>
    <row r="568" spans="1:22" ht="41.4">
      <c r="A568" s="22" t="s">
        <v>598</v>
      </c>
      <c r="B568" s="25">
        <v>45711</v>
      </c>
      <c r="C568" s="22" t="s">
        <v>17</v>
      </c>
      <c r="D568" s="22" t="s">
        <v>18</v>
      </c>
      <c r="E568" s="22" t="s">
        <v>34</v>
      </c>
      <c r="F568" s="22" t="s">
        <v>39</v>
      </c>
      <c r="G568" s="22" t="s">
        <v>21</v>
      </c>
      <c r="H568" s="22">
        <v>1</v>
      </c>
      <c r="I568" s="22">
        <v>0</v>
      </c>
      <c r="J568" s="22">
        <v>0</v>
      </c>
      <c r="K568" s="22">
        <v>0</v>
      </c>
      <c r="L568" s="22">
        <v>0</v>
      </c>
      <c r="M568" s="22">
        <v>0</v>
      </c>
      <c r="N568" s="22">
        <v>0</v>
      </c>
      <c r="O568" s="22"/>
      <c r="P568" s="22">
        <v>65.099999999999994</v>
      </c>
      <c r="Q568" s="22" t="str">
        <f>IF(OR(L568&lt;$Y$18,L568&gt;$Y$19),"Outlier","Normal")</f>
        <v>Normal</v>
      </c>
      <c r="R568" s="26" t="str">
        <f>A568&amp;B568&amp;C568&amp;D568&amp;E568&amp;F568&amp;G568&amp;H568&amp;I568&amp;J568&amp;K568&amp;L568&amp;M568&amp;N568&amp;O568&amp;P568</f>
        <v>USR-10056745711ControlNorthTabletReferralBasic100000065.1</v>
      </c>
      <c r="S568" s="22" t="str">
        <f>IF(COUNTIF($R$2:$R$1409,R568)=1,"OK",IF(COUNTIF($R$2:$R$1409,R568)&gt;1,"Exact Duplicate","Review Required"))</f>
        <v>OK</v>
      </c>
      <c r="T568" s="22" t="s">
        <v>34</v>
      </c>
      <c r="U568" s="22" t="s">
        <v>39</v>
      </c>
      <c r="V568" s="22"/>
    </row>
    <row r="569" spans="1:22" ht="41.4">
      <c r="A569" s="22" t="s">
        <v>599</v>
      </c>
      <c r="B569" s="25">
        <v>45704</v>
      </c>
      <c r="C569" s="22" t="s">
        <v>17</v>
      </c>
      <c r="D569" s="22" t="s">
        <v>23</v>
      </c>
      <c r="E569" s="22" t="s">
        <v>24</v>
      </c>
      <c r="F569" s="22" t="s">
        <v>29</v>
      </c>
      <c r="G569" s="22" t="s">
        <v>30</v>
      </c>
      <c r="H569" s="22">
        <v>1</v>
      </c>
      <c r="I569" s="22">
        <v>0</v>
      </c>
      <c r="J569" s="22">
        <v>0</v>
      </c>
      <c r="K569" s="22">
        <v>0</v>
      </c>
      <c r="L569" s="22">
        <v>0</v>
      </c>
      <c r="M569" s="22">
        <v>0</v>
      </c>
      <c r="N569" s="22">
        <v>0</v>
      </c>
      <c r="O569" s="22"/>
      <c r="P569" s="22">
        <v>48.7</v>
      </c>
      <c r="Q569" s="22" t="str">
        <f>IF(OR(L569&lt;$Y$18,L569&gt;$Y$19),"Outlier","Normal")</f>
        <v>Normal</v>
      </c>
      <c r="R569" s="26" t="str">
        <f>A569&amp;B569&amp;C569&amp;D569&amp;E569&amp;F569&amp;G569&amp;H569&amp;I569&amp;J569&amp;K569&amp;L569&amp;M569&amp;N569&amp;O569&amp;P569</f>
        <v>USR-10056845704ControlWestMobilePaid SearchPremium100000048.7</v>
      </c>
      <c r="S569" s="22" t="str">
        <f>IF(COUNTIF($R$2:$R$1409,R569)=1,"OK",IF(COUNTIF($R$2:$R$1409,R569)&gt;1,"Exact Duplicate","Review Required"))</f>
        <v>OK</v>
      </c>
      <c r="T569" s="22" t="s">
        <v>24</v>
      </c>
      <c r="U569" s="22" t="s">
        <v>29</v>
      </c>
      <c r="V569" s="22"/>
    </row>
    <row r="570" spans="1:22" ht="41.4">
      <c r="A570" s="22" t="s">
        <v>600</v>
      </c>
      <c r="B570" s="25">
        <v>45709</v>
      </c>
      <c r="C570" s="22" t="s">
        <v>17</v>
      </c>
      <c r="D570" s="22" t="s">
        <v>23</v>
      </c>
      <c r="E570" s="22" t="s">
        <v>19</v>
      </c>
      <c r="F570" s="22" t="s">
        <v>25</v>
      </c>
      <c r="G570" s="22" t="s">
        <v>21</v>
      </c>
      <c r="H570" s="22">
        <v>1</v>
      </c>
      <c r="I570" s="22">
        <v>1</v>
      </c>
      <c r="J570" s="22">
        <v>0</v>
      </c>
      <c r="K570" s="22">
        <v>0</v>
      </c>
      <c r="L570" s="22">
        <v>0</v>
      </c>
      <c r="M570" s="22">
        <v>0</v>
      </c>
      <c r="N570" s="22">
        <v>0</v>
      </c>
      <c r="O570" s="22"/>
      <c r="P570" s="22">
        <v>47.2</v>
      </c>
      <c r="Q570" s="22" t="str">
        <f>IF(OR(L570&lt;$Y$18,L570&gt;$Y$19),"Outlier","Normal")</f>
        <v>Normal</v>
      </c>
      <c r="R570" s="26" t="str">
        <f>A570&amp;B570&amp;C570&amp;D570&amp;E570&amp;F570&amp;G570&amp;H570&amp;I570&amp;J570&amp;K570&amp;L570&amp;M570&amp;N570&amp;O570&amp;P570</f>
        <v>USR-10056945709ControlWestDesktopOrganicBasic110000047.2</v>
      </c>
      <c r="S570" s="22" t="str">
        <f>IF(COUNTIF($R$2:$R$1409,R570)=1,"OK",IF(COUNTIF($R$2:$R$1409,R570)&gt;1,"Exact Duplicate","Review Required"))</f>
        <v>OK</v>
      </c>
      <c r="T570" s="22" t="s">
        <v>19</v>
      </c>
      <c r="U570" s="22" t="s">
        <v>25</v>
      </c>
      <c r="V570" s="22"/>
    </row>
    <row r="571" spans="1:22" ht="41.4">
      <c r="A571" s="22" t="s">
        <v>601</v>
      </c>
      <c r="B571" s="25">
        <v>45664</v>
      </c>
      <c r="C571" s="22" t="s">
        <v>17</v>
      </c>
      <c r="D571" s="22" t="s">
        <v>18</v>
      </c>
      <c r="E571" s="22" t="s">
        <v>24</v>
      </c>
      <c r="F571" s="22" t="s">
        <v>39</v>
      </c>
      <c r="G571" s="22" t="s">
        <v>26</v>
      </c>
      <c r="H571" s="22">
        <v>1</v>
      </c>
      <c r="I571" s="22">
        <v>0</v>
      </c>
      <c r="J571" s="22">
        <v>0</v>
      </c>
      <c r="K571" s="22">
        <v>0</v>
      </c>
      <c r="L571" s="22">
        <v>0</v>
      </c>
      <c r="M571" s="22">
        <v>2</v>
      </c>
      <c r="N571" s="22">
        <v>0</v>
      </c>
      <c r="O571" s="22"/>
      <c r="P571" s="22">
        <v>20.3</v>
      </c>
      <c r="Q571" s="22" t="str">
        <f>IF(OR(L571&lt;$Y$18,L571&gt;$Y$19),"Outlier","Normal")</f>
        <v>Normal</v>
      </c>
      <c r="R571" s="26" t="str">
        <f>A571&amp;B571&amp;C571&amp;D571&amp;E571&amp;F571&amp;G571&amp;H571&amp;I571&amp;J571&amp;K571&amp;L571&amp;M571&amp;N571&amp;O571&amp;P571</f>
        <v>USR-10057045664ControlNorthMobileReferralFree100002020.3</v>
      </c>
      <c r="S571" s="22" t="str">
        <f>IF(COUNTIF($R$2:$R$1409,R571)=1,"OK",IF(COUNTIF($R$2:$R$1409,R571)&gt;1,"Exact Duplicate","Review Required"))</f>
        <v>OK</v>
      </c>
      <c r="T571" s="22" t="s">
        <v>24</v>
      </c>
      <c r="U571" s="22" t="s">
        <v>39</v>
      </c>
      <c r="V571" s="22"/>
    </row>
    <row r="572" spans="1:22" ht="41.4">
      <c r="A572" s="22" t="s">
        <v>602</v>
      </c>
      <c r="B572" s="25">
        <v>45722</v>
      </c>
      <c r="C572" s="22" t="s">
        <v>17</v>
      </c>
      <c r="D572" s="22" t="s">
        <v>23</v>
      </c>
      <c r="E572" s="22" t="s">
        <v>24</v>
      </c>
      <c r="F572" s="22" t="s">
        <v>29</v>
      </c>
      <c r="G572" s="22" t="s">
        <v>26</v>
      </c>
      <c r="H572" s="22">
        <v>0</v>
      </c>
      <c r="I572" s="22">
        <v>0</v>
      </c>
      <c r="J572" s="22">
        <v>0</v>
      </c>
      <c r="K572" s="22">
        <v>0</v>
      </c>
      <c r="L572" s="22">
        <v>0</v>
      </c>
      <c r="M572" s="22">
        <v>1</v>
      </c>
      <c r="N572" s="22">
        <v>0</v>
      </c>
      <c r="O572" s="22"/>
      <c r="P572" s="22">
        <v>57.8</v>
      </c>
      <c r="Q572" s="22" t="str">
        <f>IF(OR(L572&lt;$Y$18,L572&gt;$Y$19),"Outlier","Normal")</f>
        <v>Normal</v>
      </c>
      <c r="R572" s="26" t="str">
        <f>A572&amp;B572&amp;C572&amp;D572&amp;E572&amp;F572&amp;G572&amp;H572&amp;I572&amp;J572&amp;K572&amp;L572&amp;M572&amp;N572&amp;O572&amp;P572</f>
        <v>USR-10057145722ControlWestMobilePaid SearchFree000001057.8</v>
      </c>
      <c r="S572" s="22" t="str">
        <f>IF(COUNTIF($R$2:$R$1409,R572)=1,"OK",IF(COUNTIF($R$2:$R$1409,R572)&gt;1,"Exact Duplicate","Review Required"))</f>
        <v>OK</v>
      </c>
      <c r="T572" s="22" t="s">
        <v>24</v>
      </c>
      <c r="U572" s="22" t="s">
        <v>29</v>
      </c>
      <c r="V572" s="22"/>
    </row>
    <row r="573" spans="1:22" ht="41.4">
      <c r="A573" s="22" t="s">
        <v>603</v>
      </c>
      <c r="B573" s="25">
        <v>45746</v>
      </c>
      <c r="C573" s="22" t="s">
        <v>17</v>
      </c>
      <c r="D573" s="22" t="s">
        <v>28</v>
      </c>
      <c r="E573" s="22" t="s">
        <v>24</v>
      </c>
      <c r="F573" s="22" t="s">
        <v>20</v>
      </c>
      <c r="G573" s="22" t="s">
        <v>21</v>
      </c>
      <c r="H573" s="22">
        <v>1</v>
      </c>
      <c r="I573" s="22">
        <v>0</v>
      </c>
      <c r="J573" s="22">
        <v>0</v>
      </c>
      <c r="K573" s="22">
        <v>0</v>
      </c>
      <c r="L573" s="22">
        <v>0</v>
      </c>
      <c r="M573" s="22">
        <v>0</v>
      </c>
      <c r="N573" s="22">
        <v>0</v>
      </c>
      <c r="O573" s="22"/>
      <c r="P573" s="22">
        <v>78.7</v>
      </c>
      <c r="Q573" s="22" t="str">
        <f>IF(OR(L573&lt;$Y$18,L573&gt;$Y$19),"Outlier","Normal")</f>
        <v>Normal</v>
      </c>
      <c r="R573" s="26" t="str">
        <f>A573&amp;B573&amp;C573&amp;D573&amp;E573&amp;F573&amp;G573&amp;H573&amp;I573&amp;J573&amp;K573&amp;L573&amp;M573&amp;N573&amp;O573&amp;P573</f>
        <v>USR-10057245746ControlEastMobileEmailBasic100000078.7</v>
      </c>
      <c r="S573" s="22" t="str">
        <f>IF(COUNTIF($R$2:$R$1409,R573)=1,"OK",IF(COUNTIF($R$2:$R$1409,R573)&gt;1,"Exact Duplicate","Review Required"))</f>
        <v>OK</v>
      </c>
      <c r="T573" s="22" t="s">
        <v>24</v>
      </c>
      <c r="U573" s="22" t="s">
        <v>20</v>
      </c>
      <c r="V573" s="22"/>
    </row>
    <row r="574" spans="1:22" ht="41.4">
      <c r="A574" s="22" t="s">
        <v>604</v>
      </c>
      <c r="B574" s="25">
        <v>45808</v>
      </c>
      <c r="C574" s="22" t="s">
        <v>17</v>
      </c>
      <c r="D574" s="22" t="s">
        <v>32</v>
      </c>
      <c r="E574" s="22" t="s">
        <v>19</v>
      </c>
      <c r="F574" s="22" t="s">
        <v>25</v>
      </c>
      <c r="G574" s="22" t="s">
        <v>26</v>
      </c>
      <c r="H574" s="22">
        <v>1</v>
      </c>
      <c r="I574" s="22">
        <v>0</v>
      </c>
      <c r="J574" s="22">
        <v>0</v>
      </c>
      <c r="K574" s="22">
        <v>0</v>
      </c>
      <c r="L574" s="22">
        <v>0</v>
      </c>
      <c r="M574" s="22">
        <v>0</v>
      </c>
      <c r="N574" s="22">
        <v>0</v>
      </c>
      <c r="O574" s="22"/>
      <c r="P574" s="22">
        <v>63.6</v>
      </c>
      <c r="Q574" s="22" t="str">
        <f>IF(OR(L574&lt;$Y$18,L574&gt;$Y$19),"Outlier","Normal")</f>
        <v>Normal</v>
      </c>
      <c r="R574" s="26" t="str">
        <f>A574&amp;B574&amp;C574&amp;D574&amp;E574&amp;F574&amp;G574&amp;H574&amp;I574&amp;J574&amp;K574&amp;L574&amp;M574&amp;N574&amp;O574&amp;P574</f>
        <v>USR-10057345808ControlSouthDesktopOrganicFree100000063.6</v>
      </c>
      <c r="S574" s="22" t="str">
        <f>IF(COUNTIF($R$2:$R$1409,R574)=1,"OK",IF(COUNTIF($R$2:$R$1409,R574)&gt;1,"Exact Duplicate","Review Required"))</f>
        <v>OK</v>
      </c>
      <c r="T574" s="22" t="s">
        <v>19</v>
      </c>
      <c r="U574" s="22" t="s">
        <v>25</v>
      </c>
      <c r="V574" s="22"/>
    </row>
    <row r="575" spans="1:22" ht="41.4">
      <c r="A575" s="22" t="s">
        <v>605</v>
      </c>
      <c r="B575" s="25">
        <v>45708</v>
      </c>
      <c r="C575" s="22" t="s">
        <v>17</v>
      </c>
      <c r="D575" s="22" t="s">
        <v>32</v>
      </c>
      <c r="E575" s="22" t="s">
        <v>24</v>
      </c>
      <c r="F575" s="22" t="s">
        <v>20</v>
      </c>
      <c r="G575" s="22" t="s">
        <v>26</v>
      </c>
      <c r="H575" s="22">
        <v>0</v>
      </c>
      <c r="I575" s="22">
        <v>0</v>
      </c>
      <c r="J575" s="22">
        <v>0</v>
      </c>
      <c r="K575" s="22">
        <v>0</v>
      </c>
      <c r="L575" s="22">
        <v>0</v>
      </c>
      <c r="M575" s="22">
        <v>2</v>
      </c>
      <c r="N575" s="22">
        <v>0</v>
      </c>
      <c r="O575" s="22"/>
      <c r="P575" s="22">
        <v>45.1</v>
      </c>
      <c r="Q575" s="22" t="str">
        <f>IF(OR(L575&lt;$Y$18,L575&gt;$Y$19),"Outlier","Normal")</f>
        <v>Normal</v>
      </c>
      <c r="R575" s="26" t="str">
        <f>A575&amp;B575&amp;C575&amp;D575&amp;E575&amp;F575&amp;G575&amp;H575&amp;I575&amp;J575&amp;K575&amp;L575&amp;M575&amp;N575&amp;O575&amp;P575</f>
        <v>USR-10057445708ControlSouthMobileEmailFree000002045.1</v>
      </c>
      <c r="S575" s="22" t="str">
        <f>IF(COUNTIF($R$2:$R$1409,R575)=1,"OK",IF(COUNTIF($R$2:$R$1409,R575)&gt;1,"Exact Duplicate","Review Required"))</f>
        <v>OK</v>
      </c>
      <c r="T575" s="22" t="s">
        <v>24</v>
      </c>
      <c r="U575" s="22" t="s">
        <v>20</v>
      </c>
      <c r="V575" s="22"/>
    </row>
    <row r="576" spans="1:22" ht="41.4">
      <c r="A576" s="22" t="s">
        <v>606</v>
      </c>
      <c r="B576" s="25">
        <v>45670</v>
      </c>
      <c r="C576" s="22" t="s">
        <v>17</v>
      </c>
      <c r="D576" s="22" t="s">
        <v>23</v>
      </c>
      <c r="E576" s="22" t="s">
        <v>24</v>
      </c>
      <c r="F576" s="22" t="s">
        <v>41</v>
      </c>
      <c r="G576" s="22" t="s">
        <v>26</v>
      </c>
      <c r="H576" s="22">
        <v>0</v>
      </c>
      <c r="I576" s="22">
        <v>0</v>
      </c>
      <c r="J576" s="22">
        <v>0</v>
      </c>
      <c r="K576" s="22">
        <v>0</v>
      </c>
      <c r="L576" s="22">
        <v>0</v>
      </c>
      <c r="M576" s="22">
        <v>0</v>
      </c>
      <c r="N576" s="22">
        <v>0</v>
      </c>
      <c r="O576" s="22"/>
      <c r="P576" s="22">
        <v>77.5</v>
      </c>
      <c r="Q576" s="22" t="str">
        <f>IF(OR(L576&lt;$Y$18,L576&gt;$Y$19),"Outlier","Normal")</f>
        <v>Normal</v>
      </c>
      <c r="R576" s="26" t="str">
        <f>A576&amp;B576&amp;C576&amp;D576&amp;E576&amp;F576&amp;G576&amp;H576&amp;I576&amp;J576&amp;K576&amp;L576&amp;M576&amp;N576&amp;O576&amp;P576</f>
        <v>USR-10057545670ControlWestMobileSocialFree000000077.5</v>
      </c>
      <c r="S576" s="22" t="str">
        <f>IF(COUNTIF($R$2:$R$1409,R576)=1,"OK",IF(COUNTIF($R$2:$R$1409,R576)&gt;1,"Exact Duplicate","Review Required"))</f>
        <v>OK</v>
      </c>
      <c r="T576" s="22" t="s">
        <v>24</v>
      </c>
      <c r="U576" s="22" t="s">
        <v>41</v>
      </c>
      <c r="V576" s="22"/>
    </row>
    <row r="577" spans="1:22" ht="41.4">
      <c r="A577" s="22" t="s">
        <v>607</v>
      </c>
      <c r="B577" s="25">
        <v>45790</v>
      </c>
      <c r="C577" s="22" t="s">
        <v>17</v>
      </c>
      <c r="D577" s="22" t="s">
        <v>28</v>
      </c>
      <c r="E577" s="22" t="s">
        <v>19</v>
      </c>
      <c r="F577" s="22" t="s">
        <v>29</v>
      </c>
      <c r="G577" s="22" t="s">
        <v>21</v>
      </c>
      <c r="H577" s="22">
        <v>1</v>
      </c>
      <c r="I577" s="22">
        <v>1</v>
      </c>
      <c r="J577" s="22">
        <v>0</v>
      </c>
      <c r="K577" s="22">
        <v>0</v>
      </c>
      <c r="L577" s="22">
        <v>0</v>
      </c>
      <c r="M577" s="22">
        <v>0</v>
      </c>
      <c r="N577" s="22">
        <v>0</v>
      </c>
      <c r="O577" s="22"/>
      <c r="P577" s="22">
        <v>58</v>
      </c>
      <c r="Q577" s="22" t="str">
        <f>IF(OR(L577&lt;$Y$18,L577&gt;$Y$19),"Outlier","Normal")</f>
        <v>Normal</v>
      </c>
      <c r="R577" s="26" t="str">
        <f>A577&amp;B577&amp;C577&amp;D577&amp;E577&amp;F577&amp;G577&amp;H577&amp;I577&amp;J577&amp;K577&amp;L577&amp;M577&amp;N577&amp;O577&amp;P577</f>
        <v>USR-10057645790ControlEastDesktopPaid SearchBasic110000058</v>
      </c>
      <c r="S577" s="22" t="str">
        <f>IF(COUNTIF($R$2:$R$1409,R577)=1,"OK",IF(COUNTIF($R$2:$R$1409,R577)&gt;1,"Exact Duplicate","Review Required"))</f>
        <v>OK</v>
      </c>
      <c r="T577" s="22" t="s">
        <v>19</v>
      </c>
      <c r="U577" s="22" t="s">
        <v>29</v>
      </c>
      <c r="V577" s="22"/>
    </row>
    <row r="578" spans="1:22" ht="41.4">
      <c r="A578" s="22" t="s">
        <v>608</v>
      </c>
      <c r="B578" s="25">
        <v>45768</v>
      </c>
      <c r="C578" s="22" t="s">
        <v>17</v>
      </c>
      <c r="D578" s="22" t="s">
        <v>32</v>
      </c>
      <c r="E578" s="22" t="s">
        <v>34</v>
      </c>
      <c r="F578" s="22" t="s">
        <v>25</v>
      </c>
      <c r="G578" s="22" t="s">
        <v>26</v>
      </c>
      <c r="H578" s="22">
        <v>1</v>
      </c>
      <c r="I578" s="22">
        <v>0</v>
      </c>
      <c r="J578" s="22">
        <v>0</v>
      </c>
      <c r="K578" s="22">
        <v>0</v>
      </c>
      <c r="L578" s="22">
        <v>0</v>
      </c>
      <c r="M578" s="22">
        <v>0</v>
      </c>
      <c r="N578" s="22">
        <v>0</v>
      </c>
      <c r="O578" s="22"/>
      <c r="P578" s="22">
        <v>68.099999999999994</v>
      </c>
      <c r="Q578" s="22" t="str">
        <f>IF(OR(L578&lt;$Y$18,L578&gt;$Y$19),"Outlier","Normal")</f>
        <v>Normal</v>
      </c>
      <c r="R578" s="26" t="str">
        <f>A578&amp;B578&amp;C578&amp;D578&amp;E578&amp;F578&amp;G578&amp;H578&amp;I578&amp;J578&amp;K578&amp;L578&amp;M578&amp;N578&amp;O578&amp;P578</f>
        <v>USR-10057745768ControlSouthTabletOrganicFree100000068.1</v>
      </c>
      <c r="S578" s="22" t="str">
        <f>IF(COUNTIF($R$2:$R$1409,R578)=1,"OK",IF(COUNTIF($R$2:$R$1409,R578)&gt;1,"Exact Duplicate","Review Required"))</f>
        <v>OK</v>
      </c>
      <c r="T578" s="22" t="s">
        <v>34</v>
      </c>
      <c r="U578" s="22" t="s">
        <v>25</v>
      </c>
      <c r="V578" s="22"/>
    </row>
    <row r="579" spans="1:22" ht="41.4">
      <c r="A579" s="22" t="s">
        <v>609</v>
      </c>
      <c r="B579" s="25">
        <v>45717</v>
      </c>
      <c r="C579" s="22" t="s">
        <v>17</v>
      </c>
      <c r="D579" s="22" t="s">
        <v>28</v>
      </c>
      <c r="E579" s="22" t="s">
        <v>34</v>
      </c>
      <c r="F579" s="22" t="s">
        <v>25</v>
      </c>
      <c r="G579" s="22" t="s">
        <v>30</v>
      </c>
      <c r="H579" s="22">
        <v>1</v>
      </c>
      <c r="I579" s="22">
        <v>0</v>
      </c>
      <c r="J579" s="22">
        <v>0</v>
      </c>
      <c r="K579" s="22">
        <v>0</v>
      </c>
      <c r="L579" s="22">
        <v>0</v>
      </c>
      <c r="M579" s="22">
        <v>0</v>
      </c>
      <c r="N579" s="22">
        <v>0</v>
      </c>
      <c r="O579" s="22"/>
      <c r="P579" s="22">
        <v>35.4</v>
      </c>
      <c r="Q579" s="22" t="str">
        <f>IF(OR(L579&lt;$Y$18,L579&gt;$Y$19),"Outlier","Normal")</f>
        <v>Normal</v>
      </c>
      <c r="R579" s="26" t="str">
        <f>A579&amp;B579&amp;C579&amp;D579&amp;E579&amp;F579&amp;G579&amp;H579&amp;I579&amp;J579&amp;K579&amp;L579&amp;M579&amp;N579&amp;O579&amp;P579</f>
        <v>USR-10057845717ControlEastTabletOrganicPremium100000035.4</v>
      </c>
      <c r="S579" s="22" t="str">
        <f>IF(COUNTIF($R$2:$R$1409,R579)=1,"OK",IF(COUNTIF($R$2:$R$1409,R579)&gt;1,"Exact Duplicate","Review Required"))</f>
        <v>OK</v>
      </c>
      <c r="T579" s="22" t="s">
        <v>34</v>
      </c>
      <c r="U579" s="22" t="s">
        <v>25</v>
      </c>
      <c r="V579" s="22"/>
    </row>
    <row r="580" spans="1:22" ht="41.4">
      <c r="A580" s="22" t="s">
        <v>610</v>
      </c>
      <c r="B580" s="25">
        <v>45726</v>
      </c>
      <c r="C580" s="22" t="s">
        <v>17</v>
      </c>
      <c r="D580" s="22" t="s">
        <v>23</v>
      </c>
      <c r="E580" s="22" t="s">
        <v>34</v>
      </c>
      <c r="F580" s="22" t="s">
        <v>25</v>
      </c>
      <c r="G580" s="22" t="s">
        <v>26</v>
      </c>
      <c r="H580" s="22">
        <v>0</v>
      </c>
      <c r="I580" s="22">
        <v>0</v>
      </c>
      <c r="J580" s="22">
        <v>0</v>
      </c>
      <c r="K580" s="22">
        <v>0</v>
      </c>
      <c r="L580" s="22">
        <v>0</v>
      </c>
      <c r="M580" s="22">
        <v>0</v>
      </c>
      <c r="N580" s="22">
        <v>0</v>
      </c>
      <c r="O580" s="22"/>
      <c r="P580" s="22">
        <v>47</v>
      </c>
      <c r="Q580" s="22" t="str">
        <f>IF(OR(L580&lt;$Y$18,L580&gt;$Y$19),"Outlier","Normal")</f>
        <v>Normal</v>
      </c>
      <c r="R580" s="26" t="str">
        <f>A580&amp;B580&amp;C580&amp;D580&amp;E580&amp;F580&amp;G580&amp;H580&amp;I580&amp;J580&amp;K580&amp;L580&amp;M580&amp;N580&amp;O580&amp;P580</f>
        <v>USR-10057945726ControlWestTabletOrganicFree000000047</v>
      </c>
      <c r="S580" s="22" t="str">
        <f>IF(COUNTIF($R$2:$R$1409,R580)=1,"OK",IF(COUNTIF($R$2:$R$1409,R580)&gt;1,"Exact Duplicate","Review Required"))</f>
        <v>OK</v>
      </c>
      <c r="T580" s="22" t="s">
        <v>34</v>
      </c>
      <c r="U580" s="22" t="s">
        <v>25</v>
      </c>
      <c r="V580" s="22"/>
    </row>
    <row r="581" spans="1:22" ht="41.4">
      <c r="A581" s="22" t="s">
        <v>611</v>
      </c>
      <c r="B581" s="25">
        <v>45724</v>
      </c>
      <c r="C581" s="22" t="s">
        <v>17</v>
      </c>
      <c r="D581" s="22" t="s">
        <v>28</v>
      </c>
      <c r="E581" s="22" t="s">
        <v>19</v>
      </c>
      <c r="F581" s="22" t="s">
        <v>29</v>
      </c>
      <c r="G581" s="22" t="s">
        <v>26</v>
      </c>
      <c r="H581" s="22">
        <v>0</v>
      </c>
      <c r="I581" s="22">
        <v>0</v>
      </c>
      <c r="J581" s="22">
        <v>0</v>
      </c>
      <c r="K581" s="22">
        <v>0</v>
      </c>
      <c r="L581" s="22">
        <v>0</v>
      </c>
      <c r="M581" s="22">
        <v>0</v>
      </c>
      <c r="N581" s="22">
        <v>0</v>
      </c>
      <c r="O581" s="22"/>
      <c r="P581" s="22">
        <v>75</v>
      </c>
      <c r="Q581" s="22" t="str">
        <f>IF(OR(L581&lt;$Y$18,L581&gt;$Y$19),"Outlier","Normal")</f>
        <v>Normal</v>
      </c>
      <c r="R581" s="26" t="str">
        <f>A581&amp;B581&amp;C581&amp;D581&amp;E581&amp;F581&amp;G581&amp;H581&amp;I581&amp;J581&amp;K581&amp;L581&amp;M581&amp;N581&amp;O581&amp;P581</f>
        <v>USR-10058045724ControlEastDesktopPaid SearchFree000000075</v>
      </c>
      <c r="S581" s="22" t="str">
        <f>IF(COUNTIF($R$2:$R$1409,R581)=1,"OK",IF(COUNTIF($R$2:$R$1409,R581)&gt;1,"Exact Duplicate","Review Required"))</f>
        <v>OK</v>
      </c>
      <c r="T581" s="22" t="s">
        <v>19</v>
      </c>
      <c r="U581" s="22" t="s">
        <v>29</v>
      </c>
      <c r="V581" s="22"/>
    </row>
    <row r="582" spans="1:22" ht="41.4">
      <c r="A582" s="22" t="s">
        <v>612</v>
      </c>
      <c r="B582" s="25">
        <v>45803</v>
      </c>
      <c r="C582" s="22" t="s">
        <v>17</v>
      </c>
      <c r="D582" s="22" t="s">
        <v>32</v>
      </c>
      <c r="E582" s="22" t="s">
        <v>19</v>
      </c>
      <c r="F582" s="22" t="s">
        <v>29</v>
      </c>
      <c r="G582" s="22" t="s">
        <v>26</v>
      </c>
      <c r="H582" s="22">
        <v>1</v>
      </c>
      <c r="I582" s="22">
        <v>1</v>
      </c>
      <c r="J582" s="22">
        <v>1</v>
      </c>
      <c r="K582" s="22">
        <v>0</v>
      </c>
      <c r="L582" s="22">
        <v>0</v>
      </c>
      <c r="M582" s="22">
        <v>3</v>
      </c>
      <c r="N582" s="22">
        <v>0</v>
      </c>
      <c r="O582" s="22"/>
      <c r="P582" s="22">
        <v>50.2</v>
      </c>
      <c r="Q582" s="22" t="str">
        <f>IF(OR(L582&lt;$Y$18,L582&gt;$Y$19),"Outlier","Normal")</f>
        <v>Normal</v>
      </c>
      <c r="R582" s="26" t="str">
        <f>A582&amp;B582&amp;C582&amp;D582&amp;E582&amp;F582&amp;G582&amp;H582&amp;I582&amp;J582&amp;K582&amp;L582&amp;M582&amp;N582&amp;O582&amp;P582</f>
        <v>USR-10058145803ControlSouthDesktopPaid SearchFree111003050.2</v>
      </c>
      <c r="S582" s="22" t="str">
        <f>IF(COUNTIF($R$2:$R$1409,R582)=1,"OK",IF(COUNTIF($R$2:$R$1409,R582)&gt;1,"Exact Duplicate","Review Required"))</f>
        <v>OK</v>
      </c>
      <c r="T582" s="22" t="s">
        <v>19</v>
      </c>
      <c r="U582" s="22" t="s">
        <v>29</v>
      </c>
      <c r="V582" s="22"/>
    </row>
    <row r="583" spans="1:22" ht="41.4">
      <c r="A583" s="22" t="s">
        <v>613</v>
      </c>
      <c r="B583" s="25">
        <v>45797</v>
      </c>
      <c r="C583" s="22" t="s">
        <v>17</v>
      </c>
      <c r="D583" s="22" t="s">
        <v>28</v>
      </c>
      <c r="E583" s="22" t="s">
        <v>19</v>
      </c>
      <c r="F583" s="22" t="s">
        <v>29</v>
      </c>
      <c r="G583" s="22" t="s">
        <v>26</v>
      </c>
      <c r="H583" s="22">
        <v>1</v>
      </c>
      <c r="I583" s="22">
        <v>0</v>
      </c>
      <c r="J583" s="22">
        <v>0</v>
      </c>
      <c r="K583" s="22">
        <v>0</v>
      </c>
      <c r="L583" s="22">
        <v>0</v>
      </c>
      <c r="M583" s="22">
        <v>0</v>
      </c>
      <c r="N583" s="22">
        <v>0</v>
      </c>
      <c r="O583" s="22"/>
      <c r="P583" s="22">
        <v>40.1</v>
      </c>
      <c r="Q583" s="22" t="str">
        <f>IF(OR(L583&lt;$Y$18,L583&gt;$Y$19),"Outlier","Normal")</f>
        <v>Normal</v>
      </c>
      <c r="R583" s="26" t="str">
        <f>A583&amp;B583&amp;C583&amp;D583&amp;E583&amp;F583&amp;G583&amp;H583&amp;I583&amp;J583&amp;K583&amp;L583&amp;M583&amp;N583&amp;O583&amp;P583</f>
        <v>USR-10058245797ControlEastDesktopPaid SearchFree100000040.1</v>
      </c>
      <c r="S583" s="22" t="str">
        <f>IF(COUNTIF($R$2:$R$1409,R583)=1,"OK",IF(COUNTIF($R$2:$R$1409,R583)&gt;1,"Exact Duplicate","Review Required"))</f>
        <v>OK</v>
      </c>
      <c r="T583" s="22" t="s">
        <v>19</v>
      </c>
      <c r="U583" s="22" t="s">
        <v>29</v>
      </c>
      <c r="V583" s="22"/>
    </row>
    <row r="584" spans="1:22" ht="41.4">
      <c r="A584" s="22" t="s">
        <v>614</v>
      </c>
      <c r="B584" s="25">
        <v>45738</v>
      </c>
      <c r="C584" s="22" t="s">
        <v>17</v>
      </c>
      <c r="D584" s="22" t="s">
        <v>23</v>
      </c>
      <c r="E584" s="22" t="s">
        <v>19</v>
      </c>
      <c r="F584" s="22" t="s">
        <v>29</v>
      </c>
      <c r="G584" s="22" t="s">
        <v>26</v>
      </c>
      <c r="H584" s="22">
        <v>0</v>
      </c>
      <c r="I584" s="22">
        <v>0</v>
      </c>
      <c r="J584" s="22">
        <v>0</v>
      </c>
      <c r="K584" s="22">
        <v>0</v>
      </c>
      <c r="L584" s="22">
        <v>0</v>
      </c>
      <c r="M584" s="22">
        <v>0</v>
      </c>
      <c r="N584" s="22">
        <v>0</v>
      </c>
      <c r="O584" s="22"/>
      <c r="P584" s="22">
        <v>61.1</v>
      </c>
      <c r="Q584" s="22" t="str">
        <f>IF(OR(L584&lt;$Y$18,L584&gt;$Y$19),"Outlier","Normal")</f>
        <v>Normal</v>
      </c>
      <c r="R584" s="26" t="str">
        <f>A584&amp;B584&amp;C584&amp;D584&amp;E584&amp;F584&amp;G584&amp;H584&amp;I584&amp;J584&amp;K584&amp;L584&amp;M584&amp;N584&amp;O584&amp;P584</f>
        <v>USR-10058345738ControlWestDesktopPaid SearchFree000000061.1</v>
      </c>
      <c r="S584" s="22" t="str">
        <f>IF(COUNTIF($R$2:$R$1409,R584)=1,"OK",IF(COUNTIF($R$2:$R$1409,R584)&gt;1,"Exact Duplicate","Review Required"))</f>
        <v>OK</v>
      </c>
      <c r="T584" s="22" t="s">
        <v>19</v>
      </c>
      <c r="U584" s="22" t="s">
        <v>29</v>
      </c>
      <c r="V584" s="22"/>
    </row>
    <row r="585" spans="1:22" ht="41.4">
      <c r="A585" s="22" t="s">
        <v>615</v>
      </c>
      <c r="B585" s="25">
        <v>45703</v>
      </c>
      <c r="C585" s="22" t="s">
        <v>17</v>
      </c>
      <c r="D585" s="22" t="s">
        <v>32</v>
      </c>
      <c r="E585" s="22" t="s">
        <v>19</v>
      </c>
      <c r="F585" s="22" t="s">
        <v>29</v>
      </c>
      <c r="G585" s="22" t="s">
        <v>26</v>
      </c>
      <c r="H585" s="22">
        <v>0</v>
      </c>
      <c r="I585" s="22">
        <v>0</v>
      </c>
      <c r="J585" s="22">
        <v>0</v>
      </c>
      <c r="K585" s="22">
        <v>0</v>
      </c>
      <c r="L585" s="22">
        <v>0</v>
      </c>
      <c r="M585" s="22">
        <v>0</v>
      </c>
      <c r="N585" s="22">
        <v>0</v>
      </c>
      <c r="O585" s="22"/>
      <c r="P585" s="22">
        <v>42.4</v>
      </c>
      <c r="Q585" s="22" t="str">
        <f>IF(OR(L585&lt;$Y$18,L585&gt;$Y$19),"Outlier","Normal")</f>
        <v>Normal</v>
      </c>
      <c r="R585" s="26" t="str">
        <f>A585&amp;B585&amp;C585&amp;D585&amp;E585&amp;F585&amp;G585&amp;H585&amp;I585&amp;J585&amp;K585&amp;L585&amp;M585&amp;N585&amp;O585&amp;P585</f>
        <v>USR-10058445703ControlSouthDesktopPaid SearchFree000000042.4</v>
      </c>
      <c r="S585" s="22" t="str">
        <f>IF(COUNTIF($R$2:$R$1409,R585)=1,"OK",IF(COUNTIF($R$2:$R$1409,R585)&gt;1,"Exact Duplicate","Review Required"))</f>
        <v>OK</v>
      </c>
      <c r="T585" s="22" t="s">
        <v>19</v>
      </c>
      <c r="U585" s="22" t="s">
        <v>29</v>
      </c>
      <c r="V585" s="22"/>
    </row>
    <row r="586" spans="1:22" ht="41.4">
      <c r="A586" s="22" t="s">
        <v>616</v>
      </c>
      <c r="B586" s="25">
        <v>45665</v>
      </c>
      <c r="C586" s="22" t="s">
        <v>17</v>
      </c>
      <c r="D586" s="22" t="s">
        <v>18</v>
      </c>
      <c r="E586" s="22" t="s">
        <v>24</v>
      </c>
      <c r="F586" s="22" t="s">
        <v>41</v>
      </c>
      <c r="G586" s="22" t="s">
        <v>26</v>
      </c>
      <c r="H586" s="22">
        <v>0</v>
      </c>
      <c r="I586" s="22">
        <v>0</v>
      </c>
      <c r="J586" s="22">
        <v>0</v>
      </c>
      <c r="K586" s="22">
        <v>0</v>
      </c>
      <c r="L586" s="22">
        <v>0</v>
      </c>
      <c r="M586" s="22">
        <v>1</v>
      </c>
      <c r="N586" s="22">
        <v>0</v>
      </c>
      <c r="O586" s="22"/>
      <c r="P586" s="22">
        <v>46.6</v>
      </c>
      <c r="Q586" s="22" t="str">
        <f>IF(OR(L586&lt;$Y$18,L586&gt;$Y$19),"Outlier","Normal")</f>
        <v>Normal</v>
      </c>
      <c r="R586" s="26" t="str">
        <f>A586&amp;B586&amp;C586&amp;D586&amp;E586&amp;F586&amp;G586&amp;H586&amp;I586&amp;J586&amp;K586&amp;L586&amp;M586&amp;N586&amp;O586&amp;P586</f>
        <v>USR-10058545665ControlNorthMobileSocialFree000001046.6</v>
      </c>
      <c r="S586" s="22" t="str">
        <f>IF(COUNTIF($R$2:$R$1409,R586)=1,"OK",IF(COUNTIF($R$2:$R$1409,R586)&gt;1,"Exact Duplicate","Review Required"))</f>
        <v>OK</v>
      </c>
      <c r="T586" s="22" t="s">
        <v>24</v>
      </c>
      <c r="U586" s="22" t="s">
        <v>41</v>
      </c>
      <c r="V586" s="22"/>
    </row>
    <row r="587" spans="1:22" ht="41.4">
      <c r="A587" s="22" t="s">
        <v>617</v>
      </c>
      <c r="B587" s="25">
        <v>45686</v>
      </c>
      <c r="C587" s="22" t="s">
        <v>17</v>
      </c>
      <c r="D587" s="22" t="s">
        <v>32</v>
      </c>
      <c r="E587" s="22" t="s">
        <v>24</v>
      </c>
      <c r="F587" s="22" t="s">
        <v>25</v>
      </c>
      <c r="G587" s="22" t="s">
        <v>30</v>
      </c>
      <c r="H587" s="22">
        <v>1</v>
      </c>
      <c r="I587" s="22">
        <v>1</v>
      </c>
      <c r="J587" s="22">
        <v>0</v>
      </c>
      <c r="K587" s="22">
        <v>0</v>
      </c>
      <c r="L587" s="22">
        <v>0</v>
      </c>
      <c r="M587" s="22">
        <v>0</v>
      </c>
      <c r="N587" s="22">
        <v>0</v>
      </c>
      <c r="O587" s="22"/>
      <c r="P587" s="22">
        <v>72.099999999999994</v>
      </c>
      <c r="Q587" s="22" t="str">
        <f>IF(OR(L587&lt;$Y$18,L587&gt;$Y$19),"Outlier","Normal")</f>
        <v>Normal</v>
      </c>
      <c r="R587" s="26" t="str">
        <f>A587&amp;B587&amp;C587&amp;D587&amp;E587&amp;F587&amp;G587&amp;H587&amp;I587&amp;J587&amp;K587&amp;L587&amp;M587&amp;N587&amp;O587&amp;P587</f>
        <v>USR-10058645686ControlSouthMobileOrganicPremium110000072.1</v>
      </c>
      <c r="S587" s="22" t="str">
        <f>IF(COUNTIF($R$2:$R$1409,R587)=1,"OK",IF(COUNTIF($R$2:$R$1409,R587)&gt;1,"Exact Duplicate","Review Required"))</f>
        <v>OK</v>
      </c>
      <c r="T587" s="22" t="s">
        <v>24</v>
      </c>
      <c r="U587" s="22" t="s">
        <v>25</v>
      </c>
      <c r="V587" s="22"/>
    </row>
    <row r="588" spans="1:22" ht="41.4">
      <c r="A588" s="22" t="s">
        <v>618</v>
      </c>
      <c r="B588" s="25">
        <v>45784</v>
      </c>
      <c r="C588" s="22" t="s">
        <v>17</v>
      </c>
      <c r="D588" s="22" t="s">
        <v>28</v>
      </c>
      <c r="E588" s="22" t="s">
        <v>34</v>
      </c>
      <c r="F588" s="22" t="s">
        <v>25</v>
      </c>
      <c r="G588" s="22" t="s">
        <v>26</v>
      </c>
      <c r="H588" s="22">
        <v>0</v>
      </c>
      <c r="I588" s="22">
        <v>0</v>
      </c>
      <c r="J588" s="22">
        <v>0</v>
      </c>
      <c r="K588" s="22">
        <v>0</v>
      </c>
      <c r="L588" s="22">
        <v>0</v>
      </c>
      <c r="M588" s="22">
        <v>0</v>
      </c>
      <c r="N588" s="22">
        <v>0</v>
      </c>
      <c r="O588" s="22"/>
      <c r="P588" s="22">
        <v>21.5</v>
      </c>
      <c r="Q588" s="22" t="str">
        <f>IF(OR(L588&lt;$Y$18,L588&gt;$Y$19),"Outlier","Normal")</f>
        <v>Normal</v>
      </c>
      <c r="R588" s="26" t="str">
        <f>A588&amp;B588&amp;C588&amp;D588&amp;E588&amp;F588&amp;G588&amp;H588&amp;I588&amp;J588&amp;K588&amp;L588&amp;M588&amp;N588&amp;O588&amp;P588</f>
        <v>USR-10058745784ControlEastTabletOrganicFree000000021.5</v>
      </c>
      <c r="S588" s="22" t="str">
        <f>IF(COUNTIF($R$2:$R$1409,R588)=1,"OK",IF(COUNTIF($R$2:$R$1409,R588)&gt;1,"Exact Duplicate","Review Required"))</f>
        <v>OK</v>
      </c>
      <c r="T588" s="22" t="s">
        <v>34</v>
      </c>
      <c r="U588" s="22" t="s">
        <v>25</v>
      </c>
      <c r="V588" s="22"/>
    </row>
    <row r="589" spans="1:22" ht="41.4">
      <c r="A589" s="22" t="s">
        <v>619</v>
      </c>
      <c r="B589" s="25">
        <v>45717</v>
      </c>
      <c r="C589" s="22" t="s">
        <v>17</v>
      </c>
      <c r="D589" s="22" t="s">
        <v>18</v>
      </c>
      <c r="E589" s="22" t="s">
        <v>24</v>
      </c>
      <c r="F589" s="22" t="s">
        <v>41</v>
      </c>
      <c r="G589" s="22" t="s">
        <v>21</v>
      </c>
      <c r="H589" s="22">
        <v>1</v>
      </c>
      <c r="I589" s="22">
        <v>0</v>
      </c>
      <c r="J589" s="22">
        <v>0</v>
      </c>
      <c r="K589" s="22">
        <v>0</v>
      </c>
      <c r="L589" s="22">
        <v>0</v>
      </c>
      <c r="M589" s="22">
        <v>1</v>
      </c>
      <c r="N589" s="22">
        <v>0</v>
      </c>
      <c r="O589" s="22"/>
      <c r="P589" s="22">
        <v>65.400000000000006</v>
      </c>
      <c r="Q589" s="22" t="str">
        <f>IF(OR(L589&lt;$Y$18,L589&gt;$Y$19),"Outlier","Normal")</f>
        <v>Normal</v>
      </c>
      <c r="R589" s="26" t="str">
        <f>A589&amp;B589&amp;C589&amp;D589&amp;E589&amp;F589&amp;G589&amp;H589&amp;I589&amp;J589&amp;K589&amp;L589&amp;M589&amp;N589&amp;O589&amp;P589</f>
        <v>USR-10058845717ControlNorthMobileSocialBasic100001065.4</v>
      </c>
      <c r="S589" s="22" t="str">
        <f>IF(COUNTIF($R$2:$R$1409,R589)=1,"OK",IF(COUNTIF($R$2:$R$1409,R589)&gt;1,"Exact Duplicate","Review Required"))</f>
        <v>OK</v>
      </c>
      <c r="T589" s="22" t="s">
        <v>24</v>
      </c>
      <c r="U589" s="22" t="s">
        <v>41</v>
      </c>
      <c r="V589" s="22"/>
    </row>
    <row r="590" spans="1:22" ht="41.4">
      <c r="A590" s="22" t="s">
        <v>620</v>
      </c>
      <c r="B590" s="25">
        <v>45767</v>
      </c>
      <c r="C590" s="22" t="s">
        <v>17</v>
      </c>
      <c r="D590" s="22" t="s">
        <v>28</v>
      </c>
      <c r="E590" s="22" t="s">
        <v>24</v>
      </c>
      <c r="F590" s="22" t="s">
        <v>25</v>
      </c>
      <c r="G590" s="22" t="s">
        <v>26</v>
      </c>
      <c r="H590" s="22">
        <v>1</v>
      </c>
      <c r="I590" s="22">
        <v>1</v>
      </c>
      <c r="J590" s="22">
        <v>0</v>
      </c>
      <c r="K590" s="22">
        <v>0</v>
      </c>
      <c r="L590" s="22">
        <v>0</v>
      </c>
      <c r="M590" s="22">
        <v>0</v>
      </c>
      <c r="N590" s="22">
        <v>0</v>
      </c>
      <c r="O590" s="22"/>
      <c r="P590" s="22">
        <v>53.3</v>
      </c>
      <c r="Q590" s="22" t="str">
        <f>IF(OR(L590&lt;$Y$18,L590&gt;$Y$19),"Outlier","Normal")</f>
        <v>Normal</v>
      </c>
      <c r="R590" s="26" t="str">
        <f>A590&amp;B590&amp;C590&amp;D590&amp;E590&amp;F590&amp;G590&amp;H590&amp;I590&amp;J590&amp;K590&amp;L590&amp;M590&amp;N590&amp;O590&amp;P590</f>
        <v>USR-10058945767ControlEastMobileOrganicFree110000053.3</v>
      </c>
      <c r="S590" s="22" t="str">
        <f>IF(COUNTIF($R$2:$R$1409,R590)=1,"OK",IF(COUNTIF($R$2:$R$1409,R590)&gt;1,"Exact Duplicate","Review Required"))</f>
        <v>OK</v>
      </c>
      <c r="T590" s="22" t="s">
        <v>24</v>
      </c>
      <c r="U590" s="22" t="s">
        <v>25</v>
      </c>
      <c r="V590" s="22"/>
    </row>
    <row r="591" spans="1:22" ht="41.4">
      <c r="A591" s="22" t="s">
        <v>621</v>
      </c>
      <c r="B591" s="25">
        <v>45673</v>
      </c>
      <c r="C591" s="22" t="s">
        <v>17</v>
      </c>
      <c r="D591" s="22" t="s">
        <v>28</v>
      </c>
      <c r="E591" s="22" t="s">
        <v>24</v>
      </c>
      <c r="F591" s="22" t="s">
        <v>25</v>
      </c>
      <c r="G591" s="22" t="s">
        <v>30</v>
      </c>
      <c r="H591" s="22">
        <v>0</v>
      </c>
      <c r="I591" s="22">
        <v>0</v>
      </c>
      <c r="J591" s="22">
        <v>0</v>
      </c>
      <c r="K591" s="22">
        <v>0</v>
      </c>
      <c r="L591" s="22">
        <v>0</v>
      </c>
      <c r="M591" s="22">
        <v>2</v>
      </c>
      <c r="N591" s="22">
        <v>0</v>
      </c>
      <c r="O591" s="22"/>
      <c r="P591" s="22">
        <v>52.3</v>
      </c>
      <c r="Q591" s="22" t="str">
        <f>IF(OR(L591&lt;$Y$18,L591&gt;$Y$19),"Outlier","Normal")</f>
        <v>Normal</v>
      </c>
      <c r="R591" s="26" t="str">
        <f>A591&amp;B591&amp;C591&amp;D591&amp;E591&amp;F591&amp;G591&amp;H591&amp;I591&amp;J591&amp;K591&amp;L591&amp;M591&amp;N591&amp;O591&amp;P591</f>
        <v>USR-10059045673ControlEastMobileOrganicPremium000002052.3</v>
      </c>
      <c r="S591" s="22" t="str">
        <f>IF(COUNTIF($R$2:$R$1409,R591)=1,"OK",IF(COUNTIF($R$2:$R$1409,R591)&gt;1,"Exact Duplicate","Review Required"))</f>
        <v>OK</v>
      </c>
      <c r="T591" s="22" t="s">
        <v>24</v>
      </c>
      <c r="U591" s="22" t="s">
        <v>25</v>
      </c>
      <c r="V591" s="22"/>
    </row>
    <row r="592" spans="1:22" ht="41.4">
      <c r="A592" s="22" t="s">
        <v>622</v>
      </c>
      <c r="B592" s="25">
        <v>45751</v>
      </c>
      <c r="C592" s="22" t="s">
        <v>17</v>
      </c>
      <c r="D592" s="22" t="s">
        <v>28</v>
      </c>
      <c r="E592" s="22" t="s">
        <v>24</v>
      </c>
      <c r="F592" s="22" t="s">
        <v>29</v>
      </c>
      <c r="G592" s="22" t="s">
        <v>26</v>
      </c>
      <c r="H592" s="22">
        <v>1</v>
      </c>
      <c r="I592" s="22">
        <v>0</v>
      </c>
      <c r="J592" s="22">
        <v>0</v>
      </c>
      <c r="K592" s="22">
        <v>0</v>
      </c>
      <c r="L592" s="22">
        <v>0</v>
      </c>
      <c r="M592" s="22">
        <v>0</v>
      </c>
      <c r="N592" s="22">
        <v>0</v>
      </c>
      <c r="O592" s="22"/>
      <c r="P592" s="22">
        <v>62.5</v>
      </c>
      <c r="Q592" s="22" t="str">
        <f>IF(OR(L592&lt;$Y$18,L592&gt;$Y$19),"Outlier","Normal")</f>
        <v>Normal</v>
      </c>
      <c r="R592" s="26" t="str">
        <f>A592&amp;B592&amp;C592&amp;D592&amp;E592&amp;F592&amp;G592&amp;H592&amp;I592&amp;J592&amp;K592&amp;L592&amp;M592&amp;N592&amp;O592&amp;P592</f>
        <v>USR-10059145751ControlEastMobilePaid SearchFree100000062.5</v>
      </c>
      <c r="S592" s="22" t="str">
        <f>IF(COUNTIF($R$2:$R$1409,R592)=1,"OK",IF(COUNTIF($R$2:$R$1409,R592)&gt;1,"Exact Duplicate","Review Required"))</f>
        <v>OK</v>
      </c>
      <c r="T592" s="22" t="s">
        <v>24</v>
      </c>
      <c r="U592" s="22" t="s">
        <v>29</v>
      </c>
      <c r="V592" s="22"/>
    </row>
    <row r="593" spans="1:22" ht="41.4">
      <c r="A593" s="22" t="s">
        <v>623</v>
      </c>
      <c r="B593" s="25">
        <v>45686</v>
      </c>
      <c r="C593" s="22" t="s">
        <v>17</v>
      </c>
      <c r="D593" s="22" t="s">
        <v>18</v>
      </c>
      <c r="E593" s="22" t="s">
        <v>34</v>
      </c>
      <c r="F593" s="22" t="s">
        <v>41</v>
      </c>
      <c r="G593" s="22" t="s">
        <v>26</v>
      </c>
      <c r="H593" s="22">
        <v>1</v>
      </c>
      <c r="I593" s="22">
        <v>0</v>
      </c>
      <c r="J593" s="22">
        <v>0</v>
      </c>
      <c r="K593" s="22">
        <v>0</v>
      </c>
      <c r="L593" s="22">
        <v>0</v>
      </c>
      <c r="M593" s="22">
        <v>0</v>
      </c>
      <c r="N593" s="22">
        <v>0</v>
      </c>
      <c r="O593" s="22"/>
      <c r="P593" s="22">
        <v>69.8</v>
      </c>
      <c r="Q593" s="22" t="str">
        <f>IF(OR(L593&lt;$Y$18,L593&gt;$Y$19),"Outlier","Normal")</f>
        <v>Normal</v>
      </c>
      <c r="R593" s="26" t="str">
        <f>A593&amp;B593&amp;C593&amp;D593&amp;E593&amp;F593&amp;G593&amp;H593&amp;I593&amp;J593&amp;K593&amp;L593&amp;M593&amp;N593&amp;O593&amp;P593</f>
        <v>USR-10059245686ControlNorthTabletSocialFree100000069.8</v>
      </c>
      <c r="S593" s="22" t="str">
        <f>IF(COUNTIF($R$2:$R$1409,R593)=1,"OK",IF(COUNTIF($R$2:$R$1409,R593)&gt;1,"Exact Duplicate","Review Required"))</f>
        <v>OK</v>
      </c>
      <c r="T593" s="22" t="s">
        <v>34</v>
      </c>
      <c r="U593" s="22" t="s">
        <v>41</v>
      </c>
      <c r="V593" s="22"/>
    </row>
    <row r="594" spans="1:22" ht="41.4">
      <c r="A594" s="22" t="s">
        <v>624</v>
      </c>
      <c r="B594" s="25">
        <v>45766</v>
      </c>
      <c r="C594" s="22" t="s">
        <v>17</v>
      </c>
      <c r="D594" s="22" t="s">
        <v>28</v>
      </c>
      <c r="E594" s="22" t="s">
        <v>24</v>
      </c>
      <c r="F594" s="22" t="s">
        <v>20</v>
      </c>
      <c r="G594" s="22" t="s">
        <v>26</v>
      </c>
      <c r="H594" s="22">
        <v>1</v>
      </c>
      <c r="I594" s="22">
        <v>0</v>
      </c>
      <c r="J594" s="22">
        <v>0</v>
      </c>
      <c r="K594" s="22">
        <v>0</v>
      </c>
      <c r="L594" s="22">
        <v>0</v>
      </c>
      <c r="M594" s="22">
        <v>0</v>
      </c>
      <c r="N594" s="22">
        <v>0</v>
      </c>
      <c r="O594" s="22"/>
      <c r="P594" s="22">
        <v>68.2</v>
      </c>
      <c r="Q594" s="22" t="str">
        <f>IF(OR(L594&lt;$Y$18,L594&gt;$Y$19),"Outlier","Normal")</f>
        <v>Normal</v>
      </c>
      <c r="R594" s="26" t="str">
        <f>A594&amp;B594&amp;C594&amp;D594&amp;E594&amp;F594&amp;G594&amp;H594&amp;I594&amp;J594&amp;K594&amp;L594&amp;M594&amp;N594&amp;O594&amp;P594</f>
        <v>USR-10059345766ControlEastMobileEmailFree100000068.2</v>
      </c>
      <c r="S594" s="22" t="str">
        <f>IF(COUNTIF($R$2:$R$1409,R594)=1,"OK",IF(COUNTIF($R$2:$R$1409,R594)&gt;1,"Exact Duplicate","Review Required"))</f>
        <v>OK</v>
      </c>
      <c r="T594" s="22" t="s">
        <v>24</v>
      </c>
      <c r="U594" s="22" t="s">
        <v>20</v>
      </c>
      <c r="V594" s="22"/>
    </row>
    <row r="595" spans="1:22" ht="41.4">
      <c r="A595" s="22" t="s">
        <v>625</v>
      </c>
      <c r="B595" s="25">
        <v>45726</v>
      </c>
      <c r="C595" s="22" t="s">
        <v>17</v>
      </c>
      <c r="D595" s="22" t="s">
        <v>32</v>
      </c>
      <c r="E595" s="22" t="s">
        <v>24</v>
      </c>
      <c r="F595" s="22" t="s">
        <v>41</v>
      </c>
      <c r="G595" s="22" t="s">
        <v>21</v>
      </c>
      <c r="H595" s="22">
        <v>1</v>
      </c>
      <c r="I595" s="22">
        <v>1</v>
      </c>
      <c r="J595" s="22">
        <v>1</v>
      </c>
      <c r="K595" s="22">
        <v>1</v>
      </c>
      <c r="L595" s="22">
        <v>751.73</v>
      </c>
      <c r="M595" s="22">
        <v>0</v>
      </c>
      <c r="N595" s="22">
        <v>0</v>
      </c>
      <c r="O595" s="22">
        <v>6</v>
      </c>
      <c r="P595" s="22">
        <v>35.200000000000003</v>
      </c>
      <c r="Q595" s="22" t="str">
        <f>IF(OR(L595&lt;$Y$18,L595&gt;$Y$19),"Outlier","Normal")</f>
        <v>Normal</v>
      </c>
      <c r="R595" s="26" t="str">
        <f>A595&amp;B595&amp;C595&amp;D595&amp;E595&amp;F595&amp;G595&amp;H595&amp;I595&amp;J595&amp;K595&amp;L595&amp;M595&amp;N595&amp;O595&amp;P595</f>
        <v>USR-10059445726ControlSouthMobileSocialBasic1111751.7300635.2</v>
      </c>
      <c r="S595" s="22" t="str">
        <f>IF(COUNTIF($R$2:$R$1409,R595)=1,"OK",IF(COUNTIF($R$2:$R$1409,R595)&gt;1,"Exact Duplicate","Review Required"))</f>
        <v>OK</v>
      </c>
      <c r="T595" s="22" t="s">
        <v>24</v>
      </c>
      <c r="U595" s="22" t="s">
        <v>41</v>
      </c>
      <c r="V595" s="22"/>
    </row>
    <row r="596" spans="1:22" ht="41.4">
      <c r="A596" s="22" t="s">
        <v>626</v>
      </c>
      <c r="B596" s="25">
        <v>45787</v>
      </c>
      <c r="C596" s="22" t="s">
        <v>17</v>
      </c>
      <c r="D596" s="22" t="s">
        <v>32</v>
      </c>
      <c r="E596" s="22" t="s">
        <v>24</v>
      </c>
      <c r="F596" s="22" t="s">
        <v>41</v>
      </c>
      <c r="G596" s="22" t="s">
        <v>21</v>
      </c>
      <c r="H596" s="22">
        <v>0</v>
      </c>
      <c r="I596" s="22">
        <v>0</v>
      </c>
      <c r="J596" s="22">
        <v>0</v>
      </c>
      <c r="K596" s="22">
        <v>0</v>
      </c>
      <c r="L596" s="22">
        <v>0</v>
      </c>
      <c r="M596" s="22">
        <v>0</v>
      </c>
      <c r="N596" s="22">
        <v>0</v>
      </c>
      <c r="O596" s="22"/>
      <c r="P596" s="22">
        <v>59.3</v>
      </c>
      <c r="Q596" s="22" t="str">
        <f>IF(OR(L596&lt;$Y$18,L596&gt;$Y$19),"Outlier","Normal")</f>
        <v>Normal</v>
      </c>
      <c r="R596" s="26" t="str">
        <f>A596&amp;B596&amp;C596&amp;D596&amp;E596&amp;F596&amp;G596&amp;H596&amp;I596&amp;J596&amp;K596&amp;L596&amp;M596&amp;N596&amp;O596&amp;P596</f>
        <v>USR-10059545787ControlSouthMobileSocialBasic000000059.3</v>
      </c>
      <c r="S596" s="22" t="str">
        <f>IF(COUNTIF($R$2:$R$1409,R596)=1,"OK",IF(COUNTIF($R$2:$R$1409,R596)&gt;1,"Exact Duplicate","Review Required"))</f>
        <v>OK</v>
      </c>
      <c r="T596" s="22" t="s">
        <v>24</v>
      </c>
      <c r="U596" s="22" t="s">
        <v>41</v>
      </c>
      <c r="V596" s="22"/>
    </row>
    <row r="597" spans="1:22" ht="41.4">
      <c r="A597" s="22" t="s">
        <v>627</v>
      </c>
      <c r="B597" s="25">
        <v>45690</v>
      </c>
      <c r="C597" s="22" t="s">
        <v>17</v>
      </c>
      <c r="D597" s="22" t="s">
        <v>18</v>
      </c>
      <c r="E597" s="22" t="s">
        <v>24</v>
      </c>
      <c r="F597" s="22" t="s">
        <v>41</v>
      </c>
      <c r="G597" s="22" t="s">
        <v>26</v>
      </c>
      <c r="H597" s="22">
        <v>0</v>
      </c>
      <c r="I597" s="22">
        <v>0</v>
      </c>
      <c r="J597" s="22">
        <v>0</v>
      </c>
      <c r="K597" s="22">
        <v>0</v>
      </c>
      <c r="L597" s="22">
        <v>0</v>
      </c>
      <c r="M597" s="22">
        <v>0</v>
      </c>
      <c r="N597" s="22">
        <v>0</v>
      </c>
      <c r="O597" s="22"/>
      <c r="P597" s="22">
        <v>68.099999999999994</v>
      </c>
      <c r="Q597" s="22" t="str">
        <f>IF(OR(L597&lt;$Y$18,L597&gt;$Y$19),"Outlier","Normal")</f>
        <v>Normal</v>
      </c>
      <c r="R597" s="26" t="str">
        <f>A597&amp;B597&amp;C597&amp;D597&amp;E597&amp;F597&amp;G597&amp;H597&amp;I597&amp;J597&amp;K597&amp;L597&amp;M597&amp;N597&amp;O597&amp;P597</f>
        <v>USR-10059645690ControlNorthMobileSocialFree000000068.1</v>
      </c>
      <c r="S597" s="22" t="str">
        <f>IF(COUNTIF($R$2:$R$1409,R597)=1,"OK",IF(COUNTIF($R$2:$R$1409,R597)&gt;1,"Exact Duplicate","Review Required"))</f>
        <v>OK</v>
      </c>
      <c r="T597" s="22" t="s">
        <v>24</v>
      </c>
      <c r="U597" s="22" t="s">
        <v>41</v>
      </c>
      <c r="V597" s="22"/>
    </row>
    <row r="598" spans="1:22" ht="41.4">
      <c r="A598" s="22" t="s">
        <v>628</v>
      </c>
      <c r="B598" s="25">
        <v>45783</v>
      </c>
      <c r="C598" s="22" t="s">
        <v>17</v>
      </c>
      <c r="D598" s="22" t="s">
        <v>18</v>
      </c>
      <c r="E598" s="22" t="s">
        <v>19</v>
      </c>
      <c r="F598" s="22" t="s">
        <v>25</v>
      </c>
      <c r="G598" s="22" t="s">
        <v>26</v>
      </c>
      <c r="H598" s="22">
        <v>1</v>
      </c>
      <c r="I598" s="22">
        <v>1</v>
      </c>
      <c r="J598" s="22">
        <v>0</v>
      </c>
      <c r="K598" s="22">
        <v>0</v>
      </c>
      <c r="L598" s="22">
        <v>0</v>
      </c>
      <c r="M598" s="22">
        <v>0</v>
      </c>
      <c r="N598" s="22">
        <v>0</v>
      </c>
      <c r="O598" s="22"/>
      <c r="P598" s="22">
        <v>74.8</v>
      </c>
      <c r="Q598" s="22" t="str">
        <f>IF(OR(L598&lt;$Y$18,L598&gt;$Y$19),"Outlier","Normal")</f>
        <v>Normal</v>
      </c>
      <c r="R598" s="26" t="str">
        <f>A598&amp;B598&amp;C598&amp;D598&amp;E598&amp;F598&amp;G598&amp;H598&amp;I598&amp;J598&amp;K598&amp;L598&amp;M598&amp;N598&amp;O598&amp;P598</f>
        <v>USR-10059745783ControlNorthDesktopOrganicFree110000074.8</v>
      </c>
      <c r="S598" s="22" t="str">
        <f>IF(COUNTIF($R$2:$R$1409,R598)=1,"OK",IF(COUNTIF($R$2:$R$1409,R598)&gt;1,"Exact Duplicate","Review Required"))</f>
        <v>OK</v>
      </c>
      <c r="T598" s="22" t="s">
        <v>19</v>
      </c>
      <c r="U598" s="22" t="s">
        <v>25</v>
      </c>
      <c r="V598" s="22"/>
    </row>
    <row r="599" spans="1:22" ht="41.4">
      <c r="A599" s="22" t="s">
        <v>629</v>
      </c>
      <c r="B599" s="25">
        <v>45676</v>
      </c>
      <c r="C599" s="22" t="s">
        <v>17</v>
      </c>
      <c r="D599" s="22" t="s">
        <v>23</v>
      </c>
      <c r="E599" s="22" t="s">
        <v>19</v>
      </c>
      <c r="F599" s="22" t="s">
        <v>25</v>
      </c>
      <c r="G599" s="22" t="s">
        <v>26</v>
      </c>
      <c r="H599" s="22">
        <v>1</v>
      </c>
      <c r="I599" s="22">
        <v>1</v>
      </c>
      <c r="J599" s="22">
        <v>1</v>
      </c>
      <c r="K599" s="22">
        <v>0</v>
      </c>
      <c r="L599" s="22">
        <v>0</v>
      </c>
      <c r="M599" s="22">
        <v>0</v>
      </c>
      <c r="N599" s="22">
        <v>0</v>
      </c>
      <c r="O599" s="22"/>
      <c r="P599" s="22">
        <v>61.7</v>
      </c>
      <c r="Q599" s="22" t="str">
        <f>IF(OR(L599&lt;$Y$18,L599&gt;$Y$19),"Outlier","Normal")</f>
        <v>Normal</v>
      </c>
      <c r="R599" s="26" t="str">
        <f>A599&amp;B599&amp;C599&amp;D599&amp;E599&amp;F599&amp;G599&amp;H599&amp;I599&amp;J599&amp;K599&amp;L599&amp;M599&amp;N599&amp;O599&amp;P599</f>
        <v>USR-10059845676ControlWestDesktopOrganicFree111000061.7</v>
      </c>
      <c r="S599" s="22" t="str">
        <f>IF(COUNTIF($R$2:$R$1409,R599)=1,"OK",IF(COUNTIF($R$2:$R$1409,R599)&gt;1,"Exact Duplicate","Review Required"))</f>
        <v>OK</v>
      </c>
      <c r="T599" s="22" t="s">
        <v>19</v>
      </c>
      <c r="U599" s="22" t="s">
        <v>25</v>
      </c>
      <c r="V599" s="22"/>
    </row>
    <row r="600" spans="1:22" ht="41.4">
      <c r="A600" s="22" t="s">
        <v>630</v>
      </c>
      <c r="B600" s="25">
        <v>45659</v>
      </c>
      <c r="C600" s="22" t="s">
        <v>17</v>
      </c>
      <c r="D600" s="22" t="s">
        <v>18</v>
      </c>
      <c r="E600" s="22" t="s">
        <v>24</v>
      </c>
      <c r="F600" s="22" t="s">
        <v>25</v>
      </c>
      <c r="G600" s="22" t="s">
        <v>26</v>
      </c>
      <c r="H600" s="22">
        <v>1</v>
      </c>
      <c r="I600" s="22">
        <v>0</v>
      </c>
      <c r="J600" s="22">
        <v>0</v>
      </c>
      <c r="K600" s="22">
        <v>0</v>
      </c>
      <c r="L600" s="22">
        <v>0</v>
      </c>
      <c r="M600" s="22">
        <v>0</v>
      </c>
      <c r="N600" s="22">
        <v>0</v>
      </c>
      <c r="O600" s="22"/>
      <c r="P600" s="22">
        <v>24.3</v>
      </c>
      <c r="Q600" s="22" t="str">
        <f>IF(OR(L600&lt;$Y$18,L600&gt;$Y$19),"Outlier","Normal")</f>
        <v>Normal</v>
      </c>
      <c r="R600" s="26" t="str">
        <f>A600&amp;B600&amp;C600&amp;D600&amp;E600&amp;F600&amp;G600&amp;H600&amp;I600&amp;J600&amp;K600&amp;L600&amp;M600&amp;N600&amp;O600&amp;P600</f>
        <v>USR-10059945659ControlNorthMobileOrganicFree100000024.3</v>
      </c>
      <c r="S600" s="22" t="str">
        <f>IF(COUNTIF($R$2:$R$1409,R600)=1,"OK",IF(COUNTIF($R$2:$R$1409,R600)&gt;1,"Exact Duplicate","Review Required"))</f>
        <v>OK</v>
      </c>
      <c r="T600" s="22" t="s">
        <v>24</v>
      </c>
      <c r="U600" s="22" t="s">
        <v>25</v>
      </c>
      <c r="V600" s="22"/>
    </row>
    <row r="601" spans="1:22" ht="41.4">
      <c r="A601" s="22" t="s">
        <v>631</v>
      </c>
      <c r="B601" s="25">
        <v>45780</v>
      </c>
      <c r="C601" s="22" t="s">
        <v>17</v>
      </c>
      <c r="D601" s="22" t="s">
        <v>32</v>
      </c>
      <c r="E601" s="22" t="s">
        <v>19</v>
      </c>
      <c r="F601" s="22" t="s">
        <v>29</v>
      </c>
      <c r="G601" s="22" t="s">
        <v>26</v>
      </c>
      <c r="H601" s="22">
        <v>0</v>
      </c>
      <c r="I601" s="22">
        <v>0</v>
      </c>
      <c r="J601" s="22">
        <v>0</v>
      </c>
      <c r="K601" s="22">
        <v>0</v>
      </c>
      <c r="L601" s="22">
        <v>0</v>
      </c>
      <c r="M601" s="22">
        <v>1</v>
      </c>
      <c r="N601" s="22">
        <v>0</v>
      </c>
      <c r="O601" s="22"/>
      <c r="P601" s="22">
        <v>61.9</v>
      </c>
      <c r="Q601" s="22" t="str">
        <f>IF(OR(L601&lt;$Y$18,L601&gt;$Y$19),"Outlier","Normal")</f>
        <v>Normal</v>
      </c>
      <c r="R601" s="26" t="str">
        <f>A601&amp;B601&amp;C601&amp;D601&amp;E601&amp;F601&amp;G601&amp;H601&amp;I601&amp;J601&amp;K601&amp;L601&amp;M601&amp;N601&amp;O601&amp;P601</f>
        <v>USR-10060045780ControlSouthDesktopPaid SearchFree000001061.9</v>
      </c>
      <c r="S601" s="22" t="str">
        <f>IF(COUNTIF($R$2:$R$1409,R601)=1,"OK",IF(COUNTIF($R$2:$R$1409,R601)&gt;1,"Exact Duplicate","Review Required"))</f>
        <v>OK</v>
      </c>
      <c r="T601" s="22" t="s">
        <v>19</v>
      </c>
      <c r="U601" s="22" t="s">
        <v>29</v>
      </c>
      <c r="V601" s="22"/>
    </row>
    <row r="602" spans="1:22" ht="41.4">
      <c r="A602" s="22" t="s">
        <v>632</v>
      </c>
      <c r="B602" s="25">
        <v>45804</v>
      </c>
      <c r="C602" s="22" t="s">
        <v>17</v>
      </c>
      <c r="D602" s="22" t="s">
        <v>28</v>
      </c>
      <c r="E602" s="22" t="s">
        <v>19</v>
      </c>
      <c r="F602" s="22" t="s">
        <v>39</v>
      </c>
      <c r="G602" s="22" t="s">
        <v>30</v>
      </c>
      <c r="H602" s="22">
        <v>0</v>
      </c>
      <c r="I602" s="22">
        <v>0</v>
      </c>
      <c r="J602" s="22">
        <v>0</v>
      </c>
      <c r="K602" s="22">
        <v>0</v>
      </c>
      <c r="L602" s="22">
        <v>0</v>
      </c>
      <c r="M602" s="22">
        <v>2</v>
      </c>
      <c r="N602" s="22">
        <v>0</v>
      </c>
      <c r="O602" s="22"/>
      <c r="P602" s="22">
        <v>41.7</v>
      </c>
      <c r="Q602" s="22" t="str">
        <f>IF(OR(L602&lt;$Y$18,L602&gt;$Y$19),"Outlier","Normal")</f>
        <v>Normal</v>
      </c>
      <c r="R602" s="26" t="str">
        <f>A602&amp;B602&amp;C602&amp;D602&amp;E602&amp;F602&amp;G602&amp;H602&amp;I602&amp;J602&amp;K602&amp;L602&amp;M602&amp;N602&amp;O602&amp;P602</f>
        <v>USR-10060145804ControlEastDesktopReferralPremium000002041.7</v>
      </c>
      <c r="S602" s="22" t="str">
        <f>IF(COUNTIF($R$2:$R$1409,R602)=1,"OK",IF(COUNTIF($R$2:$R$1409,R602)&gt;1,"Exact Duplicate","Review Required"))</f>
        <v>OK</v>
      </c>
      <c r="T602" s="22" t="s">
        <v>19</v>
      </c>
      <c r="U602" s="22" t="s">
        <v>39</v>
      </c>
      <c r="V602" s="22"/>
    </row>
    <row r="603" spans="1:22" ht="41.4">
      <c r="A603" s="22" t="s">
        <v>633</v>
      </c>
      <c r="B603" s="25">
        <v>45697</v>
      </c>
      <c r="C603" s="22" t="s">
        <v>17</v>
      </c>
      <c r="D603" s="22" t="s">
        <v>32</v>
      </c>
      <c r="E603" s="22" t="s">
        <v>19</v>
      </c>
      <c r="F603" s="22" t="s">
        <v>41</v>
      </c>
      <c r="G603" s="22" t="s">
        <v>26</v>
      </c>
      <c r="H603" s="22">
        <v>1</v>
      </c>
      <c r="I603" s="22">
        <v>0</v>
      </c>
      <c r="J603" s="22">
        <v>0</v>
      </c>
      <c r="K603" s="22">
        <v>0</v>
      </c>
      <c r="L603" s="22">
        <v>0</v>
      </c>
      <c r="M603" s="22">
        <v>0</v>
      </c>
      <c r="N603" s="22">
        <v>0</v>
      </c>
      <c r="O603" s="22"/>
      <c r="P603" s="22">
        <v>87.6</v>
      </c>
      <c r="Q603" s="22" t="str">
        <f>IF(OR(L603&lt;$Y$18,L603&gt;$Y$19),"Outlier","Normal")</f>
        <v>Normal</v>
      </c>
      <c r="R603" s="26" t="str">
        <f>A603&amp;B603&amp;C603&amp;D603&amp;E603&amp;F603&amp;G603&amp;H603&amp;I603&amp;J603&amp;K603&amp;L603&amp;M603&amp;N603&amp;O603&amp;P603</f>
        <v>USR-10060245697ControlSouthDesktopSocialFree100000087.6</v>
      </c>
      <c r="S603" s="22" t="str">
        <f>IF(COUNTIF($R$2:$R$1409,R603)=1,"OK",IF(COUNTIF($R$2:$R$1409,R603)&gt;1,"Exact Duplicate","Review Required"))</f>
        <v>OK</v>
      </c>
      <c r="T603" s="22" t="s">
        <v>19</v>
      </c>
      <c r="U603" s="22" t="s">
        <v>41</v>
      </c>
      <c r="V603" s="22"/>
    </row>
    <row r="604" spans="1:22" ht="41.4">
      <c r="A604" s="22" t="s">
        <v>634</v>
      </c>
      <c r="B604" s="25">
        <v>45795</v>
      </c>
      <c r="C604" s="22" t="s">
        <v>17</v>
      </c>
      <c r="D604" s="22" t="s">
        <v>28</v>
      </c>
      <c r="E604" s="22" t="s">
        <v>24</v>
      </c>
      <c r="F604" s="22" t="s">
        <v>29</v>
      </c>
      <c r="G604" s="22" t="s">
        <v>26</v>
      </c>
      <c r="H604" s="22">
        <v>1</v>
      </c>
      <c r="I604" s="22">
        <v>0</v>
      </c>
      <c r="J604" s="22">
        <v>0</v>
      </c>
      <c r="K604" s="22">
        <v>0</v>
      </c>
      <c r="L604" s="22">
        <v>0</v>
      </c>
      <c r="M604" s="22">
        <v>0</v>
      </c>
      <c r="N604" s="22">
        <v>0</v>
      </c>
      <c r="O604" s="22"/>
      <c r="P604" s="22">
        <v>30.8</v>
      </c>
      <c r="Q604" s="22" t="str">
        <f>IF(OR(L604&lt;$Y$18,L604&gt;$Y$19),"Outlier","Normal")</f>
        <v>Normal</v>
      </c>
      <c r="R604" s="26" t="str">
        <f>A604&amp;B604&amp;C604&amp;D604&amp;E604&amp;F604&amp;G604&amp;H604&amp;I604&amp;J604&amp;K604&amp;L604&amp;M604&amp;N604&amp;O604&amp;P604</f>
        <v>USR-10060345795ControlEastMobilePaid SearchFree100000030.8</v>
      </c>
      <c r="S604" s="22" t="str">
        <f>IF(COUNTIF($R$2:$R$1409,R604)=1,"OK",IF(COUNTIF($R$2:$R$1409,R604)&gt;1,"Exact Duplicate","Review Required"))</f>
        <v>OK</v>
      </c>
      <c r="T604" s="22" t="s">
        <v>24</v>
      </c>
      <c r="U604" s="22" t="s">
        <v>29</v>
      </c>
      <c r="V604" s="22"/>
    </row>
    <row r="605" spans="1:22" ht="41.4">
      <c r="A605" s="22" t="s">
        <v>635</v>
      </c>
      <c r="B605" s="25">
        <v>45794</v>
      </c>
      <c r="C605" s="22" t="s">
        <v>17</v>
      </c>
      <c r="D605" s="22" t="s">
        <v>18</v>
      </c>
      <c r="E605" s="22" t="s">
        <v>24</v>
      </c>
      <c r="F605" s="22" t="s">
        <v>20</v>
      </c>
      <c r="G605" s="22" t="s">
        <v>26</v>
      </c>
      <c r="H605" s="22">
        <v>0</v>
      </c>
      <c r="I605" s="22">
        <v>0</v>
      </c>
      <c r="J605" s="22">
        <v>0</v>
      </c>
      <c r="K605" s="22">
        <v>0</v>
      </c>
      <c r="L605" s="22">
        <v>0</v>
      </c>
      <c r="M605" s="22">
        <v>0</v>
      </c>
      <c r="N605" s="22">
        <v>0</v>
      </c>
      <c r="O605" s="22"/>
      <c r="P605" s="22">
        <v>54</v>
      </c>
      <c r="Q605" s="22" t="str">
        <f>IF(OR(L605&lt;$Y$18,L605&gt;$Y$19),"Outlier","Normal")</f>
        <v>Normal</v>
      </c>
      <c r="R605" s="26" t="str">
        <f>A605&amp;B605&amp;C605&amp;D605&amp;E605&amp;F605&amp;G605&amp;H605&amp;I605&amp;J605&amp;K605&amp;L605&amp;M605&amp;N605&amp;O605&amp;P605</f>
        <v>USR-10060445794ControlNorthMobileEmailFree000000054</v>
      </c>
      <c r="S605" s="22" t="str">
        <f>IF(COUNTIF($R$2:$R$1409,R605)=1,"OK",IF(COUNTIF($R$2:$R$1409,R605)&gt;1,"Exact Duplicate","Review Required"))</f>
        <v>OK</v>
      </c>
      <c r="T605" s="22" t="s">
        <v>24</v>
      </c>
      <c r="U605" s="22" t="s">
        <v>20</v>
      </c>
      <c r="V605" s="22"/>
    </row>
    <row r="606" spans="1:22" ht="41.4">
      <c r="A606" s="22" t="s">
        <v>636</v>
      </c>
      <c r="B606" s="25">
        <v>45682</v>
      </c>
      <c r="C606" s="22" t="s">
        <v>17</v>
      </c>
      <c r="D606" s="22" t="s">
        <v>28</v>
      </c>
      <c r="E606" s="22" t="s">
        <v>19</v>
      </c>
      <c r="F606" s="22" t="s">
        <v>39</v>
      </c>
      <c r="G606" s="22" t="s">
        <v>21</v>
      </c>
      <c r="H606" s="22">
        <v>1</v>
      </c>
      <c r="I606" s="22">
        <v>0</v>
      </c>
      <c r="J606" s="22">
        <v>0</v>
      </c>
      <c r="K606" s="22">
        <v>0</v>
      </c>
      <c r="L606" s="22">
        <v>0</v>
      </c>
      <c r="M606" s="22">
        <v>1</v>
      </c>
      <c r="N606" s="22">
        <v>0</v>
      </c>
      <c r="O606" s="22"/>
      <c r="P606" s="22">
        <v>54.5</v>
      </c>
      <c r="Q606" s="22" t="str">
        <f>IF(OR(L606&lt;$Y$18,L606&gt;$Y$19),"Outlier","Normal")</f>
        <v>Normal</v>
      </c>
      <c r="R606" s="26" t="str">
        <f>A606&amp;B606&amp;C606&amp;D606&amp;E606&amp;F606&amp;G606&amp;H606&amp;I606&amp;J606&amp;K606&amp;L606&amp;M606&amp;N606&amp;O606&amp;P606</f>
        <v>USR-10060545682ControlEastDesktopReferralBasic100001054.5</v>
      </c>
      <c r="S606" s="22" t="str">
        <f>IF(COUNTIF($R$2:$R$1409,R606)=1,"OK",IF(COUNTIF($R$2:$R$1409,R606)&gt;1,"Exact Duplicate","Review Required"))</f>
        <v>OK</v>
      </c>
      <c r="T606" s="22" t="s">
        <v>19</v>
      </c>
      <c r="U606" s="22" t="s">
        <v>39</v>
      </c>
      <c r="V606" s="22"/>
    </row>
    <row r="607" spans="1:22" ht="41.4">
      <c r="A607" s="22" t="s">
        <v>637</v>
      </c>
      <c r="B607" s="25">
        <v>45781</v>
      </c>
      <c r="C607" s="22" t="s">
        <v>17</v>
      </c>
      <c r="D607" s="22" t="s">
        <v>23</v>
      </c>
      <c r="E607" s="22" t="s">
        <v>24</v>
      </c>
      <c r="F607" s="22" t="s">
        <v>29</v>
      </c>
      <c r="G607" s="22" t="s">
        <v>30</v>
      </c>
      <c r="H607" s="22">
        <v>1</v>
      </c>
      <c r="I607" s="22">
        <v>1</v>
      </c>
      <c r="J607" s="22">
        <v>0</v>
      </c>
      <c r="K607" s="22">
        <v>0</v>
      </c>
      <c r="L607" s="22">
        <v>0</v>
      </c>
      <c r="M607" s="22">
        <v>0</v>
      </c>
      <c r="N607" s="22">
        <v>0</v>
      </c>
      <c r="O607" s="22"/>
      <c r="P607" s="22">
        <v>61.3</v>
      </c>
      <c r="Q607" s="22" t="str">
        <f>IF(OR(L607&lt;$Y$18,L607&gt;$Y$19),"Outlier","Normal")</f>
        <v>Normal</v>
      </c>
      <c r="R607" s="26" t="str">
        <f>A607&amp;B607&amp;C607&amp;D607&amp;E607&amp;F607&amp;G607&amp;H607&amp;I607&amp;J607&amp;K607&amp;L607&amp;M607&amp;N607&amp;O607&amp;P607</f>
        <v>USR-10060645781ControlWestMobilePaid SearchPremium110000061.3</v>
      </c>
      <c r="S607" s="22" t="str">
        <f>IF(COUNTIF($R$2:$R$1409,R607)=1,"OK",IF(COUNTIF($R$2:$R$1409,R607)&gt;1,"Exact Duplicate","Review Required"))</f>
        <v>OK</v>
      </c>
      <c r="T607" s="22" t="s">
        <v>24</v>
      </c>
      <c r="U607" s="22" t="s">
        <v>29</v>
      </c>
      <c r="V607" s="22"/>
    </row>
    <row r="608" spans="1:22" ht="41.4">
      <c r="A608" s="22" t="s">
        <v>638</v>
      </c>
      <c r="B608" s="25">
        <v>45761</v>
      </c>
      <c r="C608" s="22" t="s">
        <v>17</v>
      </c>
      <c r="D608" s="22" t="s">
        <v>23</v>
      </c>
      <c r="E608" s="22" t="s">
        <v>24</v>
      </c>
      <c r="F608" s="22" t="s">
        <v>25</v>
      </c>
      <c r="G608" s="22" t="s">
        <v>26</v>
      </c>
      <c r="H608" s="22">
        <v>1</v>
      </c>
      <c r="I608" s="22">
        <v>0</v>
      </c>
      <c r="J608" s="22">
        <v>0</v>
      </c>
      <c r="K608" s="22">
        <v>0</v>
      </c>
      <c r="L608" s="22">
        <v>0</v>
      </c>
      <c r="M608" s="22">
        <v>0</v>
      </c>
      <c r="N608" s="22">
        <v>0</v>
      </c>
      <c r="O608" s="22"/>
      <c r="P608" s="22">
        <v>62.7</v>
      </c>
      <c r="Q608" s="22" t="str">
        <f>IF(OR(L608&lt;$Y$18,L608&gt;$Y$19),"Outlier","Normal")</f>
        <v>Normal</v>
      </c>
      <c r="R608" s="26" t="str">
        <f>A608&amp;B608&amp;C608&amp;D608&amp;E608&amp;F608&amp;G608&amp;H608&amp;I608&amp;J608&amp;K608&amp;L608&amp;M608&amp;N608&amp;O608&amp;P608</f>
        <v>USR-10060745761ControlWestMobileOrganicFree100000062.7</v>
      </c>
      <c r="S608" s="22" t="str">
        <f>IF(COUNTIF($R$2:$R$1409,R608)=1,"OK",IF(COUNTIF($R$2:$R$1409,R608)&gt;1,"Exact Duplicate","Review Required"))</f>
        <v>OK</v>
      </c>
      <c r="T608" s="22" t="s">
        <v>24</v>
      </c>
      <c r="U608" s="22" t="s">
        <v>25</v>
      </c>
      <c r="V608" s="22"/>
    </row>
    <row r="609" spans="1:22" ht="41.4">
      <c r="A609" s="22" t="s">
        <v>639</v>
      </c>
      <c r="B609" s="25">
        <v>45765</v>
      </c>
      <c r="C609" s="22" t="s">
        <v>17</v>
      </c>
      <c r="D609" s="22" t="s">
        <v>32</v>
      </c>
      <c r="E609" s="22" t="s">
        <v>24</v>
      </c>
      <c r="F609" s="22" t="s">
        <v>29</v>
      </c>
      <c r="G609" s="22" t="s">
        <v>26</v>
      </c>
      <c r="H609" s="22">
        <v>1</v>
      </c>
      <c r="I609" s="22">
        <v>1</v>
      </c>
      <c r="J609" s="22">
        <v>0</v>
      </c>
      <c r="K609" s="22">
        <v>0</v>
      </c>
      <c r="L609" s="22">
        <v>0</v>
      </c>
      <c r="M609" s="22">
        <v>0</v>
      </c>
      <c r="N609" s="22">
        <v>0</v>
      </c>
      <c r="O609" s="22"/>
      <c r="P609" s="22">
        <v>43.1</v>
      </c>
      <c r="Q609" s="22" t="str">
        <f>IF(OR(L609&lt;$Y$18,L609&gt;$Y$19),"Outlier","Normal")</f>
        <v>Normal</v>
      </c>
      <c r="R609" s="26" t="str">
        <f>A609&amp;B609&amp;C609&amp;D609&amp;E609&amp;F609&amp;G609&amp;H609&amp;I609&amp;J609&amp;K609&amp;L609&amp;M609&amp;N609&amp;O609&amp;P609</f>
        <v>USR-10060845765ControlSouthMobilePaid SearchFree110000043.1</v>
      </c>
      <c r="S609" s="22" t="str">
        <f>IF(COUNTIF($R$2:$R$1409,R609)=1,"OK",IF(COUNTIF($R$2:$R$1409,R609)&gt;1,"Exact Duplicate","Review Required"))</f>
        <v>OK</v>
      </c>
      <c r="T609" s="22" t="s">
        <v>24</v>
      </c>
      <c r="U609" s="22" t="s">
        <v>29</v>
      </c>
      <c r="V609" s="22"/>
    </row>
    <row r="610" spans="1:22" ht="41.4">
      <c r="A610" s="22" t="s">
        <v>640</v>
      </c>
      <c r="B610" s="25">
        <v>45712</v>
      </c>
      <c r="C610" s="22" t="s">
        <v>17</v>
      </c>
      <c r="D610" s="22" t="s">
        <v>32</v>
      </c>
      <c r="E610" s="22" t="s">
        <v>19</v>
      </c>
      <c r="F610" s="22" t="s">
        <v>20</v>
      </c>
      <c r="G610" s="22" t="s">
        <v>21</v>
      </c>
      <c r="H610" s="22">
        <v>0</v>
      </c>
      <c r="I610" s="22">
        <v>0</v>
      </c>
      <c r="J610" s="22">
        <v>0</v>
      </c>
      <c r="K610" s="22">
        <v>0</v>
      </c>
      <c r="L610" s="22">
        <v>0</v>
      </c>
      <c r="M610" s="22">
        <v>0</v>
      </c>
      <c r="N610" s="22">
        <v>0</v>
      </c>
      <c r="O610" s="22"/>
      <c r="P610" s="22">
        <v>59.9</v>
      </c>
      <c r="Q610" s="22" t="str">
        <f>IF(OR(L610&lt;$Y$18,L610&gt;$Y$19),"Outlier","Normal")</f>
        <v>Normal</v>
      </c>
      <c r="R610" s="26" t="str">
        <f>A610&amp;B610&amp;C610&amp;D610&amp;E610&amp;F610&amp;G610&amp;H610&amp;I610&amp;J610&amp;K610&amp;L610&amp;M610&amp;N610&amp;O610&amp;P610</f>
        <v>USR-10060945712ControlSouthDesktopEmailBasic000000059.9</v>
      </c>
      <c r="S610" s="22" t="str">
        <f>IF(COUNTIF($R$2:$R$1409,R610)=1,"OK",IF(COUNTIF($R$2:$R$1409,R610)&gt;1,"Exact Duplicate","Review Required"))</f>
        <v>OK</v>
      </c>
      <c r="T610" s="22" t="s">
        <v>19</v>
      </c>
      <c r="U610" s="22" t="s">
        <v>20</v>
      </c>
      <c r="V610" s="22"/>
    </row>
    <row r="611" spans="1:22" ht="41.4">
      <c r="A611" s="22" t="s">
        <v>641</v>
      </c>
      <c r="B611" s="25">
        <v>45766</v>
      </c>
      <c r="C611" s="22" t="s">
        <v>17</v>
      </c>
      <c r="D611" s="22" t="s">
        <v>18</v>
      </c>
      <c r="E611" s="22" t="s">
        <v>34</v>
      </c>
      <c r="F611" s="22" t="s">
        <v>29</v>
      </c>
      <c r="G611" s="22" t="s">
        <v>26</v>
      </c>
      <c r="H611" s="22">
        <v>1</v>
      </c>
      <c r="I611" s="22">
        <v>1</v>
      </c>
      <c r="J611" s="22">
        <v>1</v>
      </c>
      <c r="K611" s="22">
        <v>0</v>
      </c>
      <c r="L611" s="22">
        <v>0</v>
      </c>
      <c r="M611" s="22">
        <v>0</v>
      </c>
      <c r="N611" s="22">
        <v>0</v>
      </c>
      <c r="O611" s="22"/>
      <c r="P611" s="22">
        <v>55.7</v>
      </c>
      <c r="Q611" s="22" t="str">
        <f>IF(OR(L611&lt;$Y$18,L611&gt;$Y$19),"Outlier","Normal")</f>
        <v>Normal</v>
      </c>
      <c r="R611" s="26" t="str">
        <f>A611&amp;B611&amp;C611&amp;D611&amp;E611&amp;F611&amp;G611&amp;H611&amp;I611&amp;J611&amp;K611&amp;L611&amp;M611&amp;N611&amp;O611&amp;P611</f>
        <v>USR-10061045766ControlNorthTabletPaid SearchFree111000055.7</v>
      </c>
      <c r="S611" s="22" t="str">
        <f>IF(COUNTIF($R$2:$R$1409,R611)=1,"OK",IF(COUNTIF($R$2:$R$1409,R611)&gt;1,"Exact Duplicate","Review Required"))</f>
        <v>OK</v>
      </c>
      <c r="T611" s="22" t="s">
        <v>34</v>
      </c>
      <c r="U611" s="22" t="s">
        <v>29</v>
      </c>
      <c r="V611" s="22"/>
    </row>
    <row r="612" spans="1:22" ht="41.4">
      <c r="A612" s="22" t="s">
        <v>642</v>
      </c>
      <c r="B612" s="25">
        <v>45723</v>
      </c>
      <c r="C612" s="22" t="s">
        <v>17</v>
      </c>
      <c r="D612" s="22" t="s">
        <v>32</v>
      </c>
      <c r="E612" s="22" t="s">
        <v>19</v>
      </c>
      <c r="F612" s="22" t="s">
        <v>25</v>
      </c>
      <c r="G612" s="22" t="s">
        <v>21</v>
      </c>
      <c r="H612" s="22">
        <v>1</v>
      </c>
      <c r="I612" s="22">
        <v>0</v>
      </c>
      <c r="J612" s="22">
        <v>0</v>
      </c>
      <c r="K612" s="22">
        <v>0</v>
      </c>
      <c r="L612" s="22">
        <v>0</v>
      </c>
      <c r="M612" s="22">
        <v>0</v>
      </c>
      <c r="N612" s="22">
        <v>0</v>
      </c>
      <c r="O612" s="22"/>
      <c r="P612" s="22">
        <v>37.1</v>
      </c>
      <c r="Q612" s="22" t="str">
        <f>IF(OR(L612&lt;$Y$18,L612&gt;$Y$19),"Outlier","Normal")</f>
        <v>Normal</v>
      </c>
      <c r="R612" s="26" t="str">
        <f>A612&amp;B612&amp;C612&amp;D612&amp;E612&amp;F612&amp;G612&amp;H612&amp;I612&amp;J612&amp;K612&amp;L612&amp;M612&amp;N612&amp;O612&amp;P612</f>
        <v>USR-10061145723ControlSouthDesktopOrganicBasic100000037.1</v>
      </c>
      <c r="S612" s="22" t="str">
        <f>IF(COUNTIF($R$2:$R$1409,R612)=1,"OK",IF(COUNTIF($R$2:$R$1409,R612)&gt;1,"Exact Duplicate","Review Required"))</f>
        <v>OK</v>
      </c>
      <c r="T612" s="22" t="s">
        <v>19</v>
      </c>
      <c r="U612" s="22" t="s">
        <v>25</v>
      </c>
      <c r="V612" s="22"/>
    </row>
    <row r="613" spans="1:22" ht="41.4">
      <c r="A613" s="22" t="s">
        <v>643</v>
      </c>
      <c r="B613" s="25">
        <v>45725</v>
      </c>
      <c r="C613" s="22" t="s">
        <v>17</v>
      </c>
      <c r="D613" s="22" t="s">
        <v>28</v>
      </c>
      <c r="E613" s="22" t="s">
        <v>24</v>
      </c>
      <c r="F613" s="22" t="s">
        <v>25</v>
      </c>
      <c r="G613" s="22" t="s">
        <v>21</v>
      </c>
      <c r="H613" s="22">
        <v>0</v>
      </c>
      <c r="I613" s="22">
        <v>0</v>
      </c>
      <c r="J613" s="22">
        <v>0</v>
      </c>
      <c r="K613" s="22">
        <v>0</v>
      </c>
      <c r="L613" s="22">
        <v>0</v>
      </c>
      <c r="M613" s="22">
        <v>1</v>
      </c>
      <c r="N613" s="22">
        <v>0</v>
      </c>
      <c r="O613" s="22"/>
      <c r="P613" s="22">
        <v>46.7</v>
      </c>
      <c r="Q613" s="22" t="str">
        <f>IF(OR(L613&lt;$Y$18,L613&gt;$Y$19),"Outlier","Normal")</f>
        <v>Normal</v>
      </c>
      <c r="R613" s="26" t="str">
        <f>A613&amp;B613&amp;C613&amp;D613&amp;E613&amp;F613&amp;G613&amp;H613&amp;I613&amp;J613&amp;K613&amp;L613&amp;M613&amp;N613&amp;O613&amp;P613</f>
        <v>USR-10061245725ControlEastMobileOrganicBasic000001046.7</v>
      </c>
      <c r="S613" s="22" t="str">
        <f>IF(COUNTIF($R$2:$R$1409,R613)=1,"OK",IF(COUNTIF($R$2:$R$1409,R613)&gt;1,"Exact Duplicate","Review Required"))</f>
        <v>OK</v>
      </c>
      <c r="T613" s="22" t="s">
        <v>24</v>
      </c>
      <c r="U613" s="22" t="s">
        <v>25</v>
      </c>
      <c r="V613" s="22"/>
    </row>
    <row r="614" spans="1:22" ht="41.4">
      <c r="A614" s="22" t="s">
        <v>644</v>
      </c>
      <c r="B614" s="25">
        <v>45778</v>
      </c>
      <c r="C614" s="22" t="s">
        <v>17</v>
      </c>
      <c r="D614" s="22" t="s">
        <v>32</v>
      </c>
      <c r="E614" s="22" t="s">
        <v>19</v>
      </c>
      <c r="F614" s="22" t="s">
        <v>25</v>
      </c>
      <c r="G614" s="22" t="s">
        <v>21</v>
      </c>
      <c r="H614" s="22">
        <v>1</v>
      </c>
      <c r="I614" s="22">
        <v>0</v>
      </c>
      <c r="J614" s="22">
        <v>0</v>
      </c>
      <c r="K614" s="22">
        <v>0</v>
      </c>
      <c r="L614" s="22">
        <v>0</v>
      </c>
      <c r="M614" s="22">
        <v>0</v>
      </c>
      <c r="N614" s="22">
        <v>0</v>
      </c>
      <c r="O614" s="22"/>
      <c r="P614" s="22">
        <v>54.1</v>
      </c>
      <c r="Q614" s="22" t="str">
        <f>IF(OR(L614&lt;$Y$18,L614&gt;$Y$19),"Outlier","Normal")</f>
        <v>Normal</v>
      </c>
      <c r="R614" s="26" t="str">
        <f>A614&amp;B614&amp;C614&amp;D614&amp;E614&amp;F614&amp;G614&amp;H614&amp;I614&amp;J614&amp;K614&amp;L614&amp;M614&amp;N614&amp;O614&amp;P614</f>
        <v>USR-10061345778ControlSouthDesktopOrganicBasic100000054.1</v>
      </c>
      <c r="S614" s="22" t="str">
        <f>IF(COUNTIF($R$2:$R$1409,R614)=1,"OK",IF(COUNTIF($R$2:$R$1409,R614)&gt;1,"Exact Duplicate","Review Required"))</f>
        <v>OK</v>
      </c>
      <c r="T614" s="22" t="s">
        <v>19</v>
      </c>
      <c r="U614" s="22" t="s">
        <v>25</v>
      </c>
      <c r="V614" s="22"/>
    </row>
    <row r="615" spans="1:22" ht="41.4">
      <c r="A615" s="22" t="s">
        <v>645</v>
      </c>
      <c r="B615" s="25">
        <v>45697</v>
      </c>
      <c r="C615" s="22" t="s">
        <v>17</v>
      </c>
      <c r="D615" s="22" t="s">
        <v>23</v>
      </c>
      <c r="E615" s="22" t="s">
        <v>19</v>
      </c>
      <c r="F615" s="22" t="s">
        <v>25</v>
      </c>
      <c r="G615" s="22" t="s">
        <v>30</v>
      </c>
      <c r="H615" s="22">
        <v>1</v>
      </c>
      <c r="I615" s="22">
        <v>1</v>
      </c>
      <c r="J615" s="22">
        <v>1</v>
      </c>
      <c r="K615" s="22">
        <v>0</v>
      </c>
      <c r="L615" s="22">
        <v>0</v>
      </c>
      <c r="M615" s="22">
        <v>0</v>
      </c>
      <c r="N615" s="22">
        <v>0</v>
      </c>
      <c r="O615" s="22"/>
      <c r="P615" s="22">
        <v>56.1</v>
      </c>
      <c r="Q615" s="22" t="str">
        <f>IF(OR(L615&lt;$Y$18,L615&gt;$Y$19),"Outlier","Normal")</f>
        <v>Normal</v>
      </c>
      <c r="R615" s="26" t="str">
        <f>A615&amp;B615&amp;C615&amp;D615&amp;E615&amp;F615&amp;G615&amp;H615&amp;I615&amp;J615&amp;K615&amp;L615&amp;M615&amp;N615&amp;O615&amp;P615</f>
        <v>USR-10061445697ControlWestDesktopOrganicPremium111000056.1</v>
      </c>
      <c r="S615" s="22" t="str">
        <f>IF(COUNTIF($R$2:$R$1409,R615)=1,"OK",IF(COUNTIF($R$2:$R$1409,R615)&gt;1,"Exact Duplicate","Review Required"))</f>
        <v>OK</v>
      </c>
      <c r="T615" s="22" t="s">
        <v>19</v>
      </c>
      <c r="U615" s="22" t="s">
        <v>25</v>
      </c>
      <c r="V615" s="22"/>
    </row>
    <row r="616" spans="1:22" ht="41.4">
      <c r="A616" s="22" t="s">
        <v>646</v>
      </c>
      <c r="B616" s="25">
        <v>45799</v>
      </c>
      <c r="C616" s="22" t="s">
        <v>17</v>
      </c>
      <c r="D616" s="22" t="s">
        <v>23</v>
      </c>
      <c r="E616" s="22" t="s">
        <v>24</v>
      </c>
      <c r="F616" s="22" t="s">
        <v>39</v>
      </c>
      <c r="G616" s="22" t="s">
        <v>30</v>
      </c>
      <c r="H616" s="22">
        <v>0</v>
      </c>
      <c r="I616" s="22">
        <v>0</v>
      </c>
      <c r="J616" s="22">
        <v>0</v>
      </c>
      <c r="K616" s="22">
        <v>0</v>
      </c>
      <c r="L616" s="22">
        <v>0</v>
      </c>
      <c r="M616" s="22">
        <v>0</v>
      </c>
      <c r="N616" s="22">
        <v>0</v>
      </c>
      <c r="O616" s="22"/>
      <c r="P616" s="22">
        <v>23.6</v>
      </c>
      <c r="Q616" s="22" t="str">
        <f>IF(OR(L616&lt;$Y$18,L616&gt;$Y$19),"Outlier","Normal")</f>
        <v>Normal</v>
      </c>
      <c r="R616" s="26" t="str">
        <f>A616&amp;B616&amp;C616&amp;D616&amp;E616&amp;F616&amp;G616&amp;H616&amp;I616&amp;J616&amp;K616&amp;L616&amp;M616&amp;N616&amp;O616&amp;P616</f>
        <v>USR-10061545799ControlWestMobileReferralPremium000000023.6</v>
      </c>
      <c r="S616" s="22" t="str">
        <f>IF(COUNTIF($R$2:$R$1409,R616)=1,"OK",IF(COUNTIF($R$2:$R$1409,R616)&gt;1,"Exact Duplicate","Review Required"))</f>
        <v>OK</v>
      </c>
      <c r="T616" s="22" t="s">
        <v>24</v>
      </c>
      <c r="U616" s="22" t="s">
        <v>39</v>
      </c>
      <c r="V616" s="22"/>
    </row>
    <row r="617" spans="1:22" ht="41.4">
      <c r="A617" s="22" t="s">
        <v>647</v>
      </c>
      <c r="B617" s="25">
        <v>45699</v>
      </c>
      <c r="C617" s="22" t="s">
        <v>17</v>
      </c>
      <c r="D617" s="22" t="s">
        <v>18</v>
      </c>
      <c r="E617" s="22" t="s">
        <v>24</v>
      </c>
      <c r="F617" s="22" t="s">
        <v>25</v>
      </c>
      <c r="G617" s="22" t="s">
        <v>30</v>
      </c>
      <c r="H617" s="22">
        <v>0</v>
      </c>
      <c r="I617" s="22">
        <v>0</v>
      </c>
      <c r="J617" s="22">
        <v>0</v>
      </c>
      <c r="K617" s="22">
        <v>0</v>
      </c>
      <c r="L617" s="22">
        <v>0</v>
      </c>
      <c r="M617" s="22">
        <v>0</v>
      </c>
      <c r="N617" s="22">
        <v>0</v>
      </c>
      <c r="O617" s="22"/>
      <c r="P617" s="22">
        <v>54.7</v>
      </c>
      <c r="Q617" s="22" t="str">
        <f>IF(OR(L617&lt;$Y$18,L617&gt;$Y$19),"Outlier","Normal")</f>
        <v>Normal</v>
      </c>
      <c r="R617" s="26" t="str">
        <f>A617&amp;B617&amp;C617&amp;D617&amp;E617&amp;F617&amp;G617&amp;H617&amp;I617&amp;J617&amp;K617&amp;L617&amp;M617&amp;N617&amp;O617&amp;P617</f>
        <v>USR-10061645699ControlNorthMobileOrganicPremium000000054.7</v>
      </c>
      <c r="S617" s="22" t="str">
        <f>IF(COUNTIF($R$2:$R$1409,R617)=1,"OK",IF(COUNTIF($R$2:$R$1409,R617)&gt;1,"Exact Duplicate","Review Required"))</f>
        <v>OK</v>
      </c>
      <c r="T617" s="22" t="s">
        <v>24</v>
      </c>
      <c r="U617" s="22" t="s">
        <v>25</v>
      </c>
      <c r="V617" s="22"/>
    </row>
    <row r="618" spans="1:22" ht="41.4">
      <c r="A618" s="22" t="s">
        <v>648</v>
      </c>
      <c r="B618" s="25">
        <v>45759</v>
      </c>
      <c r="C618" s="22" t="s">
        <v>17</v>
      </c>
      <c r="D618" s="22" t="s">
        <v>18</v>
      </c>
      <c r="E618" s="22" t="s">
        <v>24</v>
      </c>
      <c r="F618" s="22" t="s">
        <v>39</v>
      </c>
      <c r="G618" s="22" t="s">
        <v>21</v>
      </c>
      <c r="H618" s="22">
        <v>0</v>
      </c>
      <c r="I618" s="22">
        <v>0</v>
      </c>
      <c r="J618" s="22">
        <v>0</v>
      </c>
      <c r="K618" s="22">
        <v>0</v>
      </c>
      <c r="L618" s="22">
        <v>0</v>
      </c>
      <c r="M618" s="22">
        <v>2</v>
      </c>
      <c r="N618" s="22">
        <v>0</v>
      </c>
      <c r="O618" s="22"/>
      <c r="P618" s="22">
        <v>50.4</v>
      </c>
      <c r="Q618" s="22" t="str">
        <f>IF(OR(L618&lt;$Y$18,L618&gt;$Y$19),"Outlier","Normal")</f>
        <v>Normal</v>
      </c>
      <c r="R618" s="26" t="str">
        <f>A618&amp;B618&amp;C618&amp;D618&amp;E618&amp;F618&amp;G618&amp;H618&amp;I618&amp;J618&amp;K618&amp;L618&amp;M618&amp;N618&amp;O618&amp;P618</f>
        <v>USR-10061745759ControlNorthMobileReferralBasic000002050.4</v>
      </c>
      <c r="S618" s="22" t="str">
        <f>IF(COUNTIF($R$2:$R$1409,R618)=1,"OK",IF(COUNTIF($R$2:$R$1409,R618)&gt;1,"Exact Duplicate","Review Required"))</f>
        <v>OK</v>
      </c>
      <c r="T618" s="22" t="s">
        <v>24</v>
      </c>
      <c r="U618" s="22" t="s">
        <v>39</v>
      </c>
      <c r="V618" s="22"/>
    </row>
    <row r="619" spans="1:22" ht="41.4">
      <c r="A619" s="22" t="s">
        <v>649</v>
      </c>
      <c r="B619" s="25">
        <v>45717</v>
      </c>
      <c r="C619" s="22" t="s">
        <v>17</v>
      </c>
      <c r="D619" s="22" t="s">
        <v>23</v>
      </c>
      <c r="E619" s="22" t="s">
        <v>24</v>
      </c>
      <c r="F619" s="22" t="s">
        <v>41</v>
      </c>
      <c r="G619" s="22" t="s">
        <v>26</v>
      </c>
      <c r="H619" s="22">
        <v>1</v>
      </c>
      <c r="I619" s="22">
        <v>0</v>
      </c>
      <c r="J619" s="22">
        <v>0</v>
      </c>
      <c r="K619" s="22">
        <v>0</v>
      </c>
      <c r="L619" s="22">
        <v>0</v>
      </c>
      <c r="M619" s="22">
        <v>0</v>
      </c>
      <c r="N619" s="22">
        <v>0</v>
      </c>
      <c r="O619" s="22"/>
      <c r="P619" s="22">
        <v>54.5</v>
      </c>
      <c r="Q619" s="22" t="str">
        <f>IF(OR(L619&lt;$Y$18,L619&gt;$Y$19),"Outlier","Normal")</f>
        <v>Normal</v>
      </c>
      <c r="R619" s="26" t="str">
        <f>A619&amp;B619&amp;C619&amp;D619&amp;E619&amp;F619&amp;G619&amp;H619&amp;I619&amp;J619&amp;K619&amp;L619&amp;M619&amp;N619&amp;O619&amp;P619</f>
        <v>USR-10061845717ControlWestMobileSocialFree100000054.5</v>
      </c>
      <c r="S619" s="22" t="str">
        <f>IF(COUNTIF($R$2:$R$1409,R619)=1,"OK",IF(COUNTIF($R$2:$R$1409,R619)&gt;1,"Exact Duplicate","Review Required"))</f>
        <v>OK</v>
      </c>
      <c r="T619" s="22" t="s">
        <v>24</v>
      </c>
      <c r="U619" s="22" t="s">
        <v>41</v>
      </c>
      <c r="V619" s="22"/>
    </row>
    <row r="620" spans="1:22" ht="41.4">
      <c r="A620" s="22" t="s">
        <v>650</v>
      </c>
      <c r="B620" s="25">
        <v>45733</v>
      </c>
      <c r="C620" s="22" t="s">
        <v>17</v>
      </c>
      <c r="D620" s="22" t="s">
        <v>23</v>
      </c>
      <c r="E620" s="22" t="s">
        <v>19</v>
      </c>
      <c r="F620" s="22" t="s">
        <v>20</v>
      </c>
      <c r="G620" s="22" t="s">
        <v>21</v>
      </c>
      <c r="H620" s="22">
        <v>0</v>
      </c>
      <c r="I620" s="22">
        <v>0</v>
      </c>
      <c r="J620" s="22">
        <v>0</v>
      </c>
      <c r="K620" s="22">
        <v>0</v>
      </c>
      <c r="L620" s="22">
        <v>0</v>
      </c>
      <c r="M620" s="22">
        <v>0</v>
      </c>
      <c r="N620" s="22">
        <v>0</v>
      </c>
      <c r="O620" s="22"/>
      <c r="P620" s="22">
        <v>58</v>
      </c>
      <c r="Q620" s="22" t="str">
        <f>IF(OR(L620&lt;$Y$18,L620&gt;$Y$19),"Outlier","Normal")</f>
        <v>Normal</v>
      </c>
      <c r="R620" s="26" t="str">
        <f>A620&amp;B620&amp;C620&amp;D620&amp;E620&amp;F620&amp;G620&amp;H620&amp;I620&amp;J620&amp;K620&amp;L620&amp;M620&amp;N620&amp;O620&amp;P620</f>
        <v>USR-10061945733ControlWestDesktopEmailBasic000000058</v>
      </c>
      <c r="S620" s="22" t="str">
        <f>IF(COUNTIF($R$2:$R$1409,R620)=1,"OK",IF(COUNTIF($R$2:$R$1409,R620)&gt;1,"Exact Duplicate","Review Required"))</f>
        <v>OK</v>
      </c>
      <c r="T620" s="22" t="s">
        <v>19</v>
      </c>
      <c r="U620" s="22" t="s">
        <v>20</v>
      </c>
      <c r="V620" s="22"/>
    </row>
    <row r="621" spans="1:22" ht="41.4">
      <c r="A621" s="22" t="s">
        <v>651</v>
      </c>
      <c r="B621" s="25">
        <v>45668</v>
      </c>
      <c r="C621" s="22" t="s">
        <v>17</v>
      </c>
      <c r="D621" s="22" t="s">
        <v>18</v>
      </c>
      <c r="E621" s="22" t="s">
        <v>24</v>
      </c>
      <c r="F621" s="22" t="s">
        <v>29</v>
      </c>
      <c r="G621" s="22" t="s">
        <v>26</v>
      </c>
      <c r="H621" s="22">
        <v>0</v>
      </c>
      <c r="I621" s="22">
        <v>0</v>
      </c>
      <c r="J621" s="22">
        <v>0</v>
      </c>
      <c r="K621" s="22">
        <v>0</v>
      </c>
      <c r="L621" s="22">
        <v>0</v>
      </c>
      <c r="M621" s="22">
        <v>0</v>
      </c>
      <c r="N621" s="22">
        <v>0</v>
      </c>
      <c r="O621" s="22"/>
      <c r="P621" s="22">
        <v>42.9</v>
      </c>
      <c r="Q621" s="22" t="str">
        <f>IF(OR(L621&lt;$Y$18,L621&gt;$Y$19),"Outlier","Normal")</f>
        <v>Normal</v>
      </c>
      <c r="R621" s="26" t="str">
        <f>A621&amp;B621&amp;C621&amp;D621&amp;E621&amp;F621&amp;G621&amp;H621&amp;I621&amp;J621&amp;K621&amp;L621&amp;M621&amp;N621&amp;O621&amp;P621</f>
        <v>USR-10062045668ControlNorthMobilePaid SearchFree000000042.9</v>
      </c>
      <c r="S621" s="22" t="str">
        <f>IF(COUNTIF($R$2:$R$1409,R621)=1,"OK",IF(COUNTIF($R$2:$R$1409,R621)&gt;1,"Exact Duplicate","Review Required"))</f>
        <v>OK</v>
      </c>
      <c r="T621" s="22" t="s">
        <v>24</v>
      </c>
      <c r="U621" s="22" t="s">
        <v>29</v>
      </c>
      <c r="V621" s="22"/>
    </row>
    <row r="622" spans="1:22" ht="41.4">
      <c r="A622" s="22" t="s">
        <v>652</v>
      </c>
      <c r="B622" s="25">
        <v>45705</v>
      </c>
      <c r="C622" s="22" t="s">
        <v>17</v>
      </c>
      <c r="D622" s="22" t="s">
        <v>32</v>
      </c>
      <c r="E622" s="22" t="s">
        <v>24</v>
      </c>
      <c r="F622" s="22" t="s">
        <v>41</v>
      </c>
      <c r="G622" s="22" t="s">
        <v>30</v>
      </c>
      <c r="H622" s="22">
        <v>1</v>
      </c>
      <c r="I622" s="22">
        <v>0</v>
      </c>
      <c r="J622" s="22">
        <v>0</v>
      </c>
      <c r="K622" s="22">
        <v>0</v>
      </c>
      <c r="L622" s="22">
        <v>0</v>
      </c>
      <c r="M622" s="22">
        <v>0</v>
      </c>
      <c r="N622" s="22">
        <v>0</v>
      </c>
      <c r="O622" s="22"/>
      <c r="P622" s="22">
        <v>51.1</v>
      </c>
      <c r="Q622" s="22" t="str">
        <f>IF(OR(L622&lt;$Y$18,L622&gt;$Y$19),"Outlier","Normal")</f>
        <v>Normal</v>
      </c>
      <c r="R622" s="26" t="str">
        <f>A622&amp;B622&amp;C622&amp;D622&amp;E622&amp;F622&amp;G622&amp;H622&amp;I622&amp;J622&amp;K622&amp;L622&amp;M622&amp;N622&amp;O622&amp;P622</f>
        <v>USR-10062145705ControlSouthMobileSocialPremium100000051.1</v>
      </c>
      <c r="S622" s="22" t="str">
        <f>IF(COUNTIF($R$2:$R$1409,R622)=1,"OK",IF(COUNTIF($R$2:$R$1409,R622)&gt;1,"Exact Duplicate","Review Required"))</f>
        <v>OK</v>
      </c>
      <c r="T622" s="22" t="s">
        <v>24</v>
      </c>
      <c r="U622" s="22" t="s">
        <v>41</v>
      </c>
      <c r="V622" s="22"/>
    </row>
    <row r="623" spans="1:22" ht="41.4">
      <c r="A623" s="22" t="s">
        <v>653</v>
      </c>
      <c r="B623" s="25">
        <v>45741</v>
      </c>
      <c r="C623" s="22" t="s">
        <v>17</v>
      </c>
      <c r="D623" s="22" t="s">
        <v>28</v>
      </c>
      <c r="E623" s="22" t="s">
        <v>24</v>
      </c>
      <c r="F623" s="22" t="s">
        <v>29</v>
      </c>
      <c r="G623" s="22" t="s">
        <v>21</v>
      </c>
      <c r="H623" s="22">
        <v>1</v>
      </c>
      <c r="I623" s="22">
        <v>1</v>
      </c>
      <c r="J623" s="22">
        <v>0</v>
      </c>
      <c r="K623" s="22">
        <v>0</v>
      </c>
      <c r="L623" s="22">
        <v>0</v>
      </c>
      <c r="M623" s="22">
        <v>0</v>
      </c>
      <c r="N623" s="22">
        <v>0</v>
      </c>
      <c r="O623" s="22"/>
      <c r="P623" s="22">
        <v>51.8</v>
      </c>
      <c r="Q623" s="22" t="str">
        <f>IF(OR(L623&lt;$Y$18,L623&gt;$Y$19),"Outlier","Normal")</f>
        <v>Normal</v>
      </c>
      <c r="R623" s="26" t="str">
        <f>A623&amp;B623&amp;C623&amp;D623&amp;E623&amp;F623&amp;G623&amp;H623&amp;I623&amp;J623&amp;K623&amp;L623&amp;M623&amp;N623&amp;O623&amp;P623</f>
        <v>USR-10062245741ControlEastMobilePaid SearchBasic110000051.8</v>
      </c>
      <c r="S623" s="22" t="str">
        <f>IF(COUNTIF($R$2:$R$1409,R623)=1,"OK",IF(COUNTIF($R$2:$R$1409,R623)&gt;1,"Exact Duplicate","Review Required"))</f>
        <v>OK</v>
      </c>
      <c r="T623" s="22" t="s">
        <v>24</v>
      </c>
      <c r="U623" s="22" t="s">
        <v>29</v>
      </c>
      <c r="V623" s="22"/>
    </row>
    <row r="624" spans="1:22" ht="41.4">
      <c r="A624" s="22" t="s">
        <v>654</v>
      </c>
      <c r="B624" s="25">
        <v>45778</v>
      </c>
      <c r="C624" s="22" t="s">
        <v>17</v>
      </c>
      <c r="D624" s="22" t="s">
        <v>32</v>
      </c>
      <c r="E624" s="22" t="s">
        <v>24</v>
      </c>
      <c r="F624" s="22" t="s">
        <v>29</v>
      </c>
      <c r="G624" s="22" t="s">
        <v>26</v>
      </c>
      <c r="H624" s="22">
        <v>0</v>
      </c>
      <c r="I624" s="22">
        <v>0</v>
      </c>
      <c r="J624" s="22">
        <v>0</v>
      </c>
      <c r="K624" s="22">
        <v>0</v>
      </c>
      <c r="L624" s="22">
        <v>0</v>
      </c>
      <c r="M624" s="22">
        <v>0</v>
      </c>
      <c r="N624" s="22">
        <v>0</v>
      </c>
      <c r="O624" s="22"/>
      <c r="P624" s="22">
        <v>67.7</v>
      </c>
      <c r="Q624" s="22" t="str">
        <f>IF(OR(L624&lt;$Y$18,L624&gt;$Y$19),"Outlier","Normal")</f>
        <v>Normal</v>
      </c>
      <c r="R624" s="26" t="str">
        <f>A624&amp;B624&amp;C624&amp;D624&amp;E624&amp;F624&amp;G624&amp;H624&amp;I624&amp;J624&amp;K624&amp;L624&amp;M624&amp;N624&amp;O624&amp;P624</f>
        <v>USR-10062345778ControlSouthMobilePaid SearchFree000000067.7</v>
      </c>
      <c r="S624" s="22" t="str">
        <f>IF(COUNTIF($R$2:$R$1409,R624)=1,"OK",IF(COUNTIF($R$2:$R$1409,R624)&gt;1,"Exact Duplicate","Review Required"))</f>
        <v>OK</v>
      </c>
      <c r="T624" s="22" t="s">
        <v>24</v>
      </c>
      <c r="U624" s="22" t="s">
        <v>29</v>
      </c>
      <c r="V624" s="22"/>
    </row>
    <row r="625" spans="1:22" ht="41.4">
      <c r="A625" s="22" t="s">
        <v>655</v>
      </c>
      <c r="B625" s="25">
        <v>45749</v>
      </c>
      <c r="C625" s="22" t="s">
        <v>17</v>
      </c>
      <c r="D625" s="22" t="s">
        <v>28</v>
      </c>
      <c r="E625" s="22" t="s">
        <v>24</v>
      </c>
      <c r="F625" s="22" t="s">
        <v>25</v>
      </c>
      <c r="G625" s="22" t="s">
        <v>21</v>
      </c>
      <c r="H625" s="22">
        <v>0</v>
      </c>
      <c r="I625" s="22">
        <v>0</v>
      </c>
      <c r="J625" s="22">
        <v>0</v>
      </c>
      <c r="K625" s="22">
        <v>0</v>
      </c>
      <c r="L625" s="22">
        <v>0</v>
      </c>
      <c r="M625" s="22">
        <v>0</v>
      </c>
      <c r="N625" s="22">
        <v>0</v>
      </c>
      <c r="O625" s="22"/>
      <c r="P625" s="22">
        <v>75.8</v>
      </c>
      <c r="Q625" s="22" t="str">
        <f>IF(OR(L625&lt;$Y$18,L625&gt;$Y$19),"Outlier","Normal")</f>
        <v>Normal</v>
      </c>
      <c r="R625" s="26" t="str">
        <f>A625&amp;B625&amp;C625&amp;D625&amp;E625&amp;F625&amp;G625&amp;H625&amp;I625&amp;J625&amp;K625&amp;L625&amp;M625&amp;N625&amp;O625&amp;P625</f>
        <v>USR-10062445749ControlEastMobileOrganicBasic000000075.8</v>
      </c>
      <c r="S625" s="22" t="str">
        <f>IF(COUNTIF($R$2:$R$1409,R625)=1,"OK",IF(COUNTIF($R$2:$R$1409,R625)&gt;1,"Exact Duplicate","Review Required"))</f>
        <v>OK</v>
      </c>
      <c r="T625" s="22" t="s">
        <v>24</v>
      </c>
      <c r="U625" s="22" t="s">
        <v>25</v>
      </c>
      <c r="V625" s="22"/>
    </row>
    <row r="626" spans="1:22" ht="41.4">
      <c r="A626" s="22" t="s">
        <v>656</v>
      </c>
      <c r="B626" s="25">
        <v>45752</v>
      </c>
      <c r="C626" s="22" t="s">
        <v>17</v>
      </c>
      <c r="D626" s="22" t="s">
        <v>28</v>
      </c>
      <c r="E626" s="22" t="s">
        <v>24</v>
      </c>
      <c r="F626" s="22" t="s">
        <v>20</v>
      </c>
      <c r="G626" s="22" t="s">
        <v>26</v>
      </c>
      <c r="H626" s="22">
        <v>1</v>
      </c>
      <c r="I626" s="22">
        <v>1</v>
      </c>
      <c r="J626" s="22">
        <v>0</v>
      </c>
      <c r="K626" s="22">
        <v>0</v>
      </c>
      <c r="L626" s="22">
        <v>0</v>
      </c>
      <c r="M626" s="22">
        <v>0</v>
      </c>
      <c r="N626" s="22">
        <v>0</v>
      </c>
      <c r="O626" s="22"/>
      <c r="P626" s="22">
        <v>72.8</v>
      </c>
      <c r="Q626" s="22" t="str">
        <f>IF(OR(L626&lt;$Y$18,L626&gt;$Y$19),"Outlier","Normal")</f>
        <v>Normal</v>
      </c>
      <c r="R626" s="26" t="str">
        <f>A626&amp;B626&amp;C626&amp;D626&amp;E626&amp;F626&amp;G626&amp;H626&amp;I626&amp;J626&amp;K626&amp;L626&amp;M626&amp;N626&amp;O626&amp;P626</f>
        <v>USR-10062545752ControlEastMobileEmailFree110000072.8</v>
      </c>
      <c r="S626" s="22" t="str">
        <f>IF(COUNTIF($R$2:$R$1409,R626)=1,"OK",IF(COUNTIF($R$2:$R$1409,R626)&gt;1,"Exact Duplicate","Review Required"))</f>
        <v>OK</v>
      </c>
      <c r="T626" s="22" t="s">
        <v>24</v>
      </c>
      <c r="U626" s="22" t="s">
        <v>20</v>
      </c>
      <c r="V626" s="22"/>
    </row>
    <row r="627" spans="1:22" ht="41.4">
      <c r="A627" s="22" t="s">
        <v>657</v>
      </c>
      <c r="B627" s="25">
        <v>45712</v>
      </c>
      <c r="C627" s="22" t="s">
        <v>17</v>
      </c>
      <c r="D627" s="22" t="s">
        <v>18</v>
      </c>
      <c r="E627" s="22" t="s">
        <v>19</v>
      </c>
      <c r="F627" s="22" t="s">
        <v>41</v>
      </c>
      <c r="G627" s="22" t="s">
        <v>26</v>
      </c>
      <c r="H627" s="22">
        <v>1</v>
      </c>
      <c r="I627" s="22">
        <v>1</v>
      </c>
      <c r="J627" s="22">
        <v>0</v>
      </c>
      <c r="K627" s="22">
        <v>0</v>
      </c>
      <c r="L627" s="22">
        <v>0</v>
      </c>
      <c r="M627" s="22">
        <v>0</v>
      </c>
      <c r="N627" s="22">
        <v>0</v>
      </c>
      <c r="O627" s="22"/>
      <c r="P627" s="22">
        <v>54.4</v>
      </c>
      <c r="Q627" s="22" t="str">
        <f>IF(OR(L627&lt;$Y$18,L627&gt;$Y$19),"Outlier","Normal")</f>
        <v>Normal</v>
      </c>
      <c r="R627" s="26" t="str">
        <f>A627&amp;B627&amp;C627&amp;D627&amp;E627&amp;F627&amp;G627&amp;H627&amp;I627&amp;J627&amp;K627&amp;L627&amp;M627&amp;N627&amp;O627&amp;P627</f>
        <v>USR-10062645712ControlNorthDesktopSocialFree110000054.4</v>
      </c>
      <c r="S627" s="22" t="str">
        <f>IF(COUNTIF($R$2:$R$1409,R627)=1,"OK",IF(COUNTIF($R$2:$R$1409,R627)&gt;1,"Exact Duplicate","Review Required"))</f>
        <v>OK</v>
      </c>
      <c r="T627" s="22" t="s">
        <v>19</v>
      </c>
      <c r="U627" s="22" t="s">
        <v>41</v>
      </c>
      <c r="V627" s="22"/>
    </row>
    <row r="628" spans="1:22" ht="41.4">
      <c r="A628" s="22" t="s">
        <v>658</v>
      </c>
      <c r="B628" s="25">
        <v>45681</v>
      </c>
      <c r="C628" s="22" t="s">
        <v>17</v>
      </c>
      <c r="D628" s="22" t="s">
        <v>23</v>
      </c>
      <c r="E628" s="22" t="s">
        <v>24</v>
      </c>
      <c r="F628" s="22" t="s">
        <v>29</v>
      </c>
      <c r="G628" s="22" t="s">
        <v>21</v>
      </c>
      <c r="H628" s="22">
        <v>1</v>
      </c>
      <c r="I628" s="22">
        <v>0</v>
      </c>
      <c r="J628" s="22">
        <v>0</v>
      </c>
      <c r="K628" s="22">
        <v>0</v>
      </c>
      <c r="L628" s="22">
        <v>0</v>
      </c>
      <c r="M628" s="22">
        <v>0</v>
      </c>
      <c r="N628" s="22">
        <v>0</v>
      </c>
      <c r="O628" s="22"/>
      <c r="P628" s="22">
        <v>51.8</v>
      </c>
      <c r="Q628" s="22" t="str">
        <f>IF(OR(L628&lt;$Y$18,L628&gt;$Y$19),"Outlier","Normal")</f>
        <v>Normal</v>
      </c>
      <c r="R628" s="26" t="str">
        <f>A628&amp;B628&amp;C628&amp;D628&amp;E628&amp;F628&amp;G628&amp;H628&amp;I628&amp;J628&amp;K628&amp;L628&amp;M628&amp;N628&amp;O628&amp;P628</f>
        <v>USR-10062745681ControlWestMobilePaid SearchBasic100000051.8</v>
      </c>
      <c r="S628" s="22" t="str">
        <f>IF(COUNTIF($R$2:$R$1409,R628)=1,"OK",IF(COUNTIF($R$2:$R$1409,R628)&gt;1,"Exact Duplicate","Review Required"))</f>
        <v>OK</v>
      </c>
      <c r="T628" s="22" t="s">
        <v>24</v>
      </c>
      <c r="U628" s="22" t="s">
        <v>29</v>
      </c>
      <c r="V628" s="22"/>
    </row>
    <row r="629" spans="1:22" ht="41.4">
      <c r="A629" s="22" t="s">
        <v>659</v>
      </c>
      <c r="B629" s="25">
        <v>45757</v>
      </c>
      <c r="C629" s="22" t="s">
        <v>17</v>
      </c>
      <c r="D629" s="22" t="s">
        <v>32</v>
      </c>
      <c r="E629" s="22" t="s">
        <v>24</v>
      </c>
      <c r="F629" s="22" t="s">
        <v>29</v>
      </c>
      <c r="G629" s="22" t="s">
        <v>26</v>
      </c>
      <c r="H629" s="22">
        <v>0</v>
      </c>
      <c r="I629" s="22">
        <v>0</v>
      </c>
      <c r="J629" s="22">
        <v>0</v>
      </c>
      <c r="K629" s="22">
        <v>0</v>
      </c>
      <c r="L629" s="22">
        <v>0</v>
      </c>
      <c r="M629" s="22">
        <v>0</v>
      </c>
      <c r="N629" s="22">
        <v>0</v>
      </c>
      <c r="O629" s="22"/>
      <c r="P629" s="22">
        <v>40.299999999999997</v>
      </c>
      <c r="Q629" s="22" t="str">
        <f>IF(OR(L629&lt;$Y$18,L629&gt;$Y$19),"Outlier","Normal")</f>
        <v>Normal</v>
      </c>
      <c r="R629" s="26" t="str">
        <f>A629&amp;B629&amp;C629&amp;D629&amp;E629&amp;F629&amp;G629&amp;H629&amp;I629&amp;J629&amp;K629&amp;L629&amp;M629&amp;N629&amp;O629&amp;P629</f>
        <v>USR-10062845757ControlSouthMobilePaid SearchFree000000040.3</v>
      </c>
      <c r="S629" s="22" t="str">
        <f>IF(COUNTIF($R$2:$R$1409,R629)=1,"OK",IF(COUNTIF($R$2:$R$1409,R629)&gt;1,"Exact Duplicate","Review Required"))</f>
        <v>OK</v>
      </c>
      <c r="T629" s="22" t="s">
        <v>24</v>
      </c>
      <c r="U629" s="22" t="s">
        <v>29</v>
      </c>
      <c r="V629" s="22"/>
    </row>
    <row r="630" spans="1:22" ht="41.4">
      <c r="A630" s="22" t="s">
        <v>660</v>
      </c>
      <c r="B630" s="25">
        <v>45707</v>
      </c>
      <c r="C630" s="22" t="s">
        <v>17</v>
      </c>
      <c r="D630" s="22" t="s">
        <v>32</v>
      </c>
      <c r="E630" s="22" t="s">
        <v>24</v>
      </c>
      <c r="F630" s="22" t="s">
        <v>39</v>
      </c>
      <c r="G630" s="22" t="s">
        <v>26</v>
      </c>
      <c r="H630" s="22">
        <v>1</v>
      </c>
      <c r="I630" s="22">
        <v>1</v>
      </c>
      <c r="J630" s="22">
        <v>1</v>
      </c>
      <c r="K630" s="22">
        <v>0</v>
      </c>
      <c r="L630" s="22">
        <v>0</v>
      </c>
      <c r="M630" s="22">
        <v>0</v>
      </c>
      <c r="N630" s="22">
        <v>0</v>
      </c>
      <c r="O630" s="22"/>
      <c r="P630" s="22">
        <v>61.7</v>
      </c>
      <c r="Q630" s="22" t="str">
        <f>IF(OR(L630&lt;$Y$18,L630&gt;$Y$19),"Outlier","Normal")</f>
        <v>Normal</v>
      </c>
      <c r="R630" s="26" t="str">
        <f>A630&amp;B630&amp;C630&amp;D630&amp;E630&amp;F630&amp;G630&amp;H630&amp;I630&amp;J630&amp;K630&amp;L630&amp;M630&amp;N630&amp;O630&amp;P630</f>
        <v>USR-10062945707ControlSouthMobileReferralFree111000061.7</v>
      </c>
      <c r="S630" s="22" t="str">
        <f>IF(COUNTIF($R$2:$R$1409,R630)=1,"OK",IF(COUNTIF($R$2:$R$1409,R630)&gt;1,"Exact Duplicate","Review Required"))</f>
        <v>OK</v>
      </c>
      <c r="T630" s="22" t="s">
        <v>24</v>
      </c>
      <c r="U630" s="22" t="s">
        <v>39</v>
      </c>
      <c r="V630" s="22"/>
    </row>
    <row r="631" spans="1:22" ht="41.4">
      <c r="A631" s="22" t="s">
        <v>661</v>
      </c>
      <c r="B631" s="25">
        <v>45738</v>
      </c>
      <c r="C631" s="22" t="s">
        <v>17</v>
      </c>
      <c r="D631" s="22" t="s">
        <v>18</v>
      </c>
      <c r="E631" s="22" t="s">
        <v>24</v>
      </c>
      <c r="F631" s="22" t="s">
        <v>41</v>
      </c>
      <c r="G631" s="22" t="s">
        <v>26</v>
      </c>
      <c r="H631" s="22">
        <v>0</v>
      </c>
      <c r="I631" s="22">
        <v>0</v>
      </c>
      <c r="J631" s="22">
        <v>0</v>
      </c>
      <c r="K631" s="22">
        <v>0</v>
      </c>
      <c r="L631" s="22">
        <v>0</v>
      </c>
      <c r="M631" s="22">
        <v>0</v>
      </c>
      <c r="N631" s="22">
        <v>0</v>
      </c>
      <c r="O631" s="22"/>
      <c r="P631" s="22">
        <v>45</v>
      </c>
      <c r="Q631" s="22" t="str">
        <f>IF(OR(L631&lt;$Y$18,L631&gt;$Y$19),"Outlier","Normal")</f>
        <v>Normal</v>
      </c>
      <c r="R631" s="26" t="str">
        <f>A631&amp;B631&amp;C631&amp;D631&amp;E631&amp;F631&amp;G631&amp;H631&amp;I631&amp;J631&amp;K631&amp;L631&amp;M631&amp;N631&amp;O631&amp;P631</f>
        <v>USR-10063045738ControlNorthMobileSocialFree000000045</v>
      </c>
      <c r="S631" s="22" t="str">
        <f>IF(COUNTIF($R$2:$R$1409,R631)=1,"OK",IF(COUNTIF($R$2:$R$1409,R631)&gt;1,"Exact Duplicate","Review Required"))</f>
        <v>OK</v>
      </c>
      <c r="T631" s="22" t="s">
        <v>24</v>
      </c>
      <c r="U631" s="22" t="s">
        <v>41</v>
      </c>
      <c r="V631" s="22"/>
    </row>
    <row r="632" spans="1:22" ht="41.4">
      <c r="A632" s="22" t="s">
        <v>662</v>
      </c>
      <c r="B632" s="25">
        <v>45755</v>
      </c>
      <c r="C632" s="22" t="s">
        <v>17</v>
      </c>
      <c r="D632" s="22" t="s">
        <v>28</v>
      </c>
      <c r="E632" s="22" t="s">
        <v>19</v>
      </c>
      <c r="F632" s="22" t="s">
        <v>25</v>
      </c>
      <c r="G632" s="22" t="s">
        <v>30</v>
      </c>
      <c r="H632" s="22">
        <v>1</v>
      </c>
      <c r="I632" s="22">
        <v>1</v>
      </c>
      <c r="J632" s="22">
        <v>1</v>
      </c>
      <c r="K632" s="22">
        <v>0</v>
      </c>
      <c r="L632" s="22">
        <v>0</v>
      </c>
      <c r="M632" s="22">
        <v>0</v>
      </c>
      <c r="N632" s="22">
        <v>0</v>
      </c>
      <c r="O632" s="22"/>
      <c r="P632" s="22">
        <v>60</v>
      </c>
      <c r="Q632" s="22" t="str">
        <f>IF(OR(L632&lt;$Y$18,L632&gt;$Y$19),"Outlier","Normal")</f>
        <v>Normal</v>
      </c>
      <c r="R632" s="26" t="str">
        <f>A632&amp;B632&amp;C632&amp;D632&amp;E632&amp;F632&amp;G632&amp;H632&amp;I632&amp;J632&amp;K632&amp;L632&amp;M632&amp;N632&amp;O632&amp;P632</f>
        <v>USR-10063145755ControlEastDesktopOrganicPremium111000060</v>
      </c>
      <c r="S632" s="22" t="str">
        <f>IF(COUNTIF($R$2:$R$1409,R632)=1,"OK",IF(COUNTIF($R$2:$R$1409,R632)&gt;1,"Exact Duplicate","Review Required"))</f>
        <v>OK</v>
      </c>
      <c r="T632" s="22" t="s">
        <v>19</v>
      </c>
      <c r="U632" s="22" t="s">
        <v>25</v>
      </c>
      <c r="V632" s="22"/>
    </row>
    <row r="633" spans="1:22" ht="41.4">
      <c r="A633" s="22" t="s">
        <v>663</v>
      </c>
      <c r="B633" s="25">
        <v>45732</v>
      </c>
      <c r="C633" s="22" t="s">
        <v>17</v>
      </c>
      <c r="D633" s="22" t="s">
        <v>18</v>
      </c>
      <c r="E633" s="22" t="s">
        <v>24</v>
      </c>
      <c r="F633" s="22" t="s">
        <v>41</v>
      </c>
      <c r="G633" s="22" t="s">
        <v>26</v>
      </c>
      <c r="H633" s="22">
        <v>1</v>
      </c>
      <c r="I633" s="22">
        <v>0</v>
      </c>
      <c r="J633" s="22">
        <v>0</v>
      </c>
      <c r="K633" s="22">
        <v>0</v>
      </c>
      <c r="L633" s="22">
        <v>0</v>
      </c>
      <c r="M633" s="22">
        <v>0</v>
      </c>
      <c r="N633" s="22">
        <v>0</v>
      </c>
      <c r="O633" s="22"/>
      <c r="P633" s="22"/>
      <c r="Q633" s="22" t="str">
        <f>IF(OR(L633&lt;$Y$18,L633&gt;$Y$19),"Outlier","Normal")</f>
        <v>Normal</v>
      </c>
      <c r="R633" s="26" t="str">
        <f>A633&amp;B633&amp;C633&amp;D633&amp;E633&amp;F633&amp;G633&amp;H633&amp;I633&amp;J633&amp;K633&amp;L633&amp;M633&amp;N633&amp;O633&amp;P633</f>
        <v>USR-10063245732ControlNorthMobileSocialFree1000000</v>
      </c>
      <c r="S633" s="22" t="str">
        <f>IF(COUNTIF($R$2:$R$1409,R633)=1,"OK",IF(COUNTIF($R$2:$R$1409,R633)&gt;1,"Exact Duplicate","Review Required"))</f>
        <v>OK</v>
      </c>
      <c r="T633" s="22" t="s">
        <v>24</v>
      </c>
      <c r="U633" s="22" t="s">
        <v>41</v>
      </c>
      <c r="V633" s="22"/>
    </row>
    <row r="634" spans="1:22" ht="41.4">
      <c r="A634" s="22" t="s">
        <v>664</v>
      </c>
      <c r="B634" s="25">
        <v>45723</v>
      </c>
      <c r="C634" s="22" t="s">
        <v>17</v>
      </c>
      <c r="D634" s="22" t="s">
        <v>28</v>
      </c>
      <c r="E634" s="22" t="s">
        <v>24</v>
      </c>
      <c r="F634" s="22" t="s">
        <v>29</v>
      </c>
      <c r="G634" s="22" t="s">
        <v>26</v>
      </c>
      <c r="H634" s="22">
        <v>1</v>
      </c>
      <c r="I634" s="22">
        <v>0</v>
      </c>
      <c r="J634" s="22">
        <v>0</v>
      </c>
      <c r="K634" s="22">
        <v>0</v>
      </c>
      <c r="L634" s="22">
        <v>0</v>
      </c>
      <c r="M634" s="22">
        <v>0</v>
      </c>
      <c r="N634" s="22">
        <v>0</v>
      </c>
      <c r="O634" s="22"/>
      <c r="P634" s="22">
        <v>55.5</v>
      </c>
      <c r="Q634" s="22" t="str">
        <f>IF(OR(L634&lt;$Y$18,L634&gt;$Y$19),"Outlier","Normal")</f>
        <v>Normal</v>
      </c>
      <c r="R634" s="26" t="str">
        <f>A634&amp;B634&amp;C634&amp;D634&amp;E634&amp;F634&amp;G634&amp;H634&amp;I634&amp;J634&amp;K634&amp;L634&amp;M634&amp;N634&amp;O634&amp;P634</f>
        <v>USR-10063345723ControlEastMobilePaid SearchFree100000055.5</v>
      </c>
      <c r="S634" s="22" t="str">
        <f>IF(COUNTIF($R$2:$R$1409,R634)=1,"OK",IF(COUNTIF($R$2:$R$1409,R634)&gt;1,"Exact Duplicate","Review Required"))</f>
        <v>OK</v>
      </c>
      <c r="T634" s="22" t="s">
        <v>24</v>
      </c>
      <c r="U634" s="22" t="s">
        <v>29</v>
      </c>
      <c r="V634" s="22"/>
    </row>
    <row r="635" spans="1:22" ht="41.4">
      <c r="A635" s="22" t="s">
        <v>665</v>
      </c>
      <c r="B635" s="25">
        <v>45732</v>
      </c>
      <c r="C635" s="22" t="s">
        <v>17</v>
      </c>
      <c r="D635" s="22" t="s">
        <v>32</v>
      </c>
      <c r="E635" s="22" t="s">
        <v>24</v>
      </c>
      <c r="F635" s="22" t="s">
        <v>39</v>
      </c>
      <c r="G635" s="22" t="s">
        <v>21</v>
      </c>
      <c r="H635" s="22">
        <v>0</v>
      </c>
      <c r="I635" s="22">
        <v>0</v>
      </c>
      <c r="J635" s="22">
        <v>0</v>
      </c>
      <c r="K635" s="22">
        <v>0</v>
      </c>
      <c r="L635" s="22">
        <v>0</v>
      </c>
      <c r="M635" s="22">
        <v>0</v>
      </c>
      <c r="N635" s="22">
        <v>0</v>
      </c>
      <c r="O635" s="22"/>
      <c r="P635" s="22">
        <v>51.8</v>
      </c>
      <c r="Q635" s="22" t="str">
        <f>IF(OR(L635&lt;$Y$18,L635&gt;$Y$19),"Outlier","Normal")</f>
        <v>Normal</v>
      </c>
      <c r="R635" s="26" t="str">
        <f>A635&amp;B635&amp;C635&amp;D635&amp;E635&amp;F635&amp;G635&amp;H635&amp;I635&amp;J635&amp;K635&amp;L635&amp;M635&amp;N635&amp;O635&amp;P635</f>
        <v>USR-10063445732ControlSouthMobileReferralBasic000000051.8</v>
      </c>
      <c r="S635" s="22" t="str">
        <f>IF(COUNTIF($R$2:$R$1409,R635)=1,"OK",IF(COUNTIF($R$2:$R$1409,R635)&gt;1,"Exact Duplicate","Review Required"))</f>
        <v>OK</v>
      </c>
      <c r="T635" s="22" t="s">
        <v>24</v>
      </c>
      <c r="U635" s="22" t="s">
        <v>39</v>
      </c>
      <c r="V635" s="22"/>
    </row>
    <row r="636" spans="1:22" ht="41.4">
      <c r="A636" s="22" t="s">
        <v>666</v>
      </c>
      <c r="B636" s="25">
        <v>45803</v>
      </c>
      <c r="C636" s="22" t="s">
        <v>17</v>
      </c>
      <c r="D636" s="22" t="s">
        <v>28</v>
      </c>
      <c r="E636" s="22" t="s">
        <v>24</v>
      </c>
      <c r="F636" s="22" t="s">
        <v>1482</v>
      </c>
      <c r="G636" s="22" t="s">
        <v>30</v>
      </c>
      <c r="H636" s="22">
        <v>1</v>
      </c>
      <c r="I636" s="22">
        <v>0</v>
      </c>
      <c r="J636" s="22">
        <v>0</v>
      </c>
      <c r="K636" s="22">
        <v>0</v>
      </c>
      <c r="L636" s="22">
        <v>0</v>
      </c>
      <c r="M636" s="22">
        <v>3</v>
      </c>
      <c r="N636" s="22">
        <v>0</v>
      </c>
      <c r="O636" s="22"/>
      <c r="P636" s="22">
        <v>56</v>
      </c>
      <c r="Q636" s="22" t="str">
        <f>IF(OR(L636&lt;$Y$18,L636&gt;$Y$19),"Outlier","Normal")</f>
        <v>Normal</v>
      </c>
      <c r="R636" s="26" t="str">
        <f>A636&amp;B636&amp;C636&amp;D636&amp;E636&amp;F636&amp;G636&amp;H636&amp;I636&amp;J636&amp;K636&amp;L636&amp;M636&amp;N636&amp;O636&amp;P636</f>
        <v>USR-10063545803ControlEastMobileUnknownPremium100003056</v>
      </c>
      <c r="S636" s="22" t="str">
        <f>IF(COUNTIF($R$2:$R$1409,R636)=1,"OK",IF(COUNTIF($R$2:$R$1409,R636)&gt;1,"Exact Duplicate","Review Required"))</f>
        <v>OK</v>
      </c>
      <c r="T636" s="22" t="s">
        <v>24</v>
      </c>
      <c r="U636" s="22"/>
      <c r="V636" s="22"/>
    </row>
    <row r="637" spans="1:22" ht="41.4">
      <c r="A637" s="22" t="s">
        <v>667</v>
      </c>
      <c r="B637" s="25">
        <v>45671</v>
      </c>
      <c r="C637" s="22" t="s">
        <v>17</v>
      </c>
      <c r="D637" s="22" t="s">
        <v>23</v>
      </c>
      <c r="E637" s="22" t="s">
        <v>24</v>
      </c>
      <c r="F637" s="22" t="s">
        <v>25</v>
      </c>
      <c r="G637" s="22" t="s">
        <v>26</v>
      </c>
      <c r="H637" s="22">
        <v>0</v>
      </c>
      <c r="I637" s="22">
        <v>0</v>
      </c>
      <c r="J637" s="22">
        <v>0</v>
      </c>
      <c r="K637" s="22">
        <v>0</v>
      </c>
      <c r="L637" s="22">
        <v>0</v>
      </c>
      <c r="M637" s="22">
        <v>0</v>
      </c>
      <c r="N637" s="22">
        <v>0</v>
      </c>
      <c r="O637" s="22"/>
      <c r="P637" s="22">
        <v>52.5</v>
      </c>
      <c r="Q637" s="22" t="str">
        <f>IF(OR(L637&lt;$Y$18,L637&gt;$Y$19),"Outlier","Normal")</f>
        <v>Normal</v>
      </c>
      <c r="R637" s="26" t="str">
        <f>A637&amp;B637&amp;C637&amp;D637&amp;E637&amp;F637&amp;G637&amp;H637&amp;I637&amp;J637&amp;K637&amp;L637&amp;M637&amp;N637&amp;O637&amp;P637</f>
        <v>USR-10063645671ControlWestMobileOrganicFree000000052.5</v>
      </c>
      <c r="S637" s="22" t="str">
        <f>IF(COUNTIF($R$2:$R$1409,R637)=1,"OK",IF(COUNTIF($R$2:$R$1409,R637)&gt;1,"Exact Duplicate","Review Required"))</f>
        <v>OK</v>
      </c>
      <c r="T637" s="22" t="s">
        <v>24</v>
      </c>
      <c r="U637" s="22" t="s">
        <v>25</v>
      </c>
      <c r="V637" s="22"/>
    </row>
    <row r="638" spans="1:22" ht="41.4">
      <c r="A638" s="22" t="s">
        <v>668</v>
      </c>
      <c r="B638" s="25">
        <v>45746</v>
      </c>
      <c r="C638" s="22" t="s">
        <v>17</v>
      </c>
      <c r="D638" s="22" t="s">
        <v>23</v>
      </c>
      <c r="E638" s="22" t="s">
        <v>24</v>
      </c>
      <c r="F638" s="22" t="s">
        <v>29</v>
      </c>
      <c r="G638" s="22" t="s">
        <v>30</v>
      </c>
      <c r="H638" s="22">
        <v>1</v>
      </c>
      <c r="I638" s="22">
        <v>0</v>
      </c>
      <c r="J638" s="22">
        <v>0</v>
      </c>
      <c r="K638" s="22">
        <v>0</v>
      </c>
      <c r="L638" s="22">
        <v>0</v>
      </c>
      <c r="M638" s="22">
        <v>0</v>
      </c>
      <c r="N638" s="22">
        <v>0</v>
      </c>
      <c r="O638" s="22"/>
      <c r="P638" s="22">
        <v>42.5</v>
      </c>
      <c r="Q638" s="22" t="str">
        <f>IF(OR(L638&lt;$Y$18,L638&gt;$Y$19),"Outlier","Normal")</f>
        <v>Normal</v>
      </c>
      <c r="R638" s="26" t="str">
        <f>A638&amp;B638&amp;C638&amp;D638&amp;E638&amp;F638&amp;G638&amp;H638&amp;I638&amp;J638&amp;K638&amp;L638&amp;M638&amp;N638&amp;O638&amp;P638</f>
        <v>USR-10063745746ControlWestMobilePaid SearchPremium100000042.5</v>
      </c>
      <c r="S638" s="22" t="str">
        <f>IF(COUNTIF($R$2:$R$1409,R638)=1,"OK",IF(COUNTIF($R$2:$R$1409,R638)&gt;1,"Exact Duplicate","Review Required"))</f>
        <v>OK</v>
      </c>
      <c r="T638" s="22" t="s">
        <v>24</v>
      </c>
      <c r="U638" s="22" t="s">
        <v>29</v>
      </c>
      <c r="V638" s="22"/>
    </row>
    <row r="639" spans="1:22" ht="41.4">
      <c r="A639" s="22" t="s">
        <v>669</v>
      </c>
      <c r="B639" s="25">
        <v>45789</v>
      </c>
      <c r="C639" s="22" t="s">
        <v>17</v>
      </c>
      <c r="D639" s="22" t="s">
        <v>28</v>
      </c>
      <c r="E639" s="22" t="s">
        <v>19</v>
      </c>
      <c r="F639" s="22" t="s">
        <v>20</v>
      </c>
      <c r="G639" s="22" t="s">
        <v>26</v>
      </c>
      <c r="H639" s="22">
        <v>1</v>
      </c>
      <c r="I639" s="22">
        <v>1</v>
      </c>
      <c r="J639" s="22">
        <v>1</v>
      </c>
      <c r="K639" s="22">
        <v>0</v>
      </c>
      <c r="L639" s="22">
        <v>0</v>
      </c>
      <c r="M639" s="22">
        <v>0</v>
      </c>
      <c r="N639" s="22">
        <v>0</v>
      </c>
      <c r="O639" s="22"/>
      <c r="P639" s="22">
        <v>65.3</v>
      </c>
      <c r="Q639" s="22" t="str">
        <f>IF(OR(L639&lt;$Y$18,L639&gt;$Y$19),"Outlier","Normal")</f>
        <v>Normal</v>
      </c>
      <c r="R639" s="26" t="str">
        <f>A639&amp;B639&amp;C639&amp;D639&amp;E639&amp;F639&amp;G639&amp;H639&amp;I639&amp;J639&amp;K639&amp;L639&amp;M639&amp;N639&amp;O639&amp;P639</f>
        <v>USR-10063845789ControlEastDesktopEmailFree111000065.3</v>
      </c>
      <c r="S639" s="22" t="str">
        <f>IF(COUNTIF($R$2:$R$1409,R639)=1,"OK",IF(COUNTIF($R$2:$R$1409,R639)&gt;1,"Exact Duplicate","Review Required"))</f>
        <v>OK</v>
      </c>
      <c r="T639" s="22" t="s">
        <v>19</v>
      </c>
      <c r="U639" s="22" t="s">
        <v>20</v>
      </c>
      <c r="V639" s="22"/>
    </row>
    <row r="640" spans="1:22" ht="41.4">
      <c r="A640" s="22" t="s">
        <v>670</v>
      </c>
      <c r="B640" s="25">
        <v>45787</v>
      </c>
      <c r="C640" s="22" t="s">
        <v>17</v>
      </c>
      <c r="D640" s="22" t="s">
        <v>23</v>
      </c>
      <c r="E640" s="22" t="s">
        <v>24</v>
      </c>
      <c r="F640" s="22" t="s">
        <v>29</v>
      </c>
      <c r="G640" s="22" t="s">
        <v>26</v>
      </c>
      <c r="H640" s="22">
        <v>0</v>
      </c>
      <c r="I640" s="22">
        <v>0</v>
      </c>
      <c r="J640" s="22">
        <v>0</v>
      </c>
      <c r="K640" s="22">
        <v>0</v>
      </c>
      <c r="L640" s="22">
        <v>0</v>
      </c>
      <c r="M640" s="22">
        <v>0</v>
      </c>
      <c r="N640" s="22">
        <v>0</v>
      </c>
      <c r="O640" s="22"/>
      <c r="P640" s="22">
        <v>37.6</v>
      </c>
      <c r="Q640" s="22" t="str">
        <f>IF(OR(L640&lt;$Y$18,L640&gt;$Y$19),"Outlier","Normal")</f>
        <v>Normal</v>
      </c>
      <c r="R640" s="26" t="str">
        <f>A640&amp;B640&amp;C640&amp;D640&amp;E640&amp;F640&amp;G640&amp;H640&amp;I640&amp;J640&amp;K640&amp;L640&amp;M640&amp;N640&amp;O640&amp;P640</f>
        <v>USR-10063945787ControlWestMobilePaid SearchFree000000037.6</v>
      </c>
      <c r="S640" s="22" t="str">
        <f>IF(COUNTIF($R$2:$R$1409,R640)=1,"OK",IF(COUNTIF($R$2:$R$1409,R640)&gt;1,"Exact Duplicate","Review Required"))</f>
        <v>OK</v>
      </c>
      <c r="T640" s="22" t="s">
        <v>24</v>
      </c>
      <c r="U640" s="22" t="s">
        <v>29</v>
      </c>
      <c r="V640" s="22"/>
    </row>
    <row r="641" spans="1:22" ht="41.4">
      <c r="A641" s="22" t="s">
        <v>671</v>
      </c>
      <c r="B641" s="25">
        <v>45756</v>
      </c>
      <c r="C641" s="22" t="s">
        <v>17</v>
      </c>
      <c r="D641" s="22" t="s">
        <v>28</v>
      </c>
      <c r="E641" s="22" t="s">
        <v>24</v>
      </c>
      <c r="F641" s="22" t="s">
        <v>41</v>
      </c>
      <c r="G641" s="22" t="s">
        <v>21</v>
      </c>
      <c r="H641" s="22">
        <v>0</v>
      </c>
      <c r="I641" s="22">
        <v>0</v>
      </c>
      <c r="J641" s="22">
        <v>0</v>
      </c>
      <c r="K641" s="22">
        <v>0</v>
      </c>
      <c r="L641" s="22">
        <v>0</v>
      </c>
      <c r="M641" s="22">
        <v>0</v>
      </c>
      <c r="N641" s="22">
        <v>0</v>
      </c>
      <c r="O641" s="22"/>
      <c r="P641" s="22">
        <v>57.8</v>
      </c>
      <c r="Q641" s="22" t="str">
        <f>IF(OR(L641&lt;$Y$18,L641&gt;$Y$19),"Outlier","Normal")</f>
        <v>Normal</v>
      </c>
      <c r="R641" s="26" t="str">
        <f>A641&amp;B641&amp;C641&amp;D641&amp;E641&amp;F641&amp;G641&amp;H641&amp;I641&amp;J641&amp;K641&amp;L641&amp;M641&amp;N641&amp;O641&amp;P641</f>
        <v>USR-10064045756ControlEastMobileSocialBasic000000057.8</v>
      </c>
      <c r="S641" s="22" t="str">
        <f>IF(COUNTIF($R$2:$R$1409,R641)=1,"OK",IF(COUNTIF($R$2:$R$1409,R641)&gt;1,"Exact Duplicate","Review Required"))</f>
        <v>OK</v>
      </c>
      <c r="T641" s="22" t="s">
        <v>24</v>
      </c>
      <c r="U641" s="22" t="s">
        <v>41</v>
      </c>
      <c r="V641" s="22"/>
    </row>
    <row r="642" spans="1:22" ht="41.4">
      <c r="A642" s="22" t="s">
        <v>672</v>
      </c>
      <c r="B642" s="25">
        <v>45803</v>
      </c>
      <c r="C642" s="22" t="s">
        <v>17</v>
      </c>
      <c r="D642" s="22" t="s">
        <v>18</v>
      </c>
      <c r="E642" s="22" t="s">
        <v>24</v>
      </c>
      <c r="F642" s="22" t="s">
        <v>41</v>
      </c>
      <c r="G642" s="22" t="s">
        <v>26</v>
      </c>
      <c r="H642" s="22">
        <v>1</v>
      </c>
      <c r="I642" s="22">
        <v>0</v>
      </c>
      <c r="J642" s="22">
        <v>0</v>
      </c>
      <c r="K642" s="22">
        <v>0</v>
      </c>
      <c r="L642" s="22">
        <v>0</v>
      </c>
      <c r="M642" s="22">
        <v>0</v>
      </c>
      <c r="N642" s="22">
        <v>0</v>
      </c>
      <c r="O642" s="22"/>
      <c r="P642" s="22">
        <v>52.7</v>
      </c>
      <c r="Q642" s="22" t="str">
        <f>IF(OR(L642&lt;$Y$18,L642&gt;$Y$19),"Outlier","Normal")</f>
        <v>Normal</v>
      </c>
      <c r="R642" s="26" t="str">
        <f>A642&amp;B642&amp;C642&amp;D642&amp;E642&amp;F642&amp;G642&amp;H642&amp;I642&amp;J642&amp;K642&amp;L642&amp;M642&amp;N642&amp;O642&amp;P642</f>
        <v>USR-10064145803ControlNorthMobileSocialFree100000052.7</v>
      </c>
      <c r="S642" s="22" t="str">
        <f>IF(COUNTIF($R$2:$R$1409,R642)=1,"OK",IF(COUNTIF($R$2:$R$1409,R642)&gt;1,"Exact Duplicate","Review Required"))</f>
        <v>OK</v>
      </c>
      <c r="T642" s="22" t="s">
        <v>24</v>
      </c>
      <c r="U642" s="22" t="s">
        <v>41</v>
      </c>
      <c r="V642" s="22"/>
    </row>
    <row r="643" spans="1:22" ht="41.4">
      <c r="A643" s="22" t="s">
        <v>673</v>
      </c>
      <c r="B643" s="25">
        <v>45700</v>
      </c>
      <c r="C643" s="22" t="s">
        <v>17</v>
      </c>
      <c r="D643" s="22" t="s">
        <v>18</v>
      </c>
      <c r="E643" s="22" t="s">
        <v>24</v>
      </c>
      <c r="F643" s="22" t="s">
        <v>25</v>
      </c>
      <c r="G643" s="22" t="s">
        <v>26</v>
      </c>
      <c r="H643" s="22">
        <v>1</v>
      </c>
      <c r="I643" s="22">
        <v>0</v>
      </c>
      <c r="J643" s="22">
        <v>0</v>
      </c>
      <c r="K643" s="22">
        <v>0</v>
      </c>
      <c r="L643" s="22">
        <v>0</v>
      </c>
      <c r="M643" s="22">
        <v>0</v>
      </c>
      <c r="N643" s="22">
        <v>0</v>
      </c>
      <c r="O643" s="22"/>
      <c r="P643" s="22">
        <v>51.7</v>
      </c>
      <c r="Q643" s="22" t="str">
        <f>IF(OR(L643&lt;$Y$18,L643&gt;$Y$19),"Outlier","Normal")</f>
        <v>Normal</v>
      </c>
      <c r="R643" s="26" t="str">
        <f>A643&amp;B643&amp;C643&amp;D643&amp;E643&amp;F643&amp;G643&amp;H643&amp;I643&amp;J643&amp;K643&amp;L643&amp;M643&amp;N643&amp;O643&amp;P643</f>
        <v>USR-10064245700ControlNorthMobileOrganicFree100000051.7</v>
      </c>
      <c r="S643" s="22" t="str">
        <f>IF(COUNTIF($R$2:$R$1409,R643)=1,"OK",IF(COUNTIF($R$2:$R$1409,R643)&gt;1,"Exact Duplicate","Review Required"))</f>
        <v>OK</v>
      </c>
      <c r="T643" s="22" t="s">
        <v>24</v>
      </c>
      <c r="U643" s="22" t="s">
        <v>25</v>
      </c>
      <c r="V643" s="22"/>
    </row>
    <row r="644" spans="1:22" ht="41.4">
      <c r="A644" s="22" t="s">
        <v>674</v>
      </c>
      <c r="B644" s="25">
        <v>45748</v>
      </c>
      <c r="C644" s="22" t="s">
        <v>17</v>
      </c>
      <c r="D644" s="22" t="s">
        <v>18</v>
      </c>
      <c r="E644" s="22" t="s">
        <v>19</v>
      </c>
      <c r="F644" s="22" t="s">
        <v>20</v>
      </c>
      <c r="G644" s="22" t="s">
        <v>21</v>
      </c>
      <c r="H644" s="22">
        <v>0</v>
      </c>
      <c r="I644" s="22">
        <v>0</v>
      </c>
      <c r="J644" s="22">
        <v>0</v>
      </c>
      <c r="K644" s="22">
        <v>0</v>
      </c>
      <c r="L644" s="22">
        <v>0</v>
      </c>
      <c r="M644" s="22">
        <v>0</v>
      </c>
      <c r="N644" s="22">
        <v>0</v>
      </c>
      <c r="O644" s="22"/>
      <c r="P644" s="22">
        <v>57</v>
      </c>
      <c r="Q644" s="22" t="str">
        <f>IF(OR(L644&lt;$Y$18,L644&gt;$Y$19),"Outlier","Normal")</f>
        <v>Normal</v>
      </c>
      <c r="R644" s="26" t="str">
        <f>A644&amp;B644&amp;C644&amp;D644&amp;E644&amp;F644&amp;G644&amp;H644&amp;I644&amp;J644&amp;K644&amp;L644&amp;M644&amp;N644&amp;O644&amp;P644</f>
        <v>USR-10064345748ControlNorthDesktopEmailBasic000000057</v>
      </c>
      <c r="S644" s="22" t="str">
        <f>IF(COUNTIF($R$2:$R$1409,R644)=1,"OK",IF(COUNTIF($R$2:$R$1409,R644)&gt;1,"Exact Duplicate","Review Required"))</f>
        <v>OK</v>
      </c>
      <c r="T644" s="22" t="s">
        <v>19</v>
      </c>
      <c r="U644" s="22" t="s">
        <v>20</v>
      </c>
      <c r="V644" s="22"/>
    </row>
    <row r="645" spans="1:22" ht="41.4">
      <c r="A645" s="22" t="s">
        <v>675</v>
      </c>
      <c r="B645" s="25">
        <v>45675</v>
      </c>
      <c r="C645" s="22" t="s">
        <v>17</v>
      </c>
      <c r="D645" s="22" t="s">
        <v>32</v>
      </c>
      <c r="E645" s="22" t="s">
        <v>19</v>
      </c>
      <c r="F645" s="22" t="s">
        <v>25</v>
      </c>
      <c r="G645" s="22" t="s">
        <v>21</v>
      </c>
      <c r="H645" s="22">
        <v>0</v>
      </c>
      <c r="I645" s="22">
        <v>0</v>
      </c>
      <c r="J645" s="22">
        <v>0</v>
      </c>
      <c r="K645" s="22">
        <v>0</v>
      </c>
      <c r="L645" s="22">
        <v>0</v>
      </c>
      <c r="M645" s="22">
        <v>0</v>
      </c>
      <c r="N645" s="22">
        <v>0</v>
      </c>
      <c r="O645" s="22"/>
      <c r="P645" s="22">
        <v>39.5</v>
      </c>
      <c r="Q645" s="22" t="str">
        <f>IF(OR(L645&lt;$Y$18,L645&gt;$Y$19),"Outlier","Normal")</f>
        <v>Normal</v>
      </c>
      <c r="R645" s="26" t="str">
        <f>A645&amp;B645&amp;C645&amp;D645&amp;E645&amp;F645&amp;G645&amp;H645&amp;I645&amp;J645&amp;K645&amp;L645&amp;M645&amp;N645&amp;O645&amp;P645</f>
        <v>USR-10064445675ControlSouthDesktopOrganicBasic000000039.5</v>
      </c>
      <c r="S645" s="22" t="str">
        <f>IF(COUNTIF($R$2:$R$1409,R645)=1,"OK",IF(COUNTIF($R$2:$R$1409,R645)&gt;1,"Exact Duplicate","Review Required"))</f>
        <v>OK</v>
      </c>
      <c r="T645" s="22" t="s">
        <v>19</v>
      </c>
      <c r="U645" s="22" t="s">
        <v>25</v>
      </c>
      <c r="V645" s="22"/>
    </row>
    <row r="646" spans="1:22" ht="41.4">
      <c r="A646" s="22" t="s">
        <v>676</v>
      </c>
      <c r="B646" s="25">
        <v>45753</v>
      </c>
      <c r="C646" s="22" t="s">
        <v>17</v>
      </c>
      <c r="D646" s="22" t="s">
        <v>28</v>
      </c>
      <c r="E646" s="22" t="s">
        <v>34</v>
      </c>
      <c r="F646" s="22" t="s">
        <v>25</v>
      </c>
      <c r="G646" s="22" t="s">
        <v>26</v>
      </c>
      <c r="H646" s="22">
        <v>1</v>
      </c>
      <c r="I646" s="22">
        <v>0</v>
      </c>
      <c r="J646" s="22">
        <v>0</v>
      </c>
      <c r="K646" s="22">
        <v>0</v>
      </c>
      <c r="L646" s="22">
        <v>0</v>
      </c>
      <c r="M646" s="22">
        <v>0</v>
      </c>
      <c r="N646" s="22">
        <v>0</v>
      </c>
      <c r="O646" s="22"/>
      <c r="P646" s="22">
        <v>76.5</v>
      </c>
      <c r="Q646" s="22" t="str">
        <f>IF(OR(L646&lt;$Y$18,L646&gt;$Y$19),"Outlier","Normal")</f>
        <v>Normal</v>
      </c>
      <c r="R646" s="26" t="str">
        <f>A646&amp;B646&amp;C646&amp;D646&amp;E646&amp;F646&amp;G646&amp;H646&amp;I646&amp;J646&amp;K646&amp;L646&amp;M646&amp;N646&amp;O646&amp;P646</f>
        <v>USR-10064545753ControlEastTabletOrganicFree100000076.5</v>
      </c>
      <c r="S646" s="22" t="str">
        <f>IF(COUNTIF($R$2:$R$1409,R646)=1,"OK",IF(COUNTIF($R$2:$R$1409,R646)&gt;1,"Exact Duplicate","Review Required"))</f>
        <v>OK</v>
      </c>
      <c r="T646" s="22" t="s">
        <v>34</v>
      </c>
      <c r="U646" s="22" t="s">
        <v>25</v>
      </c>
      <c r="V646" s="22"/>
    </row>
    <row r="647" spans="1:22" ht="41.4">
      <c r="A647" s="22" t="s">
        <v>677</v>
      </c>
      <c r="B647" s="25">
        <v>45764</v>
      </c>
      <c r="C647" s="22" t="s">
        <v>17</v>
      </c>
      <c r="D647" s="22" t="s">
        <v>28</v>
      </c>
      <c r="E647" s="22" t="s">
        <v>24</v>
      </c>
      <c r="F647" s="22" t="s">
        <v>25</v>
      </c>
      <c r="G647" s="22" t="s">
        <v>26</v>
      </c>
      <c r="H647" s="22">
        <v>1</v>
      </c>
      <c r="I647" s="22">
        <v>0</v>
      </c>
      <c r="J647" s="22">
        <v>0</v>
      </c>
      <c r="K647" s="22">
        <v>0</v>
      </c>
      <c r="L647" s="22">
        <v>0</v>
      </c>
      <c r="M647" s="22">
        <v>0</v>
      </c>
      <c r="N647" s="22">
        <v>0</v>
      </c>
      <c r="O647" s="22"/>
      <c r="P647" s="22">
        <v>32.4</v>
      </c>
      <c r="Q647" s="22" t="str">
        <f>IF(OR(L647&lt;$Y$18,L647&gt;$Y$19),"Outlier","Normal")</f>
        <v>Normal</v>
      </c>
      <c r="R647" s="26" t="str">
        <f>A647&amp;B647&amp;C647&amp;D647&amp;E647&amp;F647&amp;G647&amp;H647&amp;I647&amp;J647&amp;K647&amp;L647&amp;M647&amp;N647&amp;O647&amp;P647</f>
        <v>USR-10064645764ControlEastMobileOrganicFree100000032.4</v>
      </c>
      <c r="S647" s="22" t="str">
        <f>IF(COUNTIF($R$2:$R$1409,R647)=1,"OK",IF(COUNTIF($R$2:$R$1409,R647)&gt;1,"Exact Duplicate","Review Required"))</f>
        <v>OK</v>
      </c>
      <c r="T647" s="22" t="s">
        <v>24</v>
      </c>
      <c r="U647" s="22" t="s">
        <v>25</v>
      </c>
      <c r="V647" s="22"/>
    </row>
    <row r="648" spans="1:22" ht="41.4">
      <c r="A648" s="22" t="s">
        <v>678</v>
      </c>
      <c r="B648" s="25">
        <v>45695</v>
      </c>
      <c r="C648" s="22" t="s">
        <v>17</v>
      </c>
      <c r="D648" s="22" t="s">
        <v>18</v>
      </c>
      <c r="E648" s="22" t="s">
        <v>19</v>
      </c>
      <c r="F648" s="22" t="s">
        <v>29</v>
      </c>
      <c r="G648" s="22" t="s">
        <v>26</v>
      </c>
      <c r="H648" s="22">
        <v>0</v>
      </c>
      <c r="I648" s="22">
        <v>0</v>
      </c>
      <c r="J648" s="22">
        <v>0</v>
      </c>
      <c r="K648" s="22">
        <v>0</v>
      </c>
      <c r="L648" s="22">
        <v>0</v>
      </c>
      <c r="M648" s="22">
        <v>0</v>
      </c>
      <c r="N648" s="22">
        <v>0</v>
      </c>
      <c r="O648" s="22"/>
      <c r="P648" s="22">
        <v>58.6</v>
      </c>
      <c r="Q648" s="22" t="str">
        <f>IF(OR(L648&lt;$Y$18,L648&gt;$Y$19),"Outlier","Normal")</f>
        <v>Normal</v>
      </c>
      <c r="R648" s="26" t="str">
        <f>A648&amp;B648&amp;C648&amp;D648&amp;E648&amp;F648&amp;G648&amp;H648&amp;I648&amp;J648&amp;K648&amp;L648&amp;M648&amp;N648&amp;O648&amp;P648</f>
        <v>USR-10064745695ControlNorthDesktopPaid SearchFree000000058.6</v>
      </c>
      <c r="S648" s="22" t="str">
        <f>IF(COUNTIF($R$2:$R$1409,R648)=1,"OK",IF(COUNTIF($R$2:$R$1409,R648)&gt;1,"Exact Duplicate","Review Required"))</f>
        <v>OK</v>
      </c>
      <c r="T648" s="22" t="s">
        <v>19</v>
      </c>
      <c r="U648" s="22" t="s">
        <v>29</v>
      </c>
      <c r="V648" s="22"/>
    </row>
    <row r="649" spans="1:22" ht="41.4">
      <c r="A649" s="22" t="s">
        <v>679</v>
      </c>
      <c r="B649" s="25">
        <v>45720</v>
      </c>
      <c r="C649" s="22" t="s">
        <v>17</v>
      </c>
      <c r="D649" s="22" t="s">
        <v>28</v>
      </c>
      <c r="E649" s="22" t="s">
        <v>24</v>
      </c>
      <c r="F649" s="22" t="s">
        <v>25</v>
      </c>
      <c r="G649" s="22" t="s">
        <v>21</v>
      </c>
      <c r="H649" s="22">
        <v>1</v>
      </c>
      <c r="I649" s="22">
        <v>0</v>
      </c>
      <c r="J649" s="22">
        <v>0</v>
      </c>
      <c r="K649" s="22">
        <v>0</v>
      </c>
      <c r="L649" s="22">
        <v>0</v>
      </c>
      <c r="M649" s="22">
        <v>0</v>
      </c>
      <c r="N649" s="22">
        <v>0</v>
      </c>
      <c r="O649" s="22"/>
      <c r="P649" s="22">
        <v>78.599999999999994</v>
      </c>
      <c r="Q649" s="22" t="str">
        <f>IF(OR(L649&lt;$Y$18,L649&gt;$Y$19),"Outlier","Normal")</f>
        <v>Normal</v>
      </c>
      <c r="R649" s="26" t="str">
        <f>A649&amp;B649&amp;C649&amp;D649&amp;E649&amp;F649&amp;G649&amp;H649&amp;I649&amp;J649&amp;K649&amp;L649&amp;M649&amp;N649&amp;O649&amp;P649</f>
        <v>USR-10064845720ControlEastMobileOrganicBasic100000078.6</v>
      </c>
      <c r="S649" s="22" t="str">
        <f>IF(COUNTIF($R$2:$R$1409,R649)=1,"OK",IF(COUNTIF($R$2:$R$1409,R649)&gt;1,"Exact Duplicate","Review Required"))</f>
        <v>OK</v>
      </c>
      <c r="T649" s="22" t="s">
        <v>24</v>
      </c>
      <c r="U649" s="22" t="s">
        <v>25</v>
      </c>
      <c r="V649" s="22"/>
    </row>
    <row r="650" spans="1:22" ht="41.4">
      <c r="A650" s="22" t="s">
        <v>680</v>
      </c>
      <c r="B650" s="25">
        <v>45705</v>
      </c>
      <c r="C650" s="22" t="s">
        <v>17</v>
      </c>
      <c r="D650" s="22" t="s">
        <v>18</v>
      </c>
      <c r="E650" s="22" t="s">
        <v>19</v>
      </c>
      <c r="F650" s="22" t="s">
        <v>25</v>
      </c>
      <c r="G650" s="22" t="s">
        <v>30</v>
      </c>
      <c r="H650" s="22">
        <v>0</v>
      </c>
      <c r="I650" s="22">
        <v>0</v>
      </c>
      <c r="J650" s="22">
        <v>0</v>
      </c>
      <c r="K650" s="22">
        <v>0</v>
      </c>
      <c r="L650" s="22">
        <v>0</v>
      </c>
      <c r="M650" s="22">
        <v>0</v>
      </c>
      <c r="N650" s="22">
        <v>0</v>
      </c>
      <c r="O650" s="22"/>
      <c r="P650" s="22">
        <v>54.5</v>
      </c>
      <c r="Q650" s="22" t="str">
        <f>IF(OR(L650&lt;$Y$18,L650&gt;$Y$19),"Outlier","Normal")</f>
        <v>Normal</v>
      </c>
      <c r="R650" s="26" t="str">
        <f>A650&amp;B650&amp;C650&amp;D650&amp;E650&amp;F650&amp;G650&amp;H650&amp;I650&amp;J650&amp;K650&amp;L650&amp;M650&amp;N650&amp;O650&amp;P650</f>
        <v>USR-10064945705ControlNorthDesktopOrganicPremium000000054.5</v>
      </c>
      <c r="S650" s="22" t="str">
        <f>IF(COUNTIF($R$2:$R$1409,R650)=1,"OK",IF(COUNTIF($R$2:$R$1409,R650)&gt;1,"Exact Duplicate","Review Required"))</f>
        <v>OK</v>
      </c>
      <c r="T650" s="22" t="s">
        <v>19</v>
      </c>
      <c r="U650" s="22" t="s">
        <v>25</v>
      </c>
      <c r="V650" s="22"/>
    </row>
    <row r="651" spans="1:22" ht="41.4">
      <c r="A651" s="22" t="s">
        <v>681</v>
      </c>
      <c r="B651" s="25">
        <v>45783</v>
      </c>
      <c r="C651" s="22" t="s">
        <v>17</v>
      </c>
      <c r="D651" s="22" t="s">
        <v>32</v>
      </c>
      <c r="E651" s="22" t="s">
        <v>24</v>
      </c>
      <c r="F651" s="22" t="s">
        <v>39</v>
      </c>
      <c r="G651" s="22" t="s">
        <v>26</v>
      </c>
      <c r="H651" s="22">
        <v>1</v>
      </c>
      <c r="I651" s="22">
        <v>0</v>
      </c>
      <c r="J651" s="22">
        <v>0</v>
      </c>
      <c r="K651" s="22">
        <v>0</v>
      </c>
      <c r="L651" s="22">
        <v>0</v>
      </c>
      <c r="M651" s="22">
        <v>0</v>
      </c>
      <c r="N651" s="22">
        <v>0</v>
      </c>
      <c r="O651" s="22"/>
      <c r="P651" s="22">
        <v>57.6</v>
      </c>
      <c r="Q651" s="22" t="str">
        <f>IF(OR(L651&lt;$Y$18,L651&gt;$Y$19),"Outlier","Normal")</f>
        <v>Normal</v>
      </c>
      <c r="R651" s="26" t="str">
        <f>A651&amp;B651&amp;C651&amp;D651&amp;E651&amp;F651&amp;G651&amp;H651&amp;I651&amp;J651&amp;K651&amp;L651&amp;M651&amp;N651&amp;O651&amp;P651</f>
        <v>USR-10065045783ControlSouthMobileReferralFree100000057.6</v>
      </c>
      <c r="S651" s="22" t="str">
        <f>IF(COUNTIF($R$2:$R$1409,R651)=1,"OK",IF(COUNTIF($R$2:$R$1409,R651)&gt;1,"Exact Duplicate","Review Required"))</f>
        <v>OK</v>
      </c>
      <c r="T651" s="22" t="s">
        <v>24</v>
      </c>
      <c r="U651" s="22" t="s">
        <v>39</v>
      </c>
      <c r="V651" s="22"/>
    </row>
    <row r="652" spans="1:22" ht="41.4">
      <c r="A652" s="22" t="s">
        <v>682</v>
      </c>
      <c r="B652" s="25">
        <v>45741</v>
      </c>
      <c r="C652" s="22" t="s">
        <v>17</v>
      </c>
      <c r="D652" s="22" t="s">
        <v>32</v>
      </c>
      <c r="E652" s="22" t="s">
        <v>24</v>
      </c>
      <c r="F652" s="22" t="s">
        <v>39</v>
      </c>
      <c r="G652" s="22" t="s">
        <v>30</v>
      </c>
      <c r="H652" s="22">
        <v>0</v>
      </c>
      <c r="I652" s="22">
        <v>0</v>
      </c>
      <c r="J652" s="22">
        <v>0</v>
      </c>
      <c r="K652" s="22">
        <v>0</v>
      </c>
      <c r="L652" s="22">
        <v>0</v>
      </c>
      <c r="M652" s="22">
        <v>0</v>
      </c>
      <c r="N652" s="22">
        <v>0</v>
      </c>
      <c r="O652" s="22"/>
      <c r="P652" s="22">
        <v>52.8</v>
      </c>
      <c r="Q652" s="22" t="str">
        <f>IF(OR(L652&lt;$Y$18,L652&gt;$Y$19),"Outlier","Normal")</f>
        <v>Normal</v>
      </c>
      <c r="R652" s="26" t="str">
        <f>A652&amp;B652&amp;C652&amp;D652&amp;E652&amp;F652&amp;G652&amp;H652&amp;I652&amp;J652&amp;K652&amp;L652&amp;M652&amp;N652&amp;O652&amp;P652</f>
        <v>USR-10065145741ControlSouthMobileReferralPremium000000052.8</v>
      </c>
      <c r="S652" s="22" t="str">
        <f>IF(COUNTIF($R$2:$R$1409,R652)=1,"OK",IF(COUNTIF($R$2:$R$1409,R652)&gt;1,"Exact Duplicate","Review Required"))</f>
        <v>OK</v>
      </c>
      <c r="T652" s="22" t="s">
        <v>24</v>
      </c>
      <c r="U652" s="22" t="s">
        <v>39</v>
      </c>
      <c r="V652" s="22"/>
    </row>
    <row r="653" spans="1:22" ht="41.4">
      <c r="A653" s="22" t="s">
        <v>683</v>
      </c>
      <c r="B653" s="25">
        <v>45720</v>
      </c>
      <c r="C653" s="22" t="s">
        <v>17</v>
      </c>
      <c r="D653" s="22" t="s">
        <v>23</v>
      </c>
      <c r="E653" s="22" t="s">
        <v>24</v>
      </c>
      <c r="F653" s="22" t="s">
        <v>20</v>
      </c>
      <c r="G653" s="22" t="s">
        <v>30</v>
      </c>
      <c r="H653" s="22">
        <v>1</v>
      </c>
      <c r="I653" s="22">
        <v>0</v>
      </c>
      <c r="J653" s="22">
        <v>0</v>
      </c>
      <c r="K653" s="22">
        <v>0</v>
      </c>
      <c r="L653" s="22">
        <v>0</v>
      </c>
      <c r="M653" s="22">
        <v>0</v>
      </c>
      <c r="N653" s="22">
        <v>0</v>
      </c>
      <c r="O653" s="22"/>
      <c r="P653" s="22">
        <v>52.9</v>
      </c>
      <c r="Q653" s="22" t="str">
        <f>IF(OR(L653&lt;$Y$18,L653&gt;$Y$19),"Outlier","Normal")</f>
        <v>Normal</v>
      </c>
      <c r="R653" s="26" t="str">
        <f>A653&amp;B653&amp;C653&amp;D653&amp;E653&amp;F653&amp;G653&amp;H653&amp;I653&amp;J653&amp;K653&amp;L653&amp;M653&amp;N653&amp;O653&amp;P653</f>
        <v>USR-10065245720ControlWestMobileEmailPremium100000052.9</v>
      </c>
      <c r="S653" s="22" t="str">
        <f>IF(COUNTIF($R$2:$R$1409,R653)=1,"OK",IF(COUNTIF($R$2:$R$1409,R653)&gt;1,"Exact Duplicate","Review Required"))</f>
        <v>OK</v>
      </c>
      <c r="T653" s="22" t="s">
        <v>24</v>
      </c>
      <c r="U653" s="22" t="s">
        <v>20</v>
      </c>
      <c r="V653" s="22"/>
    </row>
    <row r="654" spans="1:22" ht="41.4">
      <c r="A654" s="22" t="s">
        <v>684</v>
      </c>
      <c r="B654" s="25">
        <v>45786</v>
      </c>
      <c r="C654" s="22" t="s">
        <v>17</v>
      </c>
      <c r="D654" s="22" t="s">
        <v>23</v>
      </c>
      <c r="E654" s="22" t="s">
        <v>24</v>
      </c>
      <c r="F654" s="22" t="s">
        <v>25</v>
      </c>
      <c r="G654" s="22" t="s">
        <v>26</v>
      </c>
      <c r="H654" s="22">
        <v>1</v>
      </c>
      <c r="I654" s="22">
        <v>0</v>
      </c>
      <c r="J654" s="22">
        <v>0</v>
      </c>
      <c r="K654" s="22">
        <v>0</v>
      </c>
      <c r="L654" s="22">
        <v>0</v>
      </c>
      <c r="M654" s="22">
        <v>1</v>
      </c>
      <c r="N654" s="22">
        <v>0</v>
      </c>
      <c r="O654" s="22"/>
      <c r="P654" s="22">
        <v>55.9</v>
      </c>
      <c r="Q654" s="22" t="str">
        <f>IF(OR(L654&lt;$Y$18,L654&gt;$Y$19),"Outlier","Normal")</f>
        <v>Normal</v>
      </c>
      <c r="R654" s="26" t="str">
        <f>A654&amp;B654&amp;C654&amp;D654&amp;E654&amp;F654&amp;G654&amp;H654&amp;I654&amp;J654&amp;K654&amp;L654&amp;M654&amp;N654&amp;O654&amp;P654</f>
        <v>USR-10065345786ControlWestMobileOrganicFree100001055.9</v>
      </c>
      <c r="S654" s="22" t="str">
        <f>IF(COUNTIF($R$2:$R$1409,R654)=1,"OK",IF(COUNTIF($R$2:$R$1409,R654)&gt;1,"Exact Duplicate","Review Required"))</f>
        <v>OK</v>
      </c>
      <c r="T654" s="22" t="s">
        <v>24</v>
      </c>
      <c r="U654" s="22" t="s">
        <v>25</v>
      </c>
      <c r="V654" s="22"/>
    </row>
    <row r="655" spans="1:22" ht="41.4">
      <c r="A655" s="22" t="s">
        <v>685</v>
      </c>
      <c r="B655" s="25">
        <v>45794</v>
      </c>
      <c r="C655" s="22" t="s">
        <v>17</v>
      </c>
      <c r="D655" s="22" t="s">
        <v>23</v>
      </c>
      <c r="E655" s="22" t="s">
        <v>24</v>
      </c>
      <c r="F655" s="22" t="s">
        <v>39</v>
      </c>
      <c r="G655" s="22" t="s">
        <v>30</v>
      </c>
      <c r="H655" s="22">
        <v>1</v>
      </c>
      <c r="I655" s="22">
        <v>0</v>
      </c>
      <c r="J655" s="22">
        <v>0</v>
      </c>
      <c r="K655" s="22">
        <v>0</v>
      </c>
      <c r="L655" s="22">
        <v>0</v>
      </c>
      <c r="M655" s="22">
        <v>0</v>
      </c>
      <c r="N655" s="22">
        <v>0</v>
      </c>
      <c r="O655" s="22"/>
      <c r="P655" s="22">
        <v>74.2</v>
      </c>
      <c r="Q655" s="22" t="str">
        <f>IF(OR(L655&lt;$Y$18,L655&gt;$Y$19),"Outlier","Normal")</f>
        <v>Normal</v>
      </c>
      <c r="R655" s="26" t="str">
        <f>A655&amp;B655&amp;C655&amp;D655&amp;E655&amp;F655&amp;G655&amp;H655&amp;I655&amp;J655&amp;K655&amp;L655&amp;M655&amp;N655&amp;O655&amp;P655</f>
        <v>USR-10065445794ControlWestMobileReferralPremium100000074.2</v>
      </c>
      <c r="S655" s="22" t="str">
        <f>IF(COUNTIF($R$2:$R$1409,R655)=1,"OK",IF(COUNTIF($R$2:$R$1409,R655)&gt;1,"Exact Duplicate","Review Required"))</f>
        <v>OK</v>
      </c>
      <c r="T655" s="22" t="s">
        <v>24</v>
      </c>
      <c r="U655" s="22" t="s">
        <v>39</v>
      </c>
      <c r="V655" s="22"/>
    </row>
    <row r="656" spans="1:22" ht="41.4">
      <c r="A656" s="22" t="s">
        <v>686</v>
      </c>
      <c r="B656" s="25">
        <v>45669</v>
      </c>
      <c r="C656" s="22" t="s">
        <v>17</v>
      </c>
      <c r="D656" s="22" t="s">
        <v>23</v>
      </c>
      <c r="E656" s="22" t="s">
        <v>24</v>
      </c>
      <c r="F656" s="22" t="s">
        <v>25</v>
      </c>
      <c r="G656" s="22" t="s">
        <v>26</v>
      </c>
      <c r="H656" s="22">
        <v>0</v>
      </c>
      <c r="I656" s="22">
        <v>0</v>
      </c>
      <c r="J656" s="22">
        <v>0</v>
      </c>
      <c r="K656" s="22">
        <v>0</v>
      </c>
      <c r="L656" s="22">
        <v>0</v>
      </c>
      <c r="M656" s="22">
        <v>0</v>
      </c>
      <c r="N656" s="22">
        <v>0</v>
      </c>
      <c r="O656" s="22"/>
      <c r="P656" s="22">
        <v>46.3</v>
      </c>
      <c r="Q656" s="22" t="str">
        <f>IF(OR(L656&lt;$Y$18,L656&gt;$Y$19),"Outlier","Normal")</f>
        <v>Normal</v>
      </c>
      <c r="R656" s="26" t="str">
        <f>A656&amp;B656&amp;C656&amp;D656&amp;E656&amp;F656&amp;G656&amp;H656&amp;I656&amp;J656&amp;K656&amp;L656&amp;M656&amp;N656&amp;O656&amp;P656</f>
        <v>USR-10065545669ControlWestMobileOrganicFree000000046.3</v>
      </c>
      <c r="S656" s="22" t="str">
        <f>IF(COUNTIF($R$2:$R$1409,R656)=1,"OK",IF(COUNTIF($R$2:$R$1409,R656)&gt;1,"Exact Duplicate","Review Required"))</f>
        <v>OK</v>
      </c>
      <c r="T656" s="22" t="s">
        <v>24</v>
      </c>
      <c r="U656" s="22" t="s">
        <v>25</v>
      </c>
      <c r="V656" s="22"/>
    </row>
    <row r="657" spans="1:22" ht="41.4">
      <c r="A657" s="22" t="s">
        <v>687</v>
      </c>
      <c r="B657" s="25">
        <v>45728</v>
      </c>
      <c r="C657" s="22" t="s">
        <v>17</v>
      </c>
      <c r="D657" s="22" t="s">
        <v>23</v>
      </c>
      <c r="E657" s="22" t="s">
        <v>24</v>
      </c>
      <c r="F657" s="22" t="s">
        <v>25</v>
      </c>
      <c r="G657" s="22" t="s">
        <v>30</v>
      </c>
      <c r="H657" s="22">
        <v>1</v>
      </c>
      <c r="I657" s="22">
        <v>0</v>
      </c>
      <c r="J657" s="22">
        <v>0</v>
      </c>
      <c r="K657" s="22">
        <v>0</v>
      </c>
      <c r="L657" s="22">
        <v>0</v>
      </c>
      <c r="M657" s="22">
        <v>0</v>
      </c>
      <c r="N657" s="22">
        <v>0</v>
      </c>
      <c r="O657" s="22"/>
      <c r="P657" s="22">
        <v>62</v>
      </c>
      <c r="Q657" s="22" t="str">
        <f>IF(OR(L657&lt;$Y$18,L657&gt;$Y$19),"Outlier","Normal")</f>
        <v>Normal</v>
      </c>
      <c r="R657" s="26" t="str">
        <f>A657&amp;B657&amp;C657&amp;D657&amp;E657&amp;F657&amp;G657&amp;H657&amp;I657&amp;J657&amp;K657&amp;L657&amp;M657&amp;N657&amp;O657&amp;P657</f>
        <v>USR-10065645728ControlWestMobileOrganicPremium100000062</v>
      </c>
      <c r="S657" s="22" t="str">
        <f>IF(COUNTIF($R$2:$R$1409,R657)=1,"OK",IF(COUNTIF($R$2:$R$1409,R657)&gt;1,"Exact Duplicate","Review Required"))</f>
        <v>OK</v>
      </c>
      <c r="T657" s="22" t="s">
        <v>24</v>
      </c>
      <c r="U657" s="22" t="s">
        <v>25</v>
      </c>
      <c r="V657" s="22"/>
    </row>
    <row r="658" spans="1:22" ht="41.4">
      <c r="A658" s="22" t="s">
        <v>688</v>
      </c>
      <c r="B658" s="25">
        <v>45749</v>
      </c>
      <c r="C658" s="22" t="s">
        <v>17</v>
      </c>
      <c r="D658" s="22" t="s">
        <v>32</v>
      </c>
      <c r="E658" s="22" t="s">
        <v>24</v>
      </c>
      <c r="F658" s="22" t="s">
        <v>25</v>
      </c>
      <c r="G658" s="22" t="s">
        <v>21</v>
      </c>
      <c r="H658" s="22">
        <v>0</v>
      </c>
      <c r="I658" s="22">
        <v>0</v>
      </c>
      <c r="J658" s="22">
        <v>0</v>
      </c>
      <c r="K658" s="22">
        <v>0</v>
      </c>
      <c r="L658" s="22">
        <v>0</v>
      </c>
      <c r="M658" s="22">
        <v>0</v>
      </c>
      <c r="N658" s="22">
        <v>0</v>
      </c>
      <c r="O658" s="22"/>
      <c r="P658" s="22">
        <v>55.6</v>
      </c>
      <c r="Q658" s="22" t="str">
        <f>IF(OR(L658&lt;$Y$18,L658&gt;$Y$19),"Outlier","Normal")</f>
        <v>Normal</v>
      </c>
      <c r="R658" s="26" t="str">
        <f>A658&amp;B658&amp;C658&amp;D658&amp;E658&amp;F658&amp;G658&amp;H658&amp;I658&amp;J658&amp;K658&amp;L658&amp;M658&amp;N658&amp;O658&amp;P658</f>
        <v>USR-10065745749ControlSouthMobileOrganicBasic000000055.6</v>
      </c>
      <c r="S658" s="22" t="str">
        <f>IF(COUNTIF($R$2:$R$1409,R658)=1,"OK",IF(COUNTIF($R$2:$R$1409,R658)&gt;1,"Exact Duplicate","Review Required"))</f>
        <v>OK</v>
      </c>
      <c r="T658" s="22" t="s">
        <v>24</v>
      </c>
      <c r="U658" s="22" t="s">
        <v>25</v>
      </c>
      <c r="V658" s="22"/>
    </row>
    <row r="659" spans="1:22" ht="41.4">
      <c r="A659" s="22" t="s">
        <v>689</v>
      </c>
      <c r="B659" s="25">
        <v>45670</v>
      </c>
      <c r="C659" s="22" t="s">
        <v>17</v>
      </c>
      <c r="D659" s="22" t="s">
        <v>32</v>
      </c>
      <c r="E659" s="22" t="s">
        <v>24</v>
      </c>
      <c r="F659" s="22" t="s">
        <v>25</v>
      </c>
      <c r="G659" s="22" t="s">
        <v>21</v>
      </c>
      <c r="H659" s="22">
        <v>1</v>
      </c>
      <c r="I659" s="22">
        <v>0</v>
      </c>
      <c r="J659" s="22">
        <v>0</v>
      </c>
      <c r="K659" s="22">
        <v>0</v>
      </c>
      <c r="L659" s="22">
        <v>0</v>
      </c>
      <c r="M659" s="22">
        <v>0</v>
      </c>
      <c r="N659" s="22">
        <v>0</v>
      </c>
      <c r="O659" s="22"/>
      <c r="P659" s="22">
        <v>62.8</v>
      </c>
      <c r="Q659" s="22" t="str">
        <f>IF(OR(L659&lt;$Y$18,L659&gt;$Y$19),"Outlier","Normal")</f>
        <v>Normal</v>
      </c>
      <c r="R659" s="26" t="str">
        <f>A659&amp;B659&amp;C659&amp;D659&amp;E659&amp;F659&amp;G659&amp;H659&amp;I659&amp;J659&amp;K659&amp;L659&amp;M659&amp;N659&amp;O659&amp;P659</f>
        <v>USR-10065845670ControlSouthMobileOrganicBasic100000062.8</v>
      </c>
      <c r="S659" s="22" t="str">
        <f>IF(COUNTIF($R$2:$R$1409,R659)=1,"OK",IF(COUNTIF($R$2:$R$1409,R659)&gt;1,"Exact Duplicate","Review Required"))</f>
        <v>OK</v>
      </c>
      <c r="T659" s="22" t="s">
        <v>24</v>
      </c>
      <c r="U659" s="22" t="s">
        <v>25</v>
      </c>
      <c r="V659" s="22"/>
    </row>
    <row r="660" spans="1:22" ht="41.4">
      <c r="A660" s="22" t="s">
        <v>690</v>
      </c>
      <c r="B660" s="25">
        <v>45723</v>
      </c>
      <c r="C660" s="22" t="s">
        <v>17</v>
      </c>
      <c r="D660" s="22" t="s">
        <v>28</v>
      </c>
      <c r="E660" s="22" t="s">
        <v>24</v>
      </c>
      <c r="F660" s="22" t="s">
        <v>39</v>
      </c>
      <c r="G660" s="22" t="s">
        <v>26</v>
      </c>
      <c r="H660" s="22">
        <v>0</v>
      </c>
      <c r="I660" s="22">
        <v>0</v>
      </c>
      <c r="J660" s="22">
        <v>0</v>
      </c>
      <c r="K660" s="22">
        <v>0</v>
      </c>
      <c r="L660" s="22">
        <v>0</v>
      </c>
      <c r="M660" s="22">
        <v>0</v>
      </c>
      <c r="N660" s="22">
        <v>0</v>
      </c>
      <c r="O660" s="22"/>
      <c r="P660" s="22">
        <v>73.099999999999994</v>
      </c>
      <c r="Q660" s="22" t="str">
        <f>IF(OR(L660&lt;$Y$18,L660&gt;$Y$19),"Outlier","Normal")</f>
        <v>Normal</v>
      </c>
      <c r="R660" s="26" t="str">
        <f>A660&amp;B660&amp;C660&amp;D660&amp;E660&amp;F660&amp;G660&amp;H660&amp;I660&amp;J660&amp;K660&amp;L660&amp;M660&amp;N660&amp;O660&amp;P660</f>
        <v>USR-10065945723ControlEastMobileReferralFree000000073.1</v>
      </c>
      <c r="S660" s="22" t="str">
        <f>IF(COUNTIF($R$2:$R$1409,R660)=1,"OK",IF(COUNTIF($R$2:$R$1409,R660)&gt;1,"Exact Duplicate","Review Required"))</f>
        <v>OK</v>
      </c>
      <c r="T660" s="22" t="s">
        <v>24</v>
      </c>
      <c r="U660" s="22" t="s">
        <v>39</v>
      </c>
      <c r="V660" s="22"/>
    </row>
    <row r="661" spans="1:22" ht="41.4">
      <c r="A661" s="22" t="s">
        <v>691</v>
      </c>
      <c r="B661" s="25">
        <v>45767</v>
      </c>
      <c r="C661" s="22" t="s">
        <v>17</v>
      </c>
      <c r="D661" s="22" t="s">
        <v>32</v>
      </c>
      <c r="E661" s="22" t="s">
        <v>19</v>
      </c>
      <c r="F661" s="22" t="s">
        <v>41</v>
      </c>
      <c r="G661" s="22" t="s">
        <v>26</v>
      </c>
      <c r="H661" s="22">
        <v>1</v>
      </c>
      <c r="I661" s="22">
        <v>1</v>
      </c>
      <c r="J661" s="22">
        <v>1</v>
      </c>
      <c r="K661" s="22">
        <v>1</v>
      </c>
      <c r="L661" s="22">
        <v>347.52</v>
      </c>
      <c r="M661" s="22">
        <v>0</v>
      </c>
      <c r="N661" s="22">
        <v>0</v>
      </c>
      <c r="O661" s="22">
        <v>2</v>
      </c>
      <c r="P661" s="22">
        <v>57.2</v>
      </c>
      <c r="Q661" s="22" t="str">
        <f>IF(OR(L661&lt;$Y$18,L661&gt;$Y$19),"Outlier","Normal")</f>
        <v>Normal</v>
      </c>
      <c r="R661" s="26" t="str">
        <f>A661&amp;B661&amp;C661&amp;D661&amp;E661&amp;F661&amp;G661&amp;H661&amp;I661&amp;J661&amp;K661&amp;L661&amp;M661&amp;N661&amp;O661&amp;P661</f>
        <v>USR-10066045767ControlSouthDesktopSocialFree1111347.5200257.2</v>
      </c>
      <c r="S661" s="22" t="str">
        <f>IF(COUNTIF($R$2:$R$1409,R661)=1,"OK",IF(COUNTIF($R$2:$R$1409,R661)&gt;1,"Exact Duplicate","Review Required"))</f>
        <v>OK</v>
      </c>
      <c r="T661" s="22" t="s">
        <v>19</v>
      </c>
      <c r="U661" s="22" t="s">
        <v>41</v>
      </c>
      <c r="V661" s="22"/>
    </row>
    <row r="662" spans="1:22" ht="41.4">
      <c r="A662" s="22" t="s">
        <v>692</v>
      </c>
      <c r="B662" s="25">
        <v>45664</v>
      </c>
      <c r="C662" s="22" t="s">
        <v>17</v>
      </c>
      <c r="D662" s="22" t="s">
        <v>32</v>
      </c>
      <c r="E662" s="22" t="s">
        <v>24</v>
      </c>
      <c r="F662" s="22" t="s">
        <v>29</v>
      </c>
      <c r="G662" s="22" t="s">
        <v>26</v>
      </c>
      <c r="H662" s="22">
        <v>1</v>
      </c>
      <c r="I662" s="22">
        <v>0</v>
      </c>
      <c r="J662" s="22">
        <v>0</v>
      </c>
      <c r="K662" s="22">
        <v>0</v>
      </c>
      <c r="L662" s="22">
        <v>0</v>
      </c>
      <c r="M662" s="22">
        <v>0</v>
      </c>
      <c r="N662" s="22">
        <v>0</v>
      </c>
      <c r="O662" s="22"/>
      <c r="P662" s="22">
        <v>67.900000000000006</v>
      </c>
      <c r="Q662" s="22" t="str">
        <f>IF(OR(L662&lt;$Y$18,L662&gt;$Y$19),"Outlier","Normal")</f>
        <v>Normal</v>
      </c>
      <c r="R662" s="26" t="str">
        <f>A662&amp;B662&amp;C662&amp;D662&amp;E662&amp;F662&amp;G662&amp;H662&amp;I662&amp;J662&amp;K662&amp;L662&amp;M662&amp;N662&amp;O662&amp;P662</f>
        <v>USR-10066145664ControlSouthMobilePaid SearchFree100000067.9</v>
      </c>
      <c r="S662" s="22" t="str">
        <f>IF(COUNTIF($R$2:$R$1409,R662)=1,"OK",IF(COUNTIF($R$2:$R$1409,R662)&gt;1,"Exact Duplicate","Review Required"))</f>
        <v>OK</v>
      </c>
      <c r="T662" s="22" t="s">
        <v>24</v>
      </c>
      <c r="U662" s="22" t="s">
        <v>29</v>
      </c>
      <c r="V662" s="22"/>
    </row>
    <row r="663" spans="1:22" ht="41.4">
      <c r="A663" s="22" t="s">
        <v>693</v>
      </c>
      <c r="B663" s="25">
        <v>45770</v>
      </c>
      <c r="C663" s="22" t="s">
        <v>17</v>
      </c>
      <c r="D663" s="22" t="s">
        <v>32</v>
      </c>
      <c r="E663" s="22" t="s">
        <v>24</v>
      </c>
      <c r="F663" s="22" t="s">
        <v>39</v>
      </c>
      <c r="G663" s="22" t="s">
        <v>26</v>
      </c>
      <c r="H663" s="22">
        <v>0</v>
      </c>
      <c r="I663" s="22">
        <v>0</v>
      </c>
      <c r="J663" s="22">
        <v>0</v>
      </c>
      <c r="K663" s="22">
        <v>0</v>
      </c>
      <c r="L663" s="22">
        <v>0</v>
      </c>
      <c r="M663" s="22">
        <v>0</v>
      </c>
      <c r="N663" s="22">
        <v>0</v>
      </c>
      <c r="O663" s="22"/>
      <c r="P663" s="22">
        <v>50.1</v>
      </c>
      <c r="Q663" s="22" t="str">
        <f>IF(OR(L663&lt;$Y$18,L663&gt;$Y$19),"Outlier","Normal")</f>
        <v>Normal</v>
      </c>
      <c r="R663" s="26" t="str">
        <f>A663&amp;B663&amp;C663&amp;D663&amp;E663&amp;F663&amp;G663&amp;H663&amp;I663&amp;J663&amp;K663&amp;L663&amp;M663&amp;N663&amp;O663&amp;P663</f>
        <v>USR-10066245770ControlSouthMobileReferralFree000000050.1</v>
      </c>
      <c r="S663" s="22" t="str">
        <f>IF(COUNTIF($R$2:$R$1409,R663)=1,"OK",IF(COUNTIF($R$2:$R$1409,R663)&gt;1,"Exact Duplicate","Review Required"))</f>
        <v>OK</v>
      </c>
      <c r="T663" s="22" t="s">
        <v>24</v>
      </c>
      <c r="U663" s="22" t="s">
        <v>39</v>
      </c>
      <c r="V663" s="22"/>
    </row>
    <row r="664" spans="1:22" ht="41.4">
      <c r="A664" s="22" t="s">
        <v>694</v>
      </c>
      <c r="B664" s="25">
        <v>45803</v>
      </c>
      <c r="C664" s="22" t="s">
        <v>17</v>
      </c>
      <c r="D664" s="22" t="s">
        <v>18</v>
      </c>
      <c r="E664" s="22" t="s">
        <v>24</v>
      </c>
      <c r="F664" s="22" t="s">
        <v>29</v>
      </c>
      <c r="G664" s="22" t="s">
        <v>21</v>
      </c>
      <c r="H664" s="22">
        <v>0</v>
      </c>
      <c r="I664" s="22">
        <v>0</v>
      </c>
      <c r="J664" s="22">
        <v>0</v>
      </c>
      <c r="K664" s="22">
        <v>0</v>
      </c>
      <c r="L664" s="22">
        <v>0</v>
      </c>
      <c r="M664" s="22">
        <v>0</v>
      </c>
      <c r="N664" s="22">
        <v>0</v>
      </c>
      <c r="O664" s="22"/>
      <c r="P664" s="22">
        <v>67.8</v>
      </c>
      <c r="Q664" s="22" t="str">
        <f>IF(OR(L664&lt;$Y$18,L664&gt;$Y$19),"Outlier","Normal")</f>
        <v>Normal</v>
      </c>
      <c r="R664" s="26" t="str">
        <f>A664&amp;B664&amp;C664&amp;D664&amp;E664&amp;F664&amp;G664&amp;H664&amp;I664&amp;J664&amp;K664&amp;L664&amp;M664&amp;N664&amp;O664&amp;P664</f>
        <v>USR-10066345803ControlNorthMobilePaid SearchBasic000000067.8</v>
      </c>
      <c r="S664" s="22" t="str">
        <f>IF(COUNTIF($R$2:$R$1409,R664)=1,"OK",IF(COUNTIF($R$2:$R$1409,R664)&gt;1,"Exact Duplicate","Review Required"))</f>
        <v>OK</v>
      </c>
      <c r="T664" s="22" t="s">
        <v>24</v>
      </c>
      <c r="U664" s="22" t="s">
        <v>29</v>
      </c>
      <c r="V664" s="22"/>
    </row>
    <row r="665" spans="1:22" ht="41.4">
      <c r="A665" s="22" t="s">
        <v>695</v>
      </c>
      <c r="B665" s="25">
        <v>45733</v>
      </c>
      <c r="C665" s="22" t="s">
        <v>17</v>
      </c>
      <c r="D665" s="22" t="s">
        <v>18</v>
      </c>
      <c r="E665" s="22" t="s">
        <v>19</v>
      </c>
      <c r="F665" s="22" t="s">
        <v>41</v>
      </c>
      <c r="G665" s="22" t="s">
        <v>21</v>
      </c>
      <c r="H665" s="22">
        <v>1</v>
      </c>
      <c r="I665" s="22">
        <v>1</v>
      </c>
      <c r="J665" s="22">
        <v>1</v>
      </c>
      <c r="K665" s="22">
        <v>0</v>
      </c>
      <c r="L665" s="22">
        <v>0</v>
      </c>
      <c r="M665" s="22">
        <v>0</v>
      </c>
      <c r="N665" s="22">
        <v>0</v>
      </c>
      <c r="O665" s="22"/>
      <c r="P665" s="22">
        <v>60.8</v>
      </c>
      <c r="Q665" s="22" t="str">
        <f>IF(OR(L665&lt;$Y$18,L665&gt;$Y$19),"Outlier","Normal")</f>
        <v>Normal</v>
      </c>
      <c r="R665" s="26" t="str">
        <f>A665&amp;B665&amp;C665&amp;D665&amp;E665&amp;F665&amp;G665&amp;H665&amp;I665&amp;J665&amp;K665&amp;L665&amp;M665&amp;N665&amp;O665&amp;P665</f>
        <v>USR-10066445733ControlNorthDesktopSocialBasic111000060.8</v>
      </c>
      <c r="S665" s="22" t="str">
        <f>IF(COUNTIF($R$2:$R$1409,R665)=1,"OK",IF(COUNTIF($R$2:$R$1409,R665)&gt;1,"Exact Duplicate","Review Required"))</f>
        <v>OK</v>
      </c>
      <c r="T665" s="22" t="s">
        <v>19</v>
      </c>
      <c r="U665" s="22" t="s">
        <v>41</v>
      </c>
      <c r="V665" s="22"/>
    </row>
    <row r="666" spans="1:22" ht="41.4">
      <c r="A666" s="22" t="s">
        <v>696</v>
      </c>
      <c r="B666" s="25">
        <v>45794</v>
      </c>
      <c r="C666" s="22" t="s">
        <v>17</v>
      </c>
      <c r="D666" s="22" t="s">
        <v>18</v>
      </c>
      <c r="E666" s="22" t="s">
        <v>19</v>
      </c>
      <c r="F666" s="22" t="s">
        <v>29</v>
      </c>
      <c r="G666" s="22" t="s">
        <v>21</v>
      </c>
      <c r="H666" s="22">
        <v>1</v>
      </c>
      <c r="I666" s="22">
        <v>0</v>
      </c>
      <c r="J666" s="22">
        <v>0</v>
      </c>
      <c r="K666" s="22">
        <v>0</v>
      </c>
      <c r="L666" s="22">
        <v>0</v>
      </c>
      <c r="M666" s="22">
        <v>3</v>
      </c>
      <c r="N666" s="22">
        <v>0</v>
      </c>
      <c r="O666" s="22"/>
      <c r="P666" s="22">
        <v>33.700000000000003</v>
      </c>
      <c r="Q666" s="22" t="str">
        <f>IF(OR(L666&lt;$Y$18,L666&gt;$Y$19),"Outlier","Normal")</f>
        <v>Normal</v>
      </c>
      <c r="R666" s="26" t="str">
        <f>A666&amp;B666&amp;C666&amp;D666&amp;E666&amp;F666&amp;G666&amp;H666&amp;I666&amp;J666&amp;K666&amp;L666&amp;M666&amp;N666&amp;O666&amp;P666</f>
        <v>USR-10066545794ControlNorthDesktopPaid SearchBasic100003033.7</v>
      </c>
      <c r="S666" s="22" t="str">
        <f>IF(COUNTIF($R$2:$R$1409,R666)=1,"OK",IF(COUNTIF($R$2:$R$1409,R666)&gt;1,"Exact Duplicate","Review Required"))</f>
        <v>OK</v>
      </c>
      <c r="T666" s="22" t="s">
        <v>19</v>
      </c>
      <c r="U666" s="22" t="s">
        <v>29</v>
      </c>
      <c r="V666" s="22"/>
    </row>
    <row r="667" spans="1:22" ht="41.4">
      <c r="A667" s="22" t="s">
        <v>697</v>
      </c>
      <c r="B667" s="25">
        <v>45709</v>
      </c>
      <c r="C667" s="22" t="s">
        <v>17</v>
      </c>
      <c r="D667" s="22" t="s">
        <v>18</v>
      </c>
      <c r="E667" s="22" t="s">
        <v>24</v>
      </c>
      <c r="F667" s="22" t="s">
        <v>29</v>
      </c>
      <c r="G667" s="22" t="s">
        <v>21</v>
      </c>
      <c r="H667" s="22">
        <v>0</v>
      </c>
      <c r="I667" s="22">
        <v>0</v>
      </c>
      <c r="J667" s="22">
        <v>0</v>
      </c>
      <c r="K667" s="22">
        <v>0</v>
      </c>
      <c r="L667" s="22">
        <v>0</v>
      </c>
      <c r="M667" s="22">
        <v>0</v>
      </c>
      <c r="N667" s="22">
        <v>0</v>
      </c>
      <c r="O667" s="22"/>
      <c r="P667" s="22">
        <v>45.2</v>
      </c>
      <c r="Q667" s="22" t="str">
        <f>IF(OR(L667&lt;$Y$18,L667&gt;$Y$19),"Outlier","Normal")</f>
        <v>Normal</v>
      </c>
      <c r="R667" s="26" t="str">
        <f>A667&amp;B667&amp;C667&amp;D667&amp;E667&amp;F667&amp;G667&amp;H667&amp;I667&amp;J667&amp;K667&amp;L667&amp;M667&amp;N667&amp;O667&amp;P667</f>
        <v>USR-10066645709ControlNorthMobilePaid SearchBasic000000045.2</v>
      </c>
      <c r="S667" s="22" t="str">
        <f>IF(COUNTIF($R$2:$R$1409,R667)=1,"OK",IF(COUNTIF($R$2:$R$1409,R667)&gt;1,"Exact Duplicate","Review Required"))</f>
        <v>OK</v>
      </c>
      <c r="T667" s="22" t="s">
        <v>24</v>
      </c>
      <c r="U667" s="22" t="s">
        <v>29</v>
      </c>
      <c r="V667" s="22"/>
    </row>
    <row r="668" spans="1:22" ht="41.4">
      <c r="A668" s="22" t="s">
        <v>698</v>
      </c>
      <c r="B668" s="25">
        <v>45713</v>
      </c>
      <c r="C668" s="22" t="s">
        <v>17</v>
      </c>
      <c r="D668" s="22" t="s">
        <v>28</v>
      </c>
      <c r="E668" s="22" t="s">
        <v>19</v>
      </c>
      <c r="F668" s="22" t="s">
        <v>29</v>
      </c>
      <c r="G668" s="22" t="s">
        <v>30</v>
      </c>
      <c r="H668" s="22">
        <v>0</v>
      </c>
      <c r="I668" s="22">
        <v>0</v>
      </c>
      <c r="J668" s="22">
        <v>0</v>
      </c>
      <c r="K668" s="22">
        <v>0</v>
      </c>
      <c r="L668" s="22">
        <v>0</v>
      </c>
      <c r="M668" s="22">
        <v>0</v>
      </c>
      <c r="N668" s="22">
        <v>0</v>
      </c>
      <c r="O668" s="22"/>
      <c r="P668" s="22">
        <v>48.2</v>
      </c>
      <c r="Q668" s="22" t="str">
        <f>IF(OR(L668&lt;$Y$18,L668&gt;$Y$19),"Outlier","Normal")</f>
        <v>Normal</v>
      </c>
      <c r="R668" s="26" t="str">
        <f>A668&amp;B668&amp;C668&amp;D668&amp;E668&amp;F668&amp;G668&amp;H668&amp;I668&amp;J668&amp;K668&amp;L668&amp;M668&amp;N668&amp;O668&amp;P668</f>
        <v>USR-10066745713ControlEastDesktopPaid SearchPremium000000048.2</v>
      </c>
      <c r="S668" s="22" t="str">
        <f>IF(COUNTIF($R$2:$R$1409,R668)=1,"OK",IF(COUNTIF($R$2:$R$1409,R668)&gt;1,"Exact Duplicate","Review Required"))</f>
        <v>OK</v>
      </c>
      <c r="T668" s="22" t="s">
        <v>19</v>
      </c>
      <c r="U668" s="22" t="s">
        <v>29</v>
      </c>
      <c r="V668" s="22"/>
    </row>
    <row r="669" spans="1:22" ht="41.4">
      <c r="A669" s="22" t="s">
        <v>699</v>
      </c>
      <c r="B669" s="25">
        <v>45687</v>
      </c>
      <c r="C669" s="22" t="s">
        <v>17</v>
      </c>
      <c r="D669" s="22" t="s">
        <v>32</v>
      </c>
      <c r="E669" s="22" t="s">
        <v>24</v>
      </c>
      <c r="F669" s="22" t="s">
        <v>41</v>
      </c>
      <c r="G669" s="22" t="s">
        <v>26</v>
      </c>
      <c r="H669" s="22">
        <v>1</v>
      </c>
      <c r="I669" s="22">
        <v>1</v>
      </c>
      <c r="J669" s="22">
        <v>0</v>
      </c>
      <c r="K669" s="22">
        <v>0</v>
      </c>
      <c r="L669" s="22">
        <v>0</v>
      </c>
      <c r="M669" s="22">
        <v>1</v>
      </c>
      <c r="N669" s="22">
        <v>0</v>
      </c>
      <c r="O669" s="22"/>
      <c r="P669" s="22">
        <v>44.8</v>
      </c>
      <c r="Q669" s="22" t="str">
        <f>IF(OR(L669&lt;$Y$18,L669&gt;$Y$19),"Outlier","Normal")</f>
        <v>Normal</v>
      </c>
      <c r="R669" s="26" t="str">
        <f>A669&amp;B669&amp;C669&amp;D669&amp;E669&amp;F669&amp;G669&amp;H669&amp;I669&amp;J669&amp;K669&amp;L669&amp;M669&amp;N669&amp;O669&amp;P669</f>
        <v>USR-10066845687ControlSouthMobileSocialFree110001044.8</v>
      </c>
      <c r="S669" s="22" t="str">
        <f>IF(COUNTIF($R$2:$R$1409,R669)=1,"OK",IF(COUNTIF($R$2:$R$1409,R669)&gt;1,"Exact Duplicate","Review Required"))</f>
        <v>OK</v>
      </c>
      <c r="T669" s="22" t="s">
        <v>24</v>
      </c>
      <c r="U669" s="22" t="s">
        <v>41</v>
      </c>
      <c r="V669" s="22"/>
    </row>
    <row r="670" spans="1:22" ht="41.4">
      <c r="A670" s="22" t="s">
        <v>700</v>
      </c>
      <c r="B670" s="25">
        <v>45705</v>
      </c>
      <c r="C670" s="22" t="s">
        <v>17</v>
      </c>
      <c r="D670" s="22" t="s">
        <v>18</v>
      </c>
      <c r="E670" s="22" t="s">
        <v>34</v>
      </c>
      <c r="F670" s="22" t="s">
        <v>41</v>
      </c>
      <c r="G670" s="22" t="s">
        <v>21</v>
      </c>
      <c r="H670" s="22">
        <v>0</v>
      </c>
      <c r="I670" s="22">
        <v>0</v>
      </c>
      <c r="J670" s="22">
        <v>0</v>
      </c>
      <c r="K670" s="22">
        <v>0</v>
      </c>
      <c r="L670" s="22">
        <v>0</v>
      </c>
      <c r="M670" s="22">
        <v>0</v>
      </c>
      <c r="N670" s="22">
        <v>0</v>
      </c>
      <c r="O670" s="22"/>
      <c r="P670" s="22">
        <v>52.1</v>
      </c>
      <c r="Q670" s="22" t="str">
        <f>IF(OR(L670&lt;$Y$18,L670&gt;$Y$19),"Outlier","Normal")</f>
        <v>Normal</v>
      </c>
      <c r="R670" s="26" t="str">
        <f>A670&amp;B670&amp;C670&amp;D670&amp;E670&amp;F670&amp;G670&amp;H670&amp;I670&amp;J670&amp;K670&amp;L670&amp;M670&amp;N670&amp;O670&amp;P670</f>
        <v>USR-10066945705ControlNorthTabletSocialBasic000000052.1</v>
      </c>
      <c r="S670" s="22" t="str">
        <f>IF(COUNTIF($R$2:$R$1409,R670)=1,"OK",IF(COUNTIF($R$2:$R$1409,R670)&gt;1,"Exact Duplicate","Review Required"))</f>
        <v>OK</v>
      </c>
      <c r="T670" s="22" t="s">
        <v>34</v>
      </c>
      <c r="U670" s="22" t="s">
        <v>41</v>
      </c>
      <c r="V670" s="22"/>
    </row>
    <row r="671" spans="1:22" ht="41.4">
      <c r="A671" s="22" t="s">
        <v>701</v>
      </c>
      <c r="B671" s="25">
        <v>45794</v>
      </c>
      <c r="C671" s="22" t="s">
        <v>17</v>
      </c>
      <c r="D671" s="22" t="s">
        <v>18</v>
      </c>
      <c r="E671" s="22" t="s">
        <v>19</v>
      </c>
      <c r="F671" s="22" t="s">
        <v>29</v>
      </c>
      <c r="G671" s="22" t="s">
        <v>21</v>
      </c>
      <c r="H671" s="22">
        <v>1</v>
      </c>
      <c r="I671" s="22">
        <v>0</v>
      </c>
      <c r="J671" s="22">
        <v>0</v>
      </c>
      <c r="K671" s="22">
        <v>0</v>
      </c>
      <c r="L671" s="22">
        <v>0</v>
      </c>
      <c r="M671" s="22">
        <v>0</v>
      </c>
      <c r="N671" s="22">
        <v>0</v>
      </c>
      <c r="O671" s="22"/>
      <c r="P671" s="22">
        <v>30.7</v>
      </c>
      <c r="Q671" s="22" t="str">
        <f>IF(OR(L671&lt;$Y$18,L671&gt;$Y$19),"Outlier","Normal")</f>
        <v>Normal</v>
      </c>
      <c r="R671" s="26" t="str">
        <f>A671&amp;B671&amp;C671&amp;D671&amp;E671&amp;F671&amp;G671&amp;H671&amp;I671&amp;J671&amp;K671&amp;L671&amp;M671&amp;N671&amp;O671&amp;P671</f>
        <v>USR-10067045794ControlNorthDesktopPaid SearchBasic100000030.7</v>
      </c>
      <c r="S671" s="22" t="str">
        <f>IF(COUNTIF($R$2:$R$1409,R671)=1,"OK",IF(COUNTIF($R$2:$R$1409,R671)&gt;1,"Exact Duplicate","Review Required"))</f>
        <v>OK</v>
      </c>
      <c r="T671" s="22" t="s">
        <v>19</v>
      </c>
      <c r="U671" s="22" t="s">
        <v>29</v>
      </c>
      <c r="V671" s="22"/>
    </row>
    <row r="672" spans="1:22" ht="41.4">
      <c r="A672" s="22" t="s">
        <v>702</v>
      </c>
      <c r="B672" s="25">
        <v>45777</v>
      </c>
      <c r="C672" s="22" t="s">
        <v>17</v>
      </c>
      <c r="D672" s="22" t="s">
        <v>28</v>
      </c>
      <c r="E672" s="22" t="s">
        <v>19</v>
      </c>
      <c r="F672" s="22" t="s">
        <v>29</v>
      </c>
      <c r="G672" s="22" t="s">
        <v>26</v>
      </c>
      <c r="H672" s="22">
        <v>1</v>
      </c>
      <c r="I672" s="22">
        <v>0</v>
      </c>
      <c r="J672" s="22">
        <v>0</v>
      </c>
      <c r="K672" s="22">
        <v>0</v>
      </c>
      <c r="L672" s="22">
        <v>0</v>
      </c>
      <c r="M672" s="22">
        <v>0</v>
      </c>
      <c r="N672" s="22">
        <v>0</v>
      </c>
      <c r="O672" s="22"/>
      <c r="P672" s="22">
        <v>58.4</v>
      </c>
      <c r="Q672" s="22" t="str">
        <f>IF(OR(L672&lt;$Y$18,L672&gt;$Y$19),"Outlier","Normal")</f>
        <v>Normal</v>
      </c>
      <c r="R672" s="26" t="str">
        <f>A672&amp;B672&amp;C672&amp;D672&amp;E672&amp;F672&amp;G672&amp;H672&amp;I672&amp;J672&amp;K672&amp;L672&amp;M672&amp;N672&amp;O672&amp;P672</f>
        <v>USR-10067145777ControlEastDesktopPaid SearchFree100000058.4</v>
      </c>
      <c r="S672" s="22" t="str">
        <f>IF(COUNTIF($R$2:$R$1409,R672)=1,"OK",IF(COUNTIF($R$2:$R$1409,R672)&gt;1,"Exact Duplicate","Review Required"))</f>
        <v>OK</v>
      </c>
      <c r="T672" s="22" t="s">
        <v>19</v>
      </c>
      <c r="U672" s="22" t="s">
        <v>29</v>
      </c>
      <c r="V672" s="22"/>
    </row>
    <row r="673" spans="1:22" ht="41.4">
      <c r="A673" s="22" t="s">
        <v>703</v>
      </c>
      <c r="B673" s="25">
        <v>45738</v>
      </c>
      <c r="C673" s="22" t="s">
        <v>17</v>
      </c>
      <c r="D673" s="22" t="s">
        <v>23</v>
      </c>
      <c r="E673" s="22" t="s">
        <v>24</v>
      </c>
      <c r="F673" s="22" t="s">
        <v>39</v>
      </c>
      <c r="G673" s="22" t="s">
        <v>26</v>
      </c>
      <c r="H673" s="22">
        <v>1</v>
      </c>
      <c r="I673" s="22">
        <v>1</v>
      </c>
      <c r="J673" s="22">
        <v>0</v>
      </c>
      <c r="K673" s="22">
        <v>0</v>
      </c>
      <c r="L673" s="22">
        <v>0</v>
      </c>
      <c r="M673" s="22">
        <v>0</v>
      </c>
      <c r="N673" s="22">
        <v>0</v>
      </c>
      <c r="O673" s="22"/>
      <c r="P673" s="22">
        <v>52.6</v>
      </c>
      <c r="Q673" s="22" t="str">
        <f>IF(OR(L673&lt;$Y$18,L673&gt;$Y$19),"Outlier","Normal")</f>
        <v>Normal</v>
      </c>
      <c r="R673" s="26" t="str">
        <f>A673&amp;B673&amp;C673&amp;D673&amp;E673&amp;F673&amp;G673&amp;H673&amp;I673&amp;J673&amp;K673&amp;L673&amp;M673&amp;N673&amp;O673&amp;P673</f>
        <v>USR-10067245738ControlWestMobileReferralFree110000052.6</v>
      </c>
      <c r="S673" s="22" t="str">
        <f>IF(COUNTIF($R$2:$R$1409,R673)=1,"OK",IF(COUNTIF($R$2:$R$1409,R673)&gt;1,"Exact Duplicate","Review Required"))</f>
        <v>OK</v>
      </c>
      <c r="T673" s="22" t="s">
        <v>24</v>
      </c>
      <c r="U673" s="22" t="s">
        <v>39</v>
      </c>
      <c r="V673" s="22"/>
    </row>
    <row r="674" spans="1:22" ht="41.4">
      <c r="A674" s="22" t="s">
        <v>704</v>
      </c>
      <c r="B674" s="25">
        <v>45667</v>
      </c>
      <c r="C674" s="22" t="s">
        <v>17</v>
      </c>
      <c r="D674" s="22" t="s">
        <v>23</v>
      </c>
      <c r="E674" s="22" t="s">
        <v>1482</v>
      </c>
      <c r="F674" s="22" t="s">
        <v>29</v>
      </c>
      <c r="G674" s="22" t="s">
        <v>26</v>
      </c>
      <c r="H674" s="22">
        <v>1</v>
      </c>
      <c r="I674" s="22">
        <v>0</v>
      </c>
      <c r="J674" s="22">
        <v>0</v>
      </c>
      <c r="K674" s="22">
        <v>0</v>
      </c>
      <c r="L674" s="22">
        <v>0</v>
      </c>
      <c r="M674" s="22">
        <v>1</v>
      </c>
      <c r="N674" s="22">
        <v>0</v>
      </c>
      <c r="O674" s="22"/>
      <c r="P674" s="22">
        <v>19.100000000000001</v>
      </c>
      <c r="Q674" s="22" t="str">
        <f>IF(OR(L674&lt;$Y$18,L674&gt;$Y$19),"Outlier","Normal")</f>
        <v>Normal</v>
      </c>
      <c r="R674" s="26" t="str">
        <f>A674&amp;B674&amp;C674&amp;D674&amp;E674&amp;F674&amp;G674&amp;H674&amp;I674&amp;J674&amp;K674&amp;L674&amp;M674&amp;N674&amp;O674&amp;P674</f>
        <v>USR-10067345667ControlWestUnknownPaid SearchFree100001019.1</v>
      </c>
      <c r="S674" s="22" t="str">
        <f>IF(COUNTIF($R$2:$R$1409,R674)=1,"OK",IF(COUNTIF($R$2:$R$1409,R674)&gt;1,"Exact Duplicate","Review Required"))</f>
        <v>OK</v>
      </c>
      <c r="T674" s="22"/>
      <c r="U674" s="22" t="s">
        <v>29</v>
      </c>
      <c r="V674" s="22"/>
    </row>
    <row r="675" spans="1:22" ht="41.4">
      <c r="A675" s="22" t="s">
        <v>705</v>
      </c>
      <c r="B675" s="25">
        <v>45737</v>
      </c>
      <c r="C675" s="22" t="s">
        <v>17</v>
      </c>
      <c r="D675" s="22" t="s">
        <v>32</v>
      </c>
      <c r="E675" s="22" t="s">
        <v>1482</v>
      </c>
      <c r="F675" s="22" t="s">
        <v>29</v>
      </c>
      <c r="G675" s="22" t="s">
        <v>26</v>
      </c>
      <c r="H675" s="22">
        <v>1</v>
      </c>
      <c r="I675" s="22">
        <v>0</v>
      </c>
      <c r="J675" s="22">
        <v>0</v>
      </c>
      <c r="K675" s="22">
        <v>0</v>
      </c>
      <c r="L675" s="22">
        <v>0</v>
      </c>
      <c r="M675" s="22">
        <v>0</v>
      </c>
      <c r="N675" s="22">
        <v>0</v>
      </c>
      <c r="O675" s="22"/>
      <c r="P675" s="22">
        <v>36.799999999999997</v>
      </c>
      <c r="Q675" s="22" t="str">
        <f>IF(OR(L675&lt;$Y$18,L675&gt;$Y$19),"Outlier","Normal")</f>
        <v>Normal</v>
      </c>
      <c r="R675" s="26" t="str">
        <f>A675&amp;B675&amp;C675&amp;D675&amp;E675&amp;F675&amp;G675&amp;H675&amp;I675&amp;J675&amp;K675&amp;L675&amp;M675&amp;N675&amp;O675&amp;P675</f>
        <v>USR-10067445737ControlSouthUnknownPaid SearchFree100000036.8</v>
      </c>
      <c r="S675" s="22" t="str">
        <f>IF(COUNTIF($R$2:$R$1409,R675)=1,"OK",IF(COUNTIF($R$2:$R$1409,R675)&gt;1,"Exact Duplicate","Review Required"))</f>
        <v>OK</v>
      </c>
      <c r="T675" s="22"/>
      <c r="U675" s="22" t="s">
        <v>29</v>
      </c>
      <c r="V675" s="22"/>
    </row>
    <row r="676" spans="1:22" ht="41.4">
      <c r="A676" s="22" t="s">
        <v>706</v>
      </c>
      <c r="B676" s="25">
        <v>45789</v>
      </c>
      <c r="C676" s="22" t="s">
        <v>17</v>
      </c>
      <c r="D676" s="22" t="s">
        <v>18</v>
      </c>
      <c r="E676" s="22" t="s">
        <v>19</v>
      </c>
      <c r="F676" s="22" t="s">
        <v>29</v>
      </c>
      <c r="G676" s="22" t="s">
        <v>21</v>
      </c>
      <c r="H676" s="22">
        <v>0</v>
      </c>
      <c r="I676" s="22">
        <v>0</v>
      </c>
      <c r="J676" s="22">
        <v>0</v>
      </c>
      <c r="K676" s="22">
        <v>0</v>
      </c>
      <c r="L676" s="22">
        <v>0</v>
      </c>
      <c r="M676" s="22">
        <v>0</v>
      </c>
      <c r="N676" s="22">
        <v>0</v>
      </c>
      <c r="O676" s="22"/>
      <c r="P676" s="22">
        <v>68.5</v>
      </c>
      <c r="Q676" s="22" t="str">
        <f>IF(OR(L676&lt;$Y$18,L676&gt;$Y$19),"Outlier","Normal")</f>
        <v>Normal</v>
      </c>
      <c r="R676" s="26" t="str">
        <f>A676&amp;B676&amp;C676&amp;D676&amp;E676&amp;F676&amp;G676&amp;H676&amp;I676&amp;J676&amp;K676&amp;L676&amp;M676&amp;N676&amp;O676&amp;P676</f>
        <v>USR-10067545789ControlNorthDesktopPaid SearchBasic000000068.5</v>
      </c>
      <c r="S676" s="22" t="str">
        <f>IF(COUNTIF($R$2:$R$1409,R676)=1,"OK",IF(COUNTIF($R$2:$R$1409,R676)&gt;1,"Exact Duplicate","Review Required"))</f>
        <v>OK</v>
      </c>
      <c r="T676" s="22" t="s">
        <v>19</v>
      </c>
      <c r="U676" s="22" t="s">
        <v>29</v>
      </c>
      <c r="V676" s="22"/>
    </row>
    <row r="677" spans="1:22" ht="41.4">
      <c r="A677" s="22" t="s">
        <v>707</v>
      </c>
      <c r="B677" s="25">
        <v>45801</v>
      </c>
      <c r="C677" s="22" t="s">
        <v>17</v>
      </c>
      <c r="D677" s="22" t="s">
        <v>23</v>
      </c>
      <c r="E677" s="22" t="s">
        <v>24</v>
      </c>
      <c r="F677" s="22" t="s">
        <v>29</v>
      </c>
      <c r="G677" s="22" t="s">
        <v>26</v>
      </c>
      <c r="H677" s="22">
        <v>1</v>
      </c>
      <c r="I677" s="22">
        <v>1</v>
      </c>
      <c r="J677" s="22">
        <v>1</v>
      </c>
      <c r="K677" s="22">
        <v>0</v>
      </c>
      <c r="L677" s="22">
        <v>0</v>
      </c>
      <c r="M677" s="22">
        <v>0</v>
      </c>
      <c r="N677" s="22">
        <v>0</v>
      </c>
      <c r="O677" s="22"/>
      <c r="P677" s="22">
        <v>40.1</v>
      </c>
      <c r="Q677" s="22" t="str">
        <f>IF(OR(L677&lt;$Y$18,L677&gt;$Y$19),"Outlier","Normal")</f>
        <v>Normal</v>
      </c>
      <c r="R677" s="26" t="str">
        <f>A677&amp;B677&amp;C677&amp;D677&amp;E677&amp;F677&amp;G677&amp;H677&amp;I677&amp;J677&amp;K677&amp;L677&amp;M677&amp;N677&amp;O677&amp;P677</f>
        <v>USR-10067645801ControlWestMobilePaid SearchFree111000040.1</v>
      </c>
      <c r="S677" s="22" t="str">
        <f>IF(COUNTIF($R$2:$R$1409,R677)=1,"OK",IF(COUNTIF($R$2:$R$1409,R677)&gt;1,"Exact Duplicate","Review Required"))</f>
        <v>OK</v>
      </c>
      <c r="T677" s="22" t="s">
        <v>24</v>
      </c>
      <c r="U677" s="22" t="s">
        <v>29</v>
      </c>
      <c r="V677" s="22"/>
    </row>
    <row r="678" spans="1:22" ht="41.4">
      <c r="A678" s="22" t="s">
        <v>708</v>
      </c>
      <c r="B678" s="25">
        <v>45780</v>
      </c>
      <c r="C678" s="22" t="s">
        <v>17</v>
      </c>
      <c r="D678" s="22" t="s">
        <v>23</v>
      </c>
      <c r="E678" s="22" t="s">
        <v>34</v>
      </c>
      <c r="F678" s="22" t="s">
        <v>25</v>
      </c>
      <c r="G678" s="22" t="s">
        <v>26</v>
      </c>
      <c r="H678" s="22">
        <v>1</v>
      </c>
      <c r="I678" s="22">
        <v>0</v>
      </c>
      <c r="J678" s="22">
        <v>0</v>
      </c>
      <c r="K678" s="22">
        <v>0</v>
      </c>
      <c r="L678" s="22">
        <v>0</v>
      </c>
      <c r="M678" s="22">
        <v>0</v>
      </c>
      <c r="N678" s="22">
        <v>0</v>
      </c>
      <c r="O678" s="22"/>
      <c r="P678" s="22">
        <v>47.5</v>
      </c>
      <c r="Q678" s="22" t="str">
        <f>IF(OR(L678&lt;$Y$18,L678&gt;$Y$19),"Outlier","Normal")</f>
        <v>Normal</v>
      </c>
      <c r="R678" s="26" t="str">
        <f>A678&amp;B678&amp;C678&amp;D678&amp;E678&amp;F678&amp;G678&amp;H678&amp;I678&amp;J678&amp;K678&amp;L678&amp;M678&amp;N678&amp;O678&amp;P678</f>
        <v>USR-10067745780ControlWestTabletOrganicFree100000047.5</v>
      </c>
      <c r="S678" s="22" t="str">
        <f>IF(COUNTIF($R$2:$R$1409,R678)=1,"OK",IF(COUNTIF($R$2:$R$1409,R678)&gt;1,"Exact Duplicate","Review Required"))</f>
        <v>OK</v>
      </c>
      <c r="T678" s="22" t="s">
        <v>34</v>
      </c>
      <c r="U678" s="22" t="s">
        <v>25</v>
      </c>
      <c r="V678" s="22"/>
    </row>
    <row r="679" spans="1:22" ht="41.4">
      <c r="A679" s="22" t="s">
        <v>709</v>
      </c>
      <c r="B679" s="25">
        <v>45671</v>
      </c>
      <c r="C679" s="22" t="s">
        <v>17</v>
      </c>
      <c r="D679" s="22" t="s">
        <v>32</v>
      </c>
      <c r="E679" s="22" t="s">
        <v>24</v>
      </c>
      <c r="F679" s="22" t="s">
        <v>25</v>
      </c>
      <c r="G679" s="22" t="s">
        <v>21</v>
      </c>
      <c r="H679" s="22">
        <v>1</v>
      </c>
      <c r="I679" s="22">
        <v>0</v>
      </c>
      <c r="J679" s="22">
        <v>0</v>
      </c>
      <c r="K679" s="22">
        <v>0</v>
      </c>
      <c r="L679" s="22">
        <v>0</v>
      </c>
      <c r="M679" s="22">
        <v>0</v>
      </c>
      <c r="N679" s="22">
        <v>0</v>
      </c>
      <c r="O679" s="22"/>
      <c r="P679" s="22">
        <v>77.099999999999994</v>
      </c>
      <c r="Q679" s="22" t="str">
        <f>IF(OR(L679&lt;$Y$18,L679&gt;$Y$19),"Outlier","Normal")</f>
        <v>Normal</v>
      </c>
      <c r="R679" s="26" t="str">
        <f>A679&amp;B679&amp;C679&amp;D679&amp;E679&amp;F679&amp;G679&amp;H679&amp;I679&amp;J679&amp;K679&amp;L679&amp;M679&amp;N679&amp;O679&amp;P679</f>
        <v>USR-10067845671ControlSouthMobileOrganicBasic100000077.1</v>
      </c>
      <c r="S679" s="22" t="str">
        <f>IF(COUNTIF($R$2:$R$1409,R679)=1,"OK",IF(COUNTIF($R$2:$R$1409,R679)&gt;1,"Exact Duplicate","Review Required"))</f>
        <v>OK</v>
      </c>
      <c r="T679" s="22" t="s">
        <v>24</v>
      </c>
      <c r="U679" s="22" t="s">
        <v>25</v>
      </c>
      <c r="V679" s="22"/>
    </row>
    <row r="680" spans="1:22" ht="41.4">
      <c r="A680" s="22" t="s">
        <v>710</v>
      </c>
      <c r="B680" s="25">
        <v>45743</v>
      </c>
      <c r="C680" s="22" t="s">
        <v>17</v>
      </c>
      <c r="D680" s="22" t="s">
        <v>23</v>
      </c>
      <c r="E680" s="22" t="s">
        <v>24</v>
      </c>
      <c r="F680" s="22" t="s">
        <v>41</v>
      </c>
      <c r="G680" s="22" t="s">
        <v>21</v>
      </c>
      <c r="H680" s="22">
        <v>1</v>
      </c>
      <c r="I680" s="22">
        <v>0</v>
      </c>
      <c r="J680" s="22">
        <v>0</v>
      </c>
      <c r="K680" s="22">
        <v>0</v>
      </c>
      <c r="L680" s="22">
        <v>0</v>
      </c>
      <c r="M680" s="22">
        <v>0</v>
      </c>
      <c r="N680" s="22">
        <v>0</v>
      </c>
      <c r="O680" s="22"/>
      <c r="P680" s="22">
        <v>75.900000000000006</v>
      </c>
      <c r="Q680" s="22" t="str">
        <f>IF(OR(L680&lt;$Y$18,L680&gt;$Y$19),"Outlier","Normal")</f>
        <v>Normal</v>
      </c>
      <c r="R680" s="26" t="str">
        <f>A680&amp;B680&amp;C680&amp;D680&amp;E680&amp;F680&amp;G680&amp;H680&amp;I680&amp;J680&amp;K680&amp;L680&amp;M680&amp;N680&amp;O680&amp;P680</f>
        <v>USR-10067945743ControlWestMobileSocialBasic100000075.9</v>
      </c>
      <c r="S680" s="22" t="str">
        <f>IF(COUNTIF($R$2:$R$1409,R680)=1,"OK",IF(COUNTIF($R$2:$R$1409,R680)&gt;1,"Exact Duplicate","Review Required"))</f>
        <v>OK</v>
      </c>
      <c r="T680" s="22" t="s">
        <v>24</v>
      </c>
      <c r="U680" s="22" t="s">
        <v>41</v>
      </c>
      <c r="V680" s="22"/>
    </row>
    <row r="681" spans="1:22" ht="41.4">
      <c r="A681" s="22" t="s">
        <v>711</v>
      </c>
      <c r="B681" s="25">
        <v>45716</v>
      </c>
      <c r="C681" s="22" t="s">
        <v>17</v>
      </c>
      <c r="D681" s="22" t="s">
        <v>18</v>
      </c>
      <c r="E681" s="22" t="s">
        <v>19</v>
      </c>
      <c r="F681" s="22" t="s">
        <v>39</v>
      </c>
      <c r="G681" s="22" t="s">
        <v>30</v>
      </c>
      <c r="H681" s="22">
        <v>0</v>
      </c>
      <c r="I681" s="22">
        <v>0</v>
      </c>
      <c r="J681" s="22">
        <v>0</v>
      </c>
      <c r="K681" s="22">
        <v>0</v>
      </c>
      <c r="L681" s="22">
        <v>0</v>
      </c>
      <c r="M681" s="22">
        <v>1</v>
      </c>
      <c r="N681" s="22">
        <v>0</v>
      </c>
      <c r="O681" s="22"/>
      <c r="P681" s="22">
        <v>52</v>
      </c>
      <c r="Q681" s="22" t="str">
        <f>IF(OR(L681&lt;$Y$18,L681&gt;$Y$19),"Outlier","Normal")</f>
        <v>Normal</v>
      </c>
      <c r="R681" s="26" t="str">
        <f>A681&amp;B681&amp;C681&amp;D681&amp;E681&amp;F681&amp;G681&amp;H681&amp;I681&amp;J681&amp;K681&amp;L681&amp;M681&amp;N681&amp;O681&amp;P681</f>
        <v>USR-10068045716ControlNorthDesktopReferralPremium000001052</v>
      </c>
      <c r="S681" s="22" t="str">
        <f>IF(COUNTIF($R$2:$R$1409,R681)=1,"OK",IF(COUNTIF($R$2:$R$1409,R681)&gt;1,"Exact Duplicate","Review Required"))</f>
        <v>OK</v>
      </c>
      <c r="T681" s="22" t="s">
        <v>19</v>
      </c>
      <c r="U681" s="22" t="s">
        <v>39</v>
      </c>
      <c r="V681" s="22"/>
    </row>
    <row r="682" spans="1:22" ht="41.4">
      <c r="A682" s="22" t="s">
        <v>712</v>
      </c>
      <c r="B682" s="25">
        <v>45789</v>
      </c>
      <c r="C682" s="22" t="s">
        <v>17</v>
      </c>
      <c r="D682" s="22" t="s">
        <v>23</v>
      </c>
      <c r="E682" s="22" t="s">
        <v>19</v>
      </c>
      <c r="F682" s="22" t="s">
        <v>39</v>
      </c>
      <c r="G682" s="22" t="s">
        <v>30</v>
      </c>
      <c r="H682" s="22">
        <v>1</v>
      </c>
      <c r="I682" s="22">
        <v>1</v>
      </c>
      <c r="J682" s="22">
        <v>1</v>
      </c>
      <c r="K682" s="22">
        <v>0</v>
      </c>
      <c r="L682" s="22">
        <v>0</v>
      </c>
      <c r="M682" s="22">
        <v>0</v>
      </c>
      <c r="N682" s="22">
        <v>0</v>
      </c>
      <c r="O682" s="22"/>
      <c r="P682" s="22">
        <v>64.900000000000006</v>
      </c>
      <c r="Q682" s="22" t="str">
        <f>IF(OR(L682&lt;$Y$18,L682&gt;$Y$19),"Outlier","Normal")</f>
        <v>Normal</v>
      </c>
      <c r="R682" s="26" t="str">
        <f>A682&amp;B682&amp;C682&amp;D682&amp;E682&amp;F682&amp;G682&amp;H682&amp;I682&amp;J682&amp;K682&amp;L682&amp;M682&amp;N682&amp;O682&amp;P682</f>
        <v>USR-10068145789ControlWestDesktopReferralPremium111000064.9</v>
      </c>
      <c r="S682" s="22" t="str">
        <f>IF(COUNTIF($R$2:$R$1409,R682)=1,"OK",IF(COUNTIF($R$2:$R$1409,R682)&gt;1,"Exact Duplicate","Review Required"))</f>
        <v>OK</v>
      </c>
      <c r="T682" s="22" t="s">
        <v>19</v>
      </c>
      <c r="U682" s="22" t="s">
        <v>39</v>
      </c>
      <c r="V682" s="22"/>
    </row>
    <row r="683" spans="1:22" ht="41.4">
      <c r="A683" s="22" t="s">
        <v>713</v>
      </c>
      <c r="B683" s="25">
        <v>45730</v>
      </c>
      <c r="C683" s="22" t="s">
        <v>17</v>
      </c>
      <c r="D683" s="22" t="s">
        <v>18</v>
      </c>
      <c r="E683" s="22" t="s">
        <v>24</v>
      </c>
      <c r="F683" s="22" t="s">
        <v>25</v>
      </c>
      <c r="G683" s="22" t="s">
        <v>26</v>
      </c>
      <c r="H683" s="22">
        <v>1</v>
      </c>
      <c r="I683" s="22">
        <v>0</v>
      </c>
      <c r="J683" s="22">
        <v>0</v>
      </c>
      <c r="K683" s="22">
        <v>0</v>
      </c>
      <c r="L683" s="22">
        <v>0</v>
      </c>
      <c r="M683" s="22">
        <v>0</v>
      </c>
      <c r="N683" s="22">
        <v>0</v>
      </c>
      <c r="O683" s="22"/>
      <c r="P683" s="22">
        <v>48.2</v>
      </c>
      <c r="Q683" s="22" t="str">
        <f>IF(OR(L683&lt;$Y$18,L683&gt;$Y$19),"Outlier","Normal")</f>
        <v>Normal</v>
      </c>
      <c r="R683" s="26" t="str">
        <f>A683&amp;B683&amp;C683&amp;D683&amp;E683&amp;F683&amp;G683&amp;H683&amp;I683&amp;J683&amp;K683&amp;L683&amp;M683&amp;N683&amp;O683&amp;P683</f>
        <v>USR-10068245730ControlNorthMobileOrganicFree100000048.2</v>
      </c>
      <c r="S683" s="22" t="str">
        <f>IF(COUNTIF($R$2:$R$1409,R683)=1,"OK",IF(COUNTIF($R$2:$R$1409,R683)&gt;1,"Exact Duplicate","Review Required"))</f>
        <v>OK</v>
      </c>
      <c r="T683" s="22" t="s">
        <v>24</v>
      </c>
      <c r="U683" s="22" t="s">
        <v>25</v>
      </c>
      <c r="V683" s="22"/>
    </row>
    <row r="684" spans="1:22" ht="41.4">
      <c r="A684" s="22" t="s">
        <v>714</v>
      </c>
      <c r="B684" s="25">
        <v>45797</v>
      </c>
      <c r="C684" s="22" t="s">
        <v>17</v>
      </c>
      <c r="D684" s="22" t="s">
        <v>28</v>
      </c>
      <c r="E684" s="22" t="s">
        <v>24</v>
      </c>
      <c r="F684" s="22" t="s">
        <v>25</v>
      </c>
      <c r="G684" s="22" t="s">
        <v>21</v>
      </c>
      <c r="H684" s="22">
        <v>0</v>
      </c>
      <c r="I684" s="22">
        <v>0</v>
      </c>
      <c r="J684" s="22">
        <v>0</v>
      </c>
      <c r="K684" s="22">
        <v>0</v>
      </c>
      <c r="L684" s="22">
        <v>0</v>
      </c>
      <c r="M684" s="22">
        <v>0</v>
      </c>
      <c r="N684" s="22">
        <v>0</v>
      </c>
      <c r="O684" s="22"/>
      <c r="P684" s="22">
        <v>42.1</v>
      </c>
      <c r="Q684" s="22" t="str">
        <f>IF(OR(L684&lt;$Y$18,L684&gt;$Y$19),"Outlier","Normal")</f>
        <v>Normal</v>
      </c>
      <c r="R684" s="26" t="str">
        <f>A684&amp;B684&amp;C684&amp;D684&amp;E684&amp;F684&amp;G684&amp;H684&amp;I684&amp;J684&amp;K684&amp;L684&amp;M684&amp;N684&amp;O684&amp;P684</f>
        <v>USR-10068345797ControlEastMobileOrganicBasic000000042.1</v>
      </c>
      <c r="S684" s="22" t="str">
        <f>IF(COUNTIF($R$2:$R$1409,R684)=1,"OK",IF(COUNTIF($R$2:$R$1409,R684)&gt;1,"Exact Duplicate","Review Required"))</f>
        <v>OK</v>
      </c>
      <c r="T684" s="22" t="s">
        <v>24</v>
      </c>
      <c r="U684" s="22" t="s">
        <v>25</v>
      </c>
      <c r="V684" s="22"/>
    </row>
    <row r="685" spans="1:22" ht="41.4">
      <c r="A685" s="22" t="s">
        <v>715</v>
      </c>
      <c r="B685" s="25">
        <v>45712</v>
      </c>
      <c r="C685" s="22" t="s">
        <v>17</v>
      </c>
      <c r="D685" s="22" t="s">
        <v>32</v>
      </c>
      <c r="E685" s="22" t="s">
        <v>19</v>
      </c>
      <c r="F685" s="22" t="s">
        <v>39</v>
      </c>
      <c r="G685" s="22" t="s">
        <v>26</v>
      </c>
      <c r="H685" s="22">
        <v>0</v>
      </c>
      <c r="I685" s="22">
        <v>0</v>
      </c>
      <c r="J685" s="22">
        <v>0</v>
      </c>
      <c r="K685" s="22">
        <v>0</v>
      </c>
      <c r="L685" s="22">
        <v>0</v>
      </c>
      <c r="M685" s="22">
        <v>0</v>
      </c>
      <c r="N685" s="22">
        <v>0</v>
      </c>
      <c r="O685" s="22"/>
      <c r="P685" s="22">
        <v>27.6</v>
      </c>
      <c r="Q685" s="22" t="str">
        <f>IF(OR(L685&lt;$Y$18,L685&gt;$Y$19),"Outlier","Normal")</f>
        <v>Normal</v>
      </c>
      <c r="R685" s="26" t="str">
        <f>A685&amp;B685&amp;C685&amp;D685&amp;E685&amp;F685&amp;G685&amp;H685&amp;I685&amp;J685&amp;K685&amp;L685&amp;M685&amp;N685&amp;O685&amp;P685</f>
        <v>USR-10068445712ControlSouthDesktopReferralFree000000027.6</v>
      </c>
      <c r="S685" s="22" t="str">
        <f>IF(COUNTIF($R$2:$R$1409,R685)=1,"OK",IF(COUNTIF($R$2:$R$1409,R685)&gt;1,"Exact Duplicate","Review Required"))</f>
        <v>OK</v>
      </c>
      <c r="T685" s="22" t="s">
        <v>19</v>
      </c>
      <c r="U685" s="22" t="s">
        <v>39</v>
      </c>
      <c r="V685" s="22"/>
    </row>
    <row r="686" spans="1:22" ht="41.4">
      <c r="A686" s="22" t="s">
        <v>716</v>
      </c>
      <c r="B686" s="25">
        <v>45701</v>
      </c>
      <c r="C686" s="22" t="s">
        <v>17</v>
      </c>
      <c r="D686" s="22" t="s">
        <v>23</v>
      </c>
      <c r="E686" s="22" t="s">
        <v>24</v>
      </c>
      <c r="F686" s="22" t="s">
        <v>25</v>
      </c>
      <c r="G686" s="22" t="s">
        <v>30</v>
      </c>
      <c r="H686" s="22">
        <v>1</v>
      </c>
      <c r="I686" s="22">
        <v>0</v>
      </c>
      <c r="J686" s="22">
        <v>0</v>
      </c>
      <c r="K686" s="22">
        <v>0</v>
      </c>
      <c r="L686" s="22">
        <v>0</v>
      </c>
      <c r="M686" s="22">
        <v>1</v>
      </c>
      <c r="N686" s="22">
        <v>0</v>
      </c>
      <c r="O686" s="22"/>
      <c r="P686" s="22">
        <v>68.5</v>
      </c>
      <c r="Q686" s="22" t="str">
        <f>IF(OR(L686&lt;$Y$18,L686&gt;$Y$19),"Outlier","Normal")</f>
        <v>Normal</v>
      </c>
      <c r="R686" s="26" t="str">
        <f>A686&amp;B686&amp;C686&amp;D686&amp;E686&amp;F686&amp;G686&amp;H686&amp;I686&amp;J686&amp;K686&amp;L686&amp;M686&amp;N686&amp;O686&amp;P686</f>
        <v>USR-10068545701ControlWestMobileOrganicPremium100001068.5</v>
      </c>
      <c r="S686" s="22" t="str">
        <f>IF(COUNTIF($R$2:$R$1409,R686)=1,"OK",IF(COUNTIF($R$2:$R$1409,R686)&gt;1,"Exact Duplicate","Review Required"))</f>
        <v>OK</v>
      </c>
      <c r="T686" s="22" t="s">
        <v>24</v>
      </c>
      <c r="U686" s="22" t="s">
        <v>25</v>
      </c>
      <c r="V686" s="22"/>
    </row>
    <row r="687" spans="1:22" ht="41.4">
      <c r="A687" s="22" t="s">
        <v>717</v>
      </c>
      <c r="B687" s="25">
        <v>45694</v>
      </c>
      <c r="C687" s="22" t="s">
        <v>17</v>
      </c>
      <c r="D687" s="22" t="s">
        <v>32</v>
      </c>
      <c r="E687" s="22" t="s">
        <v>19</v>
      </c>
      <c r="F687" s="22" t="s">
        <v>25</v>
      </c>
      <c r="G687" s="22" t="s">
        <v>26</v>
      </c>
      <c r="H687" s="22">
        <v>1</v>
      </c>
      <c r="I687" s="22">
        <v>1</v>
      </c>
      <c r="J687" s="22">
        <v>1</v>
      </c>
      <c r="K687" s="22">
        <v>0</v>
      </c>
      <c r="L687" s="22">
        <v>0</v>
      </c>
      <c r="M687" s="22">
        <v>0</v>
      </c>
      <c r="N687" s="22">
        <v>0</v>
      </c>
      <c r="O687" s="22"/>
      <c r="P687" s="22">
        <v>59.2</v>
      </c>
      <c r="Q687" s="22" t="str">
        <f>IF(OR(L687&lt;$Y$18,L687&gt;$Y$19),"Outlier","Normal")</f>
        <v>Normal</v>
      </c>
      <c r="R687" s="26" t="str">
        <f>A687&amp;B687&amp;C687&amp;D687&amp;E687&amp;F687&amp;G687&amp;H687&amp;I687&amp;J687&amp;K687&amp;L687&amp;M687&amp;N687&amp;O687&amp;P687</f>
        <v>USR-10068645694ControlSouthDesktopOrganicFree111000059.2</v>
      </c>
      <c r="S687" s="22" t="str">
        <f>IF(COUNTIF($R$2:$R$1409,R687)=1,"OK",IF(COUNTIF($R$2:$R$1409,R687)&gt;1,"Exact Duplicate","Review Required"))</f>
        <v>OK</v>
      </c>
      <c r="T687" s="22" t="s">
        <v>19</v>
      </c>
      <c r="U687" s="22" t="s">
        <v>25</v>
      </c>
      <c r="V687" s="22"/>
    </row>
    <row r="688" spans="1:22" ht="41.4">
      <c r="A688" s="22" t="s">
        <v>718</v>
      </c>
      <c r="B688" s="25">
        <v>45718</v>
      </c>
      <c r="C688" s="22" t="s">
        <v>17</v>
      </c>
      <c r="D688" s="22" t="s">
        <v>18</v>
      </c>
      <c r="E688" s="22" t="s">
        <v>24</v>
      </c>
      <c r="F688" s="22" t="s">
        <v>41</v>
      </c>
      <c r="G688" s="22" t="s">
        <v>21</v>
      </c>
      <c r="H688" s="22">
        <v>1</v>
      </c>
      <c r="I688" s="22">
        <v>0</v>
      </c>
      <c r="J688" s="22">
        <v>0</v>
      </c>
      <c r="K688" s="22">
        <v>0</v>
      </c>
      <c r="L688" s="22">
        <v>0</v>
      </c>
      <c r="M688" s="22">
        <v>0</v>
      </c>
      <c r="N688" s="22">
        <v>0</v>
      </c>
      <c r="O688" s="22"/>
      <c r="P688" s="22">
        <v>63.3</v>
      </c>
      <c r="Q688" s="22" t="str">
        <f>IF(OR(L688&lt;$Y$18,L688&gt;$Y$19),"Outlier","Normal")</f>
        <v>Normal</v>
      </c>
      <c r="R688" s="26" t="str">
        <f>A688&amp;B688&amp;C688&amp;D688&amp;E688&amp;F688&amp;G688&amp;H688&amp;I688&amp;J688&amp;K688&amp;L688&amp;M688&amp;N688&amp;O688&amp;P688</f>
        <v>USR-10068745718ControlNorthMobileSocialBasic100000063.3</v>
      </c>
      <c r="S688" s="22" t="str">
        <f>IF(COUNTIF($R$2:$R$1409,R688)=1,"OK",IF(COUNTIF($R$2:$R$1409,R688)&gt;1,"Exact Duplicate","Review Required"))</f>
        <v>OK</v>
      </c>
      <c r="T688" s="22" t="s">
        <v>24</v>
      </c>
      <c r="U688" s="22" t="s">
        <v>41</v>
      </c>
      <c r="V688" s="22"/>
    </row>
    <row r="689" spans="1:22" ht="41.4">
      <c r="A689" s="22" t="s">
        <v>719</v>
      </c>
      <c r="B689" s="25">
        <v>45775</v>
      </c>
      <c r="C689" s="22" t="s">
        <v>17</v>
      </c>
      <c r="D689" s="22" t="s">
        <v>28</v>
      </c>
      <c r="E689" s="22" t="s">
        <v>19</v>
      </c>
      <c r="F689" s="22" t="s">
        <v>29</v>
      </c>
      <c r="G689" s="22" t="s">
        <v>26</v>
      </c>
      <c r="H689" s="22">
        <v>0</v>
      </c>
      <c r="I689" s="22">
        <v>0</v>
      </c>
      <c r="J689" s="22">
        <v>0</v>
      </c>
      <c r="K689" s="22">
        <v>0</v>
      </c>
      <c r="L689" s="22">
        <v>0</v>
      </c>
      <c r="M689" s="22">
        <v>0</v>
      </c>
      <c r="N689" s="22">
        <v>0</v>
      </c>
      <c r="O689" s="22"/>
      <c r="P689" s="22">
        <v>55</v>
      </c>
      <c r="Q689" s="22" t="str">
        <f>IF(OR(L689&lt;$Y$18,L689&gt;$Y$19),"Outlier","Normal")</f>
        <v>Normal</v>
      </c>
      <c r="R689" s="26" t="str">
        <f>A689&amp;B689&amp;C689&amp;D689&amp;E689&amp;F689&amp;G689&amp;H689&amp;I689&amp;J689&amp;K689&amp;L689&amp;M689&amp;N689&amp;O689&amp;P689</f>
        <v>USR-10068845775ControlEastDesktopPaid SearchFree000000055</v>
      </c>
      <c r="S689" s="22" t="str">
        <f>IF(COUNTIF($R$2:$R$1409,R689)=1,"OK",IF(COUNTIF($R$2:$R$1409,R689)&gt;1,"Exact Duplicate","Review Required"))</f>
        <v>OK</v>
      </c>
      <c r="T689" s="22" t="s">
        <v>19</v>
      </c>
      <c r="U689" s="22" t="s">
        <v>29</v>
      </c>
      <c r="V689" s="22"/>
    </row>
    <row r="690" spans="1:22" ht="41.4">
      <c r="A690" s="22" t="s">
        <v>720</v>
      </c>
      <c r="B690" s="25">
        <v>45804</v>
      </c>
      <c r="C690" s="22" t="s">
        <v>17</v>
      </c>
      <c r="D690" s="22" t="s">
        <v>18</v>
      </c>
      <c r="E690" s="22" t="s">
        <v>19</v>
      </c>
      <c r="F690" s="22" t="s">
        <v>1482</v>
      </c>
      <c r="G690" s="22" t="s">
        <v>30</v>
      </c>
      <c r="H690" s="22">
        <v>1</v>
      </c>
      <c r="I690" s="22">
        <v>0</v>
      </c>
      <c r="J690" s="22">
        <v>0</v>
      </c>
      <c r="K690" s="22">
        <v>0</v>
      </c>
      <c r="L690" s="22">
        <v>0</v>
      </c>
      <c r="M690" s="22">
        <v>0</v>
      </c>
      <c r="N690" s="22">
        <v>0</v>
      </c>
      <c r="O690" s="22"/>
      <c r="P690" s="22">
        <v>64.8</v>
      </c>
      <c r="Q690" s="22" t="str">
        <f>IF(OR(L690&lt;$Y$18,L690&gt;$Y$19),"Outlier","Normal")</f>
        <v>Normal</v>
      </c>
      <c r="R690" s="26" t="str">
        <f>A690&amp;B690&amp;C690&amp;D690&amp;E690&amp;F690&amp;G690&amp;H690&amp;I690&amp;J690&amp;K690&amp;L690&amp;M690&amp;N690&amp;O690&amp;P690</f>
        <v>USR-10068945804ControlNorthDesktopUnknownPremium100000064.8</v>
      </c>
      <c r="S690" s="22" t="str">
        <f>IF(COUNTIF($R$2:$R$1409,R690)=1,"OK",IF(COUNTIF($R$2:$R$1409,R690)&gt;1,"Exact Duplicate","Review Required"))</f>
        <v>OK</v>
      </c>
      <c r="T690" s="22" t="s">
        <v>19</v>
      </c>
      <c r="U690" s="22"/>
      <c r="V690" s="22"/>
    </row>
    <row r="691" spans="1:22" ht="41.4">
      <c r="A691" s="22" t="s">
        <v>721</v>
      </c>
      <c r="B691" s="25">
        <v>45754</v>
      </c>
      <c r="C691" s="22" t="s">
        <v>17</v>
      </c>
      <c r="D691" s="22" t="s">
        <v>32</v>
      </c>
      <c r="E691" s="22" t="s">
        <v>19</v>
      </c>
      <c r="F691" s="22" t="s">
        <v>25</v>
      </c>
      <c r="G691" s="22" t="s">
        <v>21</v>
      </c>
      <c r="H691" s="22">
        <v>0</v>
      </c>
      <c r="I691" s="22">
        <v>0</v>
      </c>
      <c r="J691" s="22">
        <v>0</v>
      </c>
      <c r="K691" s="22">
        <v>0</v>
      </c>
      <c r="L691" s="22">
        <v>0</v>
      </c>
      <c r="M691" s="22">
        <v>2</v>
      </c>
      <c r="N691" s="22">
        <v>0</v>
      </c>
      <c r="O691" s="22"/>
      <c r="P691" s="22">
        <v>41.8</v>
      </c>
      <c r="Q691" s="22" t="str">
        <f>IF(OR(L691&lt;$Y$18,L691&gt;$Y$19),"Outlier","Normal")</f>
        <v>Normal</v>
      </c>
      <c r="R691" s="26" t="str">
        <f>A691&amp;B691&amp;C691&amp;D691&amp;E691&amp;F691&amp;G691&amp;H691&amp;I691&amp;J691&amp;K691&amp;L691&amp;M691&amp;N691&amp;O691&amp;P691</f>
        <v>USR-10069045754ControlSouthDesktopOrganicBasic000002041.8</v>
      </c>
      <c r="S691" s="22" t="str">
        <f>IF(COUNTIF($R$2:$R$1409,R691)=1,"OK",IF(COUNTIF($R$2:$R$1409,R691)&gt;1,"Exact Duplicate","Review Required"))</f>
        <v>OK</v>
      </c>
      <c r="T691" s="22" t="s">
        <v>19</v>
      </c>
      <c r="U691" s="22" t="s">
        <v>25</v>
      </c>
      <c r="V691" s="22"/>
    </row>
    <row r="692" spans="1:22" ht="41.4">
      <c r="A692" s="22" t="s">
        <v>722</v>
      </c>
      <c r="B692" s="25">
        <v>45761</v>
      </c>
      <c r="C692" s="22" t="s">
        <v>723</v>
      </c>
      <c r="D692" s="22" t="s">
        <v>28</v>
      </c>
      <c r="E692" s="22" t="s">
        <v>19</v>
      </c>
      <c r="F692" s="22" t="s">
        <v>41</v>
      </c>
      <c r="G692" s="22" t="s">
        <v>21</v>
      </c>
      <c r="H692" s="22">
        <v>1</v>
      </c>
      <c r="I692" s="22">
        <v>0</v>
      </c>
      <c r="J692" s="22">
        <v>0</v>
      </c>
      <c r="K692" s="22">
        <v>0</v>
      </c>
      <c r="L692" s="22">
        <v>0</v>
      </c>
      <c r="M692" s="22">
        <v>0</v>
      </c>
      <c r="N692" s="22">
        <v>0</v>
      </c>
      <c r="O692" s="22"/>
      <c r="P692" s="22">
        <v>73.2</v>
      </c>
      <c r="Q692" s="22" t="str">
        <f>IF(OR(L692&lt;$Y$18,L692&gt;$Y$19),"Outlier","Normal")</f>
        <v>Normal</v>
      </c>
      <c r="R692" s="26" t="str">
        <f>A692&amp;B692&amp;C692&amp;D692&amp;E692&amp;F692&amp;G692&amp;H692&amp;I692&amp;J692&amp;K692&amp;L692&amp;M692&amp;N692&amp;O692&amp;P692</f>
        <v>USR-10069145761TreatmentEastDesktopSocialBasic100000073.2</v>
      </c>
      <c r="S692" s="22" t="str">
        <f>IF(COUNTIF($R$2:$R$1409,R692)=1,"OK",IF(COUNTIF($R$2:$R$1409,R692)&gt;1,"Exact Duplicate","Review Required"))</f>
        <v>OK</v>
      </c>
      <c r="T692" s="22" t="s">
        <v>19</v>
      </c>
      <c r="U692" s="22" t="s">
        <v>41</v>
      </c>
      <c r="V692" s="22"/>
    </row>
    <row r="693" spans="1:22" ht="41.4">
      <c r="A693" s="22" t="s">
        <v>724</v>
      </c>
      <c r="B693" s="25">
        <v>45786</v>
      </c>
      <c r="C693" s="22" t="s">
        <v>723</v>
      </c>
      <c r="D693" s="22" t="s">
        <v>28</v>
      </c>
      <c r="E693" s="22" t="s">
        <v>19</v>
      </c>
      <c r="F693" s="22" t="s">
        <v>25</v>
      </c>
      <c r="G693" s="22" t="s">
        <v>21</v>
      </c>
      <c r="H693" s="22">
        <v>1</v>
      </c>
      <c r="I693" s="22">
        <v>1</v>
      </c>
      <c r="J693" s="22">
        <v>1</v>
      </c>
      <c r="K693" s="22">
        <v>0</v>
      </c>
      <c r="L693" s="22">
        <v>0</v>
      </c>
      <c r="M693" s="22">
        <v>3</v>
      </c>
      <c r="N693" s="22">
        <v>0</v>
      </c>
      <c r="O693" s="22"/>
      <c r="P693" s="22">
        <v>55.7</v>
      </c>
      <c r="Q693" s="22" t="str">
        <f>IF(OR(L693&lt;$Y$18,L693&gt;$Y$19),"Outlier","Normal")</f>
        <v>Normal</v>
      </c>
      <c r="R693" s="26" t="str">
        <f>A693&amp;B693&amp;C693&amp;D693&amp;E693&amp;F693&amp;G693&amp;H693&amp;I693&amp;J693&amp;K693&amp;L693&amp;M693&amp;N693&amp;O693&amp;P693</f>
        <v>USR-10069245786TreatmentEastDesktopOrganicBasic111003055.7</v>
      </c>
      <c r="S693" s="22" t="str">
        <f>IF(COUNTIF($R$2:$R$1409,R693)=1,"OK",IF(COUNTIF($R$2:$R$1409,R693)&gt;1,"Exact Duplicate","Review Required"))</f>
        <v>OK</v>
      </c>
      <c r="T693" s="22" t="s">
        <v>19</v>
      </c>
      <c r="U693" s="22" t="s">
        <v>25</v>
      </c>
      <c r="V693" s="22"/>
    </row>
    <row r="694" spans="1:22" ht="41.4">
      <c r="A694" s="22" t="s">
        <v>725</v>
      </c>
      <c r="B694" s="25">
        <v>45737</v>
      </c>
      <c r="C694" s="22" t="s">
        <v>723</v>
      </c>
      <c r="D694" s="22" t="s">
        <v>18</v>
      </c>
      <c r="E694" s="22" t="s">
        <v>24</v>
      </c>
      <c r="F694" s="22" t="s">
        <v>25</v>
      </c>
      <c r="G694" s="22" t="s">
        <v>26</v>
      </c>
      <c r="H694" s="22">
        <v>1</v>
      </c>
      <c r="I694" s="22">
        <v>1</v>
      </c>
      <c r="J694" s="22">
        <v>1</v>
      </c>
      <c r="K694" s="22">
        <v>0</v>
      </c>
      <c r="L694" s="22">
        <v>0</v>
      </c>
      <c r="M694" s="22">
        <v>0</v>
      </c>
      <c r="N694" s="22">
        <v>0</v>
      </c>
      <c r="O694" s="22"/>
      <c r="P694" s="22">
        <v>82.8</v>
      </c>
      <c r="Q694" s="22" t="str">
        <f>IF(OR(L694&lt;$Y$18,L694&gt;$Y$19),"Outlier","Normal")</f>
        <v>Normal</v>
      </c>
      <c r="R694" s="26" t="str">
        <f>A694&amp;B694&amp;C694&amp;D694&amp;E694&amp;F694&amp;G694&amp;H694&amp;I694&amp;J694&amp;K694&amp;L694&amp;M694&amp;N694&amp;O694&amp;P694</f>
        <v>USR-10069345737TreatmentNorthMobileOrganicFree111000082.8</v>
      </c>
      <c r="S694" s="22" t="str">
        <f>IF(COUNTIF($R$2:$R$1409,R694)=1,"OK",IF(COUNTIF($R$2:$R$1409,R694)&gt;1,"Exact Duplicate","Review Required"))</f>
        <v>OK</v>
      </c>
      <c r="T694" s="22" t="s">
        <v>24</v>
      </c>
      <c r="U694" s="22" t="s">
        <v>25</v>
      </c>
      <c r="V694" s="22"/>
    </row>
    <row r="695" spans="1:22" ht="41.4">
      <c r="A695" s="22" t="s">
        <v>726</v>
      </c>
      <c r="B695" s="25">
        <v>45743</v>
      </c>
      <c r="C695" s="22" t="s">
        <v>723</v>
      </c>
      <c r="D695" s="22" t="s">
        <v>18</v>
      </c>
      <c r="E695" s="22" t="s">
        <v>19</v>
      </c>
      <c r="F695" s="22" t="s">
        <v>41</v>
      </c>
      <c r="G695" s="22" t="s">
        <v>26</v>
      </c>
      <c r="H695" s="22">
        <v>1</v>
      </c>
      <c r="I695" s="22">
        <v>0</v>
      </c>
      <c r="J695" s="22">
        <v>0</v>
      </c>
      <c r="K695" s="22">
        <v>0</v>
      </c>
      <c r="L695" s="22">
        <v>0</v>
      </c>
      <c r="M695" s="22">
        <v>0</v>
      </c>
      <c r="N695" s="22">
        <v>0</v>
      </c>
      <c r="O695" s="22"/>
      <c r="P695" s="22"/>
      <c r="Q695" s="22" t="str">
        <f>IF(OR(L695&lt;$Y$18,L695&gt;$Y$19),"Outlier","Normal")</f>
        <v>Normal</v>
      </c>
      <c r="R695" s="26" t="str">
        <f>A695&amp;B695&amp;C695&amp;D695&amp;E695&amp;F695&amp;G695&amp;H695&amp;I695&amp;J695&amp;K695&amp;L695&amp;M695&amp;N695&amp;O695&amp;P695</f>
        <v>USR-10069445743TreatmentNorthDesktopSocialFree1000000</v>
      </c>
      <c r="S695" s="22" t="str">
        <f>IF(COUNTIF($R$2:$R$1409,R695)=1,"OK",IF(COUNTIF($R$2:$R$1409,R695)&gt;1,"Exact Duplicate","Review Required"))</f>
        <v>OK</v>
      </c>
      <c r="T695" s="22" t="s">
        <v>19</v>
      </c>
      <c r="U695" s="22" t="s">
        <v>41</v>
      </c>
      <c r="V695" s="22"/>
    </row>
    <row r="696" spans="1:22" ht="41.4">
      <c r="A696" s="22" t="s">
        <v>727</v>
      </c>
      <c r="B696" s="25">
        <v>45678</v>
      </c>
      <c r="C696" s="22" t="s">
        <v>723</v>
      </c>
      <c r="D696" s="22" t="s">
        <v>32</v>
      </c>
      <c r="E696" s="22" t="s">
        <v>24</v>
      </c>
      <c r="F696" s="22" t="s">
        <v>29</v>
      </c>
      <c r="G696" s="22" t="s">
        <v>26</v>
      </c>
      <c r="H696" s="22">
        <v>0</v>
      </c>
      <c r="I696" s="22">
        <v>0</v>
      </c>
      <c r="J696" s="22">
        <v>0</v>
      </c>
      <c r="K696" s="22">
        <v>0</v>
      </c>
      <c r="L696" s="22">
        <v>0</v>
      </c>
      <c r="M696" s="22">
        <v>0</v>
      </c>
      <c r="N696" s="22">
        <v>0</v>
      </c>
      <c r="O696" s="22"/>
      <c r="P696" s="22">
        <v>34.4</v>
      </c>
      <c r="Q696" s="22" t="str">
        <f>IF(OR(L696&lt;$Y$18,L696&gt;$Y$19),"Outlier","Normal")</f>
        <v>Normal</v>
      </c>
      <c r="R696" s="26" t="str">
        <f>A696&amp;B696&amp;C696&amp;D696&amp;E696&amp;F696&amp;G696&amp;H696&amp;I696&amp;J696&amp;K696&amp;L696&amp;M696&amp;N696&amp;O696&amp;P696</f>
        <v>USR-10069545678TreatmentSouthMobilePaid SearchFree000000034.4</v>
      </c>
      <c r="S696" s="22" t="str">
        <f>IF(COUNTIF($R$2:$R$1409,R696)=1,"OK",IF(COUNTIF($R$2:$R$1409,R696)&gt;1,"Exact Duplicate","Review Required"))</f>
        <v>OK</v>
      </c>
      <c r="T696" s="22" t="s">
        <v>24</v>
      </c>
      <c r="U696" s="22" t="s">
        <v>29</v>
      </c>
      <c r="V696" s="22"/>
    </row>
    <row r="697" spans="1:22" ht="41.4">
      <c r="A697" s="22" t="s">
        <v>728</v>
      </c>
      <c r="B697" s="25">
        <v>45735</v>
      </c>
      <c r="C697" s="22" t="s">
        <v>723</v>
      </c>
      <c r="D697" s="22" t="s">
        <v>28</v>
      </c>
      <c r="E697" s="22" t="s">
        <v>19</v>
      </c>
      <c r="F697" s="22" t="s">
        <v>20</v>
      </c>
      <c r="G697" s="22" t="s">
        <v>26</v>
      </c>
      <c r="H697" s="22">
        <v>1</v>
      </c>
      <c r="I697" s="22">
        <v>0</v>
      </c>
      <c r="J697" s="22">
        <v>0</v>
      </c>
      <c r="K697" s="22">
        <v>0</v>
      </c>
      <c r="L697" s="22">
        <v>0</v>
      </c>
      <c r="M697" s="22">
        <v>0</v>
      </c>
      <c r="N697" s="22">
        <v>0</v>
      </c>
      <c r="O697" s="22"/>
      <c r="P697" s="22">
        <v>45.2</v>
      </c>
      <c r="Q697" s="22" t="str">
        <f>IF(OR(L697&lt;$Y$18,L697&gt;$Y$19),"Outlier","Normal")</f>
        <v>Normal</v>
      </c>
      <c r="R697" s="26" t="str">
        <f>A697&amp;B697&amp;C697&amp;D697&amp;E697&amp;F697&amp;G697&amp;H697&amp;I697&amp;J697&amp;K697&amp;L697&amp;M697&amp;N697&amp;O697&amp;P697</f>
        <v>USR-10069645735TreatmentEastDesktopEmailFree100000045.2</v>
      </c>
      <c r="S697" s="22" t="str">
        <f>IF(COUNTIF($R$2:$R$1409,R697)=1,"OK",IF(COUNTIF($R$2:$R$1409,R697)&gt;1,"Exact Duplicate","Review Required"))</f>
        <v>OK</v>
      </c>
      <c r="T697" s="22" t="s">
        <v>19</v>
      </c>
      <c r="U697" s="22" t="s">
        <v>20</v>
      </c>
      <c r="V697" s="22"/>
    </row>
    <row r="698" spans="1:22" ht="41.4">
      <c r="A698" s="22" t="s">
        <v>729</v>
      </c>
      <c r="B698" s="25">
        <v>45804</v>
      </c>
      <c r="C698" s="22" t="s">
        <v>723</v>
      </c>
      <c r="D698" s="22" t="s">
        <v>18</v>
      </c>
      <c r="E698" s="22" t="s">
        <v>24</v>
      </c>
      <c r="F698" s="22" t="s">
        <v>25</v>
      </c>
      <c r="G698" s="22" t="s">
        <v>21</v>
      </c>
      <c r="H698" s="22">
        <v>1</v>
      </c>
      <c r="I698" s="22">
        <v>0</v>
      </c>
      <c r="J698" s="22">
        <v>0</v>
      </c>
      <c r="K698" s="22">
        <v>0</v>
      </c>
      <c r="L698" s="22">
        <v>0</v>
      </c>
      <c r="M698" s="22">
        <v>0</v>
      </c>
      <c r="N698" s="22">
        <v>0</v>
      </c>
      <c r="O698" s="22"/>
      <c r="P698" s="22">
        <v>71.599999999999994</v>
      </c>
      <c r="Q698" s="22" t="str">
        <f>IF(OR(L698&lt;$Y$18,L698&gt;$Y$19),"Outlier","Normal")</f>
        <v>Normal</v>
      </c>
      <c r="R698" s="26" t="str">
        <f>A698&amp;B698&amp;C698&amp;D698&amp;E698&amp;F698&amp;G698&amp;H698&amp;I698&amp;J698&amp;K698&amp;L698&amp;M698&amp;N698&amp;O698&amp;P698</f>
        <v>USR-10069745804TreatmentNorthMobileOrganicBasic100000071.6</v>
      </c>
      <c r="S698" s="22" t="str">
        <f>IF(COUNTIF($R$2:$R$1409,R698)=1,"OK",IF(COUNTIF($R$2:$R$1409,R698)&gt;1,"Exact Duplicate","Review Required"))</f>
        <v>OK</v>
      </c>
      <c r="T698" s="22" t="s">
        <v>24</v>
      </c>
      <c r="U698" s="22" t="s">
        <v>25</v>
      </c>
      <c r="V698" s="22"/>
    </row>
    <row r="699" spans="1:22" ht="41.4">
      <c r="A699" s="22" t="s">
        <v>730</v>
      </c>
      <c r="B699" s="25">
        <v>45658</v>
      </c>
      <c r="C699" s="22" t="s">
        <v>723</v>
      </c>
      <c r="D699" s="22" t="s">
        <v>18</v>
      </c>
      <c r="E699" s="22" t="s">
        <v>24</v>
      </c>
      <c r="F699" s="22" t="s">
        <v>41</v>
      </c>
      <c r="G699" s="22" t="s">
        <v>26</v>
      </c>
      <c r="H699" s="22">
        <v>1</v>
      </c>
      <c r="I699" s="22">
        <v>1</v>
      </c>
      <c r="J699" s="22">
        <v>1</v>
      </c>
      <c r="K699" s="22">
        <v>0</v>
      </c>
      <c r="L699" s="22">
        <v>0</v>
      </c>
      <c r="M699" s="22">
        <v>0</v>
      </c>
      <c r="N699" s="22">
        <v>0</v>
      </c>
      <c r="O699" s="22"/>
      <c r="P699" s="22">
        <v>69.099999999999994</v>
      </c>
      <c r="Q699" s="22" t="str">
        <f>IF(OR(L699&lt;$Y$18,L699&gt;$Y$19),"Outlier","Normal")</f>
        <v>Normal</v>
      </c>
      <c r="R699" s="26" t="str">
        <f>A699&amp;B699&amp;C699&amp;D699&amp;E699&amp;F699&amp;G699&amp;H699&amp;I699&amp;J699&amp;K699&amp;L699&amp;M699&amp;N699&amp;O699&amp;P699</f>
        <v>USR-10069845658TreatmentNorthMobileSocialFree111000069.1</v>
      </c>
      <c r="S699" s="22" t="str">
        <f>IF(COUNTIF($R$2:$R$1409,R699)=1,"OK",IF(COUNTIF($R$2:$R$1409,R699)&gt;1,"Exact Duplicate","Review Required"))</f>
        <v>OK</v>
      </c>
      <c r="T699" s="22" t="s">
        <v>24</v>
      </c>
      <c r="U699" s="22" t="s">
        <v>41</v>
      </c>
      <c r="V699" s="22"/>
    </row>
    <row r="700" spans="1:22" ht="41.4">
      <c r="A700" s="22" t="s">
        <v>731</v>
      </c>
      <c r="B700" s="25">
        <v>45745</v>
      </c>
      <c r="C700" s="22" t="s">
        <v>723</v>
      </c>
      <c r="D700" s="22" t="s">
        <v>23</v>
      </c>
      <c r="E700" s="22" t="s">
        <v>19</v>
      </c>
      <c r="F700" s="22" t="s">
        <v>29</v>
      </c>
      <c r="G700" s="22" t="s">
        <v>30</v>
      </c>
      <c r="H700" s="22">
        <v>1</v>
      </c>
      <c r="I700" s="22">
        <v>0</v>
      </c>
      <c r="J700" s="22">
        <v>0</v>
      </c>
      <c r="K700" s="22">
        <v>0</v>
      </c>
      <c r="L700" s="22">
        <v>0</v>
      </c>
      <c r="M700" s="22">
        <v>1</v>
      </c>
      <c r="N700" s="22">
        <v>0</v>
      </c>
      <c r="O700" s="22"/>
      <c r="P700" s="22">
        <v>37.700000000000003</v>
      </c>
      <c r="Q700" s="22" t="str">
        <f>IF(OR(L700&lt;$Y$18,L700&gt;$Y$19),"Outlier","Normal")</f>
        <v>Normal</v>
      </c>
      <c r="R700" s="26" t="str">
        <f>A700&amp;B700&amp;C700&amp;D700&amp;E700&amp;F700&amp;G700&amp;H700&amp;I700&amp;J700&amp;K700&amp;L700&amp;M700&amp;N700&amp;O700&amp;P700</f>
        <v>USR-10069945745TreatmentWestDesktopPaid SearchPremium100001037.7</v>
      </c>
      <c r="S700" s="22" t="str">
        <f>IF(COUNTIF($R$2:$R$1409,R700)=1,"OK",IF(COUNTIF($R$2:$R$1409,R700)&gt;1,"Exact Duplicate","Review Required"))</f>
        <v>OK</v>
      </c>
      <c r="T700" s="22" t="s">
        <v>19</v>
      </c>
      <c r="U700" s="22" t="s">
        <v>29</v>
      </c>
      <c r="V700" s="22"/>
    </row>
    <row r="701" spans="1:22" ht="41.4">
      <c r="A701" s="22" t="s">
        <v>732</v>
      </c>
      <c r="B701" s="25">
        <v>45733</v>
      </c>
      <c r="C701" s="22" t="s">
        <v>723</v>
      </c>
      <c r="D701" s="22" t="s">
        <v>23</v>
      </c>
      <c r="E701" s="22" t="s">
        <v>19</v>
      </c>
      <c r="F701" s="22" t="s">
        <v>25</v>
      </c>
      <c r="G701" s="22" t="s">
        <v>21</v>
      </c>
      <c r="H701" s="22">
        <v>1</v>
      </c>
      <c r="I701" s="22">
        <v>0</v>
      </c>
      <c r="J701" s="22">
        <v>0</v>
      </c>
      <c r="K701" s="22">
        <v>0</v>
      </c>
      <c r="L701" s="22">
        <v>0</v>
      </c>
      <c r="M701" s="22">
        <v>1</v>
      </c>
      <c r="N701" s="22">
        <v>0</v>
      </c>
      <c r="O701" s="22"/>
      <c r="P701" s="22">
        <v>60.8</v>
      </c>
      <c r="Q701" s="22" t="str">
        <f>IF(OR(L701&lt;$Y$18,L701&gt;$Y$19),"Outlier","Normal")</f>
        <v>Normal</v>
      </c>
      <c r="R701" s="26" t="str">
        <f>A701&amp;B701&amp;C701&amp;D701&amp;E701&amp;F701&amp;G701&amp;H701&amp;I701&amp;J701&amp;K701&amp;L701&amp;M701&amp;N701&amp;O701&amp;P701</f>
        <v>USR-10070045733TreatmentWestDesktopOrganicBasic100001060.8</v>
      </c>
      <c r="S701" s="22" t="str">
        <f>IF(COUNTIF($R$2:$R$1409,R701)=1,"OK",IF(COUNTIF($R$2:$R$1409,R701)&gt;1,"Exact Duplicate","Review Required"))</f>
        <v>OK</v>
      </c>
      <c r="T701" s="22" t="s">
        <v>19</v>
      </c>
      <c r="U701" s="22" t="s">
        <v>25</v>
      </c>
      <c r="V701" s="22"/>
    </row>
    <row r="702" spans="1:22" ht="41.4">
      <c r="A702" s="22" t="s">
        <v>733</v>
      </c>
      <c r="B702" s="25">
        <v>45782</v>
      </c>
      <c r="C702" s="22" t="s">
        <v>723</v>
      </c>
      <c r="D702" s="22" t="s">
        <v>18</v>
      </c>
      <c r="E702" s="22" t="s">
        <v>24</v>
      </c>
      <c r="F702" s="22" t="s">
        <v>25</v>
      </c>
      <c r="G702" s="22" t="s">
        <v>26</v>
      </c>
      <c r="H702" s="22">
        <v>1</v>
      </c>
      <c r="I702" s="22">
        <v>1</v>
      </c>
      <c r="J702" s="22">
        <v>1</v>
      </c>
      <c r="K702" s="22">
        <v>1</v>
      </c>
      <c r="L702" s="22">
        <v>444.13</v>
      </c>
      <c r="M702" s="22">
        <v>0</v>
      </c>
      <c r="N702" s="22">
        <v>0</v>
      </c>
      <c r="O702" s="22">
        <v>10</v>
      </c>
      <c r="P702" s="22">
        <v>80.7</v>
      </c>
      <c r="Q702" s="22" t="str">
        <f>IF(OR(L702&lt;$Y$18,L702&gt;$Y$19),"Outlier","Normal")</f>
        <v>Normal</v>
      </c>
      <c r="R702" s="26" t="str">
        <f>A702&amp;B702&amp;C702&amp;D702&amp;E702&amp;F702&amp;G702&amp;H702&amp;I702&amp;J702&amp;K702&amp;L702&amp;M702&amp;N702&amp;O702&amp;P702</f>
        <v>USR-10070145782TreatmentNorthMobileOrganicFree1111444.13001080.7</v>
      </c>
      <c r="S702" s="22" t="str">
        <f>IF(COUNTIF($R$2:$R$1409,R702)=1,"OK",IF(COUNTIF($R$2:$R$1409,R702)&gt;1,"Exact Duplicate","Review Required"))</f>
        <v>OK</v>
      </c>
      <c r="T702" s="22" t="s">
        <v>24</v>
      </c>
      <c r="U702" s="22" t="s">
        <v>25</v>
      </c>
      <c r="V702" s="22"/>
    </row>
    <row r="703" spans="1:22" ht="41.4">
      <c r="A703" s="22" t="s">
        <v>734</v>
      </c>
      <c r="B703" s="25">
        <v>45781</v>
      </c>
      <c r="C703" s="22" t="s">
        <v>723</v>
      </c>
      <c r="D703" s="22" t="s">
        <v>32</v>
      </c>
      <c r="E703" s="22" t="s">
        <v>24</v>
      </c>
      <c r="F703" s="22" t="s">
        <v>41</v>
      </c>
      <c r="G703" s="22" t="s">
        <v>26</v>
      </c>
      <c r="H703" s="22">
        <v>1</v>
      </c>
      <c r="I703" s="22">
        <v>0</v>
      </c>
      <c r="J703" s="22">
        <v>0</v>
      </c>
      <c r="K703" s="22">
        <v>0</v>
      </c>
      <c r="L703" s="22">
        <v>0</v>
      </c>
      <c r="M703" s="22">
        <v>0</v>
      </c>
      <c r="N703" s="22">
        <v>0</v>
      </c>
      <c r="O703" s="22"/>
      <c r="P703" s="22">
        <v>69.2</v>
      </c>
      <c r="Q703" s="22" t="str">
        <f>IF(OR(L703&lt;$Y$18,L703&gt;$Y$19),"Outlier","Normal")</f>
        <v>Normal</v>
      </c>
      <c r="R703" s="26" t="str">
        <f>A703&amp;B703&amp;C703&amp;D703&amp;E703&amp;F703&amp;G703&amp;H703&amp;I703&amp;J703&amp;K703&amp;L703&amp;M703&amp;N703&amp;O703&amp;P703</f>
        <v>USR-10070245781TreatmentSouthMobileSocialFree100000069.2</v>
      </c>
      <c r="S703" s="22" t="str">
        <f>IF(COUNTIF($R$2:$R$1409,R703)=1,"OK",IF(COUNTIF($R$2:$R$1409,R703)&gt;1,"Exact Duplicate","Review Required"))</f>
        <v>OK</v>
      </c>
      <c r="T703" s="22" t="s">
        <v>24</v>
      </c>
      <c r="U703" s="22" t="s">
        <v>41</v>
      </c>
      <c r="V703" s="22"/>
    </row>
    <row r="704" spans="1:22" ht="41.4">
      <c r="A704" s="22" t="s">
        <v>735</v>
      </c>
      <c r="B704" s="25">
        <v>45741</v>
      </c>
      <c r="C704" s="22" t="s">
        <v>723</v>
      </c>
      <c r="D704" s="22" t="s">
        <v>18</v>
      </c>
      <c r="E704" s="22" t="s">
        <v>24</v>
      </c>
      <c r="F704" s="22" t="s">
        <v>41</v>
      </c>
      <c r="G704" s="22" t="s">
        <v>30</v>
      </c>
      <c r="H704" s="22">
        <v>0</v>
      </c>
      <c r="I704" s="22">
        <v>0</v>
      </c>
      <c r="J704" s="22">
        <v>0</v>
      </c>
      <c r="K704" s="22">
        <v>0</v>
      </c>
      <c r="L704" s="22">
        <v>0</v>
      </c>
      <c r="M704" s="22">
        <v>3</v>
      </c>
      <c r="N704" s="22">
        <v>0</v>
      </c>
      <c r="O704" s="22"/>
      <c r="P704" s="22">
        <v>55</v>
      </c>
      <c r="Q704" s="22" t="str">
        <f>IF(OR(L704&lt;$Y$18,L704&gt;$Y$19),"Outlier","Normal")</f>
        <v>Normal</v>
      </c>
      <c r="R704" s="26" t="str">
        <f>A704&amp;B704&amp;C704&amp;D704&amp;E704&amp;F704&amp;G704&amp;H704&amp;I704&amp;J704&amp;K704&amp;L704&amp;M704&amp;N704&amp;O704&amp;P704</f>
        <v>USR-10070345741TreatmentNorthMobileSocialPremium000003055</v>
      </c>
      <c r="S704" s="22" t="str">
        <f>IF(COUNTIF($R$2:$R$1409,R704)=1,"OK",IF(COUNTIF($R$2:$R$1409,R704)&gt;1,"Exact Duplicate","Review Required"))</f>
        <v>OK</v>
      </c>
      <c r="T704" s="22" t="s">
        <v>24</v>
      </c>
      <c r="U704" s="22" t="s">
        <v>41</v>
      </c>
      <c r="V704" s="22"/>
    </row>
    <row r="705" spans="1:22" ht="41.4">
      <c r="A705" s="22" t="s">
        <v>736</v>
      </c>
      <c r="B705" s="25">
        <v>45764</v>
      </c>
      <c r="C705" s="22" t="s">
        <v>723</v>
      </c>
      <c r="D705" s="22" t="s">
        <v>23</v>
      </c>
      <c r="E705" s="22" t="s">
        <v>24</v>
      </c>
      <c r="F705" s="22" t="s">
        <v>20</v>
      </c>
      <c r="G705" s="22" t="s">
        <v>26</v>
      </c>
      <c r="H705" s="22">
        <v>0</v>
      </c>
      <c r="I705" s="22">
        <v>0</v>
      </c>
      <c r="J705" s="22">
        <v>0</v>
      </c>
      <c r="K705" s="22">
        <v>0</v>
      </c>
      <c r="L705" s="22">
        <v>0</v>
      </c>
      <c r="M705" s="22">
        <v>1</v>
      </c>
      <c r="N705" s="22">
        <v>0</v>
      </c>
      <c r="O705" s="22"/>
      <c r="P705" s="22">
        <v>73.599999999999994</v>
      </c>
      <c r="Q705" s="22" t="str">
        <f>IF(OR(L705&lt;$Y$18,L705&gt;$Y$19),"Outlier","Normal")</f>
        <v>Normal</v>
      </c>
      <c r="R705" s="26" t="str">
        <f>A705&amp;B705&amp;C705&amp;D705&amp;E705&amp;F705&amp;G705&amp;H705&amp;I705&amp;J705&amp;K705&amp;L705&amp;M705&amp;N705&amp;O705&amp;P705</f>
        <v>USR-10070445764TreatmentWestMobileEmailFree000001073.6</v>
      </c>
      <c r="S705" s="22" t="str">
        <f>IF(COUNTIF($R$2:$R$1409,R705)=1,"OK",IF(COUNTIF($R$2:$R$1409,R705)&gt;1,"Exact Duplicate","Review Required"))</f>
        <v>OK</v>
      </c>
      <c r="T705" s="22" t="s">
        <v>24</v>
      </c>
      <c r="U705" s="22" t="s">
        <v>20</v>
      </c>
      <c r="V705" s="22"/>
    </row>
    <row r="706" spans="1:22" ht="41.4">
      <c r="A706" s="22" t="s">
        <v>737</v>
      </c>
      <c r="B706" s="25">
        <v>45800</v>
      </c>
      <c r="C706" s="22" t="s">
        <v>723</v>
      </c>
      <c r="D706" s="22" t="s">
        <v>32</v>
      </c>
      <c r="E706" s="22" t="s">
        <v>24</v>
      </c>
      <c r="F706" s="22" t="s">
        <v>39</v>
      </c>
      <c r="G706" s="22" t="s">
        <v>21</v>
      </c>
      <c r="H706" s="22">
        <v>1</v>
      </c>
      <c r="I706" s="22">
        <v>1</v>
      </c>
      <c r="J706" s="22">
        <v>1</v>
      </c>
      <c r="K706" s="22">
        <v>0</v>
      </c>
      <c r="L706" s="22">
        <v>0</v>
      </c>
      <c r="M706" s="22">
        <v>1</v>
      </c>
      <c r="N706" s="22">
        <v>0</v>
      </c>
      <c r="O706" s="22"/>
      <c r="P706" s="22">
        <v>47.3</v>
      </c>
      <c r="Q706" s="22" t="str">
        <f>IF(OR(L706&lt;$Y$18,L706&gt;$Y$19),"Outlier","Normal")</f>
        <v>Normal</v>
      </c>
      <c r="R706" s="26" t="str">
        <f>A706&amp;B706&amp;C706&amp;D706&amp;E706&amp;F706&amp;G706&amp;H706&amp;I706&amp;J706&amp;K706&amp;L706&amp;M706&amp;N706&amp;O706&amp;P706</f>
        <v>USR-10070545800TreatmentSouthMobileReferralBasic111001047.3</v>
      </c>
      <c r="S706" s="22" t="str">
        <f>IF(COUNTIF($R$2:$R$1409,R706)=1,"OK",IF(COUNTIF($R$2:$R$1409,R706)&gt;1,"Exact Duplicate","Review Required"))</f>
        <v>OK</v>
      </c>
      <c r="T706" s="22" t="s">
        <v>24</v>
      </c>
      <c r="U706" s="22" t="s">
        <v>39</v>
      </c>
      <c r="V706" s="22"/>
    </row>
    <row r="707" spans="1:22" ht="41.4">
      <c r="A707" s="22" t="s">
        <v>738</v>
      </c>
      <c r="B707" s="25">
        <v>45670</v>
      </c>
      <c r="C707" s="22" t="s">
        <v>723</v>
      </c>
      <c r="D707" s="22" t="s">
        <v>18</v>
      </c>
      <c r="E707" s="22" t="s">
        <v>24</v>
      </c>
      <c r="F707" s="22" t="s">
        <v>25</v>
      </c>
      <c r="G707" s="22" t="s">
        <v>21</v>
      </c>
      <c r="H707" s="22">
        <v>0</v>
      </c>
      <c r="I707" s="22">
        <v>0</v>
      </c>
      <c r="J707" s="22">
        <v>0</v>
      </c>
      <c r="K707" s="22">
        <v>0</v>
      </c>
      <c r="L707" s="22">
        <v>0</v>
      </c>
      <c r="M707" s="22">
        <v>0</v>
      </c>
      <c r="N707" s="22">
        <v>0</v>
      </c>
      <c r="O707" s="22"/>
      <c r="P707" s="22">
        <v>43.6</v>
      </c>
      <c r="Q707" s="22" t="str">
        <f>IF(OR(L707&lt;$Y$18,L707&gt;$Y$19),"Outlier","Normal")</f>
        <v>Normal</v>
      </c>
      <c r="R707" s="26" t="str">
        <f>A707&amp;B707&amp;C707&amp;D707&amp;E707&amp;F707&amp;G707&amp;H707&amp;I707&amp;J707&amp;K707&amp;L707&amp;M707&amp;N707&amp;O707&amp;P707</f>
        <v>USR-10070645670TreatmentNorthMobileOrganicBasic000000043.6</v>
      </c>
      <c r="S707" s="22" t="str">
        <f>IF(COUNTIF($R$2:$R$1409,R707)=1,"OK",IF(COUNTIF($R$2:$R$1409,R707)&gt;1,"Exact Duplicate","Review Required"))</f>
        <v>OK</v>
      </c>
      <c r="T707" s="22" t="s">
        <v>24</v>
      </c>
      <c r="U707" s="22" t="s">
        <v>25</v>
      </c>
      <c r="V707" s="22"/>
    </row>
    <row r="708" spans="1:22" ht="41.4">
      <c r="A708" s="22" t="s">
        <v>739</v>
      </c>
      <c r="B708" s="25">
        <v>45686</v>
      </c>
      <c r="C708" s="22" t="s">
        <v>723</v>
      </c>
      <c r="D708" s="22" t="s">
        <v>18</v>
      </c>
      <c r="E708" s="22" t="s">
        <v>19</v>
      </c>
      <c r="F708" s="22" t="s">
        <v>25</v>
      </c>
      <c r="G708" s="22" t="s">
        <v>21</v>
      </c>
      <c r="H708" s="22">
        <v>1</v>
      </c>
      <c r="I708" s="22">
        <v>0</v>
      </c>
      <c r="J708" s="22">
        <v>0</v>
      </c>
      <c r="K708" s="22">
        <v>0</v>
      </c>
      <c r="L708" s="22">
        <v>0</v>
      </c>
      <c r="M708" s="22">
        <v>0</v>
      </c>
      <c r="N708" s="22">
        <v>0</v>
      </c>
      <c r="O708" s="22"/>
      <c r="P708" s="22"/>
      <c r="Q708" s="22" t="str">
        <f>IF(OR(L708&lt;$Y$18,L708&gt;$Y$19),"Outlier","Normal")</f>
        <v>Normal</v>
      </c>
      <c r="R708" s="26" t="str">
        <f>A708&amp;B708&amp;C708&amp;D708&amp;E708&amp;F708&amp;G708&amp;H708&amp;I708&amp;J708&amp;K708&amp;L708&amp;M708&amp;N708&amp;O708&amp;P708</f>
        <v>USR-10070745686TreatmentNorthDesktopOrganicBasic1000000</v>
      </c>
      <c r="S708" s="22" t="str">
        <f>IF(COUNTIF($R$2:$R$1409,R708)=1,"OK",IF(COUNTIF($R$2:$R$1409,R708)&gt;1,"Exact Duplicate","Review Required"))</f>
        <v>OK</v>
      </c>
      <c r="T708" s="22" t="s">
        <v>19</v>
      </c>
      <c r="U708" s="22" t="s">
        <v>25</v>
      </c>
      <c r="V708" s="22"/>
    </row>
    <row r="709" spans="1:22" ht="41.4">
      <c r="A709" s="22" t="s">
        <v>740</v>
      </c>
      <c r="B709" s="25">
        <v>45788</v>
      </c>
      <c r="C709" s="22" t="s">
        <v>723</v>
      </c>
      <c r="D709" s="22" t="s">
        <v>32</v>
      </c>
      <c r="E709" s="22" t="s">
        <v>24</v>
      </c>
      <c r="F709" s="22" t="s">
        <v>20</v>
      </c>
      <c r="G709" s="22" t="s">
        <v>26</v>
      </c>
      <c r="H709" s="22">
        <v>0</v>
      </c>
      <c r="I709" s="22">
        <v>0</v>
      </c>
      <c r="J709" s="22">
        <v>0</v>
      </c>
      <c r="K709" s="22">
        <v>0</v>
      </c>
      <c r="L709" s="22">
        <v>0</v>
      </c>
      <c r="M709" s="22">
        <v>0</v>
      </c>
      <c r="N709" s="22">
        <v>0</v>
      </c>
      <c r="O709" s="22"/>
      <c r="P709" s="22">
        <v>55.2</v>
      </c>
      <c r="Q709" s="22" t="str">
        <f>IF(OR(L709&lt;$Y$18,L709&gt;$Y$19),"Outlier","Normal")</f>
        <v>Normal</v>
      </c>
      <c r="R709" s="26" t="str">
        <f>A709&amp;B709&amp;C709&amp;D709&amp;E709&amp;F709&amp;G709&amp;H709&amp;I709&amp;J709&amp;K709&amp;L709&amp;M709&amp;N709&amp;O709&amp;P709</f>
        <v>USR-10070845788TreatmentSouthMobileEmailFree000000055.2</v>
      </c>
      <c r="S709" s="22" t="str">
        <f>IF(COUNTIF($R$2:$R$1409,R709)=1,"OK",IF(COUNTIF($R$2:$R$1409,R709)&gt;1,"Exact Duplicate","Review Required"))</f>
        <v>OK</v>
      </c>
      <c r="T709" s="22" t="s">
        <v>24</v>
      </c>
      <c r="U709" s="22" t="s">
        <v>20</v>
      </c>
      <c r="V709" s="22"/>
    </row>
    <row r="710" spans="1:22" ht="41.4">
      <c r="A710" s="22" t="s">
        <v>741</v>
      </c>
      <c r="B710" s="25">
        <v>45769</v>
      </c>
      <c r="C710" s="22" t="s">
        <v>723</v>
      </c>
      <c r="D710" s="22" t="s">
        <v>32</v>
      </c>
      <c r="E710" s="22" t="s">
        <v>24</v>
      </c>
      <c r="F710" s="22" t="s">
        <v>25</v>
      </c>
      <c r="G710" s="22" t="s">
        <v>21</v>
      </c>
      <c r="H710" s="22">
        <v>1</v>
      </c>
      <c r="I710" s="22">
        <v>0</v>
      </c>
      <c r="J710" s="22">
        <v>0</v>
      </c>
      <c r="K710" s="22">
        <v>0</v>
      </c>
      <c r="L710" s="22">
        <v>0</v>
      </c>
      <c r="M710" s="22">
        <v>0</v>
      </c>
      <c r="N710" s="22">
        <v>0</v>
      </c>
      <c r="O710" s="22"/>
      <c r="P710" s="22">
        <v>49.4</v>
      </c>
      <c r="Q710" s="22" t="str">
        <f>IF(OR(L710&lt;$Y$18,L710&gt;$Y$19),"Outlier","Normal")</f>
        <v>Normal</v>
      </c>
      <c r="R710" s="26" t="str">
        <f>A710&amp;B710&amp;C710&amp;D710&amp;E710&amp;F710&amp;G710&amp;H710&amp;I710&amp;J710&amp;K710&amp;L710&amp;M710&amp;N710&amp;O710&amp;P710</f>
        <v>USR-10070945769TreatmentSouthMobileOrganicBasic100000049.4</v>
      </c>
      <c r="S710" s="22" t="str">
        <f>IF(COUNTIF($R$2:$R$1409,R710)=1,"OK",IF(COUNTIF($R$2:$R$1409,R710)&gt;1,"Exact Duplicate","Review Required"))</f>
        <v>OK</v>
      </c>
      <c r="T710" s="22" t="s">
        <v>24</v>
      </c>
      <c r="U710" s="22" t="s">
        <v>25</v>
      </c>
      <c r="V710" s="22"/>
    </row>
    <row r="711" spans="1:22" ht="41.4">
      <c r="A711" s="22" t="s">
        <v>742</v>
      </c>
      <c r="B711" s="25">
        <v>45719</v>
      </c>
      <c r="C711" s="22" t="s">
        <v>723</v>
      </c>
      <c r="D711" s="22" t="s">
        <v>32</v>
      </c>
      <c r="E711" s="22" t="s">
        <v>24</v>
      </c>
      <c r="F711" s="22" t="s">
        <v>41</v>
      </c>
      <c r="G711" s="22" t="s">
        <v>26</v>
      </c>
      <c r="H711" s="22">
        <v>1</v>
      </c>
      <c r="I711" s="22">
        <v>1</v>
      </c>
      <c r="J711" s="22">
        <v>1</v>
      </c>
      <c r="K711" s="22">
        <v>0</v>
      </c>
      <c r="L711" s="22">
        <v>0</v>
      </c>
      <c r="M711" s="22">
        <v>1</v>
      </c>
      <c r="N711" s="22">
        <v>0</v>
      </c>
      <c r="O711" s="22"/>
      <c r="P711" s="22">
        <v>60.1</v>
      </c>
      <c r="Q711" s="22" t="str">
        <f>IF(OR(L711&lt;$Y$18,L711&gt;$Y$19),"Outlier","Normal")</f>
        <v>Normal</v>
      </c>
      <c r="R711" s="26" t="str">
        <f>A711&amp;B711&amp;C711&amp;D711&amp;E711&amp;F711&amp;G711&amp;H711&amp;I711&amp;J711&amp;K711&amp;L711&amp;M711&amp;N711&amp;O711&amp;P711</f>
        <v>USR-10071045719TreatmentSouthMobileSocialFree111001060.1</v>
      </c>
      <c r="S711" s="22" t="str">
        <f>IF(COUNTIF($R$2:$R$1409,R711)=1,"OK",IF(COUNTIF($R$2:$R$1409,R711)&gt;1,"Exact Duplicate","Review Required"))</f>
        <v>OK</v>
      </c>
      <c r="T711" s="22" t="s">
        <v>24</v>
      </c>
      <c r="U711" s="22" t="s">
        <v>41</v>
      </c>
      <c r="V711" s="22"/>
    </row>
    <row r="712" spans="1:22" ht="41.4">
      <c r="A712" s="22" t="s">
        <v>743</v>
      </c>
      <c r="B712" s="25">
        <v>45734</v>
      </c>
      <c r="C712" s="22" t="s">
        <v>723</v>
      </c>
      <c r="D712" s="22" t="s">
        <v>18</v>
      </c>
      <c r="E712" s="22" t="s">
        <v>24</v>
      </c>
      <c r="F712" s="22" t="s">
        <v>39</v>
      </c>
      <c r="G712" s="22" t="s">
        <v>26</v>
      </c>
      <c r="H712" s="22">
        <v>1</v>
      </c>
      <c r="I712" s="22">
        <v>0</v>
      </c>
      <c r="J712" s="22">
        <v>0</v>
      </c>
      <c r="K712" s="22">
        <v>0</v>
      </c>
      <c r="L712" s="22">
        <v>0</v>
      </c>
      <c r="M712" s="22">
        <v>0</v>
      </c>
      <c r="N712" s="22">
        <v>0</v>
      </c>
      <c r="O712" s="22"/>
      <c r="P712" s="22">
        <v>55.9</v>
      </c>
      <c r="Q712" s="22" t="str">
        <f>IF(OR(L712&lt;$Y$18,L712&gt;$Y$19),"Outlier","Normal")</f>
        <v>Normal</v>
      </c>
      <c r="R712" s="26" t="str">
        <f>A712&amp;B712&amp;C712&amp;D712&amp;E712&amp;F712&amp;G712&amp;H712&amp;I712&amp;J712&amp;K712&amp;L712&amp;M712&amp;N712&amp;O712&amp;P712</f>
        <v>USR-10071145734TreatmentNorthMobileReferralFree100000055.9</v>
      </c>
      <c r="S712" s="22" t="str">
        <f>IF(COUNTIF($R$2:$R$1409,R712)=1,"OK",IF(COUNTIF($R$2:$R$1409,R712)&gt;1,"Exact Duplicate","Review Required"))</f>
        <v>OK</v>
      </c>
      <c r="T712" s="22" t="s">
        <v>24</v>
      </c>
      <c r="U712" s="22" t="s">
        <v>39</v>
      </c>
      <c r="V712" s="22"/>
    </row>
    <row r="713" spans="1:22" ht="41.4">
      <c r="A713" s="22" t="s">
        <v>744</v>
      </c>
      <c r="B713" s="25">
        <v>45752</v>
      </c>
      <c r="C713" s="22" t="s">
        <v>723</v>
      </c>
      <c r="D713" s="22" t="s">
        <v>18</v>
      </c>
      <c r="E713" s="22" t="s">
        <v>24</v>
      </c>
      <c r="F713" s="22" t="s">
        <v>25</v>
      </c>
      <c r="G713" s="22" t="s">
        <v>21</v>
      </c>
      <c r="H713" s="22">
        <v>1</v>
      </c>
      <c r="I713" s="22">
        <v>0</v>
      </c>
      <c r="J713" s="22">
        <v>0</v>
      </c>
      <c r="K713" s="22">
        <v>0</v>
      </c>
      <c r="L713" s="22">
        <v>0</v>
      </c>
      <c r="M713" s="22">
        <v>0</v>
      </c>
      <c r="N713" s="22">
        <v>0</v>
      </c>
      <c r="O713" s="22"/>
      <c r="P713" s="22">
        <v>51.5</v>
      </c>
      <c r="Q713" s="22" t="str">
        <f>IF(OR(L713&lt;$Y$18,L713&gt;$Y$19),"Outlier","Normal")</f>
        <v>Normal</v>
      </c>
      <c r="R713" s="26" t="str">
        <f>A713&amp;B713&amp;C713&amp;D713&amp;E713&amp;F713&amp;G713&amp;H713&amp;I713&amp;J713&amp;K713&amp;L713&amp;M713&amp;N713&amp;O713&amp;P713</f>
        <v>USR-10071245752TreatmentNorthMobileOrganicBasic100000051.5</v>
      </c>
      <c r="S713" s="22" t="str">
        <f>IF(COUNTIF($R$2:$R$1409,R713)=1,"OK",IF(COUNTIF($R$2:$R$1409,R713)&gt;1,"Exact Duplicate","Review Required"))</f>
        <v>OK</v>
      </c>
      <c r="T713" s="22" t="s">
        <v>24</v>
      </c>
      <c r="U713" s="22" t="s">
        <v>25</v>
      </c>
      <c r="V713" s="22"/>
    </row>
    <row r="714" spans="1:22" ht="41.4">
      <c r="A714" s="22" t="s">
        <v>745</v>
      </c>
      <c r="B714" s="25">
        <v>45763</v>
      </c>
      <c r="C714" s="22" t="s">
        <v>723</v>
      </c>
      <c r="D714" s="22" t="s">
        <v>28</v>
      </c>
      <c r="E714" s="22" t="s">
        <v>24</v>
      </c>
      <c r="F714" s="22" t="s">
        <v>25</v>
      </c>
      <c r="G714" s="22" t="s">
        <v>26</v>
      </c>
      <c r="H714" s="22">
        <v>1</v>
      </c>
      <c r="I714" s="22">
        <v>1</v>
      </c>
      <c r="J714" s="22">
        <v>1</v>
      </c>
      <c r="K714" s="22">
        <v>1</v>
      </c>
      <c r="L714" s="22">
        <v>516.66999999999996</v>
      </c>
      <c r="M714" s="22">
        <v>0</v>
      </c>
      <c r="N714" s="22">
        <v>0</v>
      </c>
      <c r="O714" s="22">
        <v>11</v>
      </c>
      <c r="P714" s="22">
        <v>57.9</v>
      </c>
      <c r="Q714" s="22" t="str">
        <f>IF(OR(L714&lt;$Y$18,L714&gt;$Y$19),"Outlier","Normal")</f>
        <v>Normal</v>
      </c>
      <c r="R714" s="26" t="str">
        <f>A714&amp;B714&amp;C714&amp;D714&amp;E714&amp;F714&amp;G714&amp;H714&amp;I714&amp;J714&amp;K714&amp;L714&amp;M714&amp;N714&amp;O714&amp;P714</f>
        <v>USR-10071345763TreatmentEastMobileOrganicFree1111516.67001157.9</v>
      </c>
      <c r="S714" s="22" t="str">
        <f>IF(COUNTIF($R$2:$R$1409,R714)=1,"OK",IF(COUNTIF($R$2:$R$1409,R714)&gt;1,"Exact Duplicate","Review Required"))</f>
        <v>OK</v>
      </c>
      <c r="T714" s="22" t="s">
        <v>24</v>
      </c>
      <c r="U714" s="22" t="s">
        <v>25</v>
      </c>
      <c r="V714" s="22"/>
    </row>
    <row r="715" spans="1:22" ht="41.4">
      <c r="A715" s="22" t="s">
        <v>746</v>
      </c>
      <c r="B715" s="25">
        <v>45767</v>
      </c>
      <c r="C715" s="22" t="s">
        <v>723</v>
      </c>
      <c r="D715" s="22" t="s">
        <v>32</v>
      </c>
      <c r="E715" s="22" t="s">
        <v>24</v>
      </c>
      <c r="F715" s="22" t="s">
        <v>39</v>
      </c>
      <c r="G715" s="22" t="s">
        <v>26</v>
      </c>
      <c r="H715" s="22">
        <v>1</v>
      </c>
      <c r="I715" s="22">
        <v>1</v>
      </c>
      <c r="J715" s="22">
        <v>1</v>
      </c>
      <c r="K715" s="22">
        <v>1</v>
      </c>
      <c r="L715" s="22">
        <v>277.18</v>
      </c>
      <c r="M715" s="22">
        <v>2</v>
      </c>
      <c r="N715" s="22">
        <v>0</v>
      </c>
      <c r="O715" s="22">
        <v>8</v>
      </c>
      <c r="P715" s="22">
        <v>59.2</v>
      </c>
      <c r="Q715" s="22" t="str">
        <f>IF(OR(L715&lt;$Y$18,L715&gt;$Y$19),"Outlier","Normal")</f>
        <v>Normal</v>
      </c>
      <c r="R715" s="26" t="str">
        <f>A715&amp;B715&amp;C715&amp;D715&amp;E715&amp;F715&amp;G715&amp;H715&amp;I715&amp;J715&amp;K715&amp;L715&amp;M715&amp;N715&amp;O715&amp;P715</f>
        <v>USR-10071445767TreatmentSouthMobileReferralFree1111277.1820859.2</v>
      </c>
      <c r="S715" s="22" t="str">
        <f>IF(COUNTIF($R$2:$R$1409,R715)=1,"OK",IF(COUNTIF($R$2:$R$1409,R715)&gt;1,"Exact Duplicate","Review Required"))</f>
        <v>OK</v>
      </c>
      <c r="T715" s="22" t="s">
        <v>24</v>
      </c>
      <c r="U715" s="22" t="s">
        <v>39</v>
      </c>
      <c r="V715" s="22"/>
    </row>
    <row r="716" spans="1:22" ht="41.4">
      <c r="A716" s="22" t="s">
        <v>747</v>
      </c>
      <c r="B716" s="25">
        <v>45703</v>
      </c>
      <c r="C716" s="22" t="s">
        <v>723</v>
      </c>
      <c r="D716" s="22" t="s">
        <v>32</v>
      </c>
      <c r="E716" s="22" t="s">
        <v>24</v>
      </c>
      <c r="F716" s="22" t="s">
        <v>25</v>
      </c>
      <c r="G716" s="22" t="s">
        <v>26</v>
      </c>
      <c r="H716" s="22">
        <v>0</v>
      </c>
      <c r="I716" s="22">
        <v>0</v>
      </c>
      <c r="J716" s="22">
        <v>0</v>
      </c>
      <c r="K716" s="22">
        <v>0</v>
      </c>
      <c r="L716" s="22">
        <v>0</v>
      </c>
      <c r="M716" s="22">
        <v>0</v>
      </c>
      <c r="N716" s="22">
        <v>0</v>
      </c>
      <c r="O716" s="22"/>
      <c r="P716" s="22">
        <v>64.2</v>
      </c>
      <c r="Q716" s="22" t="str">
        <f>IF(OR(L716&lt;$Y$18,L716&gt;$Y$19),"Outlier","Normal")</f>
        <v>Normal</v>
      </c>
      <c r="R716" s="26" t="str">
        <f>A716&amp;B716&amp;C716&amp;D716&amp;E716&amp;F716&amp;G716&amp;H716&amp;I716&amp;J716&amp;K716&amp;L716&amp;M716&amp;N716&amp;O716&amp;P716</f>
        <v>USR-10071545703TreatmentSouthMobileOrganicFree000000064.2</v>
      </c>
      <c r="S716" s="22" t="str">
        <f>IF(COUNTIF($R$2:$R$1409,R716)=1,"OK",IF(COUNTIF($R$2:$R$1409,R716)&gt;1,"Exact Duplicate","Review Required"))</f>
        <v>OK</v>
      </c>
      <c r="T716" s="22" t="s">
        <v>24</v>
      </c>
      <c r="U716" s="22" t="s">
        <v>25</v>
      </c>
      <c r="V716" s="22"/>
    </row>
    <row r="717" spans="1:22" ht="41.4">
      <c r="A717" s="22" t="s">
        <v>748</v>
      </c>
      <c r="B717" s="25">
        <v>45678</v>
      </c>
      <c r="C717" s="22" t="s">
        <v>723</v>
      </c>
      <c r="D717" s="22" t="s">
        <v>32</v>
      </c>
      <c r="E717" s="22" t="s">
        <v>24</v>
      </c>
      <c r="F717" s="22" t="s">
        <v>25</v>
      </c>
      <c r="G717" s="22" t="s">
        <v>26</v>
      </c>
      <c r="H717" s="22">
        <v>1</v>
      </c>
      <c r="I717" s="22">
        <v>0</v>
      </c>
      <c r="J717" s="22">
        <v>0</v>
      </c>
      <c r="K717" s="22">
        <v>0</v>
      </c>
      <c r="L717" s="22">
        <v>0</v>
      </c>
      <c r="M717" s="22">
        <v>0</v>
      </c>
      <c r="N717" s="22">
        <v>0</v>
      </c>
      <c r="O717" s="22"/>
      <c r="P717" s="22">
        <v>68.8</v>
      </c>
      <c r="Q717" s="22" t="str">
        <f>IF(OR(L717&lt;$Y$18,L717&gt;$Y$19),"Outlier","Normal")</f>
        <v>Normal</v>
      </c>
      <c r="R717" s="26" t="str">
        <f>A717&amp;B717&amp;C717&amp;D717&amp;E717&amp;F717&amp;G717&amp;H717&amp;I717&amp;J717&amp;K717&amp;L717&amp;M717&amp;N717&amp;O717&amp;P717</f>
        <v>USR-10071645678TreatmentSouthMobileOrganicFree100000068.8</v>
      </c>
      <c r="S717" s="22" t="str">
        <f>IF(COUNTIF($R$2:$R$1409,R717)=1,"OK",IF(COUNTIF($R$2:$R$1409,R717)&gt;1,"Exact Duplicate","Review Required"))</f>
        <v>OK</v>
      </c>
      <c r="T717" s="22" t="s">
        <v>24</v>
      </c>
      <c r="U717" s="22" t="s">
        <v>25</v>
      </c>
      <c r="V717" s="22"/>
    </row>
    <row r="718" spans="1:22" ht="41.4">
      <c r="A718" s="22" t="s">
        <v>749</v>
      </c>
      <c r="B718" s="25">
        <v>45800</v>
      </c>
      <c r="C718" s="22" t="s">
        <v>723</v>
      </c>
      <c r="D718" s="22" t="s">
        <v>18</v>
      </c>
      <c r="E718" s="22" t="s">
        <v>24</v>
      </c>
      <c r="F718" s="22" t="s">
        <v>29</v>
      </c>
      <c r="G718" s="22" t="s">
        <v>30</v>
      </c>
      <c r="H718" s="22">
        <v>1</v>
      </c>
      <c r="I718" s="22">
        <v>1</v>
      </c>
      <c r="J718" s="22">
        <v>1</v>
      </c>
      <c r="K718" s="22">
        <v>0</v>
      </c>
      <c r="L718" s="22">
        <v>0</v>
      </c>
      <c r="M718" s="22">
        <v>0</v>
      </c>
      <c r="N718" s="22">
        <v>0</v>
      </c>
      <c r="O718" s="22"/>
      <c r="P718" s="22">
        <v>77.900000000000006</v>
      </c>
      <c r="Q718" s="22" t="str">
        <f>IF(OR(L718&lt;$Y$18,L718&gt;$Y$19),"Outlier","Normal")</f>
        <v>Normal</v>
      </c>
      <c r="R718" s="26" t="str">
        <f>A718&amp;B718&amp;C718&amp;D718&amp;E718&amp;F718&amp;G718&amp;H718&amp;I718&amp;J718&amp;K718&amp;L718&amp;M718&amp;N718&amp;O718&amp;P718</f>
        <v>USR-10071745800TreatmentNorthMobilePaid SearchPremium111000077.9</v>
      </c>
      <c r="S718" s="22" t="str">
        <f>IF(COUNTIF($R$2:$R$1409,R718)=1,"OK",IF(COUNTIF($R$2:$R$1409,R718)&gt;1,"Exact Duplicate","Review Required"))</f>
        <v>OK</v>
      </c>
      <c r="T718" s="22" t="s">
        <v>24</v>
      </c>
      <c r="U718" s="22" t="s">
        <v>29</v>
      </c>
      <c r="V718" s="22"/>
    </row>
    <row r="719" spans="1:22" ht="41.4">
      <c r="A719" s="22" t="s">
        <v>750</v>
      </c>
      <c r="B719" s="25">
        <v>45679</v>
      </c>
      <c r="C719" s="22" t="s">
        <v>723</v>
      </c>
      <c r="D719" s="22" t="s">
        <v>23</v>
      </c>
      <c r="E719" s="22" t="s">
        <v>24</v>
      </c>
      <c r="F719" s="22" t="s">
        <v>29</v>
      </c>
      <c r="G719" s="22" t="s">
        <v>21</v>
      </c>
      <c r="H719" s="22">
        <v>0</v>
      </c>
      <c r="I719" s="22">
        <v>0</v>
      </c>
      <c r="J719" s="22">
        <v>0</v>
      </c>
      <c r="K719" s="22">
        <v>0</v>
      </c>
      <c r="L719" s="22">
        <v>0</v>
      </c>
      <c r="M719" s="22">
        <v>0</v>
      </c>
      <c r="N719" s="22">
        <v>0</v>
      </c>
      <c r="O719" s="22"/>
      <c r="P719" s="22">
        <v>92.1</v>
      </c>
      <c r="Q719" s="22" t="str">
        <f>IF(OR(L719&lt;$Y$18,L719&gt;$Y$19),"Outlier","Normal")</f>
        <v>Normal</v>
      </c>
      <c r="R719" s="26" t="str">
        <f>A719&amp;B719&amp;C719&amp;D719&amp;E719&amp;F719&amp;G719&amp;H719&amp;I719&amp;J719&amp;K719&amp;L719&amp;M719&amp;N719&amp;O719&amp;P719</f>
        <v>USR-10071845679TreatmentWestMobilePaid SearchBasic000000092.1</v>
      </c>
      <c r="S719" s="22" t="str">
        <f>IF(COUNTIF($R$2:$R$1409,R719)=1,"OK",IF(COUNTIF($R$2:$R$1409,R719)&gt;1,"Exact Duplicate","Review Required"))</f>
        <v>OK</v>
      </c>
      <c r="T719" s="22" t="s">
        <v>24</v>
      </c>
      <c r="U719" s="22" t="s">
        <v>29</v>
      </c>
      <c r="V719" s="22"/>
    </row>
    <row r="720" spans="1:22" ht="41.4">
      <c r="A720" s="22" t="s">
        <v>751</v>
      </c>
      <c r="B720" s="25">
        <v>45771</v>
      </c>
      <c r="C720" s="22" t="s">
        <v>723</v>
      </c>
      <c r="D720" s="22" t="s">
        <v>23</v>
      </c>
      <c r="E720" s="22" t="s">
        <v>24</v>
      </c>
      <c r="F720" s="22" t="s">
        <v>29</v>
      </c>
      <c r="G720" s="22" t="s">
        <v>30</v>
      </c>
      <c r="H720" s="22">
        <v>0</v>
      </c>
      <c r="I720" s="22">
        <v>0</v>
      </c>
      <c r="J720" s="22">
        <v>0</v>
      </c>
      <c r="K720" s="22">
        <v>0</v>
      </c>
      <c r="L720" s="22">
        <v>0</v>
      </c>
      <c r="M720" s="22">
        <v>0</v>
      </c>
      <c r="N720" s="22">
        <v>0</v>
      </c>
      <c r="O720" s="22"/>
      <c r="P720" s="22">
        <v>63.6</v>
      </c>
      <c r="Q720" s="22" t="str">
        <f>IF(OR(L720&lt;$Y$18,L720&gt;$Y$19),"Outlier","Normal")</f>
        <v>Normal</v>
      </c>
      <c r="R720" s="26" t="str">
        <f>A720&amp;B720&amp;C720&amp;D720&amp;E720&amp;F720&amp;G720&amp;H720&amp;I720&amp;J720&amp;K720&amp;L720&amp;M720&amp;N720&amp;O720&amp;P720</f>
        <v>USR-10071945771TreatmentWestMobilePaid SearchPremium000000063.6</v>
      </c>
      <c r="S720" s="22" t="str">
        <f>IF(COUNTIF($R$2:$R$1409,R720)=1,"OK",IF(COUNTIF($R$2:$R$1409,R720)&gt;1,"Exact Duplicate","Review Required"))</f>
        <v>OK</v>
      </c>
      <c r="T720" s="22" t="s">
        <v>24</v>
      </c>
      <c r="U720" s="22" t="s">
        <v>29</v>
      </c>
      <c r="V720" s="22"/>
    </row>
    <row r="721" spans="1:22" ht="41.4">
      <c r="A721" s="22" t="s">
        <v>752</v>
      </c>
      <c r="B721" s="25">
        <v>45674</v>
      </c>
      <c r="C721" s="22" t="s">
        <v>723</v>
      </c>
      <c r="D721" s="22" t="s">
        <v>23</v>
      </c>
      <c r="E721" s="22" t="s">
        <v>19</v>
      </c>
      <c r="F721" s="22" t="s">
        <v>20</v>
      </c>
      <c r="G721" s="22" t="s">
        <v>26</v>
      </c>
      <c r="H721" s="22">
        <v>0</v>
      </c>
      <c r="I721" s="22">
        <v>0</v>
      </c>
      <c r="J721" s="22">
        <v>0</v>
      </c>
      <c r="K721" s="22">
        <v>0</v>
      </c>
      <c r="L721" s="22">
        <v>0</v>
      </c>
      <c r="M721" s="22">
        <v>2</v>
      </c>
      <c r="N721" s="22">
        <v>0</v>
      </c>
      <c r="O721" s="22"/>
      <c r="P721" s="22">
        <v>61.6</v>
      </c>
      <c r="Q721" s="22" t="str">
        <f>IF(OR(L721&lt;$Y$18,L721&gt;$Y$19),"Outlier","Normal")</f>
        <v>Normal</v>
      </c>
      <c r="R721" s="26" t="str">
        <f>A721&amp;B721&amp;C721&amp;D721&amp;E721&amp;F721&amp;G721&amp;H721&amp;I721&amp;J721&amp;K721&amp;L721&amp;M721&amp;N721&amp;O721&amp;P721</f>
        <v>USR-10072045674TreatmentWestDesktopEmailFree000002061.6</v>
      </c>
      <c r="S721" s="22" t="str">
        <f>IF(COUNTIF($R$2:$R$1409,R721)=1,"OK",IF(COUNTIF($R$2:$R$1409,R721)&gt;1,"Exact Duplicate","Review Required"))</f>
        <v>OK</v>
      </c>
      <c r="T721" s="22" t="s">
        <v>19</v>
      </c>
      <c r="U721" s="22" t="s">
        <v>20</v>
      </c>
      <c r="V721" s="22"/>
    </row>
    <row r="722" spans="1:22" ht="41.4">
      <c r="A722" s="22" t="s">
        <v>753</v>
      </c>
      <c r="B722" s="25">
        <v>45679</v>
      </c>
      <c r="C722" s="22" t="s">
        <v>723</v>
      </c>
      <c r="D722" s="22" t="s">
        <v>28</v>
      </c>
      <c r="E722" s="22" t="s">
        <v>24</v>
      </c>
      <c r="F722" s="22" t="s">
        <v>39</v>
      </c>
      <c r="G722" s="22" t="s">
        <v>21</v>
      </c>
      <c r="H722" s="22">
        <v>1</v>
      </c>
      <c r="I722" s="22">
        <v>1</v>
      </c>
      <c r="J722" s="22">
        <v>0</v>
      </c>
      <c r="K722" s="22">
        <v>0</v>
      </c>
      <c r="L722" s="22">
        <v>0</v>
      </c>
      <c r="M722" s="22">
        <v>0</v>
      </c>
      <c r="N722" s="22">
        <v>0</v>
      </c>
      <c r="O722" s="22"/>
      <c r="P722" s="22">
        <v>82.3</v>
      </c>
      <c r="Q722" s="22" t="str">
        <f>IF(OR(L722&lt;$Y$18,L722&gt;$Y$19),"Outlier","Normal")</f>
        <v>Normal</v>
      </c>
      <c r="R722" s="26" t="str">
        <f>A722&amp;B722&amp;C722&amp;D722&amp;E722&amp;F722&amp;G722&amp;H722&amp;I722&amp;J722&amp;K722&amp;L722&amp;M722&amp;N722&amp;O722&amp;P722</f>
        <v>USR-10072145679TreatmentEastMobileReferralBasic110000082.3</v>
      </c>
      <c r="S722" s="22" t="str">
        <f>IF(COUNTIF($R$2:$R$1409,R722)=1,"OK",IF(COUNTIF($R$2:$R$1409,R722)&gt;1,"Exact Duplicate","Review Required"))</f>
        <v>OK</v>
      </c>
      <c r="T722" s="22" t="s">
        <v>24</v>
      </c>
      <c r="U722" s="22" t="s">
        <v>39</v>
      </c>
      <c r="V722" s="22"/>
    </row>
    <row r="723" spans="1:22" ht="41.4">
      <c r="A723" s="22" t="s">
        <v>754</v>
      </c>
      <c r="B723" s="25">
        <v>45781</v>
      </c>
      <c r="C723" s="22" t="s">
        <v>723</v>
      </c>
      <c r="D723" s="22" t="s">
        <v>28</v>
      </c>
      <c r="E723" s="22" t="s">
        <v>19</v>
      </c>
      <c r="F723" s="22" t="s">
        <v>29</v>
      </c>
      <c r="G723" s="22" t="s">
        <v>26</v>
      </c>
      <c r="H723" s="22">
        <v>1</v>
      </c>
      <c r="I723" s="22">
        <v>0</v>
      </c>
      <c r="J723" s="22">
        <v>0</v>
      </c>
      <c r="K723" s="22">
        <v>0</v>
      </c>
      <c r="L723" s="22">
        <v>0</v>
      </c>
      <c r="M723" s="22">
        <v>0</v>
      </c>
      <c r="N723" s="22">
        <v>0</v>
      </c>
      <c r="O723" s="22"/>
      <c r="P723" s="22">
        <v>79.3</v>
      </c>
      <c r="Q723" s="22" t="str">
        <f>IF(OR(L723&lt;$Y$18,L723&gt;$Y$19),"Outlier","Normal")</f>
        <v>Normal</v>
      </c>
      <c r="R723" s="26" t="str">
        <f>A723&amp;B723&amp;C723&amp;D723&amp;E723&amp;F723&amp;G723&amp;H723&amp;I723&amp;J723&amp;K723&amp;L723&amp;M723&amp;N723&amp;O723&amp;P723</f>
        <v>USR-10072245781TreatmentEastDesktopPaid SearchFree100000079.3</v>
      </c>
      <c r="S723" s="22" t="str">
        <f>IF(COUNTIF($R$2:$R$1409,R723)=1,"OK",IF(COUNTIF($R$2:$R$1409,R723)&gt;1,"Exact Duplicate","Review Required"))</f>
        <v>OK</v>
      </c>
      <c r="T723" s="22" t="s">
        <v>19</v>
      </c>
      <c r="U723" s="22" t="s">
        <v>29</v>
      </c>
      <c r="V723" s="22"/>
    </row>
    <row r="724" spans="1:22" ht="41.4">
      <c r="A724" s="22" t="s">
        <v>755</v>
      </c>
      <c r="B724" s="25">
        <v>45729</v>
      </c>
      <c r="C724" s="22" t="s">
        <v>723</v>
      </c>
      <c r="D724" s="22" t="s">
        <v>32</v>
      </c>
      <c r="E724" s="22" t="s">
        <v>24</v>
      </c>
      <c r="F724" s="22" t="s">
        <v>1482</v>
      </c>
      <c r="G724" s="22" t="s">
        <v>26</v>
      </c>
      <c r="H724" s="22">
        <v>0</v>
      </c>
      <c r="I724" s="22">
        <v>0</v>
      </c>
      <c r="J724" s="22">
        <v>0</v>
      </c>
      <c r="K724" s="22">
        <v>0</v>
      </c>
      <c r="L724" s="22">
        <v>0</v>
      </c>
      <c r="M724" s="22">
        <v>0</v>
      </c>
      <c r="N724" s="22">
        <v>0</v>
      </c>
      <c r="O724" s="22"/>
      <c r="P724" s="22">
        <v>57.7</v>
      </c>
      <c r="Q724" s="22" t="str">
        <f>IF(OR(L724&lt;$Y$18,L724&gt;$Y$19),"Outlier","Normal")</f>
        <v>Normal</v>
      </c>
      <c r="R724" s="26" t="str">
        <f>A724&amp;B724&amp;C724&amp;D724&amp;E724&amp;F724&amp;G724&amp;H724&amp;I724&amp;J724&amp;K724&amp;L724&amp;M724&amp;N724&amp;O724&amp;P724</f>
        <v>USR-10072345729TreatmentSouthMobileUnknownFree000000057.7</v>
      </c>
      <c r="S724" s="22" t="str">
        <f>IF(COUNTIF($R$2:$R$1409,R724)=1,"OK",IF(COUNTIF($R$2:$R$1409,R724)&gt;1,"Exact Duplicate","Review Required"))</f>
        <v>OK</v>
      </c>
      <c r="T724" s="22" t="s">
        <v>24</v>
      </c>
      <c r="U724" s="22"/>
      <c r="V724" s="22"/>
    </row>
    <row r="725" spans="1:22" ht="41.4">
      <c r="A725" s="22" t="s">
        <v>756</v>
      </c>
      <c r="B725" s="25">
        <v>45659</v>
      </c>
      <c r="C725" s="22" t="s">
        <v>723</v>
      </c>
      <c r="D725" s="22" t="s">
        <v>18</v>
      </c>
      <c r="E725" s="22" t="s">
        <v>24</v>
      </c>
      <c r="F725" s="22" t="s">
        <v>25</v>
      </c>
      <c r="G725" s="22" t="s">
        <v>21</v>
      </c>
      <c r="H725" s="22">
        <v>1</v>
      </c>
      <c r="I725" s="22">
        <v>0</v>
      </c>
      <c r="J725" s="22">
        <v>0</v>
      </c>
      <c r="K725" s="22">
        <v>0</v>
      </c>
      <c r="L725" s="22">
        <v>0</v>
      </c>
      <c r="M725" s="22">
        <v>0</v>
      </c>
      <c r="N725" s="22">
        <v>0</v>
      </c>
      <c r="O725" s="22"/>
      <c r="P725" s="22">
        <v>63.1</v>
      </c>
      <c r="Q725" s="22" t="str">
        <f>IF(OR(L725&lt;$Y$18,L725&gt;$Y$19),"Outlier","Normal")</f>
        <v>Normal</v>
      </c>
      <c r="R725" s="26" t="str">
        <f>A725&amp;B725&amp;C725&amp;D725&amp;E725&amp;F725&amp;G725&amp;H725&amp;I725&amp;J725&amp;K725&amp;L725&amp;M725&amp;N725&amp;O725&amp;P725</f>
        <v>USR-10072445659TreatmentNorthMobileOrganicBasic100000063.1</v>
      </c>
      <c r="S725" s="22" t="str">
        <f>IF(COUNTIF($R$2:$R$1409,R725)=1,"OK",IF(COUNTIF($R$2:$R$1409,R725)&gt;1,"Exact Duplicate","Review Required"))</f>
        <v>OK</v>
      </c>
      <c r="T725" s="22" t="s">
        <v>24</v>
      </c>
      <c r="U725" s="22" t="s">
        <v>25</v>
      </c>
      <c r="V725" s="22"/>
    </row>
    <row r="726" spans="1:22" ht="41.4">
      <c r="A726" s="22" t="s">
        <v>757</v>
      </c>
      <c r="B726" s="25">
        <v>45670</v>
      </c>
      <c r="C726" s="22" t="s">
        <v>723</v>
      </c>
      <c r="D726" s="22" t="s">
        <v>28</v>
      </c>
      <c r="E726" s="22" t="s">
        <v>24</v>
      </c>
      <c r="F726" s="22" t="s">
        <v>29</v>
      </c>
      <c r="G726" s="22" t="s">
        <v>21</v>
      </c>
      <c r="H726" s="22">
        <v>0</v>
      </c>
      <c r="I726" s="22">
        <v>0</v>
      </c>
      <c r="J726" s="22">
        <v>0</v>
      </c>
      <c r="K726" s="22">
        <v>0</v>
      </c>
      <c r="L726" s="22">
        <v>0</v>
      </c>
      <c r="M726" s="22">
        <v>0</v>
      </c>
      <c r="N726" s="22">
        <v>0</v>
      </c>
      <c r="O726" s="22"/>
      <c r="P726" s="22">
        <v>72.3</v>
      </c>
      <c r="Q726" s="22" t="str">
        <f>IF(OR(L726&lt;$Y$18,L726&gt;$Y$19),"Outlier","Normal")</f>
        <v>Normal</v>
      </c>
      <c r="R726" s="26" t="str">
        <f>A726&amp;B726&amp;C726&amp;D726&amp;E726&amp;F726&amp;G726&amp;H726&amp;I726&amp;J726&amp;K726&amp;L726&amp;M726&amp;N726&amp;O726&amp;P726</f>
        <v>USR-10072545670TreatmentEastMobilePaid SearchBasic000000072.3</v>
      </c>
      <c r="S726" s="22" t="str">
        <f>IF(COUNTIF($R$2:$R$1409,R726)=1,"OK",IF(COUNTIF($R$2:$R$1409,R726)&gt;1,"Exact Duplicate","Review Required"))</f>
        <v>OK</v>
      </c>
      <c r="T726" s="22" t="s">
        <v>24</v>
      </c>
      <c r="U726" s="22" t="s">
        <v>29</v>
      </c>
      <c r="V726" s="22"/>
    </row>
    <row r="727" spans="1:22" ht="41.4">
      <c r="A727" s="22" t="s">
        <v>758</v>
      </c>
      <c r="B727" s="25">
        <v>45697</v>
      </c>
      <c r="C727" s="22" t="s">
        <v>723</v>
      </c>
      <c r="D727" s="22" t="s">
        <v>28</v>
      </c>
      <c r="E727" s="22" t="s">
        <v>24</v>
      </c>
      <c r="F727" s="22" t="s">
        <v>41</v>
      </c>
      <c r="G727" s="22" t="s">
        <v>26</v>
      </c>
      <c r="H727" s="22">
        <v>1</v>
      </c>
      <c r="I727" s="22">
        <v>1</v>
      </c>
      <c r="J727" s="22">
        <v>1</v>
      </c>
      <c r="K727" s="22">
        <v>0</v>
      </c>
      <c r="L727" s="22">
        <v>0</v>
      </c>
      <c r="M727" s="22">
        <v>0</v>
      </c>
      <c r="N727" s="22">
        <v>0</v>
      </c>
      <c r="O727" s="22"/>
      <c r="P727" s="22">
        <v>78</v>
      </c>
      <c r="Q727" s="22" t="str">
        <f>IF(OR(L727&lt;$Y$18,L727&gt;$Y$19),"Outlier","Normal")</f>
        <v>Normal</v>
      </c>
      <c r="R727" s="26" t="str">
        <f>A727&amp;B727&amp;C727&amp;D727&amp;E727&amp;F727&amp;G727&amp;H727&amp;I727&amp;J727&amp;K727&amp;L727&amp;M727&amp;N727&amp;O727&amp;P727</f>
        <v>USR-10072645697TreatmentEastMobileSocialFree111000078</v>
      </c>
      <c r="S727" s="22" t="str">
        <f>IF(COUNTIF($R$2:$R$1409,R727)=1,"OK",IF(COUNTIF($R$2:$R$1409,R727)&gt;1,"Exact Duplicate","Review Required"))</f>
        <v>OK</v>
      </c>
      <c r="T727" s="22" t="s">
        <v>24</v>
      </c>
      <c r="U727" s="22" t="s">
        <v>41</v>
      </c>
      <c r="V727" s="22"/>
    </row>
    <row r="728" spans="1:22" ht="41.4">
      <c r="A728" s="22" t="s">
        <v>759</v>
      </c>
      <c r="B728" s="25">
        <v>45756</v>
      </c>
      <c r="C728" s="22" t="s">
        <v>723</v>
      </c>
      <c r="D728" s="22" t="s">
        <v>28</v>
      </c>
      <c r="E728" s="22" t="s">
        <v>19</v>
      </c>
      <c r="F728" s="22" t="s">
        <v>41</v>
      </c>
      <c r="G728" s="22" t="s">
        <v>26</v>
      </c>
      <c r="H728" s="22">
        <v>1</v>
      </c>
      <c r="I728" s="22">
        <v>1</v>
      </c>
      <c r="J728" s="22">
        <v>0</v>
      </c>
      <c r="K728" s="22">
        <v>0</v>
      </c>
      <c r="L728" s="22">
        <v>0</v>
      </c>
      <c r="M728" s="22">
        <v>2</v>
      </c>
      <c r="N728" s="22">
        <v>0</v>
      </c>
      <c r="O728" s="22"/>
      <c r="P728" s="22">
        <v>59.1</v>
      </c>
      <c r="Q728" s="22" t="str">
        <f>IF(OR(L728&lt;$Y$18,L728&gt;$Y$19),"Outlier","Normal")</f>
        <v>Normal</v>
      </c>
      <c r="R728" s="26" t="str">
        <f>A728&amp;B728&amp;C728&amp;D728&amp;E728&amp;F728&amp;G728&amp;H728&amp;I728&amp;J728&amp;K728&amp;L728&amp;M728&amp;N728&amp;O728&amp;P728</f>
        <v>USR-10072745756TreatmentEastDesktopSocialFree110002059.1</v>
      </c>
      <c r="S728" s="22" t="str">
        <f>IF(COUNTIF($R$2:$R$1409,R728)=1,"OK",IF(COUNTIF($R$2:$R$1409,R728)&gt;1,"Exact Duplicate","Review Required"))</f>
        <v>OK</v>
      </c>
      <c r="T728" s="22" t="s">
        <v>19</v>
      </c>
      <c r="U728" s="22" t="s">
        <v>41</v>
      </c>
      <c r="V728" s="22"/>
    </row>
    <row r="729" spans="1:22" ht="55.2">
      <c r="A729" s="22" t="s">
        <v>760</v>
      </c>
      <c r="B729" s="25">
        <v>45659</v>
      </c>
      <c r="C729" s="22" t="s">
        <v>723</v>
      </c>
      <c r="D729" s="22" t="s">
        <v>32</v>
      </c>
      <c r="E729" s="22" t="s">
        <v>24</v>
      </c>
      <c r="F729" s="22" t="s">
        <v>29</v>
      </c>
      <c r="G729" s="22" t="s">
        <v>26</v>
      </c>
      <c r="H729" s="22">
        <v>1</v>
      </c>
      <c r="I729" s="22">
        <v>1</v>
      </c>
      <c r="J729" s="22">
        <v>1</v>
      </c>
      <c r="K729" s="22">
        <v>1</v>
      </c>
      <c r="L729" s="22">
        <v>604.09</v>
      </c>
      <c r="M729" s="22">
        <v>0</v>
      </c>
      <c r="N729" s="22">
        <v>0</v>
      </c>
      <c r="O729" s="22">
        <v>7</v>
      </c>
      <c r="P729" s="22">
        <v>47.1</v>
      </c>
      <c r="Q729" s="22" t="str">
        <f>IF(OR(L729&lt;$Y$18,L729&gt;$Y$19),"Outlier","Normal")</f>
        <v>Normal</v>
      </c>
      <c r="R729" s="26" t="str">
        <f>A729&amp;B729&amp;C729&amp;D729&amp;E729&amp;F729&amp;G729&amp;H729&amp;I729&amp;J729&amp;K729&amp;L729&amp;M729&amp;N729&amp;O729&amp;P729</f>
        <v>USR-10072845659TreatmentSouthMobilePaid SearchFree1111604.0900747.1</v>
      </c>
      <c r="S729" s="22" t="str">
        <f>IF(COUNTIF($R$2:$R$1409,R729)=1,"OK",IF(COUNTIF($R$2:$R$1409,R729)&gt;1,"Exact Duplicate","Review Required"))</f>
        <v>OK</v>
      </c>
      <c r="T729" s="22" t="s">
        <v>24</v>
      </c>
      <c r="U729" s="22" t="s">
        <v>29</v>
      </c>
      <c r="V729" s="22"/>
    </row>
    <row r="730" spans="1:22" ht="41.4">
      <c r="A730" s="22" t="s">
        <v>761</v>
      </c>
      <c r="B730" s="25">
        <v>45692</v>
      </c>
      <c r="C730" s="22" t="s">
        <v>723</v>
      </c>
      <c r="D730" s="22" t="s">
        <v>32</v>
      </c>
      <c r="E730" s="22" t="s">
        <v>24</v>
      </c>
      <c r="F730" s="22" t="s">
        <v>1482</v>
      </c>
      <c r="G730" s="22" t="s">
        <v>30</v>
      </c>
      <c r="H730" s="22">
        <v>1</v>
      </c>
      <c r="I730" s="22">
        <v>0</v>
      </c>
      <c r="J730" s="22">
        <v>0</v>
      </c>
      <c r="K730" s="22">
        <v>0</v>
      </c>
      <c r="L730" s="22">
        <v>0</v>
      </c>
      <c r="M730" s="22">
        <v>0</v>
      </c>
      <c r="N730" s="22">
        <v>0</v>
      </c>
      <c r="O730" s="22"/>
      <c r="P730" s="22">
        <v>64.900000000000006</v>
      </c>
      <c r="Q730" s="22" t="str">
        <f>IF(OR(L730&lt;$Y$18,L730&gt;$Y$19),"Outlier","Normal")</f>
        <v>Normal</v>
      </c>
      <c r="R730" s="26" t="str">
        <f>A730&amp;B730&amp;C730&amp;D730&amp;E730&amp;F730&amp;G730&amp;H730&amp;I730&amp;J730&amp;K730&amp;L730&amp;M730&amp;N730&amp;O730&amp;P730</f>
        <v>USR-10072945692TreatmentSouthMobileUnknownPremium100000064.9</v>
      </c>
      <c r="S730" s="22" t="str">
        <f>IF(COUNTIF($R$2:$R$1409,R730)=1,"OK",IF(COUNTIF($R$2:$R$1409,R730)&gt;1,"Exact Duplicate","Review Required"))</f>
        <v>OK</v>
      </c>
      <c r="T730" s="22" t="s">
        <v>24</v>
      </c>
      <c r="U730" s="22"/>
      <c r="V730" s="22"/>
    </row>
    <row r="731" spans="1:22" ht="41.4">
      <c r="A731" s="22" t="s">
        <v>762</v>
      </c>
      <c r="B731" s="25">
        <v>45707</v>
      </c>
      <c r="C731" s="22" t="s">
        <v>723</v>
      </c>
      <c r="D731" s="22" t="s">
        <v>32</v>
      </c>
      <c r="E731" s="22" t="s">
        <v>34</v>
      </c>
      <c r="F731" s="22" t="s">
        <v>29</v>
      </c>
      <c r="G731" s="22" t="s">
        <v>26</v>
      </c>
      <c r="H731" s="22">
        <v>0</v>
      </c>
      <c r="I731" s="22">
        <v>0</v>
      </c>
      <c r="J731" s="22">
        <v>0</v>
      </c>
      <c r="K731" s="22">
        <v>0</v>
      </c>
      <c r="L731" s="22">
        <v>0</v>
      </c>
      <c r="M731" s="22">
        <v>0</v>
      </c>
      <c r="N731" s="22">
        <v>0</v>
      </c>
      <c r="O731" s="22"/>
      <c r="P731" s="22">
        <v>67.3</v>
      </c>
      <c r="Q731" s="22" t="str">
        <f>IF(OR(L731&lt;$Y$18,L731&gt;$Y$19),"Outlier","Normal")</f>
        <v>Normal</v>
      </c>
      <c r="R731" s="26" t="str">
        <f>A731&amp;B731&amp;C731&amp;D731&amp;E731&amp;F731&amp;G731&amp;H731&amp;I731&amp;J731&amp;K731&amp;L731&amp;M731&amp;N731&amp;O731&amp;P731</f>
        <v>USR-10073045707TreatmentSouthTabletPaid SearchFree000000067.3</v>
      </c>
      <c r="S731" s="22" t="str">
        <f>IF(COUNTIF($R$2:$R$1409,R731)=1,"OK",IF(COUNTIF($R$2:$R$1409,R731)&gt;1,"Exact Duplicate","Review Required"))</f>
        <v>OK</v>
      </c>
      <c r="T731" s="22" t="s">
        <v>34</v>
      </c>
      <c r="U731" s="22" t="s">
        <v>29</v>
      </c>
      <c r="V731" s="22"/>
    </row>
    <row r="732" spans="1:22" ht="41.4">
      <c r="A732" s="22" t="s">
        <v>763</v>
      </c>
      <c r="B732" s="25">
        <v>45748</v>
      </c>
      <c r="C732" s="22" t="s">
        <v>723</v>
      </c>
      <c r="D732" s="22" t="s">
        <v>28</v>
      </c>
      <c r="E732" s="22" t="s">
        <v>24</v>
      </c>
      <c r="F732" s="22" t="s">
        <v>29</v>
      </c>
      <c r="G732" s="22" t="s">
        <v>21</v>
      </c>
      <c r="H732" s="22">
        <v>1</v>
      </c>
      <c r="I732" s="22">
        <v>0</v>
      </c>
      <c r="J732" s="22">
        <v>0</v>
      </c>
      <c r="K732" s="22">
        <v>0</v>
      </c>
      <c r="L732" s="22">
        <v>0</v>
      </c>
      <c r="M732" s="22">
        <v>2</v>
      </c>
      <c r="N732" s="22">
        <v>0</v>
      </c>
      <c r="O732" s="22"/>
      <c r="P732" s="22">
        <v>52.9</v>
      </c>
      <c r="Q732" s="22" t="str">
        <f>IF(OR(L732&lt;$Y$18,L732&gt;$Y$19),"Outlier","Normal")</f>
        <v>Normal</v>
      </c>
      <c r="R732" s="26" t="str">
        <f>A732&amp;B732&amp;C732&amp;D732&amp;E732&amp;F732&amp;G732&amp;H732&amp;I732&amp;J732&amp;K732&amp;L732&amp;M732&amp;N732&amp;O732&amp;P732</f>
        <v>USR-10073145748TreatmentEastMobilePaid SearchBasic100002052.9</v>
      </c>
      <c r="S732" s="22" t="str">
        <f>IF(COUNTIF($R$2:$R$1409,R732)=1,"OK",IF(COUNTIF($R$2:$R$1409,R732)&gt;1,"Exact Duplicate","Review Required"))</f>
        <v>OK</v>
      </c>
      <c r="T732" s="22" t="s">
        <v>24</v>
      </c>
      <c r="U732" s="22" t="s">
        <v>29</v>
      </c>
      <c r="V732" s="22"/>
    </row>
    <row r="733" spans="1:22" ht="41.4">
      <c r="A733" s="22" t="s">
        <v>764</v>
      </c>
      <c r="B733" s="25">
        <v>45686</v>
      </c>
      <c r="C733" s="22" t="s">
        <v>723</v>
      </c>
      <c r="D733" s="22" t="s">
        <v>18</v>
      </c>
      <c r="E733" s="22" t="s">
        <v>24</v>
      </c>
      <c r="F733" s="22" t="s">
        <v>39</v>
      </c>
      <c r="G733" s="22" t="s">
        <v>26</v>
      </c>
      <c r="H733" s="22">
        <v>1</v>
      </c>
      <c r="I733" s="22">
        <v>1</v>
      </c>
      <c r="J733" s="22">
        <v>1</v>
      </c>
      <c r="K733" s="22">
        <v>1</v>
      </c>
      <c r="L733" s="22">
        <v>442.37</v>
      </c>
      <c r="M733" s="22">
        <v>1</v>
      </c>
      <c r="N733" s="22">
        <v>0</v>
      </c>
      <c r="O733" s="22">
        <v>4</v>
      </c>
      <c r="P733" s="22">
        <v>69.900000000000006</v>
      </c>
      <c r="Q733" s="22" t="str">
        <f>IF(OR(L733&lt;$Y$18,L733&gt;$Y$19),"Outlier","Normal")</f>
        <v>Normal</v>
      </c>
      <c r="R733" s="26" t="str">
        <f>A733&amp;B733&amp;C733&amp;D733&amp;E733&amp;F733&amp;G733&amp;H733&amp;I733&amp;J733&amp;K733&amp;L733&amp;M733&amp;N733&amp;O733&amp;P733</f>
        <v>USR-10073245686TreatmentNorthMobileReferralFree1111442.3710469.9</v>
      </c>
      <c r="S733" s="22" t="str">
        <f>IF(COUNTIF($R$2:$R$1409,R733)=1,"OK",IF(COUNTIF($R$2:$R$1409,R733)&gt;1,"Exact Duplicate","Review Required"))</f>
        <v>OK</v>
      </c>
      <c r="T733" s="22" t="s">
        <v>24</v>
      </c>
      <c r="U733" s="22" t="s">
        <v>39</v>
      </c>
      <c r="V733" s="22"/>
    </row>
    <row r="734" spans="1:22" ht="41.4">
      <c r="A734" s="22" t="s">
        <v>765</v>
      </c>
      <c r="B734" s="25">
        <v>45795</v>
      </c>
      <c r="C734" s="22" t="s">
        <v>723</v>
      </c>
      <c r="D734" s="22" t="s">
        <v>18</v>
      </c>
      <c r="E734" s="22" t="s">
        <v>24</v>
      </c>
      <c r="F734" s="22" t="s">
        <v>39</v>
      </c>
      <c r="G734" s="22" t="s">
        <v>21</v>
      </c>
      <c r="H734" s="22">
        <v>1</v>
      </c>
      <c r="I734" s="22">
        <v>1</v>
      </c>
      <c r="J734" s="22">
        <v>1</v>
      </c>
      <c r="K734" s="22">
        <v>0</v>
      </c>
      <c r="L734" s="22">
        <v>0</v>
      </c>
      <c r="M734" s="22">
        <v>0</v>
      </c>
      <c r="N734" s="22">
        <v>0</v>
      </c>
      <c r="O734" s="22"/>
      <c r="P734" s="22">
        <v>78.900000000000006</v>
      </c>
      <c r="Q734" s="22" t="str">
        <f>IF(OR(L734&lt;$Y$18,L734&gt;$Y$19),"Outlier","Normal")</f>
        <v>Normal</v>
      </c>
      <c r="R734" s="26" t="str">
        <f>A734&amp;B734&amp;C734&amp;D734&amp;E734&amp;F734&amp;G734&amp;H734&amp;I734&amp;J734&amp;K734&amp;L734&amp;M734&amp;N734&amp;O734&amp;P734</f>
        <v>USR-10073345795TreatmentNorthMobileReferralBasic111000078.9</v>
      </c>
      <c r="S734" s="22" t="str">
        <f>IF(COUNTIF($R$2:$R$1409,R734)=1,"OK",IF(COUNTIF($R$2:$R$1409,R734)&gt;1,"Exact Duplicate","Review Required"))</f>
        <v>OK</v>
      </c>
      <c r="T734" s="22" t="s">
        <v>24</v>
      </c>
      <c r="U734" s="22" t="s">
        <v>39</v>
      </c>
      <c r="V734" s="22"/>
    </row>
    <row r="735" spans="1:22" ht="41.4">
      <c r="A735" s="22" t="s">
        <v>766</v>
      </c>
      <c r="B735" s="25">
        <v>45762</v>
      </c>
      <c r="C735" s="22" t="s">
        <v>723</v>
      </c>
      <c r="D735" s="22" t="s">
        <v>28</v>
      </c>
      <c r="E735" s="22" t="s">
        <v>19</v>
      </c>
      <c r="F735" s="22" t="s">
        <v>41</v>
      </c>
      <c r="G735" s="22" t="s">
        <v>30</v>
      </c>
      <c r="H735" s="22">
        <v>1</v>
      </c>
      <c r="I735" s="22">
        <v>1</v>
      </c>
      <c r="J735" s="22">
        <v>0</v>
      </c>
      <c r="K735" s="22">
        <v>0</v>
      </c>
      <c r="L735" s="22">
        <v>0</v>
      </c>
      <c r="M735" s="22">
        <v>0</v>
      </c>
      <c r="N735" s="22">
        <v>0</v>
      </c>
      <c r="O735" s="22"/>
      <c r="P735" s="22">
        <v>83.3</v>
      </c>
      <c r="Q735" s="22" t="str">
        <f>IF(OR(L735&lt;$Y$18,L735&gt;$Y$19),"Outlier","Normal")</f>
        <v>Normal</v>
      </c>
      <c r="R735" s="26" t="str">
        <f>A735&amp;B735&amp;C735&amp;D735&amp;E735&amp;F735&amp;G735&amp;H735&amp;I735&amp;J735&amp;K735&amp;L735&amp;M735&amp;N735&amp;O735&amp;P735</f>
        <v>USR-10073445762TreatmentEastDesktopSocialPremium110000083.3</v>
      </c>
      <c r="S735" s="22" t="str">
        <f>IF(COUNTIF($R$2:$R$1409,R735)=1,"OK",IF(COUNTIF($R$2:$R$1409,R735)&gt;1,"Exact Duplicate","Review Required"))</f>
        <v>OK</v>
      </c>
      <c r="T735" s="22" t="s">
        <v>19</v>
      </c>
      <c r="U735" s="22" t="s">
        <v>41</v>
      </c>
      <c r="V735" s="22"/>
    </row>
    <row r="736" spans="1:22" ht="41.4">
      <c r="A736" s="22" t="s">
        <v>767</v>
      </c>
      <c r="B736" s="25">
        <v>45744</v>
      </c>
      <c r="C736" s="22" t="s">
        <v>723</v>
      </c>
      <c r="D736" s="22" t="s">
        <v>28</v>
      </c>
      <c r="E736" s="22" t="s">
        <v>19</v>
      </c>
      <c r="F736" s="22" t="s">
        <v>20</v>
      </c>
      <c r="G736" s="22" t="s">
        <v>26</v>
      </c>
      <c r="H736" s="22">
        <v>1</v>
      </c>
      <c r="I736" s="22">
        <v>0</v>
      </c>
      <c r="J736" s="22">
        <v>0</v>
      </c>
      <c r="K736" s="22">
        <v>0</v>
      </c>
      <c r="L736" s="22">
        <v>0</v>
      </c>
      <c r="M736" s="22">
        <v>1</v>
      </c>
      <c r="N736" s="22">
        <v>0</v>
      </c>
      <c r="O736" s="22"/>
      <c r="P736" s="22">
        <v>24.5</v>
      </c>
      <c r="Q736" s="22" t="str">
        <f>IF(OR(L736&lt;$Y$18,L736&gt;$Y$19),"Outlier","Normal")</f>
        <v>Normal</v>
      </c>
      <c r="R736" s="26" t="str">
        <f>A736&amp;B736&amp;C736&amp;D736&amp;E736&amp;F736&amp;G736&amp;H736&amp;I736&amp;J736&amp;K736&amp;L736&amp;M736&amp;N736&amp;O736&amp;P736</f>
        <v>USR-10073545744TreatmentEastDesktopEmailFree100001024.5</v>
      </c>
      <c r="S736" s="22" t="str">
        <f>IF(COUNTIF($R$2:$R$1409,R736)=1,"OK",IF(COUNTIF($R$2:$R$1409,R736)&gt;1,"Exact Duplicate","Review Required"))</f>
        <v>OK</v>
      </c>
      <c r="T736" s="22" t="s">
        <v>19</v>
      </c>
      <c r="U736" s="22" t="s">
        <v>20</v>
      </c>
      <c r="V736" s="22"/>
    </row>
    <row r="737" spans="1:22" ht="41.4">
      <c r="A737" s="22" t="s">
        <v>768</v>
      </c>
      <c r="B737" s="25">
        <v>45748</v>
      </c>
      <c r="C737" s="22" t="s">
        <v>723</v>
      </c>
      <c r="D737" s="22" t="s">
        <v>23</v>
      </c>
      <c r="E737" s="22" t="s">
        <v>24</v>
      </c>
      <c r="F737" s="22" t="s">
        <v>29</v>
      </c>
      <c r="G737" s="22" t="s">
        <v>21</v>
      </c>
      <c r="H737" s="22">
        <v>1</v>
      </c>
      <c r="I737" s="22">
        <v>1</v>
      </c>
      <c r="J737" s="22">
        <v>0</v>
      </c>
      <c r="K737" s="22">
        <v>0</v>
      </c>
      <c r="L737" s="22">
        <v>0</v>
      </c>
      <c r="M737" s="22">
        <v>1</v>
      </c>
      <c r="N737" s="22">
        <v>0</v>
      </c>
      <c r="O737" s="22"/>
      <c r="P737" s="22">
        <v>56.9</v>
      </c>
      <c r="Q737" s="22" t="str">
        <f>IF(OR(L737&lt;$Y$18,L737&gt;$Y$19),"Outlier","Normal")</f>
        <v>Normal</v>
      </c>
      <c r="R737" s="26" t="str">
        <f>A737&amp;B737&amp;C737&amp;D737&amp;E737&amp;F737&amp;G737&amp;H737&amp;I737&amp;J737&amp;K737&amp;L737&amp;M737&amp;N737&amp;O737&amp;P737</f>
        <v>USR-10073645748TreatmentWestMobilePaid SearchBasic110001056.9</v>
      </c>
      <c r="S737" s="22" t="str">
        <f>IF(COUNTIF($R$2:$R$1409,R737)=1,"OK",IF(COUNTIF($R$2:$R$1409,R737)&gt;1,"Exact Duplicate","Review Required"))</f>
        <v>OK</v>
      </c>
      <c r="T737" s="22" t="s">
        <v>24</v>
      </c>
      <c r="U737" s="22" t="s">
        <v>29</v>
      </c>
      <c r="V737" s="22"/>
    </row>
    <row r="738" spans="1:22" ht="41.4">
      <c r="A738" s="22" t="s">
        <v>769</v>
      </c>
      <c r="B738" s="25">
        <v>45699</v>
      </c>
      <c r="C738" s="22" t="s">
        <v>723</v>
      </c>
      <c r="D738" s="22" t="s">
        <v>23</v>
      </c>
      <c r="E738" s="22" t="s">
        <v>24</v>
      </c>
      <c r="F738" s="22" t="s">
        <v>41</v>
      </c>
      <c r="G738" s="22" t="s">
        <v>21</v>
      </c>
      <c r="H738" s="22">
        <v>1</v>
      </c>
      <c r="I738" s="22">
        <v>0</v>
      </c>
      <c r="J738" s="22">
        <v>0</v>
      </c>
      <c r="K738" s="22">
        <v>0</v>
      </c>
      <c r="L738" s="22">
        <v>0</v>
      </c>
      <c r="M738" s="22">
        <v>0</v>
      </c>
      <c r="N738" s="22">
        <v>0</v>
      </c>
      <c r="O738" s="22"/>
      <c r="P738" s="22">
        <v>69.900000000000006</v>
      </c>
      <c r="Q738" s="22" t="str">
        <f>IF(OR(L738&lt;$Y$18,L738&gt;$Y$19),"Outlier","Normal")</f>
        <v>Normal</v>
      </c>
      <c r="R738" s="26" t="str">
        <f>A738&amp;B738&amp;C738&amp;D738&amp;E738&amp;F738&amp;G738&amp;H738&amp;I738&amp;J738&amp;K738&amp;L738&amp;M738&amp;N738&amp;O738&amp;P738</f>
        <v>USR-10073745699TreatmentWestMobileSocialBasic100000069.9</v>
      </c>
      <c r="S738" s="22" t="str">
        <f>IF(COUNTIF($R$2:$R$1409,R738)=1,"OK",IF(COUNTIF($R$2:$R$1409,R738)&gt;1,"Exact Duplicate","Review Required"))</f>
        <v>OK</v>
      </c>
      <c r="T738" s="22" t="s">
        <v>24</v>
      </c>
      <c r="U738" s="22" t="s">
        <v>41</v>
      </c>
      <c r="V738" s="22"/>
    </row>
    <row r="739" spans="1:22" ht="41.4">
      <c r="A739" s="22" t="s">
        <v>770</v>
      </c>
      <c r="B739" s="25">
        <v>45720</v>
      </c>
      <c r="C739" s="22" t="s">
        <v>723</v>
      </c>
      <c r="D739" s="22" t="s">
        <v>32</v>
      </c>
      <c r="E739" s="22" t="s">
        <v>24</v>
      </c>
      <c r="F739" s="22" t="s">
        <v>25</v>
      </c>
      <c r="G739" s="22" t="s">
        <v>26</v>
      </c>
      <c r="H739" s="22">
        <v>1</v>
      </c>
      <c r="I739" s="22">
        <v>1</v>
      </c>
      <c r="J739" s="22">
        <v>1</v>
      </c>
      <c r="K739" s="22">
        <v>0</v>
      </c>
      <c r="L739" s="22">
        <v>0</v>
      </c>
      <c r="M739" s="22">
        <v>0</v>
      </c>
      <c r="N739" s="22">
        <v>0</v>
      </c>
      <c r="O739" s="22"/>
      <c r="P739" s="22">
        <v>81.5</v>
      </c>
      <c r="Q739" s="22" t="str">
        <f>IF(OR(L739&lt;$Y$18,L739&gt;$Y$19),"Outlier","Normal")</f>
        <v>Normal</v>
      </c>
      <c r="R739" s="26" t="str">
        <f>A739&amp;B739&amp;C739&amp;D739&amp;E739&amp;F739&amp;G739&amp;H739&amp;I739&amp;J739&amp;K739&amp;L739&amp;M739&amp;N739&amp;O739&amp;P739</f>
        <v>USR-10073845720TreatmentSouthMobileOrganicFree111000081.5</v>
      </c>
      <c r="S739" s="22" t="str">
        <f>IF(COUNTIF($R$2:$R$1409,R739)=1,"OK",IF(COUNTIF($R$2:$R$1409,R739)&gt;1,"Exact Duplicate","Review Required"))</f>
        <v>OK</v>
      </c>
      <c r="T739" s="22" t="s">
        <v>24</v>
      </c>
      <c r="U739" s="22" t="s">
        <v>25</v>
      </c>
      <c r="V739" s="22"/>
    </row>
    <row r="740" spans="1:22" ht="41.4">
      <c r="A740" s="22" t="s">
        <v>771</v>
      </c>
      <c r="B740" s="25">
        <v>45678</v>
      </c>
      <c r="C740" s="22" t="s">
        <v>723</v>
      </c>
      <c r="D740" s="22" t="s">
        <v>18</v>
      </c>
      <c r="E740" s="22" t="s">
        <v>34</v>
      </c>
      <c r="F740" s="22" t="s">
        <v>41</v>
      </c>
      <c r="G740" s="22" t="s">
        <v>21</v>
      </c>
      <c r="H740" s="22">
        <v>0</v>
      </c>
      <c r="I740" s="22">
        <v>0</v>
      </c>
      <c r="J740" s="22">
        <v>0</v>
      </c>
      <c r="K740" s="22">
        <v>0</v>
      </c>
      <c r="L740" s="22">
        <v>0</v>
      </c>
      <c r="M740" s="22">
        <v>2</v>
      </c>
      <c r="N740" s="22">
        <v>0</v>
      </c>
      <c r="O740" s="22"/>
      <c r="P740" s="22">
        <v>37.9</v>
      </c>
      <c r="Q740" s="22" t="str">
        <f>IF(OR(L740&lt;$Y$18,L740&gt;$Y$19),"Outlier","Normal")</f>
        <v>Normal</v>
      </c>
      <c r="R740" s="26" t="str">
        <f>A740&amp;B740&amp;C740&amp;D740&amp;E740&amp;F740&amp;G740&amp;H740&amp;I740&amp;J740&amp;K740&amp;L740&amp;M740&amp;N740&amp;O740&amp;P740</f>
        <v>USR-10073945678TreatmentNorthTabletSocialBasic000002037.9</v>
      </c>
      <c r="S740" s="22" t="str">
        <f>IF(COUNTIF($R$2:$R$1409,R740)=1,"OK",IF(COUNTIF($R$2:$R$1409,R740)&gt;1,"Exact Duplicate","Review Required"))</f>
        <v>OK</v>
      </c>
      <c r="T740" s="22" t="s">
        <v>34</v>
      </c>
      <c r="U740" s="22" t="s">
        <v>41</v>
      </c>
      <c r="V740" s="22"/>
    </row>
    <row r="741" spans="1:22" ht="41.4">
      <c r="A741" s="22" t="s">
        <v>772</v>
      </c>
      <c r="B741" s="25">
        <v>45702</v>
      </c>
      <c r="C741" s="22" t="s">
        <v>723</v>
      </c>
      <c r="D741" s="22" t="s">
        <v>18</v>
      </c>
      <c r="E741" s="22" t="s">
        <v>24</v>
      </c>
      <c r="F741" s="22" t="s">
        <v>39</v>
      </c>
      <c r="G741" s="22" t="s">
        <v>26</v>
      </c>
      <c r="H741" s="22">
        <v>0</v>
      </c>
      <c r="I741" s="22">
        <v>0</v>
      </c>
      <c r="J741" s="22">
        <v>0</v>
      </c>
      <c r="K741" s="22">
        <v>0</v>
      </c>
      <c r="L741" s="22">
        <v>0</v>
      </c>
      <c r="M741" s="22">
        <v>1</v>
      </c>
      <c r="N741" s="22">
        <v>0</v>
      </c>
      <c r="O741" s="22"/>
      <c r="P741" s="22">
        <v>61.7</v>
      </c>
      <c r="Q741" s="22" t="str">
        <f>IF(OR(L741&lt;$Y$18,L741&gt;$Y$19),"Outlier","Normal")</f>
        <v>Normal</v>
      </c>
      <c r="R741" s="26" t="str">
        <f>A741&amp;B741&amp;C741&amp;D741&amp;E741&amp;F741&amp;G741&amp;H741&amp;I741&amp;J741&amp;K741&amp;L741&amp;M741&amp;N741&amp;O741&amp;P741</f>
        <v>USR-10074045702TreatmentNorthMobileReferralFree000001061.7</v>
      </c>
      <c r="S741" s="22" t="str">
        <f>IF(COUNTIF($R$2:$R$1409,R741)=1,"OK",IF(COUNTIF($R$2:$R$1409,R741)&gt;1,"Exact Duplicate","Review Required"))</f>
        <v>OK</v>
      </c>
      <c r="T741" s="22" t="s">
        <v>24</v>
      </c>
      <c r="U741" s="22" t="s">
        <v>39</v>
      </c>
      <c r="V741" s="22"/>
    </row>
    <row r="742" spans="1:22" ht="41.4">
      <c r="A742" s="22" t="s">
        <v>773</v>
      </c>
      <c r="B742" s="25">
        <v>45746</v>
      </c>
      <c r="C742" s="22" t="s">
        <v>723</v>
      </c>
      <c r="D742" s="22" t="s">
        <v>18</v>
      </c>
      <c r="E742" s="22" t="s">
        <v>19</v>
      </c>
      <c r="F742" s="22" t="s">
        <v>1482</v>
      </c>
      <c r="G742" s="22" t="s">
        <v>30</v>
      </c>
      <c r="H742" s="22">
        <v>1</v>
      </c>
      <c r="I742" s="22">
        <v>0</v>
      </c>
      <c r="J742" s="22">
        <v>0</v>
      </c>
      <c r="K742" s="22">
        <v>0</v>
      </c>
      <c r="L742" s="22">
        <v>0</v>
      </c>
      <c r="M742" s="22">
        <v>2</v>
      </c>
      <c r="N742" s="22">
        <v>0</v>
      </c>
      <c r="O742" s="22"/>
      <c r="P742" s="22">
        <v>53.2</v>
      </c>
      <c r="Q742" s="22" t="str">
        <f>IF(OR(L742&lt;$Y$18,L742&gt;$Y$19),"Outlier","Normal")</f>
        <v>Normal</v>
      </c>
      <c r="R742" s="26" t="str">
        <f>A742&amp;B742&amp;C742&amp;D742&amp;E742&amp;F742&amp;G742&amp;H742&amp;I742&amp;J742&amp;K742&amp;L742&amp;M742&amp;N742&amp;O742&amp;P742</f>
        <v>USR-10074145746TreatmentNorthDesktopUnknownPremium100002053.2</v>
      </c>
      <c r="S742" s="22" t="str">
        <f>IF(COUNTIF($R$2:$R$1409,R742)=1,"OK",IF(COUNTIF($R$2:$R$1409,R742)&gt;1,"Exact Duplicate","Review Required"))</f>
        <v>OK</v>
      </c>
      <c r="T742" s="22" t="s">
        <v>19</v>
      </c>
      <c r="U742" s="22"/>
      <c r="V742" s="22"/>
    </row>
    <row r="743" spans="1:22" ht="41.4">
      <c r="A743" s="22" t="s">
        <v>774</v>
      </c>
      <c r="B743" s="25">
        <v>45665</v>
      </c>
      <c r="C743" s="22" t="s">
        <v>723</v>
      </c>
      <c r="D743" s="22" t="s">
        <v>18</v>
      </c>
      <c r="E743" s="22" t="s">
        <v>24</v>
      </c>
      <c r="F743" s="22" t="s">
        <v>39</v>
      </c>
      <c r="G743" s="22" t="s">
        <v>26</v>
      </c>
      <c r="H743" s="22">
        <v>0</v>
      </c>
      <c r="I743" s="22">
        <v>0</v>
      </c>
      <c r="J743" s="22">
        <v>0</v>
      </c>
      <c r="K743" s="22">
        <v>0</v>
      </c>
      <c r="L743" s="22">
        <v>0</v>
      </c>
      <c r="M743" s="22">
        <v>0</v>
      </c>
      <c r="N743" s="22">
        <v>0</v>
      </c>
      <c r="O743" s="22"/>
      <c r="P743" s="22">
        <v>61.9</v>
      </c>
      <c r="Q743" s="22" t="str">
        <f>IF(OR(L743&lt;$Y$18,L743&gt;$Y$19),"Outlier","Normal")</f>
        <v>Normal</v>
      </c>
      <c r="R743" s="26" t="str">
        <f>A743&amp;B743&amp;C743&amp;D743&amp;E743&amp;F743&amp;G743&amp;H743&amp;I743&amp;J743&amp;K743&amp;L743&amp;M743&amp;N743&amp;O743&amp;P743</f>
        <v>USR-10074245665TreatmentNorthMobileReferralFree000000061.9</v>
      </c>
      <c r="S743" s="22" t="str">
        <f>IF(COUNTIF($R$2:$R$1409,R743)=1,"OK",IF(COUNTIF($R$2:$R$1409,R743)&gt;1,"Exact Duplicate","Review Required"))</f>
        <v>OK</v>
      </c>
      <c r="T743" s="22" t="s">
        <v>24</v>
      </c>
      <c r="U743" s="22" t="s">
        <v>39</v>
      </c>
      <c r="V743" s="22"/>
    </row>
    <row r="744" spans="1:22" ht="41.4">
      <c r="A744" s="22" t="s">
        <v>775</v>
      </c>
      <c r="B744" s="25">
        <v>45695</v>
      </c>
      <c r="C744" s="22" t="s">
        <v>723</v>
      </c>
      <c r="D744" s="22" t="s">
        <v>18</v>
      </c>
      <c r="E744" s="22" t="s">
        <v>24</v>
      </c>
      <c r="F744" s="22" t="s">
        <v>41</v>
      </c>
      <c r="G744" s="22" t="s">
        <v>26</v>
      </c>
      <c r="H744" s="22">
        <v>1</v>
      </c>
      <c r="I744" s="22">
        <v>1</v>
      </c>
      <c r="J744" s="22">
        <v>1</v>
      </c>
      <c r="K744" s="22">
        <v>0</v>
      </c>
      <c r="L744" s="22">
        <v>0</v>
      </c>
      <c r="M744" s="22">
        <v>0</v>
      </c>
      <c r="N744" s="22">
        <v>0</v>
      </c>
      <c r="O744" s="22"/>
      <c r="P744" s="22">
        <v>68.900000000000006</v>
      </c>
      <c r="Q744" s="22" t="str">
        <f>IF(OR(L744&lt;$Y$18,L744&gt;$Y$19),"Outlier","Normal")</f>
        <v>Normal</v>
      </c>
      <c r="R744" s="26" t="str">
        <f>A744&amp;B744&amp;C744&amp;D744&amp;E744&amp;F744&amp;G744&amp;H744&amp;I744&amp;J744&amp;K744&amp;L744&amp;M744&amp;N744&amp;O744&amp;P744</f>
        <v>USR-10074345695TreatmentNorthMobileSocialFree111000068.9</v>
      </c>
      <c r="S744" s="22" t="str">
        <f>IF(COUNTIF($R$2:$R$1409,R744)=1,"OK",IF(COUNTIF($R$2:$R$1409,R744)&gt;1,"Exact Duplicate","Review Required"))</f>
        <v>OK</v>
      </c>
      <c r="T744" s="22" t="s">
        <v>24</v>
      </c>
      <c r="U744" s="22" t="s">
        <v>41</v>
      </c>
      <c r="V744" s="22"/>
    </row>
    <row r="745" spans="1:22" ht="41.4">
      <c r="A745" s="22" t="s">
        <v>776</v>
      </c>
      <c r="B745" s="25">
        <v>45689</v>
      </c>
      <c r="C745" s="22" t="s">
        <v>723</v>
      </c>
      <c r="D745" s="22" t="s">
        <v>18</v>
      </c>
      <c r="E745" s="22" t="s">
        <v>34</v>
      </c>
      <c r="F745" s="22" t="s">
        <v>29</v>
      </c>
      <c r="G745" s="22" t="s">
        <v>21</v>
      </c>
      <c r="H745" s="22">
        <v>0</v>
      </c>
      <c r="I745" s="22">
        <v>0</v>
      </c>
      <c r="J745" s="22">
        <v>0</v>
      </c>
      <c r="K745" s="22">
        <v>0</v>
      </c>
      <c r="L745" s="22">
        <v>0</v>
      </c>
      <c r="M745" s="22">
        <v>0</v>
      </c>
      <c r="N745" s="22">
        <v>0</v>
      </c>
      <c r="O745" s="22"/>
      <c r="P745" s="22">
        <v>66.3</v>
      </c>
      <c r="Q745" s="22" t="str">
        <f>IF(OR(L745&lt;$Y$18,L745&gt;$Y$19),"Outlier","Normal")</f>
        <v>Normal</v>
      </c>
      <c r="R745" s="26" t="str">
        <f>A745&amp;B745&amp;C745&amp;D745&amp;E745&amp;F745&amp;G745&amp;H745&amp;I745&amp;J745&amp;K745&amp;L745&amp;M745&amp;N745&amp;O745&amp;P745</f>
        <v>USR-10074445689TreatmentNorthTabletPaid SearchBasic000000066.3</v>
      </c>
      <c r="S745" s="22" t="str">
        <f>IF(COUNTIF($R$2:$R$1409,R745)=1,"OK",IF(COUNTIF($R$2:$R$1409,R745)&gt;1,"Exact Duplicate","Review Required"))</f>
        <v>OK</v>
      </c>
      <c r="T745" s="22" t="s">
        <v>34</v>
      </c>
      <c r="U745" s="22" t="s">
        <v>29</v>
      </c>
      <c r="V745" s="22"/>
    </row>
    <row r="746" spans="1:22" ht="41.4">
      <c r="A746" s="22" t="s">
        <v>777</v>
      </c>
      <c r="B746" s="25">
        <v>45661</v>
      </c>
      <c r="C746" s="22" t="s">
        <v>723</v>
      </c>
      <c r="D746" s="22" t="s">
        <v>28</v>
      </c>
      <c r="E746" s="22" t="s">
        <v>24</v>
      </c>
      <c r="F746" s="22" t="s">
        <v>20</v>
      </c>
      <c r="G746" s="22" t="s">
        <v>26</v>
      </c>
      <c r="H746" s="22">
        <v>1</v>
      </c>
      <c r="I746" s="22">
        <v>1</v>
      </c>
      <c r="J746" s="22">
        <v>1</v>
      </c>
      <c r="K746" s="22">
        <v>0</v>
      </c>
      <c r="L746" s="22">
        <v>0</v>
      </c>
      <c r="M746" s="22">
        <v>0</v>
      </c>
      <c r="N746" s="22">
        <v>0</v>
      </c>
      <c r="O746" s="22"/>
      <c r="P746" s="22">
        <v>54.6</v>
      </c>
      <c r="Q746" s="22" t="str">
        <f>IF(OR(L746&lt;$Y$18,L746&gt;$Y$19),"Outlier","Normal")</f>
        <v>Normal</v>
      </c>
      <c r="R746" s="26" t="str">
        <f>A746&amp;B746&amp;C746&amp;D746&amp;E746&amp;F746&amp;G746&amp;H746&amp;I746&amp;J746&amp;K746&amp;L746&amp;M746&amp;N746&amp;O746&amp;P746</f>
        <v>USR-10074545661TreatmentEastMobileEmailFree111000054.6</v>
      </c>
      <c r="S746" s="22" t="str">
        <f>IF(COUNTIF($R$2:$R$1409,R746)=1,"OK",IF(COUNTIF($R$2:$R$1409,R746)&gt;1,"Exact Duplicate","Review Required"))</f>
        <v>OK</v>
      </c>
      <c r="T746" s="22" t="s">
        <v>24</v>
      </c>
      <c r="U746" s="22" t="s">
        <v>20</v>
      </c>
      <c r="V746" s="22"/>
    </row>
    <row r="747" spans="1:22" ht="41.4">
      <c r="A747" s="22" t="s">
        <v>778</v>
      </c>
      <c r="B747" s="25">
        <v>45793</v>
      </c>
      <c r="C747" s="22" t="s">
        <v>723</v>
      </c>
      <c r="D747" s="22" t="s">
        <v>32</v>
      </c>
      <c r="E747" s="22" t="s">
        <v>19</v>
      </c>
      <c r="F747" s="22" t="s">
        <v>39</v>
      </c>
      <c r="G747" s="22" t="s">
        <v>26</v>
      </c>
      <c r="H747" s="22">
        <v>0</v>
      </c>
      <c r="I747" s="22">
        <v>0</v>
      </c>
      <c r="J747" s="22">
        <v>0</v>
      </c>
      <c r="K747" s="22">
        <v>0</v>
      </c>
      <c r="L747" s="22">
        <v>0</v>
      </c>
      <c r="M747" s="22">
        <v>0</v>
      </c>
      <c r="N747" s="22">
        <v>0</v>
      </c>
      <c r="O747" s="22"/>
      <c r="P747" s="22">
        <v>53.8</v>
      </c>
      <c r="Q747" s="22" t="str">
        <f>IF(OR(L747&lt;$Y$18,L747&gt;$Y$19),"Outlier","Normal")</f>
        <v>Normal</v>
      </c>
      <c r="R747" s="26" t="str">
        <f>A747&amp;B747&amp;C747&amp;D747&amp;E747&amp;F747&amp;G747&amp;H747&amp;I747&amp;J747&amp;K747&amp;L747&amp;M747&amp;N747&amp;O747&amp;P747</f>
        <v>USR-10074645793TreatmentSouthDesktopReferralFree000000053.8</v>
      </c>
      <c r="S747" s="22" t="str">
        <f>IF(COUNTIF($R$2:$R$1409,R747)=1,"OK",IF(COUNTIF($R$2:$R$1409,R747)&gt;1,"Exact Duplicate","Review Required"))</f>
        <v>OK</v>
      </c>
      <c r="T747" s="22" t="s">
        <v>19</v>
      </c>
      <c r="U747" s="22" t="s">
        <v>39</v>
      </c>
      <c r="V747" s="22"/>
    </row>
    <row r="748" spans="1:22" ht="41.4">
      <c r="A748" s="22" t="s">
        <v>779</v>
      </c>
      <c r="B748" s="25">
        <v>45716</v>
      </c>
      <c r="C748" s="22" t="s">
        <v>723</v>
      </c>
      <c r="D748" s="22" t="s">
        <v>23</v>
      </c>
      <c r="E748" s="22" t="s">
        <v>24</v>
      </c>
      <c r="F748" s="22" t="s">
        <v>39</v>
      </c>
      <c r="G748" s="22" t="s">
        <v>26</v>
      </c>
      <c r="H748" s="22">
        <v>1</v>
      </c>
      <c r="I748" s="22">
        <v>0</v>
      </c>
      <c r="J748" s="22">
        <v>0</v>
      </c>
      <c r="K748" s="22">
        <v>0</v>
      </c>
      <c r="L748" s="22">
        <v>0</v>
      </c>
      <c r="M748" s="22">
        <v>0</v>
      </c>
      <c r="N748" s="22">
        <v>0</v>
      </c>
      <c r="O748" s="22"/>
      <c r="P748" s="22">
        <v>59.5</v>
      </c>
      <c r="Q748" s="22" t="str">
        <f>IF(OR(L748&lt;$Y$18,L748&gt;$Y$19),"Outlier","Normal")</f>
        <v>Normal</v>
      </c>
      <c r="R748" s="26" t="str">
        <f>A748&amp;B748&amp;C748&amp;D748&amp;E748&amp;F748&amp;G748&amp;H748&amp;I748&amp;J748&amp;K748&amp;L748&amp;M748&amp;N748&amp;O748&amp;P748</f>
        <v>USR-10074745716TreatmentWestMobileReferralFree100000059.5</v>
      </c>
      <c r="S748" s="22" t="str">
        <f>IF(COUNTIF($R$2:$R$1409,R748)=1,"OK",IF(COUNTIF($R$2:$R$1409,R748)&gt;1,"Exact Duplicate","Review Required"))</f>
        <v>OK</v>
      </c>
      <c r="T748" s="22" t="s">
        <v>24</v>
      </c>
      <c r="U748" s="22" t="s">
        <v>39</v>
      </c>
      <c r="V748" s="22"/>
    </row>
    <row r="749" spans="1:22" ht="41.4">
      <c r="A749" s="22" t="s">
        <v>780</v>
      </c>
      <c r="B749" s="25">
        <v>45759</v>
      </c>
      <c r="C749" s="22" t="s">
        <v>723</v>
      </c>
      <c r="D749" s="22" t="s">
        <v>18</v>
      </c>
      <c r="E749" s="22" t="s">
        <v>24</v>
      </c>
      <c r="F749" s="22" t="s">
        <v>39</v>
      </c>
      <c r="G749" s="22" t="s">
        <v>26</v>
      </c>
      <c r="H749" s="22">
        <v>1</v>
      </c>
      <c r="I749" s="22">
        <v>0</v>
      </c>
      <c r="J749" s="22">
        <v>0</v>
      </c>
      <c r="K749" s="22">
        <v>0</v>
      </c>
      <c r="L749" s="22">
        <v>0</v>
      </c>
      <c r="M749" s="22">
        <v>0</v>
      </c>
      <c r="N749" s="22">
        <v>0</v>
      </c>
      <c r="O749" s="22"/>
      <c r="P749" s="22">
        <v>52.6</v>
      </c>
      <c r="Q749" s="22" t="str">
        <f>IF(OR(L749&lt;$Y$18,L749&gt;$Y$19),"Outlier","Normal")</f>
        <v>Normal</v>
      </c>
      <c r="R749" s="26" t="str">
        <f>A749&amp;B749&amp;C749&amp;D749&amp;E749&amp;F749&amp;G749&amp;H749&amp;I749&amp;J749&amp;K749&amp;L749&amp;M749&amp;N749&amp;O749&amp;P749</f>
        <v>USR-10074845759TreatmentNorthMobileReferralFree100000052.6</v>
      </c>
      <c r="S749" s="22" t="str">
        <f>IF(COUNTIF($R$2:$R$1409,R749)=1,"OK",IF(COUNTIF($R$2:$R$1409,R749)&gt;1,"Exact Duplicate","Review Required"))</f>
        <v>OK</v>
      </c>
      <c r="T749" s="22" t="s">
        <v>24</v>
      </c>
      <c r="U749" s="22" t="s">
        <v>39</v>
      </c>
      <c r="V749" s="22"/>
    </row>
    <row r="750" spans="1:22" ht="41.4">
      <c r="A750" s="22" t="s">
        <v>781</v>
      </c>
      <c r="B750" s="25">
        <v>45739</v>
      </c>
      <c r="C750" s="22" t="s">
        <v>723</v>
      </c>
      <c r="D750" s="22" t="s">
        <v>32</v>
      </c>
      <c r="E750" s="22" t="s">
        <v>19</v>
      </c>
      <c r="F750" s="22" t="s">
        <v>25</v>
      </c>
      <c r="G750" s="22" t="s">
        <v>26</v>
      </c>
      <c r="H750" s="22">
        <v>0</v>
      </c>
      <c r="I750" s="22">
        <v>0</v>
      </c>
      <c r="J750" s="22">
        <v>0</v>
      </c>
      <c r="K750" s="22">
        <v>0</v>
      </c>
      <c r="L750" s="22">
        <v>0</v>
      </c>
      <c r="M750" s="22">
        <v>0</v>
      </c>
      <c r="N750" s="22">
        <v>0</v>
      </c>
      <c r="O750" s="22"/>
      <c r="P750" s="22">
        <v>49</v>
      </c>
      <c r="Q750" s="22" t="str">
        <f>IF(OR(L750&lt;$Y$18,L750&gt;$Y$19),"Outlier","Normal")</f>
        <v>Normal</v>
      </c>
      <c r="R750" s="26" t="str">
        <f>A750&amp;B750&amp;C750&amp;D750&amp;E750&amp;F750&amp;G750&amp;H750&amp;I750&amp;J750&amp;K750&amp;L750&amp;M750&amp;N750&amp;O750&amp;P750</f>
        <v>USR-10074945739TreatmentSouthDesktopOrganicFree000000049</v>
      </c>
      <c r="S750" s="22" t="str">
        <f>IF(COUNTIF($R$2:$R$1409,R750)=1,"OK",IF(COUNTIF($R$2:$R$1409,R750)&gt;1,"Exact Duplicate","Review Required"))</f>
        <v>OK</v>
      </c>
      <c r="T750" s="22" t="s">
        <v>19</v>
      </c>
      <c r="U750" s="22" t="s">
        <v>25</v>
      </c>
      <c r="V750" s="22"/>
    </row>
    <row r="751" spans="1:22" ht="41.4">
      <c r="A751" s="22" t="s">
        <v>782</v>
      </c>
      <c r="B751" s="25">
        <v>45806</v>
      </c>
      <c r="C751" s="22" t="s">
        <v>723</v>
      </c>
      <c r="D751" s="22" t="s">
        <v>18</v>
      </c>
      <c r="E751" s="22" t="s">
        <v>34</v>
      </c>
      <c r="F751" s="22" t="s">
        <v>25</v>
      </c>
      <c r="G751" s="22" t="s">
        <v>26</v>
      </c>
      <c r="H751" s="22">
        <v>1</v>
      </c>
      <c r="I751" s="22">
        <v>0</v>
      </c>
      <c r="J751" s="22">
        <v>0</v>
      </c>
      <c r="K751" s="22">
        <v>0</v>
      </c>
      <c r="L751" s="22">
        <v>0</v>
      </c>
      <c r="M751" s="22">
        <v>0</v>
      </c>
      <c r="N751" s="22">
        <v>0</v>
      </c>
      <c r="O751" s="22"/>
      <c r="P751" s="22">
        <v>59.3</v>
      </c>
      <c r="Q751" s="22" t="str">
        <f>IF(OR(L751&lt;$Y$18,L751&gt;$Y$19),"Outlier","Normal")</f>
        <v>Normal</v>
      </c>
      <c r="R751" s="26" t="str">
        <f>A751&amp;B751&amp;C751&amp;D751&amp;E751&amp;F751&amp;G751&amp;H751&amp;I751&amp;J751&amp;K751&amp;L751&amp;M751&amp;N751&amp;O751&amp;P751</f>
        <v>USR-10075045806TreatmentNorthTabletOrganicFree100000059.3</v>
      </c>
      <c r="S751" s="22" t="str">
        <f>IF(COUNTIF($R$2:$R$1409,R751)=1,"OK",IF(COUNTIF($R$2:$R$1409,R751)&gt;1,"Exact Duplicate","Review Required"))</f>
        <v>OK</v>
      </c>
      <c r="T751" s="22" t="s">
        <v>34</v>
      </c>
      <c r="U751" s="22" t="s">
        <v>25</v>
      </c>
      <c r="V751" s="22"/>
    </row>
    <row r="752" spans="1:22" ht="41.4">
      <c r="A752" s="22" t="s">
        <v>783</v>
      </c>
      <c r="B752" s="25">
        <v>45798</v>
      </c>
      <c r="C752" s="22" t="s">
        <v>723</v>
      </c>
      <c r="D752" s="22" t="s">
        <v>32</v>
      </c>
      <c r="E752" s="22" t="s">
        <v>19</v>
      </c>
      <c r="F752" s="22" t="s">
        <v>25</v>
      </c>
      <c r="G752" s="22" t="s">
        <v>21</v>
      </c>
      <c r="H752" s="22">
        <v>0</v>
      </c>
      <c r="I752" s="22">
        <v>0</v>
      </c>
      <c r="J752" s="22">
        <v>0</v>
      </c>
      <c r="K752" s="22">
        <v>0</v>
      </c>
      <c r="L752" s="22">
        <v>0</v>
      </c>
      <c r="M752" s="22">
        <v>0</v>
      </c>
      <c r="N752" s="22">
        <v>0</v>
      </c>
      <c r="O752" s="22"/>
      <c r="P752" s="22">
        <v>67.2</v>
      </c>
      <c r="Q752" s="22" t="str">
        <f>IF(OR(L752&lt;$Y$18,L752&gt;$Y$19),"Outlier","Normal")</f>
        <v>Normal</v>
      </c>
      <c r="R752" s="26" t="str">
        <f>A752&amp;B752&amp;C752&amp;D752&amp;E752&amp;F752&amp;G752&amp;H752&amp;I752&amp;J752&amp;K752&amp;L752&amp;M752&amp;N752&amp;O752&amp;P752</f>
        <v>USR-10075145798TreatmentSouthDesktopOrganicBasic000000067.2</v>
      </c>
      <c r="S752" s="22" t="str">
        <f>IF(COUNTIF($R$2:$R$1409,R752)=1,"OK",IF(COUNTIF($R$2:$R$1409,R752)&gt;1,"Exact Duplicate","Review Required"))</f>
        <v>OK</v>
      </c>
      <c r="T752" s="22" t="s">
        <v>19</v>
      </c>
      <c r="U752" s="22" t="s">
        <v>25</v>
      </c>
      <c r="V752" s="22"/>
    </row>
    <row r="753" spans="1:22" ht="41.4">
      <c r="A753" s="22" t="s">
        <v>784</v>
      </c>
      <c r="B753" s="25">
        <v>45662</v>
      </c>
      <c r="C753" s="22" t="s">
        <v>723</v>
      </c>
      <c r="D753" s="22" t="s">
        <v>32</v>
      </c>
      <c r="E753" s="22" t="s">
        <v>24</v>
      </c>
      <c r="F753" s="22" t="s">
        <v>39</v>
      </c>
      <c r="G753" s="22" t="s">
        <v>30</v>
      </c>
      <c r="H753" s="22">
        <v>0</v>
      </c>
      <c r="I753" s="22">
        <v>0</v>
      </c>
      <c r="J753" s="22">
        <v>0</v>
      </c>
      <c r="K753" s="22">
        <v>0</v>
      </c>
      <c r="L753" s="22">
        <v>0</v>
      </c>
      <c r="M753" s="22">
        <v>0</v>
      </c>
      <c r="N753" s="22">
        <v>0</v>
      </c>
      <c r="O753" s="22"/>
      <c r="P753" s="22">
        <v>73.5</v>
      </c>
      <c r="Q753" s="22" t="str">
        <f>IF(OR(L753&lt;$Y$18,L753&gt;$Y$19),"Outlier","Normal")</f>
        <v>Normal</v>
      </c>
      <c r="R753" s="26" t="str">
        <f>A753&amp;B753&amp;C753&amp;D753&amp;E753&amp;F753&amp;G753&amp;H753&amp;I753&amp;J753&amp;K753&amp;L753&amp;M753&amp;N753&amp;O753&amp;P753</f>
        <v>USR-10075245662TreatmentSouthMobileReferralPremium000000073.5</v>
      </c>
      <c r="S753" s="22" t="str">
        <f>IF(COUNTIF($R$2:$R$1409,R753)=1,"OK",IF(COUNTIF($R$2:$R$1409,R753)&gt;1,"Exact Duplicate","Review Required"))</f>
        <v>OK</v>
      </c>
      <c r="T753" s="22" t="s">
        <v>24</v>
      </c>
      <c r="U753" s="22" t="s">
        <v>39</v>
      </c>
      <c r="V753" s="22"/>
    </row>
    <row r="754" spans="1:22" ht="41.4">
      <c r="A754" s="22" t="s">
        <v>785</v>
      </c>
      <c r="B754" s="25">
        <v>45735</v>
      </c>
      <c r="C754" s="22" t="s">
        <v>723</v>
      </c>
      <c r="D754" s="22" t="s">
        <v>28</v>
      </c>
      <c r="E754" s="22" t="s">
        <v>34</v>
      </c>
      <c r="F754" s="22" t="s">
        <v>25</v>
      </c>
      <c r="G754" s="22" t="s">
        <v>26</v>
      </c>
      <c r="H754" s="22">
        <v>1</v>
      </c>
      <c r="I754" s="22">
        <v>0</v>
      </c>
      <c r="J754" s="22">
        <v>0</v>
      </c>
      <c r="K754" s="22">
        <v>0</v>
      </c>
      <c r="L754" s="22">
        <v>0</v>
      </c>
      <c r="M754" s="22">
        <v>0</v>
      </c>
      <c r="N754" s="22">
        <v>0</v>
      </c>
      <c r="O754" s="22"/>
      <c r="P754" s="22">
        <v>61.2</v>
      </c>
      <c r="Q754" s="22" t="str">
        <f>IF(OR(L754&lt;$Y$18,L754&gt;$Y$19),"Outlier","Normal")</f>
        <v>Normal</v>
      </c>
      <c r="R754" s="26" t="str">
        <f>A754&amp;B754&amp;C754&amp;D754&amp;E754&amp;F754&amp;G754&amp;H754&amp;I754&amp;J754&amp;K754&amp;L754&amp;M754&amp;N754&amp;O754&amp;P754</f>
        <v>USR-10075345735TreatmentEastTabletOrganicFree100000061.2</v>
      </c>
      <c r="S754" s="22" t="str">
        <f>IF(COUNTIF($R$2:$R$1409,R754)=1,"OK",IF(COUNTIF($R$2:$R$1409,R754)&gt;1,"Exact Duplicate","Review Required"))</f>
        <v>OK</v>
      </c>
      <c r="T754" s="22" t="s">
        <v>34</v>
      </c>
      <c r="U754" s="22" t="s">
        <v>25</v>
      </c>
      <c r="V754" s="22"/>
    </row>
    <row r="755" spans="1:22" ht="41.4">
      <c r="A755" s="22" t="s">
        <v>786</v>
      </c>
      <c r="B755" s="25">
        <v>45771</v>
      </c>
      <c r="C755" s="22" t="s">
        <v>723</v>
      </c>
      <c r="D755" s="22" t="s">
        <v>28</v>
      </c>
      <c r="E755" s="22" t="s">
        <v>24</v>
      </c>
      <c r="F755" s="22" t="s">
        <v>25</v>
      </c>
      <c r="G755" s="22" t="s">
        <v>26</v>
      </c>
      <c r="H755" s="22">
        <v>1</v>
      </c>
      <c r="I755" s="22">
        <v>0</v>
      </c>
      <c r="J755" s="22">
        <v>0</v>
      </c>
      <c r="K755" s="22">
        <v>0</v>
      </c>
      <c r="L755" s="22">
        <v>0</v>
      </c>
      <c r="M755" s="22">
        <v>1</v>
      </c>
      <c r="N755" s="22">
        <v>0</v>
      </c>
      <c r="O755" s="22"/>
      <c r="P755" s="22">
        <v>56.4</v>
      </c>
      <c r="Q755" s="22" t="str">
        <f>IF(OR(L755&lt;$Y$18,L755&gt;$Y$19),"Outlier","Normal")</f>
        <v>Normal</v>
      </c>
      <c r="R755" s="26" t="str">
        <f>A755&amp;B755&amp;C755&amp;D755&amp;E755&amp;F755&amp;G755&amp;H755&amp;I755&amp;J755&amp;K755&amp;L755&amp;M755&amp;N755&amp;O755&amp;P755</f>
        <v>USR-10075445771TreatmentEastMobileOrganicFree100001056.4</v>
      </c>
      <c r="S755" s="22" t="str">
        <f>IF(COUNTIF($R$2:$R$1409,R755)=1,"OK",IF(COUNTIF($R$2:$R$1409,R755)&gt;1,"Exact Duplicate","Review Required"))</f>
        <v>OK</v>
      </c>
      <c r="T755" s="22" t="s">
        <v>24</v>
      </c>
      <c r="U755" s="22" t="s">
        <v>25</v>
      </c>
      <c r="V755" s="22"/>
    </row>
    <row r="756" spans="1:22" ht="41.4">
      <c r="A756" s="22" t="s">
        <v>787</v>
      </c>
      <c r="B756" s="25">
        <v>45726</v>
      </c>
      <c r="C756" s="22" t="s">
        <v>723</v>
      </c>
      <c r="D756" s="22" t="s">
        <v>18</v>
      </c>
      <c r="E756" s="22" t="s">
        <v>34</v>
      </c>
      <c r="F756" s="22" t="s">
        <v>25</v>
      </c>
      <c r="G756" s="22" t="s">
        <v>26</v>
      </c>
      <c r="H756" s="22">
        <v>0</v>
      </c>
      <c r="I756" s="22">
        <v>0</v>
      </c>
      <c r="J756" s="22">
        <v>0</v>
      </c>
      <c r="K756" s="22">
        <v>0</v>
      </c>
      <c r="L756" s="22">
        <v>0</v>
      </c>
      <c r="M756" s="22">
        <v>3</v>
      </c>
      <c r="N756" s="22">
        <v>0</v>
      </c>
      <c r="O756" s="22"/>
      <c r="P756" s="22">
        <v>72.599999999999994</v>
      </c>
      <c r="Q756" s="22" t="str">
        <f>IF(OR(L756&lt;$Y$18,L756&gt;$Y$19),"Outlier","Normal")</f>
        <v>Normal</v>
      </c>
      <c r="R756" s="26" t="str">
        <f>A756&amp;B756&amp;C756&amp;D756&amp;E756&amp;F756&amp;G756&amp;H756&amp;I756&amp;J756&amp;K756&amp;L756&amp;M756&amp;N756&amp;O756&amp;P756</f>
        <v>USR-10075545726TreatmentNorthTabletOrganicFree000003072.6</v>
      </c>
      <c r="S756" s="22" t="str">
        <f>IF(COUNTIF($R$2:$R$1409,R756)=1,"OK",IF(COUNTIF($R$2:$R$1409,R756)&gt;1,"Exact Duplicate","Review Required"))</f>
        <v>OK</v>
      </c>
      <c r="T756" s="22" t="s">
        <v>34</v>
      </c>
      <c r="U756" s="22" t="s">
        <v>25</v>
      </c>
      <c r="V756" s="22"/>
    </row>
    <row r="757" spans="1:22" ht="41.4">
      <c r="A757" s="22" t="s">
        <v>788</v>
      </c>
      <c r="B757" s="25">
        <v>45710</v>
      </c>
      <c r="C757" s="22" t="s">
        <v>723</v>
      </c>
      <c r="D757" s="22" t="s">
        <v>32</v>
      </c>
      <c r="E757" s="22" t="s">
        <v>34</v>
      </c>
      <c r="F757" s="22" t="s">
        <v>39</v>
      </c>
      <c r="G757" s="22" t="s">
        <v>21</v>
      </c>
      <c r="H757" s="22">
        <v>1</v>
      </c>
      <c r="I757" s="22">
        <v>0</v>
      </c>
      <c r="J757" s="22">
        <v>0</v>
      </c>
      <c r="K757" s="22">
        <v>0</v>
      </c>
      <c r="L757" s="22">
        <v>0</v>
      </c>
      <c r="M757" s="22">
        <v>0</v>
      </c>
      <c r="N757" s="22">
        <v>0</v>
      </c>
      <c r="O757" s="22"/>
      <c r="P757" s="22">
        <v>61.7</v>
      </c>
      <c r="Q757" s="22" t="str">
        <f>IF(OR(L757&lt;$Y$18,L757&gt;$Y$19),"Outlier","Normal")</f>
        <v>Normal</v>
      </c>
      <c r="R757" s="26" t="str">
        <f>A757&amp;B757&amp;C757&amp;D757&amp;E757&amp;F757&amp;G757&amp;H757&amp;I757&amp;J757&amp;K757&amp;L757&amp;M757&amp;N757&amp;O757&amp;P757</f>
        <v>USR-10075645710TreatmentSouthTabletReferralBasic100000061.7</v>
      </c>
      <c r="S757" s="22" t="str">
        <f>IF(COUNTIF($R$2:$R$1409,R757)=1,"OK",IF(COUNTIF($R$2:$R$1409,R757)&gt;1,"Exact Duplicate","Review Required"))</f>
        <v>OK</v>
      </c>
      <c r="T757" s="22" t="s">
        <v>34</v>
      </c>
      <c r="U757" s="22" t="s">
        <v>39</v>
      </c>
      <c r="V757" s="22"/>
    </row>
    <row r="758" spans="1:22" ht="41.4">
      <c r="A758" s="22" t="s">
        <v>789</v>
      </c>
      <c r="B758" s="25">
        <v>45794</v>
      </c>
      <c r="C758" s="22" t="s">
        <v>723</v>
      </c>
      <c r="D758" s="22" t="s">
        <v>28</v>
      </c>
      <c r="E758" s="22" t="s">
        <v>24</v>
      </c>
      <c r="F758" s="22" t="s">
        <v>41</v>
      </c>
      <c r="G758" s="22" t="s">
        <v>26</v>
      </c>
      <c r="H758" s="22">
        <v>0</v>
      </c>
      <c r="I758" s="22">
        <v>0</v>
      </c>
      <c r="J758" s="22">
        <v>0</v>
      </c>
      <c r="K758" s="22">
        <v>0</v>
      </c>
      <c r="L758" s="22">
        <v>0</v>
      </c>
      <c r="M758" s="22">
        <v>1</v>
      </c>
      <c r="N758" s="22">
        <v>0</v>
      </c>
      <c r="O758" s="22"/>
      <c r="P758" s="22">
        <v>66.900000000000006</v>
      </c>
      <c r="Q758" s="22" t="str">
        <f>IF(OR(L758&lt;$Y$18,L758&gt;$Y$19),"Outlier","Normal")</f>
        <v>Normal</v>
      </c>
      <c r="R758" s="26" t="str">
        <f>A758&amp;B758&amp;C758&amp;D758&amp;E758&amp;F758&amp;G758&amp;H758&amp;I758&amp;J758&amp;K758&amp;L758&amp;M758&amp;N758&amp;O758&amp;P758</f>
        <v>USR-10075745794TreatmentEastMobileSocialFree000001066.9</v>
      </c>
      <c r="S758" s="22" t="str">
        <f>IF(COUNTIF($R$2:$R$1409,R758)=1,"OK",IF(COUNTIF($R$2:$R$1409,R758)&gt;1,"Exact Duplicate","Review Required"))</f>
        <v>OK</v>
      </c>
      <c r="T758" s="22" t="s">
        <v>24</v>
      </c>
      <c r="U758" s="22" t="s">
        <v>41</v>
      </c>
      <c r="V758" s="22"/>
    </row>
    <row r="759" spans="1:22" ht="55.2">
      <c r="A759" s="22" t="s">
        <v>790</v>
      </c>
      <c r="B759" s="25">
        <v>45786</v>
      </c>
      <c r="C759" s="22" t="s">
        <v>723</v>
      </c>
      <c r="D759" s="22" t="s">
        <v>28</v>
      </c>
      <c r="E759" s="22" t="s">
        <v>34</v>
      </c>
      <c r="F759" s="22" t="s">
        <v>39</v>
      </c>
      <c r="G759" s="22" t="s">
        <v>30</v>
      </c>
      <c r="H759" s="22">
        <v>1</v>
      </c>
      <c r="I759" s="22">
        <v>1</v>
      </c>
      <c r="J759" s="22">
        <v>1</v>
      </c>
      <c r="K759" s="22">
        <v>1</v>
      </c>
      <c r="L759" s="22">
        <v>1506.24</v>
      </c>
      <c r="M759" s="22">
        <v>1</v>
      </c>
      <c r="N759" s="22">
        <v>0</v>
      </c>
      <c r="O759" s="22">
        <v>7</v>
      </c>
      <c r="P759" s="22">
        <v>64.900000000000006</v>
      </c>
      <c r="Q759" s="22" t="str">
        <f>IF(OR(L759&lt;$Y$18,L759&gt;$Y$19),"Outlier","Normal")</f>
        <v>Normal</v>
      </c>
      <c r="R759" s="26" t="str">
        <f>A759&amp;B759&amp;C759&amp;D759&amp;E759&amp;F759&amp;G759&amp;H759&amp;I759&amp;J759&amp;K759&amp;L759&amp;M759&amp;N759&amp;O759&amp;P759</f>
        <v>USR-10075845786TreatmentEastTabletReferralPremium11111506.2410764.9</v>
      </c>
      <c r="S759" s="22" t="str">
        <f>IF(COUNTIF($R$2:$R$1409,R759)=1,"OK",IF(COUNTIF($R$2:$R$1409,R759)&gt;1,"Exact Duplicate","Review Required"))</f>
        <v>OK</v>
      </c>
      <c r="T759" s="22" t="s">
        <v>34</v>
      </c>
      <c r="U759" s="22" t="s">
        <v>39</v>
      </c>
      <c r="V759" s="22"/>
    </row>
    <row r="760" spans="1:22" ht="41.4">
      <c r="A760" s="22" t="s">
        <v>791</v>
      </c>
      <c r="B760" s="25">
        <v>45773</v>
      </c>
      <c r="C760" s="22" t="s">
        <v>723</v>
      </c>
      <c r="D760" s="22" t="s">
        <v>28</v>
      </c>
      <c r="E760" s="22" t="s">
        <v>34</v>
      </c>
      <c r="F760" s="22" t="s">
        <v>25</v>
      </c>
      <c r="G760" s="22" t="s">
        <v>30</v>
      </c>
      <c r="H760" s="22">
        <v>1</v>
      </c>
      <c r="I760" s="22">
        <v>0</v>
      </c>
      <c r="J760" s="22">
        <v>0</v>
      </c>
      <c r="K760" s="22">
        <v>0</v>
      </c>
      <c r="L760" s="22">
        <v>0</v>
      </c>
      <c r="M760" s="22">
        <v>0</v>
      </c>
      <c r="N760" s="22">
        <v>0</v>
      </c>
      <c r="O760" s="22"/>
      <c r="P760" s="22">
        <v>57.5</v>
      </c>
      <c r="Q760" s="22" t="str">
        <f>IF(OR(L760&lt;$Y$18,L760&gt;$Y$19),"Outlier","Normal")</f>
        <v>Normal</v>
      </c>
      <c r="R760" s="26" t="str">
        <f>A760&amp;B760&amp;C760&amp;D760&amp;E760&amp;F760&amp;G760&amp;H760&amp;I760&amp;J760&amp;K760&amp;L760&amp;M760&amp;N760&amp;O760&amp;P760</f>
        <v>USR-10075945773TreatmentEastTabletOrganicPremium100000057.5</v>
      </c>
      <c r="S760" s="22" t="str">
        <f>IF(COUNTIF($R$2:$R$1409,R760)=1,"OK",IF(COUNTIF($R$2:$R$1409,R760)&gt;1,"Exact Duplicate","Review Required"))</f>
        <v>OK</v>
      </c>
      <c r="T760" s="22" t="s">
        <v>34</v>
      </c>
      <c r="U760" s="22" t="s">
        <v>25</v>
      </c>
      <c r="V760" s="22"/>
    </row>
    <row r="761" spans="1:22" ht="41.4">
      <c r="A761" s="22" t="s">
        <v>792</v>
      </c>
      <c r="B761" s="25">
        <v>45731</v>
      </c>
      <c r="C761" s="22" t="s">
        <v>723</v>
      </c>
      <c r="D761" s="22" t="s">
        <v>23</v>
      </c>
      <c r="E761" s="22" t="s">
        <v>19</v>
      </c>
      <c r="F761" s="22" t="s">
        <v>41</v>
      </c>
      <c r="G761" s="22" t="s">
        <v>26</v>
      </c>
      <c r="H761" s="22">
        <v>1</v>
      </c>
      <c r="I761" s="22">
        <v>1</v>
      </c>
      <c r="J761" s="22">
        <v>1</v>
      </c>
      <c r="K761" s="22">
        <v>0</v>
      </c>
      <c r="L761" s="22">
        <v>0</v>
      </c>
      <c r="M761" s="22">
        <v>0</v>
      </c>
      <c r="N761" s="22">
        <v>0</v>
      </c>
      <c r="O761" s="22"/>
      <c r="P761" s="22">
        <v>76.3</v>
      </c>
      <c r="Q761" s="22" t="str">
        <f>IF(OR(L761&lt;$Y$18,L761&gt;$Y$19),"Outlier","Normal")</f>
        <v>Normal</v>
      </c>
      <c r="R761" s="26" t="str">
        <f>A761&amp;B761&amp;C761&amp;D761&amp;E761&amp;F761&amp;G761&amp;H761&amp;I761&amp;J761&amp;K761&amp;L761&amp;M761&amp;N761&amp;O761&amp;P761</f>
        <v>USR-10076045731TreatmentWestDesktopSocialFree111000076.3</v>
      </c>
      <c r="S761" s="22" t="str">
        <f>IF(COUNTIF($R$2:$R$1409,R761)=1,"OK",IF(COUNTIF($R$2:$R$1409,R761)&gt;1,"Exact Duplicate","Review Required"))</f>
        <v>OK</v>
      </c>
      <c r="T761" s="22" t="s">
        <v>19</v>
      </c>
      <c r="U761" s="22" t="s">
        <v>41</v>
      </c>
      <c r="V761" s="22"/>
    </row>
    <row r="762" spans="1:22" ht="41.4">
      <c r="A762" s="22" t="s">
        <v>793</v>
      </c>
      <c r="B762" s="25">
        <v>45750</v>
      </c>
      <c r="C762" s="22" t="s">
        <v>723</v>
      </c>
      <c r="D762" s="22" t="s">
        <v>18</v>
      </c>
      <c r="E762" s="22" t="s">
        <v>24</v>
      </c>
      <c r="F762" s="22" t="s">
        <v>29</v>
      </c>
      <c r="G762" s="22" t="s">
        <v>26</v>
      </c>
      <c r="H762" s="22">
        <v>0</v>
      </c>
      <c r="I762" s="22">
        <v>0</v>
      </c>
      <c r="J762" s="22">
        <v>0</v>
      </c>
      <c r="K762" s="22">
        <v>0</v>
      </c>
      <c r="L762" s="22">
        <v>0</v>
      </c>
      <c r="M762" s="22">
        <v>0</v>
      </c>
      <c r="N762" s="22">
        <v>0</v>
      </c>
      <c r="O762" s="22"/>
      <c r="P762" s="22">
        <v>47.5</v>
      </c>
      <c r="Q762" s="22" t="str">
        <f>IF(OR(L762&lt;$Y$18,L762&gt;$Y$19),"Outlier","Normal")</f>
        <v>Normal</v>
      </c>
      <c r="R762" s="26" t="str">
        <f>A762&amp;B762&amp;C762&amp;D762&amp;E762&amp;F762&amp;G762&amp;H762&amp;I762&amp;J762&amp;K762&amp;L762&amp;M762&amp;N762&amp;O762&amp;P762</f>
        <v>USR-10076145750TreatmentNorthMobilePaid SearchFree000000047.5</v>
      </c>
      <c r="S762" s="22" t="str">
        <f>IF(COUNTIF($R$2:$R$1409,R762)=1,"OK",IF(COUNTIF($R$2:$R$1409,R762)&gt;1,"Exact Duplicate","Review Required"))</f>
        <v>OK</v>
      </c>
      <c r="T762" s="22" t="s">
        <v>24</v>
      </c>
      <c r="U762" s="22" t="s">
        <v>29</v>
      </c>
      <c r="V762" s="22"/>
    </row>
    <row r="763" spans="1:22" ht="41.4">
      <c r="A763" s="22" t="s">
        <v>794</v>
      </c>
      <c r="B763" s="25">
        <v>45742</v>
      </c>
      <c r="C763" s="22" t="s">
        <v>723</v>
      </c>
      <c r="D763" s="22" t="s">
        <v>32</v>
      </c>
      <c r="E763" s="22" t="s">
        <v>24</v>
      </c>
      <c r="F763" s="22" t="s">
        <v>29</v>
      </c>
      <c r="G763" s="22" t="s">
        <v>26</v>
      </c>
      <c r="H763" s="22">
        <v>0</v>
      </c>
      <c r="I763" s="22">
        <v>0</v>
      </c>
      <c r="J763" s="22">
        <v>0</v>
      </c>
      <c r="K763" s="22">
        <v>0</v>
      </c>
      <c r="L763" s="22">
        <v>0</v>
      </c>
      <c r="M763" s="22">
        <v>0</v>
      </c>
      <c r="N763" s="22">
        <v>0</v>
      </c>
      <c r="O763" s="22"/>
      <c r="P763" s="22"/>
      <c r="Q763" s="22" t="str">
        <f>IF(OR(L763&lt;$Y$18,L763&gt;$Y$19),"Outlier","Normal")</f>
        <v>Normal</v>
      </c>
      <c r="R763" s="26" t="str">
        <f>A763&amp;B763&amp;C763&amp;D763&amp;E763&amp;F763&amp;G763&amp;H763&amp;I763&amp;J763&amp;K763&amp;L763&amp;M763&amp;N763&amp;O763&amp;P763</f>
        <v>USR-10076245742TreatmentSouthMobilePaid SearchFree0000000</v>
      </c>
      <c r="S763" s="22" t="str">
        <f>IF(COUNTIF($R$2:$R$1409,R763)=1,"OK",IF(COUNTIF($R$2:$R$1409,R763)&gt;1,"Exact Duplicate","Review Required"))</f>
        <v>OK</v>
      </c>
      <c r="T763" s="22" t="s">
        <v>24</v>
      </c>
      <c r="U763" s="22" t="s">
        <v>29</v>
      </c>
      <c r="V763" s="22"/>
    </row>
    <row r="764" spans="1:22" ht="41.4">
      <c r="A764" s="22" t="s">
        <v>795</v>
      </c>
      <c r="B764" s="25">
        <v>45693</v>
      </c>
      <c r="C764" s="22" t="s">
        <v>723</v>
      </c>
      <c r="D764" s="22" t="s">
        <v>23</v>
      </c>
      <c r="E764" s="22" t="s">
        <v>19</v>
      </c>
      <c r="F764" s="22" t="s">
        <v>25</v>
      </c>
      <c r="G764" s="22" t="s">
        <v>21</v>
      </c>
      <c r="H764" s="22">
        <v>1</v>
      </c>
      <c r="I764" s="22">
        <v>1</v>
      </c>
      <c r="J764" s="22">
        <v>0</v>
      </c>
      <c r="K764" s="22">
        <v>0</v>
      </c>
      <c r="L764" s="22">
        <v>0</v>
      </c>
      <c r="M764" s="22">
        <v>2</v>
      </c>
      <c r="N764" s="22">
        <v>0</v>
      </c>
      <c r="O764" s="22"/>
      <c r="P764" s="22">
        <v>71.599999999999994</v>
      </c>
      <c r="Q764" s="22" t="str">
        <f>IF(OR(L764&lt;$Y$18,L764&gt;$Y$19),"Outlier","Normal")</f>
        <v>Normal</v>
      </c>
      <c r="R764" s="26" t="str">
        <f>A764&amp;B764&amp;C764&amp;D764&amp;E764&amp;F764&amp;G764&amp;H764&amp;I764&amp;J764&amp;K764&amp;L764&amp;M764&amp;N764&amp;O764&amp;P764</f>
        <v>USR-10076345693TreatmentWestDesktopOrganicBasic110002071.6</v>
      </c>
      <c r="S764" s="22" t="str">
        <f>IF(COUNTIF($R$2:$R$1409,R764)=1,"OK",IF(COUNTIF($R$2:$R$1409,R764)&gt;1,"Exact Duplicate","Review Required"))</f>
        <v>OK</v>
      </c>
      <c r="T764" s="22" t="s">
        <v>19</v>
      </c>
      <c r="U764" s="22" t="s">
        <v>25</v>
      </c>
      <c r="V764" s="22"/>
    </row>
    <row r="765" spans="1:22" ht="41.4">
      <c r="A765" s="22" t="s">
        <v>796</v>
      </c>
      <c r="B765" s="25">
        <v>45785</v>
      </c>
      <c r="C765" s="22" t="s">
        <v>723</v>
      </c>
      <c r="D765" s="22" t="s">
        <v>32</v>
      </c>
      <c r="E765" s="22" t="s">
        <v>24</v>
      </c>
      <c r="F765" s="22" t="s">
        <v>41</v>
      </c>
      <c r="G765" s="22" t="s">
        <v>21</v>
      </c>
      <c r="H765" s="22">
        <v>1</v>
      </c>
      <c r="I765" s="22">
        <v>1</v>
      </c>
      <c r="J765" s="22">
        <v>0</v>
      </c>
      <c r="K765" s="22">
        <v>0</v>
      </c>
      <c r="L765" s="22">
        <v>0</v>
      </c>
      <c r="M765" s="22">
        <v>0</v>
      </c>
      <c r="N765" s="22">
        <v>0</v>
      </c>
      <c r="O765" s="22"/>
      <c r="P765" s="22">
        <v>55.8</v>
      </c>
      <c r="Q765" s="22" t="str">
        <f>IF(OR(L765&lt;$Y$18,L765&gt;$Y$19),"Outlier","Normal")</f>
        <v>Normal</v>
      </c>
      <c r="R765" s="26" t="str">
        <f>A765&amp;B765&amp;C765&amp;D765&amp;E765&amp;F765&amp;G765&amp;H765&amp;I765&amp;J765&amp;K765&amp;L765&amp;M765&amp;N765&amp;O765&amp;P765</f>
        <v>USR-10076445785TreatmentSouthMobileSocialBasic110000055.8</v>
      </c>
      <c r="S765" s="22" t="str">
        <f>IF(COUNTIF($R$2:$R$1409,R765)=1,"OK",IF(COUNTIF($R$2:$R$1409,R765)&gt;1,"Exact Duplicate","Review Required"))</f>
        <v>OK</v>
      </c>
      <c r="T765" s="22" t="s">
        <v>24</v>
      </c>
      <c r="U765" s="22" t="s">
        <v>41</v>
      </c>
      <c r="V765" s="22"/>
    </row>
    <row r="766" spans="1:22" ht="41.4">
      <c r="A766" s="22" t="s">
        <v>797</v>
      </c>
      <c r="B766" s="25">
        <v>45741</v>
      </c>
      <c r="C766" s="22" t="s">
        <v>723</v>
      </c>
      <c r="D766" s="22" t="s">
        <v>32</v>
      </c>
      <c r="E766" s="22" t="s">
        <v>19</v>
      </c>
      <c r="F766" s="22" t="s">
        <v>25</v>
      </c>
      <c r="G766" s="22" t="s">
        <v>21</v>
      </c>
      <c r="H766" s="22">
        <v>0</v>
      </c>
      <c r="I766" s="22">
        <v>0</v>
      </c>
      <c r="J766" s="22">
        <v>0</v>
      </c>
      <c r="K766" s="22">
        <v>0</v>
      </c>
      <c r="L766" s="22">
        <v>0</v>
      </c>
      <c r="M766" s="22">
        <v>1</v>
      </c>
      <c r="N766" s="22">
        <v>0</v>
      </c>
      <c r="O766" s="22"/>
      <c r="P766" s="22">
        <v>60.1</v>
      </c>
      <c r="Q766" s="22" t="str">
        <f>IF(OR(L766&lt;$Y$18,L766&gt;$Y$19),"Outlier","Normal")</f>
        <v>Normal</v>
      </c>
      <c r="R766" s="26" t="str">
        <f>A766&amp;B766&amp;C766&amp;D766&amp;E766&amp;F766&amp;G766&amp;H766&amp;I766&amp;J766&amp;K766&amp;L766&amp;M766&amp;N766&amp;O766&amp;P766</f>
        <v>USR-10076545741TreatmentSouthDesktopOrganicBasic000001060.1</v>
      </c>
      <c r="S766" s="22" t="str">
        <f>IF(COUNTIF($R$2:$R$1409,R766)=1,"OK",IF(COUNTIF($R$2:$R$1409,R766)&gt;1,"Exact Duplicate","Review Required"))</f>
        <v>OK</v>
      </c>
      <c r="T766" s="22" t="s">
        <v>19</v>
      </c>
      <c r="U766" s="22" t="s">
        <v>25</v>
      </c>
      <c r="V766" s="22"/>
    </row>
    <row r="767" spans="1:22" ht="41.4">
      <c r="A767" s="22" t="s">
        <v>798</v>
      </c>
      <c r="B767" s="25">
        <v>45671</v>
      </c>
      <c r="C767" s="22" t="s">
        <v>723</v>
      </c>
      <c r="D767" s="22" t="s">
        <v>23</v>
      </c>
      <c r="E767" s="22" t="s">
        <v>1482</v>
      </c>
      <c r="F767" s="22" t="s">
        <v>20</v>
      </c>
      <c r="G767" s="22" t="s">
        <v>21</v>
      </c>
      <c r="H767" s="22">
        <v>1</v>
      </c>
      <c r="I767" s="22">
        <v>1</v>
      </c>
      <c r="J767" s="22">
        <v>1</v>
      </c>
      <c r="K767" s="22">
        <v>0</v>
      </c>
      <c r="L767" s="22">
        <v>0</v>
      </c>
      <c r="M767" s="22">
        <v>1</v>
      </c>
      <c r="N767" s="22">
        <v>0</v>
      </c>
      <c r="O767" s="22"/>
      <c r="P767" s="22">
        <v>59.3</v>
      </c>
      <c r="Q767" s="22" t="str">
        <f>IF(OR(L767&lt;$Y$18,L767&gt;$Y$19),"Outlier","Normal")</f>
        <v>Normal</v>
      </c>
      <c r="R767" s="26" t="str">
        <f>A767&amp;B767&amp;C767&amp;D767&amp;E767&amp;F767&amp;G767&amp;H767&amp;I767&amp;J767&amp;K767&amp;L767&amp;M767&amp;N767&amp;O767&amp;P767</f>
        <v>USR-10076645671TreatmentWestUnknownEmailBasic111001059.3</v>
      </c>
      <c r="S767" s="22" t="str">
        <f>IF(COUNTIF($R$2:$R$1409,R767)=1,"OK",IF(COUNTIF($R$2:$R$1409,R767)&gt;1,"Exact Duplicate","Review Required"))</f>
        <v>OK</v>
      </c>
      <c r="T767" s="22"/>
      <c r="U767" s="22" t="s">
        <v>20</v>
      </c>
      <c r="V767" s="22"/>
    </row>
    <row r="768" spans="1:22" ht="41.4">
      <c r="A768" s="22" t="s">
        <v>799</v>
      </c>
      <c r="B768" s="25">
        <v>45742</v>
      </c>
      <c r="C768" s="22" t="s">
        <v>723</v>
      </c>
      <c r="D768" s="22" t="s">
        <v>18</v>
      </c>
      <c r="E768" s="22" t="s">
        <v>24</v>
      </c>
      <c r="F768" s="22" t="s">
        <v>25</v>
      </c>
      <c r="G768" s="22" t="s">
        <v>26</v>
      </c>
      <c r="H768" s="22">
        <v>1</v>
      </c>
      <c r="I768" s="22">
        <v>1</v>
      </c>
      <c r="J768" s="22">
        <v>0</v>
      </c>
      <c r="K768" s="22">
        <v>0</v>
      </c>
      <c r="L768" s="22">
        <v>0</v>
      </c>
      <c r="M768" s="22">
        <v>2</v>
      </c>
      <c r="N768" s="22">
        <v>0</v>
      </c>
      <c r="O768" s="22"/>
      <c r="P768" s="22">
        <v>49.3</v>
      </c>
      <c r="Q768" s="22" t="str">
        <f>IF(OR(L768&lt;$Y$18,L768&gt;$Y$19),"Outlier","Normal")</f>
        <v>Normal</v>
      </c>
      <c r="R768" s="26" t="str">
        <f>A768&amp;B768&amp;C768&amp;D768&amp;E768&amp;F768&amp;G768&amp;H768&amp;I768&amp;J768&amp;K768&amp;L768&amp;M768&amp;N768&amp;O768&amp;P768</f>
        <v>USR-10076745742TreatmentNorthMobileOrganicFree110002049.3</v>
      </c>
      <c r="S768" s="22" t="str">
        <f>IF(COUNTIF($R$2:$R$1409,R768)=1,"OK",IF(COUNTIF($R$2:$R$1409,R768)&gt;1,"Exact Duplicate","Review Required"))</f>
        <v>OK</v>
      </c>
      <c r="T768" s="22" t="s">
        <v>24</v>
      </c>
      <c r="U768" s="22" t="s">
        <v>25</v>
      </c>
      <c r="V768" s="22"/>
    </row>
    <row r="769" spans="1:22" ht="41.4">
      <c r="A769" s="22" t="s">
        <v>800</v>
      </c>
      <c r="B769" s="25">
        <v>45673</v>
      </c>
      <c r="C769" s="22" t="s">
        <v>723</v>
      </c>
      <c r="D769" s="22" t="s">
        <v>28</v>
      </c>
      <c r="E769" s="22" t="s">
        <v>24</v>
      </c>
      <c r="F769" s="22" t="s">
        <v>39</v>
      </c>
      <c r="G769" s="22" t="s">
        <v>26</v>
      </c>
      <c r="H769" s="22">
        <v>1</v>
      </c>
      <c r="I769" s="22">
        <v>0</v>
      </c>
      <c r="J769" s="22">
        <v>0</v>
      </c>
      <c r="K769" s="22">
        <v>0</v>
      </c>
      <c r="L769" s="22">
        <v>0</v>
      </c>
      <c r="M769" s="22">
        <v>0</v>
      </c>
      <c r="N769" s="22">
        <v>0</v>
      </c>
      <c r="O769" s="22"/>
      <c r="P769" s="22">
        <v>75</v>
      </c>
      <c r="Q769" s="22" t="str">
        <f>IF(OR(L769&lt;$Y$18,L769&gt;$Y$19),"Outlier","Normal")</f>
        <v>Normal</v>
      </c>
      <c r="R769" s="26" t="str">
        <f>A769&amp;B769&amp;C769&amp;D769&amp;E769&amp;F769&amp;G769&amp;H769&amp;I769&amp;J769&amp;K769&amp;L769&amp;M769&amp;N769&amp;O769&amp;P769</f>
        <v>USR-10076845673TreatmentEastMobileReferralFree100000075</v>
      </c>
      <c r="S769" s="22" t="str">
        <f>IF(COUNTIF($R$2:$R$1409,R769)=1,"OK",IF(COUNTIF($R$2:$R$1409,R769)&gt;1,"Exact Duplicate","Review Required"))</f>
        <v>OK</v>
      </c>
      <c r="T769" s="22" t="s">
        <v>24</v>
      </c>
      <c r="U769" s="22" t="s">
        <v>39</v>
      </c>
      <c r="V769" s="22"/>
    </row>
    <row r="770" spans="1:22" ht="41.4">
      <c r="A770" s="22" t="s">
        <v>801</v>
      </c>
      <c r="B770" s="25">
        <v>45661</v>
      </c>
      <c r="C770" s="22" t="s">
        <v>723</v>
      </c>
      <c r="D770" s="22" t="s">
        <v>28</v>
      </c>
      <c r="E770" s="22" t="s">
        <v>24</v>
      </c>
      <c r="F770" s="22" t="s">
        <v>41</v>
      </c>
      <c r="G770" s="22" t="s">
        <v>26</v>
      </c>
      <c r="H770" s="22">
        <v>1</v>
      </c>
      <c r="I770" s="22">
        <v>0</v>
      </c>
      <c r="J770" s="22">
        <v>0</v>
      </c>
      <c r="K770" s="22">
        <v>0</v>
      </c>
      <c r="L770" s="22">
        <v>0</v>
      </c>
      <c r="M770" s="22">
        <v>0</v>
      </c>
      <c r="N770" s="22">
        <v>0</v>
      </c>
      <c r="O770" s="22"/>
      <c r="P770" s="22">
        <v>70.2</v>
      </c>
      <c r="Q770" s="22" t="str">
        <f>IF(OR(L770&lt;$Y$18,L770&gt;$Y$19),"Outlier","Normal")</f>
        <v>Normal</v>
      </c>
      <c r="R770" s="26" t="str">
        <f>A770&amp;B770&amp;C770&amp;D770&amp;E770&amp;F770&amp;G770&amp;H770&amp;I770&amp;J770&amp;K770&amp;L770&amp;M770&amp;N770&amp;O770&amp;P770</f>
        <v>USR-10076945661TreatmentEastMobileSocialFree100000070.2</v>
      </c>
      <c r="S770" s="22" t="str">
        <f>IF(COUNTIF($R$2:$R$1409,R770)=1,"OK",IF(COUNTIF($R$2:$R$1409,R770)&gt;1,"Exact Duplicate","Review Required"))</f>
        <v>OK</v>
      </c>
      <c r="T770" s="22" t="s">
        <v>24</v>
      </c>
      <c r="U770" s="22" t="s">
        <v>41</v>
      </c>
      <c r="V770" s="22"/>
    </row>
    <row r="771" spans="1:22" ht="41.4">
      <c r="A771" s="22" t="s">
        <v>802</v>
      </c>
      <c r="B771" s="25">
        <v>45697</v>
      </c>
      <c r="C771" s="22" t="s">
        <v>723</v>
      </c>
      <c r="D771" s="22" t="s">
        <v>32</v>
      </c>
      <c r="E771" s="22" t="s">
        <v>19</v>
      </c>
      <c r="F771" s="22" t="s">
        <v>25</v>
      </c>
      <c r="G771" s="22" t="s">
        <v>30</v>
      </c>
      <c r="H771" s="22">
        <v>1</v>
      </c>
      <c r="I771" s="22">
        <v>1</v>
      </c>
      <c r="J771" s="22">
        <v>1</v>
      </c>
      <c r="K771" s="22">
        <v>0</v>
      </c>
      <c r="L771" s="22">
        <v>0</v>
      </c>
      <c r="M771" s="22">
        <v>0</v>
      </c>
      <c r="N771" s="22">
        <v>0</v>
      </c>
      <c r="O771" s="22"/>
      <c r="P771" s="22">
        <v>56.6</v>
      </c>
      <c r="Q771" s="22" t="str">
        <f>IF(OR(L771&lt;$Y$18,L771&gt;$Y$19),"Outlier","Normal")</f>
        <v>Normal</v>
      </c>
      <c r="R771" s="26" t="str">
        <f>A771&amp;B771&amp;C771&amp;D771&amp;E771&amp;F771&amp;G771&amp;H771&amp;I771&amp;J771&amp;K771&amp;L771&amp;M771&amp;N771&amp;O771&amp;P771</f>
        <v>USR-10077045697TreatmentSouthDesktopOrganicPremium111000056.6</v>
      </c>
      <c r="S771" s="22" t="str">
        <f>IF(COUNTIF($R$2:$R$1409,R771)=1,"OK",IF(COUNTIF($R$2:$R$1409,R771)&gt;1,"Exact Duplicate","Review Required"))</f>
        <v>OK</v>
      </c>
      <c r="T771" s="22" t="s">
        <v>19</v>
      </c>
      <c r="U771" s="22" t="s">
        <v>25</v>
      </c>
      <c r="V771" s="22"/>
    </row>
    <row r="772" spans="1:22" ht="41.4">
      <c r="A772" s="22" t="s">
        <v>803</v>
      </c>
      <c r="B772" s="25">
        <v>45721</v>
      </c>
      <c r="C772" s="22" t="s">
        <v>723</v>
      </c>
      <c r="D772" s="22" t="s">
        <v>28</v>
      </c>
      <c r="E772" s="22" t="s">
        <v>19</v>
      </c>
      <c r="F772" s="22" t="s">
        <v>25</v>
      </c>
      <c r="G772" s="22" t="s">
        <v>26</v>
      </c>
      <c r="H772" s="22">
        <v>1</v>
      </c>
      <c r="I772" s="22">
        <v>0</v>
      </c>
      <c r="J772" s="22">
        <v>0</v>
      </c>
      <c r="K772" s="22">
        <v>0</v>
      </c>
      <c r="L772" s="22">
        <v>0</v>
      </c>
      <c r="M772" s="22">
        <v>0</v>
      </c>
      <c r="N772" s="22">
        <v>0</v>
      </c>
      <c r="O772" s="22"/>
      <c r="P772" s="22">
        <v>65.400000000000006</v>
      </c>
      <c r="Q772" s="22" t="str">
        <f>IF(OR(L772&lt;$Y$18,L772&gt;$Y$19),"Outlier","Normal")</f>
        <v>Normal</v>
      </c>
      <c r="R772" s="26" t="str">
        <f>A772&amp;B772&amp;C772&amp;D772&amp;E772&amp;F772&amp;G772&amp;H772&amp;I772&amp;J772&amp;K772&amp;L772&amp;M772&amp;N772&amp;O772&amp;P772</f>
        <v>USR-10077145721TreatmentEastDesktopOrganicFree100000065.4</v>
      </c>
      <c r="S772" s="22" t="str">
        <f>IF(COUNTIF($R$2:$R$1409,R772)=1,"OK",IF(COUNTIF($R$2:$R$1409,R772)&gt;1,"Exact Duplicate","Review Required"))</f>
        <v>OK</v>
      </c>
      <c r="T772" s="22" t="s">
        <v>19</v>
      </c>
      <c r="U772" s="22" t="s">
        <v>25</v>
      </c>
      <c r="V772" s="22"/>
    </row>
    <row r="773" spans="1:22" ht="41.4">
      <c r="A773" s="22" t="s">
        <v>804</v>
      </c>
      <c r="B773" s="25">
        <v>45726</v>
      </c>
      <c r="C773" s="22" t="s">
        <v>723</v>
      </c>
      <c r="D773" s="22" t="s">
        <v>28</v>
      </c>
      <c r="E773" s="22" t="s">
        <v>24</v>
      </c>
      <c r="F773" s="22" t="s">
        <v>39</v>
      </c>
      <c r="G773" s="22" t="s">
        <v>21</v>
      </c>
      <c r="H773" s="22">
        <v>1</v>
      </c>
      <c r="I773" s="22">
        <v>0</v>
      </c>
      <c r="J773" s="22">
        <v>0</v>
      </c>
      <c r="K773" s="22">
        <v>0</v>
      </c>
      <c r="L773" s="22">
        <v>0</v>
      </c>
      <c r="M773" s="22">
        <v>0</v>
      </c>
      <c r="N773" s="22">
        <v>0</v>
      </c>
      <c r="O773" s="22"/>
      <c r="P773" s="22">
        <v>47.6</v>
      </c>
      <c r="Q773" s="22" t="str">
        <f>IF(OR(L773&lt;$Y$18,L773&gt;$Y$19),"Outlier","Normal")</f>
        <v>Normal</v>
      </c>
      <c r="R773" s="26" t="str">
        <f>A773&amp;B773&amp;C773&amp;D773&amp;E773&amp;F773&amp;G773&amp;H773&amp;I773&amp;J773&amp;K773&amp;L773&amp;M773&amp;N773&amp;O773&amp;P773</f>
        <v>USR-10077245726TreatmentEastMobileReferralBasic100000047.6</v>
      </c>
      <c r="S773" s="22" t="str">
        <f>IF(COUNTIF($R$2:$R$1409,R773)=1,"OK",IF(COUNTIF($R$2:$R$1409,R773)&gt;1,"Exact Duplicate","Review Required"))</f>
        <v>OK</v>
      </c>
      <c r="T773" s="22" t="s">
        <v>24</v>
      </c>
      <c r="U773" s="22" t="s">
        <v>39</v>
      </c>
      <c r="V773" s="22"/>
    </row>
    <row r="774" spans="1:22" ht="41.4">
      <c r="A774" s="22" t="s">
        <v>805</v>
      </c>
      <c r="B774" s="25">
        <v>45715</v>
      </c>
      <c r="C774" s="22" t="s">
        <v>723</v>
      </c>
      <c r="D774" s="22" t="s">
        <v>28</v>
      </c>
      <c r="E774" s="22" t="s">
        <v>19</v>
      </c>
      <c r="F774" s="22" t="s">
        <v>29</v>
      </c>
      <c r="G774" s="22" t="s">
        <v>26</v>
      </c>
      <c r="H774" s="22">
        <v>1</v>
      </c>
      <c r="I774" s="22">
        <v>0</v>
      </c>
      <c r="J774" s="22">
        <v>0</v>
      </c>
      <c r="K774" s="22">
        <v>0</v>
      </c>
      <c r="L774" s="22">
        <v>0</v>
      </c>
      <c r="M774" s="22">
        <v>0</v>
      </c>
      <c r="N774" s="22">
        <v>0</v>
      </c>
      <c r="O774" s="22"/>
      <c r="P774" s="22">
        <v>56.7</v>
      </c>
      <c r="Q774" s="22" t="str">
        <f>IF(OR(L774&lt;$Y$18,L774&gt;$Y$19),"Outlier","Normal")</f>
        <v>Normal</v>
      </c>
      <c r="R774" s="26" t="str">
        <f>A774&amp;B774&amp;C774&amp;D774&amp;E774&amp;F774&amp;G774&amp;H774&amp;I774&amp;J774&amp;K774&amp;L774&amp;M774&amp;N774&amp;O774&amp;P774</f>
        <v>USR-10077345715TreatmentEastDesktopPaid SearchFree100000056.7</v>
      </c>
      <c r="S774" s="22" t="str">
        <f>IF(COUNTIF($R$2:$R$1409,R774)=1,"OK",IF(COUNTIF($R$2:$R$1409,R774)&gt;1,"Exact Duplicate","Review Required"))</f>
        <v>OK</v>
      </c>
      <c r="T774" s="22" t="s">
        <v>19</v>
      </c>
      <c r="U774" s="22" t="s">
        <v>29</v>
      </c>
      <c r="V774" s="22"/>
    </row>
    <row r="775" spans="1:22" ht="41.4">
      <c r="A775" s="22" t="s">
        <v>806</v>
      </c>
      <c r="B775" s="25">
        <v>45726</v>
      </c>
      <c r="C775" s="22" t="s">
        <v>723</v>
      </c>
      <c r="D775" s="22" t="s">
        <v>18</v>
      </c>
      <c r="E775" s="22" t="s">
        <v>19</v>
      </c>
      <c r="F775" s="22" t="s">
        <v>39</v>
      </c>
      <c r="G775" s="22" t="s">
        <v>21</v>
      </c>
      <c r="H775" s="22">
        <v>1</v>
      </c>
      <c r="I775" s="22">
        <v>1</v>
      </c>
      <c r="J775" s="22">
        <v>0</v>
      </c>
      <c r="K775" s="22">
        <v>0</v>
      </c>
      <c r="L775" s="22">
        <v>0</v>
      </c>
      <c r="M775" s="22">
        <v>0</v>
      </c>
      <c r="N775" s="22">
        <v>0</v>
      </c>
      <c r="O775" s="22"/>
      <c r="P775" s="22">
        <v>71.400000000000006</v>
      </c>
      <c r="Q775" s="22" t="str">
        <f>IF(OR(L775&lt;$Y$18,L775&gt;$Y$19),"Outlier","Normal")</f>
        <v>Normal</v>
      </c>
      <c r="R775" s="26" t="str">
        <f>A775&amp;B775&amp;C775&amp;D775&amp;E775&amp;F775&amp;G775&amp;H775&amp;I775&amp;J775&amp;K775&amp;L775&amp;M775&amp;N775&amp;O775&amp;P775</f>
        <v>USR-10077445726TreatmentNorthDesktopReferralBasic110000071.4</v>
      </c>
      <c r="S775" s="22" t="str">
        <f>IF(COUNTIF($R$2:$R$1409,R775)=1,"OK",IF(COUNTIF($R$2:$R$1409,R775)&gt;1,"Exact Duplicate","Review Required"))</f>
        <v>OK</v>
      </c>
      <c r="T775" s="22" t="s">
        <v>19</v>
      </c>
      <c r="U775" s="22" t="s">
        <v>39</v>
      </c>
      <c r="V775" s="22"/>
    </row>
    <row r="776" spans="1:22" ht="41.4">
      <c r="A776" s="22" t="s">
        <v>807</v>
      </c>
      <c r="B776" s="25">
        <v>45770</v>
      </c>
      <c r="C776" s="22" t="s">
        <v>723</v>
      </c>
      <c r="D776" s="22" t="s">
        <v>23</v>
      </c>
      <c r="E776" s="22" t="s">
        <v>24</v>
      </c>
      <c r="F776" s="22" t="s">
        <v>41</v>
      </c>
      <c r="G776" s="22" t="s">
        <v>26</v>
      </c>
      <c r="H776" s="22">
        <v>0</v>
      </c>
      <c r="I776" s="22">
        <v>0</v>
      </c>
      <c r="J776" s="22">
        <v>0</v>
      </c>
      <c r="K776" s="22">
        <v>0</v>
      </c>
      <c r="L776" s="22">
        <v>0</v>
      </c>
      <c r="M776" s="22">
        <v>2</v>
      </c>
      <c r="N776" s="22">
        <v>0</v>
      </c>
      <c r="O776" s="22"/>
      <c r="P776" s="22">
        <v>60.5</v>
      </c>
      <c r="Q776" s="22" t="str">
        <f>IF(OR(L776&lt;$Y$18,L776&gt;$Y$19),"Outlier","Normal")</f>
        <v>Normal</v>
      </c>
      <c r="R776" s="26" t="str">
        <f>A776&amp;B776&amp;C776&amp;D776&amp;E776&amp;F776&amp;G776&amp;H776&amp;I776&amp;J776&amp;K776&amp;L776&amp;M776&amp;N776&amp;O776&amp;P776</f>
        <v>USR-10077545770TreatmentWestMobileSocialFree000002060.5</v>
      </c>
      <c r="S776" s="22" t="str">
        <f>IF(COUNTIF($R$2:$R$1409,R776)=1,"OK",IF(COUNTIF($R$2:$R$1409,R776)&gt;1,"Exact Duplicate","Review Required"))</f>
        <v>OK</v>
      </c>
      <c r="T776" s="22" t="s">
        <v>24</v>
      </c>
      <c r="U776" s="22" t="s">
        <v>41</v>
      </c>
      <c r="V776" s="22"/>
    </row>
    <row r="777" spans="1:22" ht="41.4">
      <c r="A777" s="22" t="s">
        <v>808</v>
      </c>
      <c r="B777" s="25">
        <v>45759</v>
      </c>
      <c r="C777" s="22" t="s">
        <v>723</v>
      </c>
      <c r="D777" s="22" t="s">
        <v>18</v>
      </c>
      <c r="E777" s="22" t="s">
        <v>19</v>
      </c>
      <c r="F777" s="22" t="s">
        <v>29</v>
      </c>
      <c r="G777" s="22" t="s">
        <v>26</v>
      </c>
      <c r="H777" s="22">
        <v>1</v>
      </c>
      <c r="I777" s="22">
        <v>0</v>
      </c>
      <c r="J777" s="22">
        <v>0</v>
      </c>
      <c r="K777" s="22">
        <v>0</v>
      </c>
      <c r="L777" s="22">
        <v>0</v>
      </c>
      <c r="M777" s="22">
        <v>0</v>
      </c>
      <c r="N777" s="22">
        <v>0</v>
      </c>
      <c r="O777" s="22"/>
      <c r="P777" s="22">
        <v>46.7</v>
      </c>
      <c r="Q777" s="22" t="str">
        <f>IF(OR(L777&lt;$Y$18,L777&gt;$Y$19),"Outlier","Normal")</f>
        <v>Normal</v>
      </c>
      <c r="R777" s="26" t="str">
        <f>A777&amp;B777&amp;C777&amp;D777&amp;E777&amp;F777&amp;G777&amp;H777&amp;I777&amp;J777&amp;K777&amp;L777&amp;M777&amp;N777&amp;O777&amp;P777</f>
        <v>USR-10077645759TreatmentNorthDesktopPaid SearchFree100000046.7</v>
      </c>
      <c r="S777" s="22" t="str">
        <f>IF(COUNTIF($R$2:$R$1409,R777)=1,"OK",IF(COUNTIF($R$2:$R$1409,R777)&gt;1,"Exact Duplicate","Review Required"))</f>
        <v>OK</v>
      </c>
      <c r="T777" s="22" t="s">
        <v>19</v>
      </c>
      <c r="U777" s="22" t="s">
        <v>29</v>
      </c>
      <c r="V777" s="22"/>
    </row>
    <row r="778" spans="1:22" ht="41.4">
      <c r="A778" s="22" t="s">
        <v>809</v>
      </c>
      <c r="B778" s="25">
        <v>45683</v>
      </c>
      <c r="C778" s="22" t="s">
        <v>723</v>
      </c>
      <c r="D778" s="22" t="s">
        <v>28</v>
      </c>
      <c r="E778" s="22" t="s">
        <v>19</v>
      </c>
      <c r="F778" s="22" t="s">
        <v>39</v>
      </c>
      <c r="G778" s="22" t="s">
        <v>26</v>
      </c>
      <c r="H778" s="22">
        <v>0</v>
      </c>
      <c r="I778" s="22">
        <v>0</v>
      </c>
      <c r="J778" s="22">
        <v>0</v>
      </c>
      <c r="K778" s="22">
        <v>0</v>
      </c>
      <c r="L778" s="22">
        <v>0</v>
      </c>
      <c r="M778" s="22">
        <v>0</v>
      </c>
      <c r="N778" s="22">
        <v>0</v>
      </c>
      <c r="O778" s="22"/>
      <c r="P778" s="22">
        <v>61</v>
      </c>
      <c r="Q778" s="22" t="str">
        <f>IF(OR(L778&lt;$Y$18,L778&gt;$Y$19),"Outlier","Normal")</f>
        <v>Normal</v>
      </c>
      <c r="R778" s="26" t="str">
        <f>A778&amp;B778&amp;C778&amp;D778&amp;E778&amp;F778&amp;G778&amp;H778&amp;I778&amp;J778&amp;K778&amp;L778&amp;M778&amp;N778&amp;O778&amp;P778</f>
        <v>USR-10077745683TreatmentEastDesktopReferralFree000000061</v>
      </c>
      <c r="S778" s="22" t="str">
        <f>IF(COUNTIF($R$2:$R$1409,R778)=1,"OK",IF(COUNTIF($R$2:$R$1409,R778)&gt;1,"Exact Duplicate","Review Required"))</f>
        <v>OK</v>
      </c>
      <c r="T778" s="22" t="s">
        <v>19</v>
      </c>
      <c r="U778" s="22" t="s">
        <v>39</v>
      </c>
      <c r="V778" s="22"/>
    </row>
    <row r="779" spans="1:22" ht="41.4">
      <c r="A779" s="22" t="s">
        <v>810</v>
      </c>
      <c r="B779" s="25">
        <v>45801</v>
      </c>
      <c r="C779" s="22" t="s">
        <v>723</v>
      </c>
      <c r="D779" s="22" t="s">
        <v>23</v>
      </c>
      <c r="E779" s="22" t="s">
        <v>34</v>
      </c>
      <c r="F779" s="22" t="s">
        <v>29</v>
      </c>
      <c r="G779" s="22" t="s">
        <v>26</v>
      </c>
      <c r="H779" s="22">
        <v>0</v>
      </c>
      <c r="I779" s="22">
        <v>0</v>
      </c>
      <c r="J779" s="22">
        <v>0</v>
      </c>
      <c r="K779" s="22">
        <v>0</v>
      </c>
      <c r="L779" s="22">
        <v>0</v>
      </c>
      <c r="M779" s="22">
        <v>0</v>
      </c>
      <c r="N779" s="22">
        <v>0</v>
      </c>
      <c r="O779" s="22"/>
      <c r="P779" s="22">
        <v>60.9</v>
      </c>
      <c r="Q779" s="22" t="str">
        <f>IF(OR(L779&lt;$Y$18,L779&gt;$Y$19),"Outlier","Normal")</f>
        <v>Normal</v>
      </c>
      <c r="R779" s="26" t="str">
        <f>A779&amp;B779&amp;C779&amp;D779&amp;E779&amp;F779&amp;G779&amp;H779&amp;I779&amp;J779&amp;K779&amp;L779&amp;M779&amp;N779&amp;O779&amp;P779</f>
        <v>USR-10077845801TreatmentWestTabletPaid SearchFree000000060.9</v>
      </c>
      <c r="S779" s="22" t="str">
        <f>IF(COUNTIF($R$2:$R$1409,R779)=1,"OK",IF(COUNTIF($R$2:$R$1409,R779)&gt;1,"Exact Duplicate","Review Required"))</f>
        <v>OK</v>
      </c>
      <c r="T779" s="22" t="s">
        <v>34</v>
      </c>
      <c r="U779" s="22" t="s">
        <v>29</v>
      </c>
      <c r="V779" s="22"/>
    </row>
    <row r="780" spans="1:22" ht="41.4">
      <c r="A780" s="22" t="s">
        <v>811</v>
      </c>
      <c r="B780" s="25">
        <v>45665</v>
      </c>
      <c r="C780" s="22" t="s">
        <v>723</v>
      </c>
      <c r="D780" s="22" t="s">
        <v>32</v>
      </c>
      <c r="E780" s="22" t="s">
        <v>24</v>
      </c>
      <c r="F780" s="22" t="s">
        <v>25</v>
      </c>
      <c r="G780" s="22" t="s">
        <v>26</v>
      </c>
      <c r="H780" s="22">
        <v>1</v>
      </c>
      <c r="I780" s="22">
        <v>0</v>
      </c>
      <c r="J780" s="22">
        <v>0</v>
      </c>
      <c r="K780" s="22">
        <v>0</v>
      </c>
      <c r="L780" s="22">
        <v>0</v>
      </c>
      <c r="M780" s="22">
        <v>0</v>
      </c>
      <c r="N780" s="22">
        <v>0</v>
      </c>
      <c r="O780" s="22"/>
      <c r="P780" s="22">
        <v>67.099999999999994</v>
      </c>
      <c r="Q780" s="22" t="str">
        <f>IF(OR(L780&lt;$Y$18,L780&gt;$Y$19),"Outlier","Normal")</f>
        <v>Normal</v>
      </c>
      <c r="R780" s="26" t="str">
        <f>A780&amp;B780&amp;C780&amp;D780&amp;E780&amp;F780&amp;G780&amp;H780&amp;I780&amp;J780&amp;K780&amp;L780&amp;M780&amp;N780&amp;O780&amp;P780</f>
        <v>USR-10077945665TreatmentSouthMobileOrganicFree100000067.1</v>
      </c>
      <c r="S780" s="22" t="str">
        <f>IF(COUNTIF($R$2:$R$1409,R780)=1,"OK",IF(COUNTIF($R$2:$R$1409,R780)&gt;1,"Exact Duplicate","Review Required"))</f>
        <v>OK</v>
      </c>
      <c r="T780" s="22" t="s">
        <v>24</v>
      </c>
      <c r="U780" s="22" t="s">
        <v>25</v>
      </c>
      <c r="V780" s="22"/>
    </row>
    <row r="781" spans="1:22" ht="41.4">
      <c r="A781" s="22" t="s">
        <v>812</v>
      </c>
      <c r="B781" s="25">
        <v>45762</v>
      </c>
      <c r="C781" s="22" t="s">
        <v>723</v>
      </c>
      <c r="D781" s="22" t="s">
        <v>18</v>
      </c>
      <c r="E781" s="22" t="s">
        <v>24</v>
      </c>
      <c r="F781" s="22" t="s">
        <v>39</v>
      </c>
      <c r="G781" s="22" t="s">
        <v>26</v>
      </c>
      <c r="H781" s="22">
        <v>1</v>
      </c>
      <c r="I781" s="22">
        <v>1</v>
      </c>
      <c r="J781" s="22">
        <v>0</v>
      </c>
      <c r="K781" s="22">
        <v>0</v>
      </c>
      <c r="L781" s="22">
        <v>0</v>
      </c>
      <c r="M781" s="22">
        <v>0</v>
      </c>
      <c r="N781" s="22">
        <v>0</v>
      </c>
      <c r="O781" s="22"/>
      <c r="P781" s="22">
        <v>59.6</v>
      </c>
      <c r="Q781" s="22" t="str">
        <f>IF(OR(L781&lt;$Y$18,L781&gt;$Y$19),"Outlier","Normal")</f>
        <v>Normal</v>
      </c>
      <c r="R781" s="26" t="str">
        <f>A781&amp;B781&amp;C781&amp;D781&amp;E781&amp;F781&amp;G781&amp;H781&amp;I781&amp;J781&amp;K781&amp;L781&amp;M781&amp;N781&amp;O781&amp;P781</f>
        <v>USR-10078045762TreatmentNorthMobileReferralFree110000059.6</v>
      </c>
      <c r="S781" s="22" t="str">
        <f>IF(COUNTIF($R$2:$R$1409,R781)=1,"OK",IF(COUNTIF($R$2:$R$1409,R781)&gt;1,"Exact Duplicate","Review Required"))</f>
        <v>OK</v>
      </c>
      <c r="T781" s="22" t="s">
        <v>24</v>
      </c>
      <c r="U781" s="22" t="s">
        <v>39</v>
      </c>
      <c r="V781" s="22"/>
    </row>
    <row r="782" spans="1:22" ht="41.4">
      <c r="A782" s="22" t="s">
        <v>813</v>
      </c>
      <c r="B782" s="25">
        <v>45672</v>
      </c>
      <c r="C782" s="22" t="s">
        <v>723</v>
      </c>
      <c r="D782" s="22" t="s">
        <v>32</v>
      </c>
      <c r="E782" s="22" t="s">
        <v>19</v>
      </c>
      <c r="F782" s="22" t="s">
        <v>29</v>
      </c>
      <c r="G782" s="22" t="s">
        <v>26</v>
      </c>
      <c r="H782" s="22">
        <v>1</v>
      </c>
      <c r="I782" s="22">
        <v>0</v>
      </c>
      <c r="J782" s="22">
        <v>0</v>
      </c>
      <c r="K782" s="22">
        <v>0</v>
      </c>
      <c r="L782" s="22">
        <v>0</v>
      </c>
      <c r="M782" s="22">
        <v>0</v>
      </c>
      <c r="N782" s="22">
        <v>0</v>
      </c>
      <c r="O782" s="22"/>
      <c r="P782" s="22">
        <v>83.8</v>
      </c>
      <c r="Q782" s="22" t="str">
        <f>IF(OR(L782&lt;$Y$18,L782&gt;$Y$19),"Outlier","Normal")</f>
        <v>Normal</v>
      </c>
      <c r="R782" s="26" t="str">
        <f>A782&amp;B782&amp;C782&amp;D782&amp;E782&amp;F782&amp;G782&amp;H782&amp;I782&amp;J782&amp;K782&amp;L782&amp;M782&amp;N782&amp;O782&amp;P782</f>
        <v>USR-10078145672TreatmentSouthDesktopPaid SearchFree100000083.8</v>
      </c>
      <c r="S782" s="22" t="str">
        <f>IF(COUNTIF($R$2:$R$1409,R782)=1,"OK",IF(COUNTIF($R$2:$R$1409,R782)&gt;1,"Exact Duplicate","Review Required"))</f>
        <v>OK</v>
      </c>
      <c r="T782" s="22" t="s">
        <v>19</v>
      </c>
      <c r="U782" s="22" t="s">
        <v>29</v>
      </c>
      <c r="V782" s="22"/>
    </row>
    <row r="783" spans="1:22" ht="41.4">
      <c r="A783" s="22" t="s">
        <v>814</v>
      </c>
      <c r="B783" s="25">
        <v>45716</v>
      </c>
      <c r="C783" s="22" t="s">
        <v>723</v>
      </c>
      <c r="D783" s="22" t="s">
        <v>18</v>
      </c>
      <c r="E783" s="22" t="s">
        <v>24</v>
      </c>
      <c r="F783" s="22" t="s">
        <v>25</v>
      </c>
      <c r="G783" s="22" t="s">
        <v>21</v>
      </c>
      <c r="H783" s="22">
        <v>1</v>
      </c>
      <c r="I783" s="22">
        <v>1</v>
      </c>
      <c r="J783" s="22">
        <v>1</v>
      </c>
      <c r="K783" s="22">
        <v>0</v>
      </c>
      <c r="L783" s="22">
        <v>0</v>
      </c>
      <c r="M783" s="22">
        <v>0</v>
      </c>
      <c r="N783" s="22">
        <v>0</v>
      </c>
      <c r="O783" s="22"/>
      <c r="P783" s="22">
        <v>70.8</v>
      </c>
      <c r="Q783" s="22" t="str">
        <f>IF(OR(L783&lt;$Y$18,L783&gt;$Y$19),"Outlier","Normal")</f>
        <v>Normal</v>
      </c>
      <c r="R783" s="26" t="str">
        <f>A783&amp;B783&amp;C783&amp;D783&amp;E783&amp;F783&amp;G783&amp;H783&amp;I783&amp;J783&amp;K783&amp;L783&amp;M783&amp;N783&amp;O783&amp;P783</f>
        <v>USR-10078245716TreatmentNorthMobileOrganicBasic111000070.8</v>
      </c>
      <c r="S783" s="22" t="str">
        <f>IF(COUNTIF($R$2:$R$1409,R783)=1,"OK",IF(COUNTIF($R$2:$R$1409,R783)&gt;1,"Exact Duplicate","Review Required"))</f>
        <v>OK</v>
      </c>
      <c r="T783" s="22" t="s">
        <v>24</v>
      </c>
      <c r="U783" s="22" t="s">
        <v>25</v>
      </c>
      <c r="V783" s="22"/>
    </row>
    <row r="784" spans="1:22" ht="41.4">
      <c r="A784" s="22" t="s">
        <v>815</v>
      </c>
      <c r="B784" s="25">
        <v>45658</v>
      </c>
      <c r="C784" s="22" t="s">
        <v>723</v>
      </c>
      <c r="D784" s="22" t="s">
        <v>18</v>
      </c>
      <c r="E784" s="22" t="s">
        <v>34</v>
      </c>
      <c r="F784" s="22" t="s">
        <v>25</v>
      </c>
      <c r="G784" s="22" t="s">
        <v>21</v>
      </c>
      <c r="H784" s="22">
        <v>0</v>
      </c>
      <c r="I784" s="22">
        <v>0</v>
      </c>
      <c r="J784" s="22">
        <v>0</v>
      </c>
      <c r="K784" s="22">
        <v>0</v>
      </c>
      <c r="L784" s="22">
        <v>0</v>
      </c>
      <c r="M784" s="22">
        <v>0</v>
      </c>
      <c r="N784" s="22">
        <v>0</v>
      </c>
      <c r="O784" s="22"/>
      <c r="P784" s="22">
        <v>65.900000000000006</v>
      </c>
      <c r="Q784" s="22" t="str">
        <f>IF(OR(L784&lt;$Y$18,L784&gt;$Y$19),"Outlier","Normal")</f>
        <v>Normal</v>
      </c>
      <c r="R784" s="26" t="str">
        <f>A784&amp;B784&amp;C784&amp;D784&amp;E784&amp;F784&amp;G784&amp;H784&amp;I784&amp;J784&amp;K784&amp;L784&amp;M784&amp;N784&amp;O784&amp;P784</f>
        <v>USR-10078345658TreatmentNorthTabletOrganicBasic000000065.9</v>
      </c>
      <c r="S784" s="22" t="str">
        <f>IF(COUNTIF($R$2:$R$1409,R784)=1,"OK",IF(COUNTIF($R$2:$R$1409,R784)&gt;1,"Exact Duplicate","Review Required"))</f>
        <v>OK</v>
      </c>
      <c r="T784" s="22" t="s">
        <v>34</v>
      </c>
      <c r="U784" s="22" t="s">
        <v>25</v>
      </c>
      <c r="V784" s="22"/>
    </row>
    <row r="785" spans="1:22" ht="41.4">
      <c r="A785" s="22" t="s">
        <v>816</v>
      </c>
      <c r="B785" s="25">
        <v>45764</v>
      </c>
      <c r="C785" s="22" t="s">
        <v>723</v>
      </c>
      <c r="D785" s="22" t="s">
        <v>23</v>
      </c>
      <c r="E785" s="22" t="s">
        <v>24</v>
      </c>
      <c r="F785" s="22" t="s">
        <v>39</v>
      </c>
      <c r="G785" s="22" t="s">
        <v>26</v>
      </c>
      <c r="H785" s="22">
        <v>1</v>
      </c>
      <c r="I785" s="22">
        <v>0</v>
      </c>
      <c r="J785" s="22">
        <v>0</v>
      </c>
      <c r="K785" s="22">
        <v>0</v>
      </c>
      <c r="L785" s="22">
        <v>0</v>
      </c>
      <c r="M785" s="22">
        <v>0</v>
      </c>
      <c r="N785" s="22">
        <v>0</v>
      </c>
      <c r="O785" s="22"/>
      <c r="P785" s="22">
        <v>58</v>
      </c>
      <c r="Q785" s="22" t="str">
        <f>IF(OR(L785&lt;$Y$18,L785&gt;$Y$19),"Outlier","Normal")</f>
        <v>Normal</v>
      </c>
      <c r="R785" s="26" t="str">
        <f>A785&amp;B785&amp;C785&amp;D785&amp;E785&amp;F785&amp;G785&amp;H785&amp;I785&amp;J785&amp;K785&amp;L785&amp;M785&amp;N785&amp;O785&amp;P785</f>
        <v>USR-10078445764TreatmentWestMobileReferralFree100000058</v>
      </c>
      <c r="S785" s="22" t="str">
        <f>IF(COUNTIF($R$2:$R$1409,R785)=1,"OK",IF(COUNTIF($R$2:$R$1409,R785)&gt;1,"Exact Duplicate","Review Required"))</f>
        <v>OK</v>
      </c>
      <c r="T785" s="22" t="s">
        <v>24</v>
      </c>
      <c r="U785" s="22" t="s">
        <v>39</v>
      </c>
      <c r="V785" s="22"/>
    </row>
    <row r="786" spans="1:22" ht="41.4">
      <c r="A786" s="22" t="s">
        <v>817</v>
      </c>
      <c r="B786" s="25">
        <v>45707</v>
      </c>
      <c r="C786" s="22" t="s">
        <v>723</v>
      </c>
      <c r="D786" s="22" t="s">
        <v>18</v>
      </c>
      <c r="E786" s="22" t="s">
        <v>24</v>
      </c>
      <c r="F786" s="22" t="s">
        <v>20</v>
      </c>
      <c r="G786" s="22" t="s">
        <v>21</v>
      </c>
      <c r="H786" s="22">
        <v>1</v>
      </c>
      <c r="I786" s="22">
        <v>1</v>
      </c>
      <c r="J786" s="22">
        <v>0</v>
      </c>
      <c r="K786" s="22">
        <v>0</v>
      </c>
      <c r="L786" s="22">
        <v>0</v>
      </c>
      <c r="M786" s="22">
        <v>0</v>
      </c>
      <c r="N786" s="22">
        <v>0</v>
      </c>
      <c r="O786" s="22"/>
      <c r="P786" s="22">
        <v>80.3</v>
      </c>
      <c r="Q786" s="22" t="str">
        <f>IF(OR(L786&lt;$Y$18,L786&gt;$Y$19),"Outlier","Normal")</f>
        <v>Normal</v>
      </c>
      <c r="R786" s="26" t="str">
        <f>A786&amp;B786&amp;C786&amp;D786&amp;E786&amp;F786&amp;G786&amp;H786&amp;I786&amp;J786&amp;K786&amp;L786&amp;M786&amp;N786&amp;O786&amp;P786</f>
        <v>USR-10078545707TreatmentNorthMobileEmailBasic110000080.3</v>
      </c>
      <c r="S786" s="22" t="str">
        <f>IF(COUNTIF($R$2:$R$1409,R786)=1,"OK",IF(COUNTIF($R$2:$R$1409,R786)&gt;1,"Exact Duplicate","Review Required"))</f>
        <v>OK</v>
      </c>
      <c r="T786" s="22" t="s">
        <v>24</v>
      </c>
      <c r="U786" s="22" t="s">
        <v>20</v>
      </c>
      <c r="V786" s="22"/>
    </row>
    <row r="787" spans="1:22" ht="41.4">
      <c r="A787" s="22" t="s">
        <v>818</v>
      </c>
      <c r="B787" s="25">
        <v>45730</v>
      </c>
      <c r="C787" s="22" t="s">
        <v>723</v>
      </c>
      <c r="D787" s="22" t="s">
        <v>18</v>
      </c>
      <c r="E787" s="22" t="s">
        <v>19</v>
      </c>
      <c r="F787" s="22" t="s">
        <v>25</v>
      </c>
      <c r="G787" s="22" t="s">
        <v>26</v>
      </c>
      <c r="H787" s="22">
        <v>1</v>
      </c>
      <c r="I787" s="22">
        <v>0</v>
      </c>
      <c r="J787" s="22">
        <v>0</v>
      </c>
      <c r="K787" s="22">
        <v>0</v>
      </c>
      <c r="L787" s="22">
        <v>0</v>
      </c>
      <c r="M787" s="22">
        <v>0</v>
      </c>
      <c r="N787" s="22">
        <v>0</v>
      </c>
      <c r="O787" s="22"/>
      <c r="P787" s="22">
        <v>55.7</v>
      </c>
      <c r="Q787" s="22" t="str">
        <f>IF(OR(L787&lt;$Y$18,L787&gt;$Y$19),"Outlier","Normal")</f>
        <v>Normal</v>
      </c>
      <c r="R787" s="26" t="str">
        <f>A787&amp;B787&amp;C787&amp;D787&amp;E787&amp;F787&amp;G787&amp;H787&amp;I787&amp;J787&amp;K787&amp;L787&amp;M787&amp;N787&amp;O787&amp;P787</f>
        <v>USR-10078645730TreatmentNorthDesktopOrganicFree100000055.7</v>
      </c>
      <c r="S787" s="22" t="str">
        <f>IF(COUNTIF($R$2:$R$1409,R787)=1,"OK",IF(COUNTIF($R$2:$R$1409,R787)&gt;1,"Exact Duplicate","Review Required"))</f>
        <v>OK</v>
      </c>
      <c r="T787" s="22" t="s">
        <v>19</v>
      </c>
      <c r="U787" s="22" t="s">
        <v>25</v>
      </c>
      <c r="V787" s="22"/>
    </row>
    <row r="788" spans="1:22" ht="41.4">
      <c r="A788" s="22" t="s">
        <v>819</v>
      </c>
      <c r="B788" s="25">
        <v>45768</v>
      </c>
      <c r="C788" s="22" t="s">
        <v>723</v>
      </c>
      <c r="D788" s="22" t="s">
        <v>18</v>
      </c>
      <c r="E788" s="22" t="s">
        <v>24</v>
      </c>
      <c r="F788" s="22" t="s">
        <v>25</v>
      </c>
      <c r="G788" s="22" t="s">
        <v>26</v>
      </c>
      <c r="H788" s="22">
        <v>1</v>
      </c>
      <c r="I788" s="22">
        <v>1</v>
      </c>
      <c r="J788" s="22">
        <v>0</v>
      </c>
      <c r="K788" s="22">
        <v>0</v>
      </c>
      <c r="L788" s="22">
        <v>0</v>
      </c>
      <c r="M788" s="22">
        <v>0</v>
      </c>
      <c r="N788" s="22">
        <v>0</v>
      </c>
      <c r="O788" s="22"/>
      <c r="P788" s="22">
        <v>84.9</v>
      </c>
      <c r="Q788" s="22" t="str">
        <f>IF(OR(L788&lt;$Y$18,L788&gt;$Y$19),"Outlier","Normal")</f>
        <v>Normal</v>
      </c>
      <c r="R788" s="26" t="str">
        <f>A788&amp;B788&amp;C788&amp;D788&amp;E788&amp;F788&amp;G788&amp;H788&amp;I788&amp;J788&amp;K788&amp;L788&amp;M788&amp;N788&amp;O788&amp;P788</f>
        <v>USR-10078745768TreatmentNorthMobileOrganicFree110000084.9</v>
      </c>
      <c r="S788" s="22" t="str">
        <f>IF(COUNTIF($R$2:$R$1409,R788)=1,"OK",IF(COUNTIF($R$2:$R$1409,R788)&gt;1,"Exact Duplicate","Review Required"))</f>
        <v>OK</v>
      </c>
      <c r="T788" s="22" t="s">
        <v>24</v>
      </c>
      <c r="U788" s="22" t="s">
        <v>25</v>
      </c>
      <c r="V788" s="22"/>
    </row>
    <row r="789" spans="1:22" ht="41.4">
      <c r="A789" s="22" t="s">
        <v>820</v>
      </c>
      <c r="B789" s="25">
        <v>45702</v>
      </c>
      <c r="C789" s="22" t="s">
        <v>723</v>
      </c>
      <c r="D789" s="22" t="s">
        <v>18</v>
      </c>
      <c r="E789" s="22" t="s">
        <v>24</v>
      </c>
      <c r="F789" s="22" t="s">
        <v>25</v>
      </c>
      <c r="G789" s="22" t="s">
        <v>26</v>
      </c>
      <c r="H789" s="22">
        <v>1</v>
      </c>
      <c r="I789" s="22">
        <v>0</v>
      </c>
      <c r="J789" s="22">
        <v>0</v>
      </c>
      <c r="K789" s="22">
        <v>0</v>
      </c>
      <c r="L789" s="22">
        <v>0</v>
      </c>
      <c r="M789" s="22">
        <v>0</v>
      </c>
      <c r="N789" s="22">
        <v>0</v>
      </c>
      <c r="O789" s="22"/>
      <c r="P789" s="22">
        <v>63.3</v>
      </c>
      <c r="Q789" s="22" t="str">
        <f>IF(OR(L789&lt;$Y$18,L789&gt;$Y$19),"Outlier","Normal")</f>
        <v>Normal</v>
      </c>
      <c r="R789" s="26" t="str">
        <f>A789&amp;B789&amp;C789&amp;D789&amp;E789&amp;F789&amp;G789&amp;H789&amp;I789&amp;J789&amp;K789&amp;L789&amp;M789&amp;N789&amp;O789&amp;P789</f>
        <v>USR-10078845702TreatmentNorthMobileOrganicFree100000063.3</v>
      </c>
      <c r="S789" s="22" t="str">
        <f>IF(COUNTIF($R$2:$R$1409,R789)=1,"OK",IF(COUNTIF($R$2:$R$1409,R789)&gt;1,"Exact Duplicate","Review Required"))</f>
        <v>OK</v>
      </c>
      <c r="T789" s="22" t="s">
        <v>24</v>
      </c>
      <c r="U789" s="22" t="s">
        <v>25</v>
      </c>
      <c r="V789" s="22"/>
    </row>
    <row r="790" spans="1:22" ht="41.4">
      <c r="A790" s="22" t="s">
        <v>821</v>
      </c>
      <c r="B790" s="25">
        <v>45807</v>
      </c>
      <c r="C790" s="22" t="s">
        <v>723</v>
      </c>
      <c r="D790" s="22" t="s">
        <v>23</v>
      </c>
      <c r="E790" s="22" t="s">
        <v>24</v>
      </c>
      <c r="F790" s="22" t="s">
        <v>25</v>
      </c>
      <c r="G790" s="22" t="s">
        <v>26</v>
      </c>
      <c r="H790" s="22">
        <v>0</v>
      </c>
      <c r="I790" s="22">
        <v>0</v>
      </c>
      <c r="J790" s="22">
        <v>0</v>
      </c>
      <c r="K790" s="22">
        <v>0</v>
      </c>
      <c r="L790" s="22">
        <v>0</v>
      </c>
      <c r="M790" s="22">
        <v>0</v>
      </c>
      <c r="N790" s="22">
        <v>0</v>
      </c>
      <c r="O790" s="22"/>
      <c r="P790" s="22">
        <v>53.1</v>
      </c>
      <c r="Q790" s="22" t="str">
        <f>IF(OR(L790&lt;$Y$18,L790&gt;$Y$19),"Outlier","Normal")</f>
        <v>Normal</v>
      </c>
      <c r="R790" s="26" t="str">
        <f>A790&amp;B790&amp;C790&amp;D790&amp;E790&amp;F790&amp;G790&amp;H790&amp;I790&amp;J790&amp;K790&amp;L790&amp;M790&amp;N790&amp;O790&amp;P790</f>
        <v>USR-10078945807TreatmentWestMobileOrganicFree000000053.1</v>
      </c>
      <c r="S790" s="22" t="str">
        <f>IF(COUNTIF($R$2:$R$1409,R790)=1,"OK",IF(COUNTIF($R$2:$R$1409,R790)&gt;1,"Exact Duplicate","Review Required"))</f>
        <v>OK</v>
      </c>
      <c r="T790" s="22" t="s">
        <v>24</v>
      </c>
      <c r="U790" s="22" t="s">
        <v>25</v>
      </c>
      <c r="V790" s="22"/>
    </row>
    <row r="791" spans="1:22" ht="41.4">
      <c r="A791" s="22" t="s">
        <v>822</v>
      </c>
      <c r="B791" s="25">
        <v>45677</v>
      </c>
      <c r="C791" s="22" t="s">
        <v>723</v>
      </c>
      <c r="D791" s="22" t="s">
        <v>23</v>
      </c>
      <c r="E791" s="22" t="s">
        <v>24</v>
      </c>
      <c r="F791" s="22" t="s">
        <v>25</v>
      </c>
      <c r="G791" s="22" t="s">
        <v>26</v>
      </c>
      <c r="H791" s="22">
        <v>0</v>
      </c>
      <c r="I791" s="22">
        <v>0</v>
      </c>
      <c r="J791" s="22">
        <v>0</v>
      </c>
      <c r="K791" s="22">
        <v>0</v>
      </c>
      <c r="L791" s="22">
        <v>0</v>
      </c>
      <c r="M791" s="22">
        <v>0</v>
      </c>
      <c r="N791" s="22">
        <v>0</v>
      </c>
      <c r="O791" s="22"/>
      <c r="P791" s="22">
        <v>66</v>
      </c>
      <c r="Q791" s="22" t="str">
        <f>IF(OR(L791&lt;$Y$18,L791&gt;$Y$19),"Outlier","Normal")</f>
        <v>Normal</v>
      </c>
      <c r="R791" s="26" t="str">
        <f>A791&amp;B791&amp;C791&amp;D791&amp;E791&amp;F791&amp;G791&amp;H791&amp;I791&amp;J791&amp;K791&amp;L791&amp;M791&amp;N791&amp;O791&amp;P791</f>
        <v>USR-10079045677TreatmentWestMobileOrganicFree000000066</v>
      </c>
      <c r="S791" s="22" t="str">
        <f>IF(COUNTIF($R$2:$R$1409,R791)=1,"OK",IF(COUNTIF($R$2:$R$1409,R791)&gt;1,"Exact Duplicate","Review Required"))</f>
        <v>OK</v>
      </c>
      <c r="T791" s="22" t="s">
        <v>24</v>
      </c>
      <c r="U791" s="22" t="s">
        <v>25</v>
      </c>
      <c r="V791" s="22"/>
    </row>
    <row r="792" spans="1:22" ht="41.4">
      <c r="A792" s="22" t="s">
        <v>823</v>
      </c>
      <c r="B792" s="25">
        <v>45733</v>
      </c>
      <c r="C792" s="22" t="s">
        <v>723</v>
      </c>
      <c r="D792" s="22" t="s">
        <v>23</v>
      </c>
      <c r="E792" s="22" t="s">
        <v>24</v>
      </c>
      <c r="F792" s="22" t="s">
        <v>41</v>
      </c>
      <c r="G792" s="22" t="s">
        <v>30</v>
      </c>
      <c r="H792" s="22">
        <v>0</v>
      </c>
      <c r="I792" s="22">
        <v>0</v>
      </c>
      <c r="J792" s="22">
        <v>0</v>
      </c>
      <c r="K792" s="22">
        <v>0</v>
      </c>
      <c r="L792" s="22">
        <v>0</v>
      </c>
      <c r="M792" s="22">
        <v>0</v>
      </c>
      <c r="N792" s="22">
        <v>0</v>
      </c>
      <c r="O792" s="22"/>
      <c r="P792" s="22">
        <v>54.7</v>
      </c>
      <c r="Q792" s="22" t="str">
        <f>IF(OR(L792&lt;$Y$18,L792&gt;$Y$19),"Outlier","Normal")</f>
        <v>Normal</v>
      </c>
      <c r="R792" s="26" t="str">
        <f>A792&amp;B792&amp;C792&amp;D792&amp;E792&amp;F792&amp;G792&amp;H792&amp;I792&amp;J792&amp;K792&amp;L792&amp;M792&amp;N792&amp;O792&amp;P792</f>
        <v>USR-10079145733TreatmentWestMobileSocialPremium000000054.7</v>
      </c>
      <c r="S792" s="22" t="str">
        <f>IF(COUNTIF($R$2:$R$1409,R792)=1,"OK",IF(COUNTIF($R$2:$R$1409,R792)&gt;1,"Exact Duplicate","Review Required"))</f>
        <v>OK</v>
      </c>
      <c r="T792" s="22" t="s">
        <v>24</v>
      </c>
      <c r="U792" s="22" t="s">
        <v>41</v>
      </c>
      <c r="V792" s="22"/>
    </row>
    <row r="793" spans="1:22" ht="41.4">
      <c r="A793" s="22" t="s">
        <v>824</v>
      </c>
      <c r="B793" s="25">
        <v>45720</v>
      </c>
      <c r="C793" s="22" t="s">
        <v>723</v>
      </c>
      <c r="D793" s="22" t="s">
        <v>23</v>
      </c>
      <c r="E793" s="22" t="s">
        <v>24</v>
      </c>
      <c r="F793" s="22" t="s">
        <v>41</v>
      </c>
      <c r="G793" s="22" t="s">
        <v>26</v>
      </c>
      <c r="H793" s="22">
        <v>1</v>
      </c>
      <c r="I793" s="22">
        <v>1</v>
      </c>
      <c r="J793" s="22">
        <v>0</v>
      </c>
      <c r="K793" s="22">
        <v>0</v>
      </c>
      <c r="L793" s="22">
        <v>0</v>
      </c>
      <c r="M793" s="22">
        <v>1</v>
      </c>
      <c r="N793" s="22">
        <v>0</v>
      </c>
      <c r="O793" s="22"/>
      <c r="P793" s="22">
        <v>41.2</v>
      </c>
      <c r="Q793" s="22" t="str">
        <f>IF(OR(L793&lt;$Y$18,L793&gt;$Y$19),"Outlier","Normal")</f>
        <v>Normal</v>
      </c>
      <c r="R793" s="26" t="str">
        <f>A793&amp;B793&amp;C793&amp;D793&amp;E793&amp;F793&amp;G793&amp;H793&amp;I793&amp;J793&amp;K793&amp;L793&amp;M793&amp;N793&amp;O793&amp;P793</f>
        <v>USR-10079245720TreatmentWestMobileSocialFree110001041.2</v>
      </c>
      <c r="S793" s="22" t="str">
        <f>IF(COUNTIF($R$2:$R$1409,R793)=1,"OK",IF(COUNTIF($R$2:$R$1409,R793)&gt;1,"Exact Duplicate","Review Required"))</f>
        <v>OK</v>
      </c>
      <c r="T793" s="22" t="s">
        <v>24</v>
      </c>
      <c r="U793" s="22" t="s">
        <v>41</v>
      </c>
      <c r="V793" s="22"/>
    </row>
    <row r="794" spans="1:22" ht="41.4">
      <c r="A794" s="22" t="s">
        <v>825</v>
      </c>
      <c r="B794" s="25">
        <v>45710</v>
      </c>
      <c r="C794" s="22" t="s">
        <v>723</v>
      </c>
      <c r="D794" s="22" t="s">
        <v>32</v>
      </c>
      <c r="E794" s="22" t="s">
        <v>24</v>
      </c>
      <c r="F794" s="22" t="s">
        <v>25</v>
      </c>
      <c r="G794" s="22" t="s">
        <v>30</v>
      </c>
      <c r="H794" s="22">
        <v>0</v>
      </c>
      <c r="I794" s="22">
        <v>0</v>
      </c>
      <c r="J794" s="22">
        <v>0</v>
      </c>
      <c r="K794" s="22">
        <v>0</v>
      </c>
      <c r="L794" s="22">
        <v>0</v>
      </c>
      <c r="M794" s="22">
        <v>0</v>
      </c>
      <c r="N794" s="22">
        <v>0</v>
      </c>
      <c r="O794" s="22"/>
      <c r="P794" s="22">
        <v>66.7</v>
      </c>
      <c r="Q794" s="22" t="str">
        <f>IF(OR(L794&lt;$Y$18,L794&gt;$Y$19),"Outlier","Normal")</f>
        <v>Normal</v>
      </c>
      <c r="R794" s="26" t="str">
        <f>A794&amp;B794&amp;C794&amp;D794&amp;E794&amp;F794&amp;G794&amp;H794&amp;I794&amp;J794&amp;K794&amp;L794&amp;M794&amp;N794&amp;O794&amp;P794</f>
        <v>USR-10079345710TreatmentSouthMobileOrganicPremium000000066.7</v>
      </c>
      <c r="S794" s="22" t="str">
        <f>IF(COUNTIF($R$2:$R$1409,R794)=1,"OK",IF(COUNTIF($R$2:$R$1409,R794)&gt;1,"Exact Duplicate","Review Required"))</f>
        <v>OK</v>
      </c>
      <c r="T794" s="22" t="s">
        <v>24</v>
      </c>
      <c r="U794" s="22" t="s">
        <v>25</v>
      </c>
      <c r="V794" s="22"/>
    </row>
    <row r="795" spans="1:22" ht="41.4">
      <c r="A795" s="22" t="s">
        <v>826</v>
      </c>
      <c r="B795" s="25">
        <v>45779</v>
      </c>
      <c r="C795" s="22" t="s">
        <v>723</v>
      </c>
      <c r="D795" s="22" t="s">
        <v>18</v>
      </c>
      <c r="E795" s="22" t="s">
        <v>24</v>
      </c>
      <c r="F795" s="22" t="s">
        <v>29</v>
      </c>
      <c r="G795" s="22" t="s">
        <v>30</v>
      </c>
      <c r="H795" s="22">
        <v>0</v>
      </c>
      <c r="I795" s="22">
        <v>0</v>
      </c>
      <c r="J795" s="22">
        <v>0</v>
      </c>
      <c r="K795" s="22">
        <v>0</v>
      </c>
      <c r="L795" s="22">
        <v>0</v>
      </c>
      <c r="M795" s="22">
        <v>0</v>
      </c>
      <c r="N795" s="22">
        <v>0</v>
      </c>
      <c r="O795" s="22"/>
      <c r="P795" s="22">
        <v>39.4</v>
      </c>
      <c r="Q795" s="22" t="str">
        <f>IF(OR(L795&lt;$Y$18,L795&gt;$Y$19),"Outlier","Normal")</f>
        <v>Normal</v>
      </c>
      <c r="R795" s="26" t="str">
        <f>A795&amp;B795&amp;C795&amp;D795&amp;E795&amp;F795&amp;G795&amp;H795&amp;I795&amp;J795&amp;K795&amp;L795&amp;M795&amp;N795&amp;O795&amp;P795</f>
        <v>USR-10079445779TreatmentNorthMobilePaid SearchPremium000000039.4</v>
      </c>
      <c r="S795" s="22" t="str">
        <f>IF(COUNTIF($R$2:$R$1409,R795)=1,"OK",IF(COUNTIF($R$2:$R$1409,R795)&gt;1,"Exact Duplicate","Review Required"))</f>
        <v>OK</v>
      </c>
      <c r="T795" s="22" t="s">
        <v>24</v>
      </c>
      <c r="U795" s="22" t="s">
        <v>29</v>
      </c>
      <c r="V795" s="22"/>
    </row>
    <row r="796" spans="1:22" ht="41.4">
      <c r="A796" s="22" t="s">
        <v>827</v>
      </c>
      <c r="B796" s="25">
        <v>45729</v>
      </c>
      <c r="C796" s="22" t="s">
        <v>723</v>
      </c>
      <c r="D796" s="22" t="s">
        <v>23</v>
      </c>
      <c r="E796" s="22" t="s">
        <v>19</v>
      </c>
      <c r="F796" s="22" t="s">
        <v>25</v>
      </c>
      <c r="G796" s="22" t="s">
        <v>30</v>
      </c>
      <c r="H796" s="22">
        <v>0</v>
      </c>
      <c r="I796" s="22">
        <v>0</v>
      </c>
      <c r="J796" s="22">
        <v>0</v>
      </c>
      <c r="K796" s="22">
        <v>0</v>
      </c>
      <c r="L796" s="22">
        <v>0</v>
      </c>
      <c r="M796" s="22">
        <v>3</v>
      </c>
      <c r="N796" s="22">
        <v>0</v>
      </c>
      <c r="O796" s="22"/>
      <c r="P796" s="22">
        <v>67</v>
      </c>
      <c r="Q796" s="22" t="str">
        <f>IF(OR(L796&lt;$Y$18,L796&gt;$Y$19),"Outlier","Normal")</f>
        <v>Normal</v>
      </c>
      <c r="R796" s="26" t="str">
        <f>A796&amp;B796&amp;C796&amp;D796&amp;E796&amp;F796&amp;G796&amp;H796&amp;I796&amp;J796&amp;K796&amp;L796&amp;M796&amp;N796&amp;O796&amp;P796</f>
        <v>USR-10079545729TreatmentWestDesktopOrganicPremium000003067</v>
      </c>
      <c r="S796" s="22" t="str">
        <f>IF(COUNTIF($R$2:$R$1409,R796)=1,"OK",IF(COUNTIF($R$2:$R$1409,R796)&gt;1,"Exact Duplicate","Review Required"))</f>
        <v>OK</v>
      </c>
      <c r="T796" s="22" t="s">
        <v>19</v>
      </c>
      <c r="U796" s="22" t="s">
        <v>25</v>
      </c>
      <c r="V796" s="22"/>
    </row>
    <row r="797" spans="1:22" ht="41.4">
      <c r="A797" s="22" t="s">
        <v>828</v>
      </c>
      <c r="B797" s="25">
        <v>45808</v>
      </c>
      <c r="C797" s="22" t="s">
        <v>723</v>
      </c>
      <c r="D797" s="22" t="s">
        <v>32</v>
      </c>
      <c r="E797" s="22" t="s">
        <v>24</v>
      </c>
      <c r="F797" s="22" t="s">
        <v>25</v>
      </c>
      <c r="G797" s="22" t="s">
        <v>21</v>
      </c>
      <c r="H797" s="22">
        <v>1</v>
      </c>
      <c r="I797" s="22">
        <v>0</v>
      </c>
      <c r="J797" s="22">
        <v>0</v>
      </c>
      <c r="K797" s="22">
        <v>0</v>
      </c>
      <c r="L797" s="22">
        <v>0</v>
      </c>
      <c r="M797" s="22">
        <v>0</v>
      </c>
      <c r="N797" s="22">
        <v>0</v>
      </c>
      <c r="O797" s="22"/>
      <c r="P797" s="22">
        <v>50.4</v>
      </c>
      <c r="Q797" s="22" t="str">
        <f>IF(OR(L797&lt;$Y$18,L797&gt;$Y$19),"Outlier","Normal")</f>
        <v>Normal</v>
      </c>
      <c r="R797" s="26" t="str">
        <f>A797&amp;B797&amp;C797&amp;D797&amp;E797&amp;F797&amp;G797&amp;H797&amp;I797&amp;J797&amp;K797&amp;L797&amp;M797&amp;N797&amp;O797&amp;P797</f>
        <v>USR-10079645808TreatmentSouthMobileOrganicBasic100000050.4</v>
      </c>
      <c r="S797" s="22" t="str">
        <f>IF(COUNTIF($R$2:$R$1409,R797)=1,"OK",IF(COUNTIF($R$2:$R$1409,R797)&gt;1,"Exact Duplicate","Review Required"))</f>
        <v>OK</v>
      </c>
      <c r="T797" s="22" t="s">
        <v>24</v>
      </c>
      <c r="U797" s="22" t="s">
        <v>25</v>
      </c>
      <c r="V797" s="22"/>
    </row>
    <row r="798" spans="1:22" ht="41.4">
      <c r="A798" s="22" t="s">
        <v>829</v>
      </c>
      <c r="B798" s="25">
        <v>45723</v>
      </c>
      <c r="C798" s="22" t="s">
        <v>723</v>
      </c>
      <c r="D798" s="22" t="s">
        <v>23</v>
      </c>
      <c r="E798" s="22" t="s">
        <v>19</v>
      </c>
      <c r="F798" s="22" t="s">
        <v>41</v>
      </c>
      <c r="G798" s="22" t="s">
        <v>26</v>
      </c>
      <c r="H798" s="22">
        <v>1</v>
      </c>
      <c r="I798" s="22">
        <v>0</v>
      </c>
      <c r="J798" s="22">
        <v>0</v>
      </c>
      <c r="K798" s="22">
        <v>0</v>
      </c>
      <c r="L798" s="22">
        <v>0</v>
      </c>
      <c r="M798" s="22">
        <v>0</v>
      </c>
      <c r="N798" s="22">
        <v>0</v>
      </c>
      <c r="O798" s="22"/>
      <c r="P798" s="22">
        <v>53.8</v>
      </c>
      <c r="Q798" s="22" t="str">
        <f>IF(OR(L798&lt;$Y$18,L798&gt;$Y$19),"Outlier","Normal")</f>
        <v>Normal</v>
      </c>
      <c r="R798" s="26" t="str">
        <f>A798&amp;B798&amp;C798&amp;D798&amp;E798&amp;F798&amp;G798&amp;H798&amp;I798&amp;J798&amp;K798&amp;L798&amp;M798&amp;N798&amp;O798&amp;P798</f>
        <v>USR-10079745723TreatmentWestDesktopSocialFree100000053.8</v>
      </c>
      <c r="S798" s="22" t="str">
        <f>IF(COUNTIF($R$2:$R$1409,R798)=1,"OK",IF(COUNTIF($R$2:$R$1409,R798)&gt;1,"Exact Duplicate","Review Required"))</f>
        <v>OK</v>
      </c>
      <c r="T798" s="22" t="s">
        <v>19</v>
      </c>
      <c r="U798" s="22" t="s">
        <v>41</v>
      </c>
      <c r="V798" s="22"/>
    </row>
    <row r="799" spans="1:22" ht="41.4">
      <c r="A799" s="22" t="s">
        <v>830</v>
      </c>
      <c r="B799" s="25">
        <v>45710</v>
      </c>
      <c r="C799" s="22" t="s">
        <v>723</v>
      </c>
      <c r="D799" s="22" t="s">
        <v>23</v>
      </c>
      <c r="E799" s="22" t="s">
        <v>24</v>
      </c>
      <c r="F799" s="22" t="s">
        <v>29</v>
      </c>
      <c r="G799" s="22" t="s">
        <v>21</v>
      </c>
      <c r="H799" s="22">
        <v>0</v>
      </c>
      <c r="I799" s="22">
        <v>0</v>
      </c>
      <c r="J799" s="22">
        <v>0</v>
      </c>
      <c r="K799" s="22">
        <v>0</v>
      </c>
      <c r="L799" s="22">
        <v>0</v>
      </c>
      <c r="M799" s="22">
        <v>1</v>
      </c>
      <c r="N799" s="22">
        <v>0</v>
      </c>
      <c r="O799" s="22"/>
      <c r="P799" s="22">
        <v>82.7</v>
      </c>
      <c r="Q799" s="22" t="str">
        <f>IF(OR(L799&lt;$Y$18,L799&gt;$Y$19),"Outlier","Normal")</f>
        <v>Normal</v>
      </c>
      <c r="R799" s="26" t="str">
        <f>A799&amp;B799&amp;C799&amp;D799&amp;E799&amp;F799&amp;G799&amp;H799&amp;I799&amp;J799&amp;K799&amp;L799&amp;M799&amp;N799&amp;O799&amp;P799</f>
        <v>USR-10079845710TreatmentWestMobilePaid SearchBasic000001082.7</v>
      </c>
      <c r="S799" s="22" t="str">
        <f>IF(COUNTIF($R$2:$R$1409,R799)=1,"OK",IF(COUNTIF($R$2:$R$1409,R799)&gt;1,"Exact Duplicate","Review Required"))</f>
        <v>OK</v>
      </c>
      <c r="T799" s="22" t="s">
        <v>24</v>
      </c>
      <c r="U799" s="22" t="s">
        <v>29</v>
      </c>
      <c r="V799" s="22"/>
    </row>
    <row r="800" spans="1:22" ht="41.4">
      <c r="A800" s="22" t="s">
        <v>831</v>
      </c>
      <c r="B800" s="25">
        <v>45662</v>
      </c>
      <c r="C800" s="22" t="s">
        <v>723</v>
      </c>
      <c r="D800" s="22" t="s">
        <v>23</v>
      </c>
      <c r="E800" s="22" t="s">
        <v>19</v>
      </c>
      <c r="F800" s="22" t="s">
        <v>29</v>
      </c>
      <c r="G800" s="22" t="s">
        <v>26</v>
      </c>
      <c r="H800" s="22">
        <v>1</v>
      </c>
      <c r="I800" s="22">
        <v>1</v>
      </c>
      <c r="J800" s="22">
        <v>1</v>
      </c>
      <c r="K800" s="22">
        <v>0</v>
      </c>
      <c r="L800" s="22">
        <v>0</v>
      </c>
      <c r="M800" s="22">
        <v>0</v>
      </c>
      <c r="N800" s="22">
        <v>0</v>
      </c>
      <c r="O800" s="22"/>
      <c r="P800" s="22">
        <v>63.9</v>
      </c>
      <c r="Q800" s="22" t="str">
        <f>IF(OR(L800&lt;$Y$18,L800&gt;$Y$19),"Outlier","Normal")</f>
        <v>Normal</v>
      </c>
      <c r="R800" s="26" t="str">
        <f>A800&amp;B800&amp;C800&amp;D800&amp;E800&amp;F800&amp;G800&amp;H800&amp;I800&amp;J800&amp;K800&amp;L800&amp;M800&amp;N800&amp;O800&amp;P800</f>
        <v>USR-10079945662TreatmentWestDesktopPaid SearchFree111000063.9</v>
      </c>
      <c r="S800" s="22" t="str">
        <f>IF(COUNTIF($R$2:$R$1409,R800)=1,"OK",IF(COUNTIF($R$2:$R$1409,R800)&gt;1,"Exact Duplicate","Review Required"))</f>
        <v>OK</v>
      </c>
      <c r="T800" s="22" t="s">
        <v>19</v>
      </c>
      <c r="U800" s="22" t="s">
        <v>29</v>
      </c>
      <c r="V800" s="22"/>
    </row>
    <row r="801" spans="1:22" ht="41.4">
      <c r="A801" s="22" t="s">
        <v>832</v>
      </c>
      <c r="B801" s="25">
        <v>45678</v>
      </c>
      <c r="C801" s="22" t="s">
        <v>723</v>
      </c>
      <c r="D801" s="22" t="s">
        <v>23</v>
      </c>
      <c r="E801" s="22" t="s">
        <v>24</v>
      </c>
      <c r="F801" s="22" t="s">
        <v>39</v>
      </c>
      <c r="G801" s="22" t="s">
        <v>26</v>
      </c>
      <c r="H801" s="22">
        <v>1</v>
      </c>
      <c r="I801" s="22">
        <v>0</v>
      </c>
      <c r="J801" s="22">
        <v>0</v>
      </c>
      <c r="K801" s="22">
        <v>0</v>
      </c>
      <c r="L801" s="22">
        <v>0</v>
      </c>
      <c r="M801" s="22">
        <v>0</v>
      </c>
      <c r="N801" s="22">
        <v>0</v>
      </c>
      <c r="O801" s="22"/>
      <c r="P801" s="22">
        <v>61.9</v>
      </c>
      <c r="Q801" s="22" t="str">
        <f>IF(OR(L801&lt;$Y$18,L801&gt;$Y$19),"Outlier","Normal")</f>
        <v>Normal</v>
      </c>
      <c r="R801" s="26" t="str">
        <f>A801&amp;B801&amp;C801&amp;D801&amp;E801&amp;F801&amp;G801&amp;H801&amp;I801&amp;J801&amp;K801&amp;L801&amp;M801&amp;N801&amp;O801&amp;P801</f>
        <v>USR-10080045678TreatmentWestMobileReferralFree100000061.9</v>
      </c>
      <c r="S801" s="22" t="str">
        <f>IF(COUNTIF($R$2:$R$1409,R801)=1,"OK",IF(COUNTIF($R$2:$R$1409,R801)&gt;1,"Exact Duplicate","Review Required"))</f>
        <v>OK</v>
      </c>
      <c r="T801" s="22" t="s">
        <v>24</v>
      </c>
      <c r="U801" s="22" t="s">
        <v>39</v>
      </c>
      <c r="V801" s="22"/>
    </row>
    <row r="802" spans="1:22" ht="41.4">
      <c r="A802" s="22" t="s">
        <v>833</v>
      </c>
      <c r="B802" s="25">
        <v>45682</v>
      </c>
      <c r="C802" s="22" t="s">
        <v>723</v>
      </c>
      <c r="D802" s="22" t="s">
        <v>18</v>
      </c>
      <c r="E802" s="22" t="s">
        <v>19</v>
      </c>
      <c r="F802" s="22" t="s">
        <v>41</v>
      </c>
      <c r="G802" s="22" t="s">
        <v>26</v>
      </c>
      <c r="H802" s="22">
        <v>1</v>
      </c>
      <c r="I802" s="22">
        <v>1</v>
      </c>
      <c r="J802" s="22">
        <v>1</v>
      </c>
      <c r="K802" s="22">
        <v>0</v>
      </c>
      <c r="L802" s="22">
        <v>0</v>
      </c>
      <c r="M802" s="22">
        <v>0</v>
      </c>
      <c r="N802" s="22">
        <v>0</v>
      </c>
      <c r="O802" s="22"/>
      <c r="P802" s="22">
        <v>75</v>
      </c>
      <c r="Q802" s="22" t="str">
        <f>IF(OR(L802&lt;$Y$18,L802&gt;$Y$19),"Outlier","Normal")</f>
        <v>Normal</v>
      </c>
      <c r="R802" s="26" t="str">
        <f>A802&amp;B802&amp;C802&amp;D802&amp;E802&amp;F802&amp;G802&amp;H802&amp;I802&amp;J802&amp;K802&amp;L802&amp;M802&amp;N802&amp;O802&amp;P802</f>
        <v>USR-10080145682TreatmentNorthDesktopSocialFree111000075</v>
      </c>
      <c r="S802" s="22" t="str">
        <f>IF(COUNTIF($R$2:$R$1409,R802)=1,"OK",IF(COUNTIF($R$2:$R$1409,R802)&gt;1,"Exact Duplicate","Review Required"))</f>
        <v>OK</v>
      </c>
      <c r="T802" s="22" t="s">
        <v>19</v>
      </c>
      <c r="U802" s="22" t="s">
        <v>41</v>
      </c>
      <c r="V802" s="22"/>
    </row>
    <row r="803" spans="1:22" ht="41.4">
      <c r="A803" s="22" t="s">
        <v>834</v>
      </c>
      <c r="B803" s="25">
        <v>45751</v>
      </c>
      <c r="C803" s="22" t="s">
        <v>723</v>
      </c>
      <c r="D803" s="22" t="s">
        <v>23</v>
      </c>
      <c r="E803" s="22" t="s">
        <v>24</v>
      </c>
      <c r="F803" s="22" t="s">
        <v>29</v>
      </c>
      <c r="G803" s="22" t="s">
        <v>21</v>
      </c>
      <c r="H803" s="22">
        <v>1</v>
      </c>
      <c r="I803" s="22">
        <v>1</v>
      </c>
      <c r="J803" s="22">
        <v>1</v>
      </c>
      <c r="K803" s="22">
        <v>0</v>
      </c>
      <c r="L803" s="22">
        <v>0</v>
      </c>
      <c r="M803" s="22">
        <v>0</v>
      </c>
      <c r="N803" s="22">
        <v>0</v>
      </c>
      <c r="O803" s="22"/>
      <c r="P803" s="22">
        <v>43</v>
      </c>
      <c r="Q803" s="22" t="str">
        <f>IF(OR(L803&lt;$Y$18,L803&gt;$Y$19),"Outlier","Normal")</f>
        <v>Normal</v>
      </c>
      <c r="R803" s="26" t="str">
        <f>A803&amp;B803&amp;C803&amp;D803&amp;E803&amp;F803&amp;G803&amp;H803&amp;I803&amp;J803&amp;K803&amp;L803&amp;M803&amp;N803&amp;O803&amp;P803</f>
        <v>USR-10080245751TreatmentWestMobilePaid SearchBasic111000043</v>
      </c>
      <c r="S803" s="22" t="str">
        <f>IF(COUNTIF($R$2:$R$1409,R803)=1,"OK",IF(COUNTIF($R$2:$R$1409,R803)&gt;1,"Exact Duplicate","Review Required"))</f>
        <v>OK</v>
      </c>
      <c r="T803" s="22" t="s">
        <v>24</v>
      </c>
      <c r="U803" s="22" t="s">
        <v>29</v>
      </c>
      <c r="V803" s="22"/>
    </row>
    <row r="804" spans="1:22" ht="41.4">
      <c r="A804" s="22" t="s">
        <v>835</v>
      </c>
      <c r="B804" s="25">
        <v>45741</v>
      </c>
      <c r="C804" s="22" t="s">
        <v>723</v>
      </c>
      <c r="D804" s="22" t="s">
        <v>18</v>
      </c>
      <c r="E804" s="22" t="s">
        <v>19</v>
      </c>
      <c r="F804" s="22" t="s">
        <v>41</v>
      </c>
      <c r="G804" s="22" t="s">
        <v>30</v>
      </c>
      <c r="H804" s="22">
        <v>0</v>
      </c>
      <c r="I804" s="22">
        <v>0</v>
      </c>
      <c r="J804" s="22">
        <v>0</v>
      </c>
      <c r="K804" s="22">
        <v>0</v>
      </c>
      <c r="L804" s="22">
        <v>0</v>
      </c>
      <c r="M804" s="22">
        <v>0</v>
      </c>
      <c r="N804" s="22">
        <v>0</v>
      </c>
      <c r="O804" s="22"/>
      <c r="P804" s="22">
        <v>54.3</v>
      </c>
      <c r="Q804" s="22" t="str">
        <f>IF(OR(L804&lt;$Y$18,L804&gt;$Y$19),"Outlier","Normal")</f>
        <v>Normal</v>
      </c>
      <c r="R804" s="26" t="str">
        <f>A804&amp;B804&amp;C804&amp;D804&amp;E804&amp;F804&amp;G804&amp;H804&amp;I804&amp;J804&amp;K804&amp;L804&amp;M804&amp;N804&amp;O804&amp;P804</f>
        <v>USR-10080345741TreatmentNorthDesktopSocialPremium000000054.3</v>
      </c>
      <c r="S804" s="22" t="str">
        <f>IF(COUNTIF($R$2:$R$1409,R804)=1,"OK",IF(COUNTIF($R$2:$R$1409,R804)&gt;1,"Exact Duplicate","Review Required"))</f>
        <v>OK</v>
      </c>
      <c r="T804" s="22" t="s">
        <v>19</v>
      </c>
      <c r="U804" s="22" t="s">
        <v>41</v>
      </c>
      <c r="V804" s="22"/>
    </row>
    <row r="805" spans="1:22" ht="41.4">
      <c r="A805" s="22" t="s">
        <v>836</v>
      </c>
      <c r="B805" s="25">
        <v>45735</v>
      </c>
      <c r="C805" s="22" t="s">
        <v>723</v>
      </c>
      <c r="D805" s="22" t="s">
        <v>23</v>
      </c>
      <c r="E805" s="22" t="s">
        <v>24</v>
      </c>
      <c r="F805" s="22" t="s">
        <v>41</v>
      </c>
      <c r="G805" s="22" t="s">
        <v>26</v>
      </c>
      <c r="H805" s="22">
        <v>0</v>
      </c>
      <c r="I805" s="22">
        <v>0</v>
      </c>
      <c r="J805" s="22">
        <v>0</v>
      </c>
      <c r="K805" s="22">
        <v>0</v>
      </c>
      <c r="L805" s="22">
        <v>0</v>
      </c>
      <c r="M805" s="22">
        <v>2</v>
      </c>
      <c r="N805" s="22">
        <v>0</v>
      </c>
      <c r="O805" s="22"/>
      <c r="P805" s="22">
        <v>44.3</v>
      </c>
      <c r="Q805" s="22" t="str">
        <f>IF(OR(L805&lt;$Y$18,L805&gt;$Y$19),"Outlier","Normal")</f>
        <v>Normal</v>
      </c>
      <c r="R805" s="26" t="str">
        <f>A805&amp;B805&amp;C805&amp;D805&amp;E805&amp;F805&amp;G805&amp;H805&amp;I805&amp;J805&amp;K805&amp;L805&amp;M805&amp;N805&amp;O805&amp;P805</f>
        <v>USR-10080445735TreatmentWestMobileSocialFree000002044.3</v>
      </c>
      <c r="S805" s="22" t="str">
        <f>IF(COUNTIF($R$2:$R$1409,R805)=1,"OK",IF(COUNTIF($R$2:$R$1409,R805)&gt;1,"Exact Duplicate","Review Required"))</f>
        <v>OK</v>
      </c>
      <c r="T805" s="22" t="s">
        <v>24</v>
      </c>
      <c r="U805" s="22" t="s">
        <v>41</v>
      </c>
      <c r="V805" s="22"/>
    </row>
    <row r="806" spans="1:22" ht="41.4">
      <c r="A806" s="22" t="s">
        <v>837</v>
      </c>
      <c r="B806" s="25">
        <v>45771</v>
      </c>
      <c r="C806" s="22" t="s">
        <v>723</v>
      </c>
      <c r="D806" s="22" t="s">
        <v>23</v>
      </c>
      <c r="E806" s="22" t="s">
        <v>19</v>
      </c>
      <c r="F806" s="22" t="s">
        <v>25</v>
      </c>
      <c r="G806" s="22" t="s">
        <v>26</v>
      </c>
      <c r="H806" s="22">
        <v>1</v>
      </c>
      <c r="I806" s="22">
        <v>1</v>
      </c>
      <c r="J806" s="22">
        <v>1</v>
      </c>
      <c r="K806" s="22">
        <v>1</v>
      </c>
      <c r="L806" s="22">
        <v>402.88</v>
      </c>
      <c r="M806" s="22">
        <v>0</v>
      </c>
      <c r="N806" s="22">
        <v>0</v>
      </c>
      <c r="O806" s="22">
        <v>12</v>
      </c>
      <c r="P806" s="22">
        <v>76</v>
      </c>
      <c r="Q806" s="22" t="str">
        <f>IF(OR(L806&lt;$Y$18,L806&gt;$Y$19),"Outlier","Normal")</f>
        <v>Normal</v>
      </c>
      <c r="R806" s="26" t="str">
        <f>A806&amp;B806&amp;C806&amp;D806&amp;E806&amp;F806&amp;G806&amp;H806&amp;I806&amp;J806&amp;K806&amp;L806&amp;M806&amp;N806&amp;O806&amp;P806</f>
        <v>USR-10080545771TreatmentWestDesktopOrganicFree1111402.88001276</v>
      </c>
      <c r="S806" s="22" t="str">
        <f>IF(COUNTIF($R$2:$R$1409,R806)=1,"OK",IF(COUNTIF($R$2:$R$1409,R806)&gt;1,"Exact Duplicate","Review Required"))</f>
        <v>OK</v>
      </c>
      <c r="T806" s="22" t="s">
        <v>19</v>
      </c>
      <c r="U806" s="22" t="s">
        <v>25</v>
      </c>
      <c r="V806" s="22"/>
    </row>
    <row r="807" spans="1:22" ht="41.4">
      <c r="A807" s="22" t="s">
        <v>838</v>
      </c>
      <c r="B807" s="25">
        <v>45751</v>
      </c>
      <c r="C807" s="22" t="s">
        <v>723</v>
      </c>
      <c r="D807" s="22" t="s">
        <v>32</v>
      </c>
      <c r="E807" s="22" t="s">
        <v>34</v>
      </c>
      <c r="F807" s="22" t="s">
        <v>25</v>
      </c>
      <c r="G807" s="22" t="s">
        <v>26</v>
      </c>
      <c r="H807" s="22">
        <v>1</v>
      </c>
      <c r="I807" s="22">
        <v>0</v>
      </c>
      <c r="J807" s="22">
        <v>0</v>
      </c>
      <c r="K807" s="22">
        <v>0</v>
      </c>
      <c r="L807" s="22">
        <v>0</v>
      </c>
      <c r="M807" s="22">
        <v>2</v>
      </c>
      <c r="N807" s="22">
        <v>0</v>
      </c>
      <c r="O807" s="22"/>
      <c r="P807" s="22">
        <v>65.3</v>
      </c>
      <c r="Q807" s="22" t="str">
        <f>IF(OR(L807&lt;$Y$18,L807&gt;$Y$19),"Outlier","Normal")</f>
        <v>Normal</v>
      </c>
      <c r="R807" s="26" t="str">
        <f>A807&amp;B807&amp;C807&amp;D807&amp;E807&amp;F807&amp;G807&amp;H807&amp;I807&amp;J807&amp;K807&amp;L807&amp;M807&amp;N807&amp;O807&amp;P807</f>
        <v>USR-10080645751TreatmentSouthTabletOrganicFree100002065.3</v>
      </c>
      <c r="S807" s="22" t="str">
        <f>IF(COUNTIF($R$2:$R$1409,R807)=1,"OK",IF(COUNTIF($R$2:$R$1409,R807)&gt;1,"Exact Duplicate","Review Required"))</f>
        <v>OK</v>
      </c>
      <c r="T807" s="22" t="s">
        <v>34</v>
      </c>
      <c r="U807" s="22" t="s">
        <v>25</v>
      </c>
      <c r="V807" s="22"/>
    </row>
    <row r="808" spans="1:22" ht="55.2">
      <c r="A808" s="22" t="s">
        <v>839</v>
      </c>
      <c r="B808" s="25">
        <v>45744</v>
      </c>
      <c r="C808" s="22" t="s">
        <v>723</v>
      </c>
      <c r="D808" s="22" t="s">
        <v>32</v>
      </c>
      <c r="E808" s="22" t="s">
        <v>19</v>
      </c>
      <c r="F808" s="22" t="s">
        <v>29</v>
      </c>
      <c r="G808" s="22" t="s">
        <v>30</v>
      </c>
      <c r="H808" s="22">
        <v>1</v>
      </c>
      <c r="I808" s="22">
        <v>0</v>
      </c>
      <c r="J808" s="22">
        <v>0</v>
      </c>
      <c r="K808" s="22">
        <v>0</v>
      </c>
      <c r="L808" s="22">
        <v>0</v>
      </c>
      <c r="M808" s="22">
        <v>0</v>
      </c>
      <c r="N808" s="22">
        <v>0</v>
      </c>
      <c r="O808" s="22"/>
      <c r="P808" s="22">
        <v>71.2</v>
      </c>
      <c r="Q808" s="22" t="str">
        <f>IF(OR(L808&lt;$Y$18,L808&gt;$Y$19),"Outlier","Normal")</f>
        <v>Normal</v>
      </c>
      <c r="R808" s="26" t="str">
        <f>A808&amp;B808&amp;C808&amp;D808&amp;E808&amp;F808&amp;G808&amp;H808&amp;I808&amp;J808&amp;K808&amp;L808&amp;M808&amp;N808&amp;O808&amp;P808</f>
        <v>USR-10080745744TreatmentSouthDesktopPaid SearchPremium100000071.2</v>
      </c>
      <c r="S808" s="22" t="str">
        <f>IF(COUNTIF($R$2:$R$1409,R808)=1,"OK",IF(COUNTIF($R$2:$R$1409,R808)&gt;1,"Exact Duplicate","Review Required"))</f>
        <v>OK</v>
      </c>
      <c r="T808" s="22" t="s">
        <v>19</v>
      </c>
      <c r="U808" s="22" t="s">
        <v>29</v>
      </c>
      <c r="V808" s="22"/>
    </row>
    <row r="809" spans="1:22" ht="41.4">
      <c r="A809" s="22" t="s">
        <v>840</v>
      </c>
      <c r="B809" s="25">
        <v>45792</v>
      </c>
      <c r="C809" s="22" t="s">
        <v>723</v>
      </c>
      <c r="D809" s="22" t="s">
        <v>32</v>
      </c>
      <c r="E809" s="22" t="s">
        <v>34</v>
      </c>
      <c r="F809" s="22" t="s">
        <v>29</v>
      </c>
      <c r="G809" s="22" t="s">
        <v>26</v>
      </c>
      <c r="H809" s="22">
        <v>1</v>
      </c>
      <c r="I809" s="22">
        <v>0</v>
      </c>
      <c r="J809" s="22">
        <v>0</v>
      </c>
      <c r="K809" s="22">
        <v>0</v>
      </c>
      <c r="L809" s="22">
        <v>0</v>
      </c>
      <c r="M809" s="22">
        <v>0</v>
      </c>
      <c r="N809" s="22">
        <v>0</v>
      </c>
      <c r="O809" s="22"/>
      <c r="P809" s="22">
        <v>77.900000000000006</v>
      </c>
      <c r="Q809" s="22" t="str">
        <f>IF(OR(L809&lt;$Y$18,L809&gt;$Y$19),"Outlier","Normal")</f>
        <v>Normal</v>
      </c>
      <c r="R809" s="26" t="str">
        <f>A809&amp;B809&amp;C809&amp;D809&amp;E809&amp;F809&amp;G809&amp;H809&amp;I809&amp;J809&amp;K809&amp;L809&amp;M809&amp;N809&amp;O809&amp;P809</f>
        <v>USR-10080845792TreatmentSouthTabletPaid SearchFree100000077.9</v>
      </c>
      <c r="S809" s="22" t="str">
        <f>IF(COUNTIF($R$2:$R$1409,R809)=1,"OK",IF(COUNTIF($R$2:$R$1409,R809)&gt;1,"Exact Duplicate","Review Required"))</f>
        <v>OK</v>
      </c>
      <c r="T809" s="22" t="s">
        <v>34</v>
      </c>
      <c r="U809" s="22" t="s">
        <v>29</v>
      </c>
      <c r="V809" s="22"/>
    </row>
    <row r="810" spans="1:22" ht="41.4">
      <c r="A810" s="22" t="s">
        <v>841</v>
      </c>
      <c r="B810" s="25">
        <v>45729</v>
      </c>
      <c r="C810" s="22" t="s">
        <v>723</v>
      </c>
      <c r="D810" s="22" t="s">
        <v>23</v>
      </c>
      <c r="E810" s="22" t="s">
        <v>24</v>
      </c>
      <c r="F810" s="22" t="s">
        <v>29</v>
      </c>
      <c r="G810" s="22" t="s">
        <v>26</v>
      </c>
      <c r="H810" s="22">
        <v>0</v>
      </c>
      <c r="I810" s="22">
        <v>0</v>
      </c>
      <c r="J810" s="22">
        <v>0</v>
      </c>
      <c r="K810" s="22">
        <v>0</v>
      </c>
      <c r="L810" s="22">
        <v>0</v>
      </c>
      <c r="M810" s="22">
        <v>0</v>
      </c>
      <c r="N810" s="22">
        <v>0</v>
      </c>
      <c r="O810" s="22"/>
      <c r="P810" s="22">
        <v>48.6</v>
      </c>
      <c r="Q810" s="22" t="str">
        <f>IF(OR(L810&lt;$Y$18,L810&gt;$Y$19),"Outlier","Normal")</f>
        <v>Normal</v>
      </c>
      <c r="R810" s="26" t="str">
        <f>A810&amp;B810&amp;C810&amp;D810&amp;E810&amp;F810&amp;G810&amp;H810&amp;I810&amp;J810&amp;K810&amp;L810&amp;M810&amp;N810&amp;O810&amp;P810</f>
        <v>USR-10080945729TreatmentWestMobilePaid SearchFree000000048.6</v>
      </c>
      <c r="S810" s="22" t="str">
        <f>IF(COUNTIF($R$2:$R$1409,R810)=1,"OK",IF(COUNTIF($R$2:$R$1409,R810)&gt;1,"Exact Duplicate","Review Required"))</f>
        <v>OK</v>
      </c>
      <c r="T810" s="22" t="s">
        <v>24</v>
      </c>
      <c r="U810" s="22" t="s">
        <v>29</v>
      </c>
      <c r="V810" s="22"/>
    </row>
    <row r="811" spans="1:22" ht="41.4">
      <c r="A811" s="22" t="s">
        <v>842</v>
      </c>
      <c r="B811" s="25">
        <v>45742</v>
      </c>
      <c r="C811" s="22" t="s">
        <v>723</v>
      </c>
      <c r="D811" s="22" t="s">
        <v>18</v>
      </c>
      <c r="E811" s="22" t="s">
        <v>24</v>
      </c>
      <c r="F811" s="22" t="s">
        <v>41</v>
      </c>
      <c r="G811" s="22" t="s">
        <v>30</v>
      </c>
      <c r="H811" s="22">
        <v>1</v>
      </c>
      <c r="I811" s="22">
        <v>0</v>
      </c>
      <c r="J811" s="22">
        <v>0</v>
      </c>
      <c r="K811" s="22">
        <v>0</v>
      </c>
      <c r="L811" s="22">
        <v>0</v>
      </c>
      <c r="M811" s="22">
        <v>0</v>
      </c>
      <c r="N811" s="22">
        <v>0</v>
      </c>
      <c r="O811" s="22"/>
      <c r="P811" s="22">
        <v>61.9</v>
      </c>
      <c r="Q811" s="22" t="str">
        <f>IF(OR(L811&lt;$Y$18,L811&gt;$Y$19),"Outlier","Normal")</f>
        <v>Normal</v>
      </c>
      <c r="R811" s="26" t="str">
        <f>A811&amp;B811&amp;C811&amp;D811&amp;E811&amp;F811&amp;G811&amp;H811&amp;I811&amp;J811&amp;K811&amp;L811&amp;M811&amp;N811&amp;O811&amp;P811</f>
        <v>USR-10081045742TreatmentNorthMobileSocialPremium100000061.9</v>
      </c>
      <c r="S811" s="22" t="str">
        <f>IF(COUNTIF($R$2:$R$1409,R811)=1,"OK",IF(COUNTIF($R$2:$R$1409,R811)&gt;1,"Exact Duplicate","Review Required"))</f>
        <v>OK</v>
      </c>
      <c r="T811" s="22" t="s">
        <v>24</v>
      </c>
      <c r="U811" s="22" t="s">
        <v>41</v>
      </c>
      <c r="V811" s="22"/>
    </row>
    <row r="812" spans="1:22" ht="41.4">
      <c r="A812" s="22" t="s">
        <v>843</v>
      </c>
      <c r="B812" s="25">
        <v>45666</v>
      </c>
      <c r="C812" s="22" t="s">
        <v>723</v>
      </c>
      <c r="D812" s="22" t="s">
        <v>18</v>
      </c>
      <c r="E812" s="22" t="s">
        <v>24</v>
      </c>
      <c r="F812" s="22" t="s">
        <v>41</v>
      </c>
      <c r="G812" s="22" t="s">
        <v>21</v>
      </c>
      <c r="H812" s="22">
        <v>0</v>
      </c>
      <c r="I812" s="22">
        <v>0</v>
      </c>
      <c r="J812" s="22">
        <v>0</v>
      </c>
      <c r="K812" s="22">
        <v>0</v>
      </c>
      <c r="L812" s="22">
        <v>0</v>
      </c>
      <c r="M812" s="22">
        <v>1</v>
      </c>
      <c r="N812" s="22">
        <v>0</v>
      </c>
      <c r="O812" s="22"/>
      <c r="P812" s="22">
        <v>58.7</v>
      </c>
      <c r="Q812" s="22" t="str">
        <f>IF(OR(L812&lt;$Y$18,L812&gt;$Y$19),"Outlier","Normal")</f>
        <v>Normal</v>
      </c>
      <c r="R812" s="26" t="str">
        <f>A812&amp;B812&amp;C812&amp;D812&amp;E812&amp;F812&amp;G812&amp;H812&amp;I812&amp;J812&amp;K812&amp;L812&amp;M812&amp;N812&amp;O812&amp;P812</f>
        <v>USR-10081145666TreatmentNorthMobileSocialBasic000001058.7</v>
      </c>
      <c r="S812" s="22" t="str">
        <f>IF(COUNTIF($R$2:$R$1409,R812)=1,"OK",IF(COUNTIF($R$2:$R$1409,R812)&gt;1,"Exact Duplicate","Review Required"))</f>
        <v>OK</v>
      </c>
      <c r="T812" s="22" t="s">
        <v>24</v>
      </c>
      <c r="U812" s="22" t="s">
        <v>41</v>
      </c>
      <c r="V812" s="22"/>
    </row>
    <row r="813" spans="1:22" ht="41.4">
      <c r="A813" s="22" t="s">
        <v>844</v>
      </c>
      <c r="B813" s="25">
        <v>45783</v>
      </c>
      <c r="C813" s="22" t="s">
        <v>723</v>
      </c>
      <c r="D813" s="22" t="s">
        <v>32</v>
      </c>
      <c r="E813" s="22" t="s">
        <v>19</v>
      </c>
      <c r="F813" s="22" t="s">
        <v>29</v>
      </c>
      <c r="G813" s="22" t="s">
        <v>26</v>
      </c>
      <c r="H813" s="22">
        <v>1</v>
      </c>
      <c r="I813" s="22">
        <v>0</v>
      </c>
      <c r="J813" s="22">
        <v>0</v>
      </c>
      <c r="K813" s="22">
        <v>0</v>
      </c>
      <c r="L813" s="22">
        <v>0</v>
      </c>
      <c r="M813" s="22">
        <v>0</v>
      </c>
      <c r="N813" s="22">
        <v>0</v>
      </c>
      <c r="O813" s="22"/>
      <c r="P813" s="22">
        <v>69.599999999999994</v>
      </c>
      <c r="Q813" s="22" t="str">
        <f>IF(OR(L813&lt;$Y$18,L813&gt;$Y$19),"Outlier","Normal")</f>
        <v>Normal</v>
      </c>
      <c r="R813" s="26" t="str">
        <f>A813&amp;B813&amp;C813&amp;D813&amp;E813&amp;F813&amp;G813&amp;H813&amp;I813&amp;J813&amp;K813&amp;L813&amp;M813&amp;N813&amp;O813&amp;P813</f>
        <v>USR-10081245783TreatmentSouthDesktopPaid SearchFree100000069.6</v>
      </c>
      <c r="S813" s="22" t="str">
        <f>IF(COUNTIF($R$2:$R$1409,R813)=1,"OK",IF(COUNTIF($R$2:$R$1409,R813)&gt;1,"Exact Duplicate","Review Required"))</f>
        <v>OK</v>
      </c>
      <c r="T813" s="22" t="s">
        <v>19</v>
      </c>
      <c r="U813" s="22" t="s">
        <v>29</v>
      </c>
      <c r="V813" s="22"/>
    </row>
    <row r="814" spans="1:22" ht="41.4">
      <c r="A814" s="22" t="s">
        <v>845</v>
      </c>
      <c r="B814" s="25">
        <v>45705</v>
      </c>
      <c r="C814" s="22" t="s">
        <v>723</v>
      </c>
      <c r="D814" s="22" t="s">
        <v>32</v>
      </c>
      <c r="E814" s="22" t="s">
        <v>24</v>
      </c>
      <c r="F814" s="22" t="s">
        <v>25</v>
      </c>
      <c r="G814" s="22" t="s">
        <v>26</v>
      </c>
      <c r="H814" s="22">
        <v>1</v>
      </c>
      <c r="I814" s="22">
        <v>0</v>
      </c>
      <c r="J814" s="22">
        <v>0</v>
      </c>
      <c r="K814" s="22">
        <v>0</v>
      </c>
      <c r="L814" s="22">
        <v>0</v>
      </c>
      <c r="M814" s="22">
        <v>0</v>
      </c>
      <c r="N814" s="22">
        <v>0</v>
      </c>
      <c r="O814" s="22"/>
      <c r="P814" s="22">
        <v>51.5</v>
      </c>
      <c r="Q814" s="22" t="str">
        <f>IF(OR(L814&lt;$Y$18,L814&gt;$Y$19),"Outlier","Normal")</f>
        <v>Normal</v>
      </c>
      <c r="R814" s="26" t="str">
        <f>A814&amp;B814&amp;C814&amp;D814&amp;E814&amp;F814&amp;G814&amp;H814&amp;I814&amp;J814&amp;K814&amp;L814&amp;M814&amp;N814&amp;O814&amp;P814</f>
        <v>USR-10081345705TreatmentSouthMobileOrganicFree100000051.5</v>
      </c>
      <c r="S814" s="22" t="str">
        <f>IF(COUNTIF($R$2:$R$1409,R814)=1,"OK",IF(COUNTIF($R$2:$R$1409,R814)&gt;1,"Exact Duplicate","Review Required"))</f>
        <v>OK</v>
      </c>
      <c r="T814" s="22" t="s">
        <v>24</v>
      </c>
      <c r="U814" s="22" t="s">
        <v>25</v>
      </c>
      <c r="V814" s="22"/>
    </row>
    <row r="815" spans="1:22" ht="41.4">
      <c r="A815" s="22" t="s">
        <v>846</v>
      </c>
      <c r="B815" s="25">
        <v>45752</v>
      </c>
      <c r="C815" s="22" t="s">
        <v>723</v>
      </c>
      <c r="D815" s="22" t="s">
        <v>28</v>
      </c>
      <c r="E815" s="22" t="s">
        <v>24</v>
      </c>
      <c r="F815" s="22" t="s">
        <v>29</v>
      </c>
      <c r="G815" s="22" t="s">
        <v>26</v>
      </c>
      <c r="H815" s="22">
        <v>1</v>
      </c>
      <c r="I815" s="22">
        <v>1</v>
      </c>
      <c r="J815" s="22">
        <v>1</v>
      </c>
      <c r="K815" s="22">
        <v>1</v>
      </c>
      <c r="L815" s="22">
        <v>277.69</v>
      </c>
      <c r="M815" s="22">
        <v>3</v>
      </c>
      <c r="N815" s="22">
        <v>0</v>
      </c>
      <c r="O815" s="22">
        <v>8</v>
      </c>
      <c r="P815" s="22">
        <v>46</v>
      </c>
      <c r="Q815" s="22" t="str">
        <f>IF(OR(L815&lt;$Y$18,L815&gt;$Y$19),"Outlier","Normal")</f>
        <v>Normal</v>
      </c>
      <c r="R815" s="26" t="str">
        <f>A815&amp;B815&amp;C815&amp;D815&amp;E815&amp;F815&amp;G815&amp;H815&amp;I815&amp;J815&amp;K815&amp;L815&amp;M815&amp;N815&amp;O815&amp;P815</f>
        <v>USR-10081445752TreatmentEastMobilePaid SearchFree1111277.6930846</v>
      </c>
      <c r="S815" s="22" t="str">
        <f>IF(COUNTIF($R$2:$R$1409,R815)=1,"OK",IF(COUNTIF($R$2:$R$1409,R815)&gt;1,"Exact Duplicate","Review Required"))</f>
        <v>OK</v>
      </c>
      <c r="T815" s="22" t="s">
        <v>24</v>
      </c>
      <c r="U815" s="22" t="s">
        <v>29</v>
      </c>
      <c r="V815" s="22"/>
    </row>
    <row r="816" spans="1:22" ht="41.4">
      <c r="A816" s="22" t="s">
        <v>847</v>
      </c>
      <c r="B816" s="25">
        <v>45760</v>
      </c>
      <c r="C816" s="22" t="s">
        <v>723</v>
      </c>
      <c r="D816" s="22" t="s">
        <v>23</v>
      </c>
      <c r="E816" s="22" t="s">
        <v>34</v>
      </c>
      <c r="F816" s="22" t="s">
        <v>25</v>
      </c>
      <c r="G816" s="22" t="s">
        <v>26</v>
      </c>
      <c r="H816" s="22">
        <v>1</v>
      </c>
      <c r="I816" s="22">
        <v>0</v>
      </c>
      <c r="J816" s="22">
        <v>0</v>
      </c>
      <c r="K816" s="22">
        <v>0</v>
      </c>
      <c r="L816" s="22">
        <v>0</v>
      </c>
      <c r="M816" s="22">
        <v>0</v>
      </c>
      <c r="N816" s="22">
        <v>0</v>
      </c>
      <c r="O816" s="22"/>
      <c r="P816" s="22">
        <v>81.7</v>
      </c>
      <c r="Q816" s="22" t="str">
        <f>IF(OR(L816&lt;$Y$18,L816&gt;$Y$19),"Outlier","Normal")</f>
        <v>Normal</v>
      </c>
      <c r="R816" s="26" t="str">
        <f>A816&amp;B816&amp;C816&amp;D816&amp;E816&amp;F816&amp;G816&amp;H816&amp;I816&amp;J816&amp;K816&amp;L816&amp;M816&amp;N816&amp;O816&amp;P816</f>
        <v>USR-10081545760TreatmentWestTabletOrganicFree100000081.7</v>
      </c>
      <c r="S816" s="22" t="str">
        <f>IF(COUNTIF($R$2:$R$1409,R816)=1,"OK",IF(COUNTIF($R$2:$R$1409,R816)&gt;1,"Exact Duplicate","Review Required"))</f>
        <v>OK</v>
      </c>
      <c r="T816" s="22" t="s">
        <v>34</v>
      </c>
      <c r="U816" s="22" t="s">
        <v>25</v>
      </c>
      <c r="V816" s="22"/>
    </row>
    <row r="817" spans="1:22" ht="41.4">
      <c r="A817" s="22" t="s">
        <v>848</v>
      </c>
      <c r="B817" s="25">
        <v>45797</v>
      </c>
      <c r="C817" s="22" t="s">
        <v>723</v>
      </c>
      <c r="D817" s="22" t="s">
        <v>28</v>
      </c>
      <c r="E817" s="22" t="s">
        <v>19</v>
      </c>
      <c r="F817" s="22" t="s">
        <v>39</v>
      </c>
      <c r="G817" s="22" t="s">
        <v>26</v>
      </c>
      <c r="H817" s="22">
        <v>1</v>
      </c>
      <c r="I817" s="22">
        <v>0</v>
      </c>
      <c r="J817" s="22">
        <v>0</v>
      </c>
      <c r="K817" s="22">
        <v>0</v>
      </c>
      <c r="L817" s="22">
        <v>0</v>
      </c>
      <c r="M817" s="22">
        <v>0</v>
      </c>
      <c r="N817" s="22">
        <v>0</v>
      </c>
      <c r="O817" s="22"/>
      <c r="P817" s="22">
        <v>48.3</v>
      </c>
      <c r="Q817" s="22" t="str">
        <f>IF(OR(L817&lt;$Y$18,L817&gt;$Y$19),"Outlier","Normal")</f>
        <v>Normal</v>
      </c>
      <c r="R817" s="26" t="str">
        <f>A817&amp;B817&amp;C817&amp;D817&amp;E817&amp;F817&amp;G817&amp;H817&amp;I817&amp;J817&amp;K817&amp;L817&amp;M817&amp;N817&amp;O817&amp;P817</f>
        <v>USR-10081645797TreatmentEastDesktopReferralFree100000048.3</v>
      </c>
      <c r="S817" s="22" t="str">
        <f>IF(COUNTIF($R$2:$R$1409,R817)=1,"OK",IF(COUNTIF($R$2:$R$1409,R817)&gt;1,"Exact Duplicate","Review Required"))</f>
        <v>OK</v>
      </c>
      <c r="T817" s="22" t="s">
        <v>19</v>
      </c>
      <c r="U817" s="22" t="s">
        <v>39</v>
      </c>
      <c r="V817" s="22"/>
    </row>
    <row r="818" spans="1:22" ht="41.4">
      <c r="A818" s="22" t="s">
        <v>849</v>
      </c>
      <c r="B818" s="25">
        <v>45747</v>
      </c>
      <c r="C818" s="22" t="s">
        <v>723</v>
      </c>
      <c r="D818" s="22" t="s">
        <v>28</v>
      </c>
      <c r="E818" s="22" t="s">
        <v>24</v>
      </c>
      <c r="F818" s="22" t="s">
        <v>20</v>
      </c>
      <c r="G818" s="22" t="s">
        <v>26</v>
      </c>
      <c r="H818" s="22">
        <v>1</v>
      </c>
      <c r="I818" s="22">
        <v>1</v>
      </c>
      <c r="J818" s="22">
        <v>0</v>
      </c>
      <c r="K818" s="22">
        <v>0</v>
      </c>
      <c r="L818" s="22">
        <v>0</v>
      </c>
      <c r="M818" s="22">
        <v>0</v>
      </c>
      <c r="N818" s="22">
        <v>0</v>
      </c>
      <c r="O818" s="22"/>
      <c r="P818" s="22">
        <v>85.6</v>
      </c>
      <c r="Q818" s="22" t="str">
        <f>IF(OR(L818&lt;$Y$18,L818&gt;$Y$19),"Outlier","Normal")</f>
        <v>Normal</v>
      </c>
      <c r="R818" s="26" t="str">
        <f>A818&amp;B818&amp;C818&amp;D818&amp;E818&amp;F818&amp;G818&amp;H818&amp;I818&amp;J818&amp;K818&amp;L818&amp;M818&amp;N818&amp;O818&amp;P818</f>
        <v>USR-10081745747TreatmentEastMobileEmailFree110000085.6</v>
      </c>
      <c r="S818" s="22" t="str">
        <f>IF(COUNTIF($R$2:$R$1409,R818)=1,"OK",IF(COUNTIF($R$2:$R$1409,R818)&gt;1,"Exact Duplicate","Review Required"))</f>
        <v>OK</v>
      </c>
      <c r="T818" s="22" t="s">
        <v>24</v>
      </c>
      <c r="U818" s="22" t="s">
        <v>20</v>
      </c>
      <c r="V818" s="22"/>
    </row>
    <row r="819" spans="1:22" ht="41.4">
      <c r="A819" s="22" t="s">
        <v>850</v>
      </c>
      <c r="B819" s="25">
        <v>45750</v>
      </c>
      <c r="C819" s="22" t="s">
        <v>723</v>
      </c>
      <c r="D819" s="22" t="s">
        <v>23</v>
      </c>
      <c r="E819" s="22" t="s">
        <v>34</v>
      </c>
      <c r="F819" s="22" t="s">
        <v>29</v>
      </c>
      <c r="G819" s="22" t="s">
        <v>21</v>
      </c>
      <c r="H819" s="22">
        <v>1</v>
      </c>
      <c r="I819" s="22">
        <v>0</v>
      </c>
      <c r="J819" s="22">
        <v>0</v>
      </c>
      <c r="K819" s="22">
        <v>0</v>
      </c>
      <c r="L819" s="22">
        <v>0</v>
      </c>
      <c r="M819" s="22">
        <v>0</v>
      </c>
      <c r="N819" s="22">
        <v>0</v>
      </c>
      <c r="O819" s="22"/>
      <c r="P819" s="22">
        <v>53.8</v>
      </c>
      <c r="Q819" s="22" t="str">
        <f>IF(OR(L819&lt;$Y$18,L819&gt;$Y$19),"Outlier","Normal")</f>
        <v>Normal</v>
      </c>
      <c r="R819" s="26" t="str">
        <f>A819&amp;B819&amp;C819&amp;D819&amp;E819&amp;F819&amp;G819&amp;H819&amp;I819&amp;J819&amp;K819&amp;L819&amp;M819&amp;N819&amp;O819&amp;P819</f>
        <v>USR-10081845750TreatmentWestTabletPaid SearchBasic100000053.8</v>
      </c>
      <c r="S819" s="22" t="str">
        <f>IF(COUNTIF($R$2:$R$1409,R819)=1,"OK",IF(COUNTIF($R$2:$R$1409,R819)&gt;1,"Exact Duplicate","Review Required"))</f>
        <v>OK</v>
      </c>
      <c r="T819" s="22" t="s">
        <v>34</v>
      </c>
      <c r="U819" s="22" t="s">
        <v>29</v>
      </c>
      <c r="V819" s="22"/>
    </row>
    <row r="820" spans="1:22" ht="41.4">
      <c r="A820" s="22" t="s">
        <v>851</v>
      </c>
      <c r="B820" s="25">
        <v>45692</v>
      </c>
      <c r="C820" s="22" t="s">
        <v>723</v>
      </c>
      <c r="D820" s="22" t="s">
        <v>32</v>
      </c>
      <c r="E820" s="22" t="s">
        <v>24</v>
      </c>
      <c r="F820" s="22" t="s">
        <v>25</v>
      </c>
      <c r="G820" s="22" t="s">
        <v>26</v>
      </c>
      <c r="H820" s="22">
        <v>1</v>
      </c>
      <c r="I820" s="22">
        <v>1</v>
      </c>
      <c r="J820" s="22">
        <v>1</v>
      </c>
      <c r="K820" s="22">
        <v>1</v>
      </c>
      <c r="L820" s="22">
        <v>460.83</v>
      </c>
      <c r="M820" s="22">
        <v>2</v>
      </c>
      <c r="N820" s="22">
        <v>0</v>
      </c>
      <c r="O820" s="22">
        <v>0</v>
      </c>
      <c r="P820" s="22">
        <v>69.7</v>
      </c>
      <c r="Q820" s="22" t="str">
        <f>IF(OR(L820&lt;$Y$18,L820&gt;$Y$19),"Outlier","Normal")</f>
        <v>Normal</v>
      </c>
      <c r="R820" s="26" t="str">
        <f>A820&amp;B820&amp;C820&amp;D820&amp;E820&amp;F820&amp;G820&amp;H820&amp;I820&amp;J820&amp;K820&amp;L820&amp;M820&amp;N820&amp;O820&amp;P820</f>
        <v>USR-10081945692TreatmentSouthMobileOrganicFree1111460.8320069.7</v>
      </c>
      <c r="S820" s="22" t="str">
        <f>IF(COUNTIF($R$2:$R$1409,R820)=1,"OK",IF(COUNTIF($R$2:$R$1409,R820)&gt;1,"Exact Duplicate","Review Required"))</f>
        <v>OK</v>
      </c>
      <c r="T820" s="22" t="s">
        <v>24</v>
      </c>
      <c r="U820" s="22" t="s">
        <v>25</v>
      </c>
      <c r="V820" s="22"/>
    </row>
    <row r="821" spans="1:22" ht="41.4">
      <c r="A821" s="22" t="s">
        <v>852</v>
      </c>
      <c r="B821" s="25">
        <v>45796</v>
      </c>
      <c r="C821" s="22" t="s">
        <v>723</v>
      </c>
      <c r="D821" s="22" t="s">
        <v>28</v>
      </c>
      <c r="E821" s="22" t="s">
        <v>24</v>
      </c>
      <c r="F821" s="22" t="s">
        <v>25</v>
      </c>
      <c r="G821" s="22" t="s">
        <v>26</v>
      </c>
      <c r="H821" s="22">
        <v>1</v>
      </c>
      <c r="I821" s="22">
        <v>0</v>
      </c>
      <c r="J821" s="22">
        <v>0</v>
      </c>
      <c r="K821" s="22">
        <v>0</v>
      </c>
      <c r="L821" s="22">
        <v>0</v>
      </c>
      <c r="M821" s="22">
        <v>0</v>
      </c>
      <c r="N821" s="22">
        <v>0</v>
      </c>
      <c r="O821" s="22"/>
      <c r="P821" s="22">
        <v>74.8</v>
      </c>
      <c r="Q821" s="22" t="str">
        <f>IF(OR(L821&lt;$Y$18,L821&gt;$Y$19),"Outlier","Normal")</f>
        <v>Normal</v>
      </c>
      <c r="R821" s="26" t="str">
        <f>A821&amp;B821&amp;C821&amp;D821&amp;E821&amp;F821&amp;G821&amp;H821&amp;I821&amp;J821&amp;K821&amp;L821&amp;M821&amp;N821&amp;O821&amp;P821</f>
        <v>USR-10082045796TreatmentEastMobileOrganicFree100000074.8</v>
      </c>
      <c r="S821" s="22" t="str">
        <f>IF(COUNTIF($R$2:$R$1409,R821)=1,"OK",IF(COUNTIF($R$2:$R$1409,R821)&gt;1,"Exact Duplicate","Review Required"))</f>
        <v>OK</v>
      </c>
      <c r="T821" s="22" t="s">
        <v>24</v>
      </c>
      <c r="U821" s="22" t="s">
        <v>25</v>
      </c>
      <c r="V821" s="22"/>
    </row>
    <row r="822" spans="1:22" ht="41.4">
      <c r="A822" s="22" t="s">
        <v>853</v>
      </c>
      <c r="B822" s="25">
        <v>45724</v>
      </c>
      <c r="C822" s="22" t="s">
        <v>723</v>
      </c>
      <c r="D822" s="22" t="s">
        <v>28</v>
      </c>
      <c r="E822" s="22" t="s">
        <v>19</v>
      </c>
      <c r="F822" s="22" t="s">
        <v>29</v>
      </c>
      <c r="G822" s="22" t="s">
        <v>21</v>
      </c>
      <c r="H822" s="22">
        <v>0</v>
      </c>
      <c r="I822" s="22">
        <v>0</v>
      </c>
      <c r="J822" s="22">
        <v>0</v>
      </c>
      <c r="K822" s="22">
        <v>0</v>
      </c>
      <c r="L822" s="22">
        <v>0</v>
      </c>
      <c r="M822" s="22">
        <v>0</v>
      </c>
      <c r="N822" s="22">
        <v>0</v>
      </c>
      <c r="O822" s="22"/>
      <c r="P822" s="22">
        <v>87.9</v>
      </c>
      <c r="Q822" s="22" t="str">
        <f>IF(OR(L822&lt;$Y$18,L822&gt;$Y$19),"Outlier","Normal")</f>
        <v>Normal</v>
      </c>
      <c r="R822" s="26" t="str">
        <f>A822&amp;B822&amp;C822&amp;D822&amp;E822&amp;F822&amp;G822&amp;H822&amp;I822&amp;J822&amp;K822&amp;L822&amp;M822&amp;N822&amp;O822&amp;P822</f>
        <v>USR-10082145724TreatmentEastDesktopPaid SearchBasic000000087.9</v>
      </c>
      <c r="S822" s="22" t="str">
        <f>IF(COUNTIF($R$2:$R$1409,R822)=1,"OK",IF(COUNTIF($R$2:$R$1409,R822)&gt;1,"Exact Duplicate","Review Required"))</f>
        <v>OK</v>
      </c>
      <c r="T822" s="22" t="s">
        <v>19</v>
      </c>
      <c r="U822" s="22" t="s">
        <v>29</v>
      </c>
      <c r="V822" s="22"/>
    </row>
    <row r="823" spans="1:22" ht="41.4">
      <c r="A823" s="22" t="s">
        <v>854</v>
      </c>
      <c r="B823" s="25">
        <v>45787</v>
      </c>
      <c r="C823" s="22" t="s">
        <v>723</v>
      </c>
      <c r="D823" s="22" t="s">
        <v>18</v>
      </c>
      <c r="E823" s="22" t="s">
        <v>24</v>
      </c>
      <c r="F823" s="22" t="s">
        <v>41</v>
      </c>
      <c r="G823" s="22" t="s">
        <v>21</v>
      </c>
      <c r="H823" s="22">
        <v>1</v>
      </c>
      <c r="I823" s="22">
        <v>0</v>
      </c>
      <c r="J823" s="22">
        <v>0</v>
      </c>
      <c r="K823" s="22">
        <v>0</v>
      </c>
      <c r="L823" s="22">
        <v>0</v>
      </c>
      <c r="M823" s="22">
        <v>1</v>
      </c>
      <c r="N823" s="22">
        <v>0</v>
      </c>
      <c r="O823" s="22"/>
      <c r="P823" s="22">
        <v>49.1</v>
      </c>
      <c r="Q823" s="22" t="str">
        <f>IF(OR(L823&lt;$Y$18,L823&gt;$Y$19),"Outlier","Normal")</f>
        <v>Normal</v>
      </c>
      <c r="R823" s="26" t="str">
        <f>A823&amp;B823&amp;C823&amp;D823&amp;E823&amp;F823&amp;G823&amp;H823&amp;I823&amp;J823&amp;K823&amp;L823&amp;M823&amp;N823&amp;O823&amp;P823</f>
        <v>USR-10082245787TreatmentNorthMobileSocialBasic100001049.1</v>
      </c>
      <c r="S823" s="22" t="str">
        <f>IF(COUNTIF($R$2:$R$1409,R823)=1,"OK",IF(COUNTIF($R$2:$R$1409,R823)&gt;1,"Exact Duplicate","Review Required"))</f>
        <v>OK</v>
      </c>
      <c r="T823" s="22" t="s">
        <v>24</v>
      </c>
      <c r="U823" s="22" t="s">
        <v>41</v>
      </c>
      <c r="V823" s="22"/>
    </row>
    <row r="824" spans="1:22" ht="41.4">
      <c r="A824" s="22" t="s">
        <v>855</v>
      </c>
      <c r="B824" s="25">
        <v>45659</v>
      </c>
      <c r="C824" s="22" t="s">
        <v>723</v>
      </c>
      <c r="D824" s="22" t="s">
        <v>28</v>
      </c>
      <c r="E824" s="22" t="s">
        <v>19</v>
      </c>
      <c r="F824" s="22" t="s">
        <v>41</v>
      </c>
      <c r="G824" s="22" t="s">
        <v>21</v>
      </c>
      <c r="H824" s="22">
        <v>1</v>
      </c>
      <c r="I824" s="22">
        <v>0</v>
      </c>
      <c r="J824" s="22">
        <v>0</v>
      </c>
      <c r="K824" s="22">
        <v>0</v>
      </c>
      <c r="L824" s="22">
        <v>0</v>
      </c>
      <c r="M824" s="22">
        <v>2</v>
      </c>
      <c r="N824" s="22">
        <v>0</v>
      </c>
      <c r="O824" s="22"/>
      <c r="P824" s="22">
        <v>73</v>
      </c>
      <c r="Q824" s="22" t="str">
        <f>IF(OR(L824&lt;$Y$18,L824&gt;$Y$19),"Outlier","Normal")</f>
        <v>Normal</v>
      </c>
      <c r="R824" s="26" t="str">
        <f>A824&amp;B824&amp;C824&amp;D824&amp;E824&amp;F824&amp;G824&amp;H824&amp;I824&amp;J824&amp;K824&amp;L824&amp;M824&amp;N824&amp;O824&amp;P824</f>
        <v>USR-10082345659TreatmentEastDesktopSocialBasic100002073</v>
      </c>
      <c r="S824" s="22" t="str">
        <f>IF(COUNTIF($R$2:$R$1409,R824)=1,"OK",IF(COUNTIF($R$2:$R$1409,R824)&gt;1,"Exact Duplicate","Review Required"))</f>
        <v>OK</v>
      </c>
      <c r="T824" s="22" t="s">
        <v>19</v>
      </c>
      <c r="U824" s="22" t="s">
        <v>41</v>
      </c>
      <c r="V824" s="22"/>
    </row>
    <row r="825" spans="1:22" ht="41.4">
      <c r="A825" s="22" t="s">
        <v>856</v>
      </c>
      <c r="B825" s="25">
        <v>45674</v>
      </c>
      <c r="C825" s="22" t="s">
        <v>723</v>
      </c>
      <c r="D825" s="22" t="s">
        <v>23</v>
      </c>
      <c r="E825" s="22" t="s">
        <v>24</v>
      </c>
      <c r="F825" s="22" t="s">
        <v>25</v>
      </c>
      <c r="G825" s="22" t="s">
        <v>21</v>
      </c>
      <c r="H825" s="22">
        <v>0</v>
      </c>
      <c r="I825" s="22">
        <v>0</v>
      </c>
      <c r="J825" s="22">
        <v>0</v>
      </c>
      <c r="K825" s="22">
        <v>0</v>
      </c>
      <c r="L825" s="22">
        <v>0</v>
      </c>
      <c r="M825" s="22">
        <v>0</v>
      </c>
      <c r="N825" s="22">
        <v>0</v>
      </c>
      <c r="O825" s="22"/>
      <c r="P825" s="22">
        <v>79.5</v>
      </c>
      <c r="Q825" s="22" t="str">
        <f>IF(OR(L825&lt;$Y$18,L825&gt;$Y$19),"Outlier","Normal")</f>
        <v>Normal</v>
      </c>
      <c r="R825" s="26" t="str">
        <f>A825&amp;B825&amp;C825&amp;D825&amp;E825&amp;F825&amp;G825&amp;H825&amp;I825&amp;J825&amp;K825&amp;L825&amp;M825&amp;N825&amp;O825&amp;P825</f>
        <v>USR-10082445674TreatmentWestMobileOrganicBasic000000079.5</v>
      </c>
      <c r="S825" s="22" t="str">
        <f>IF(COUNTIF($R$2:$R$1409,R825)=1,"OK",IF(COUNTIF($R$2:$R$1409,R825)&gt;1,"Exact Duplicate","Review Required"))</f>
        <v>OK</v>
      </c>
      <c r="T825" s="22" t="s">
        <v>24</v>
      </c>
      <c r="U825" s="22" t="s">
        <v>25</v>
      </c>
      <c r="V825" s="22"/>
    </row>
    <row r="826" spans="1:22" ht="41.4">
      <c r="A826" s="22" t="s">
        <v>857</v>
      </c>
      <c r="B826" s="25">
        <v>45798</v>
      </c>
      <c r="C826" s="22" t="s">
        <v>723</v>
      </c>
      <c r="D826" s="22" t="s">
        <v>23</v>
      </c>
      <c r="E826" s="22" t="s">
        <v>24</v>
      </c>
      <c r="F826" s="22" t="s">
        <v>39</v>
      </c>
      <c r="G826" s="22" t="s">
        <v>21</v>
      </c>
      <c r="H826" s="22">
        <v>1</v>
      </c>
      <c r="I826" s="22">
        <v>1</v>
      </c>
      <c r="J826" s="22">
        <v>1</v>
      </c>
      <c r="K826" s="22">
        <v>1</v>
      </c>
      <c r="L826" s="22">
        <v>782.23</v>
      </c>
      <c r="M826" s="22">
        <v>1</v>
      </c>
      <c r="N826" s="22">
        <v>0</v>
      </c>
      <c r="O826" s="22">
        <v>6</v>
      </c>
      <c r="P826" s="22">
        <v>93.2</v>
      </c>
      <c r="Q826" s="22" t="str">
        <f>IF(OR(L826&lt;$Y$18,L826&gt;$Y$19),"Outlier","Normal")</f>
        <v>Normal</v>
      </c>
      <c r="R826" s="26" t="str">
        <f>A826&amp;B826&amp;C826&amp;D826&amp;E826&amp;F826&amp;G826&amp;H826&amp;I826&amp;J826&amp;K826&amp;L826&amp;M826&amp;N826&amp;O826&amp;P826</f>
        <v>USR-10082545798TreatmentWestMobileReferralBasic1111782.2310693.2</v>
      </c>
      <c r="S826" s="22" t="str">
        <f>IF(COUNTIF($R$2:$R$1409,R826)=1,"OK",IF(COUNTIF($R$2:$R$1409,R826)&gt;1,"Exact Duplicate","Review Required"))</f>
        <v>OK</v>
      </c>
      <c r="T826" s="22" t="s">
        <v>24</v>
      </c>
      <c r="U826" s="22" t="s">
        <v>39</v>
      </c>
      <c r="V826" s="22"/>
    </row>
    <row r="827" spans="1:22" ht="41.4">
      <c r="A827" s="22" t="s">
        <v>858</v>
      </c>
      <c r="B827" s="25">
        <v>45802</v>
      </c>
      <c r="C827" s="22" t="s">
        <v>723</v>
      </c>
      <c r="D827" s="22" t="s">
        <v>28</v>
      </c>
      <c r="E827" s="22" t="s">
        <v>19</v>
      </c>
      <c r="F827" s="22" t="s">
        <v>39</v>
      </c>
      <c r="G827" s="22" t="s">
        <v>26</v>
      </c>
      <c r="H827" s="22">
        <v>1</v>
      </c>
      <c r="I827" s="22">
        <v>0</v>
      </c>
      <c r="J827" s="22">
        <v>0</v>
      </c>
      <c r="K827" s="22">
        <v>0</v>
      </c>
      <c r="L827" s="22">
        <v>0</v>
      </c>
      <c r="M827" s="22">
        <v>3</v>
      </c>
      <c r="N827" s="22">
        <v>0</v>
      </c>
      <c r="O827" s="22"/>
      <c r="P827" s="22">
        <v>77.5</v>
      </c>
      <c r="Q827" s="22" t="str">
        <f>IF(OR(L827&lt;$Y$18,L827&gt;$Y$19),"Outlier","Normal")</f>
        <v>Normal</v>
      </c>
      <c r="R827" s="26" t="str">
        <f>A827&amp;B827&amp;C827&amp;D827&amp;E827&amp;F827&amp;G827&amp;H827&amp;I827&amp;J827&amp;K827&amp;L827&amp;M827&amp;N827&amp;O827&amp;P827</f>
        <v>USR-10082645802TreatmentEastDesktopReferralFree100003077.5</v>
      </c>
      <c r="S827" s="22" t="str">
        <f>IF(COUNTIF($R$2:$R$1409,R827)=1,"OK",IF(COUNTIF($R$2:$R$1409,R827)&gt;1,"Exact Duplicate","Review Required"))</f>
        <v>OK</v>
      </c>
      <c r="T827" s="22" t="s">
        <v>19</v>
      </c>
      <c r="U827" s="22" t="s">
        <v>39</v>
      </c>
      <c r="V827" s="22"/>
    </row>
    <row r="828" spans="1:22" ht="41.4">
      <c r="A828" s="22" t="s">
        <v>859</v>
      </c>
      <c r="B828" s="25">
        <v>45662</v>
      </c>
      <c r="C828" s="22" t="s">
        <v>723</v>
      </c>
      <c r="D828" s="22" t="s">
        <v>23</v>
      </c>
      <c r="E828" s="22" t="s">
        <v>24</v>
      </c>
      <c r="F828" s="22" t="s">
        <v>20</v>
      </c>
      <c r="G828" s="22" t="s">
        <v>21</v>
      </c>
      <c r="H828" s="22">
        <v>1</v>
      </c>
      <c r="I828" s="22">
        <v>0</v>
      </c>
      <c r="J828" s="22">
        <v>0</v>
      </c>
      <c r="K828" s="22">
        <v>0</v>
      </c>
      <c r="L828" s="22">
        <v>0</v>
      </c>
      <c r="M828" s="22">
        <v>0</v>
      </c>
      <c r="N828" s="22">
        <v>0</v>
      </c>
      <c r="O828" s="22"/>
      <c r="P828" s="22">
        <v>61</v>
      </c>
      <c r="Q828" s="22" t="str">
        <f>IF(OR(L828&lt;$Y$18,L828&gt;$Y$19),"Outlier","Normal")</f>
        <v>Normal</v>
      </c>
      <c r="R828" s="26" t="str">
        <f>A828&amp;B828&amp;C828&amp;D828&amp;E828&amp;F828&amp;G828&amp;H828&amp;I828&amp;J828&amp;K828&amp;L828&amp;M828&amp;N828&amp;O828&amp;P828</f>
        <v>USR-10082745662TreatmentWestMobileEmailBasic100000061</v>
      </c>
      <c r="S828" s="22" t="str">
        <f>IF(COUNTIF($R$2:$R$1409,R828)=1,"OK",IF(COUNTIF($R$2:$R$1409,R828)&gt;1,"Exact Duplicate","Review Required"))</f>
        <v>OK</v>
      </c>
      <c r="T828" s="22" t="s">
        <v>24</v>
      </c>
      <c r="U828" s="22" t="s">
        <v>20</v>
      </c>
      <c r="V828" s="22"/>
    </row>
    <row r="829" spans="1:22" ht="41.4">
      <c r="A829" s="22" t="s">
        <v>860</v>
      </c>
      <c r="B829" s="25">
        <v>45712</v>
      </c>
      <c r="C829" s="22" t="s">
        <v>723</v>
      </c>
      <c r="D829" s="22" t="s">
        <v>32</v>
      </c>
      <c r="E829" s="22" t="s">
        <v>19</v>
      </c>
      <c r="F829" s="22" t="s">
        <v>25</v>
      </c>
      <c r="G829" s="22" t="s">
        <v>26</v>
      </c>
      <c r="H829" s="22">
        <v>1</v>
      </c>
      <c r="I829" s="22">
        <v>1</v>
      </c>
      <c r="J829" s="22">
        <v>0</v>
      </c>
      <c r="K829" s="22">
        <v>0</v>
      </c>
      <c r="L829" s="22">
        <v>0</v>
      </c>
      <c r="M829" s="22">
        <v>0</v>
      </c>
      <c r="N829" s="22">
        <v>0</v>
      </c>
      <c r="O829" s="22"/>
      <c r="P829" s="22">
        <v>64.900000000000006</v>
      </c>
      <c r="Q829" s="22" t="str">
        <f>IF(OR(L829&lt;$Y$18,L829&gt;$Y$19),"Outlier","Normal")</f>
        <v>Normal</v>
      </c>
      <c r="R829" s="26" t="str">
        <f>A829&amp;B829&amp;C829&amp;D829&amp;E829&amp;F829&amp;G829&amp;H829&amp;I829&amp;J829&amp;K829&amp;L829&amp;M829&amp;N829&amp;O829&amp;P829</f>
        <v>USR-10082845712TreatmentSouthDesktopOrganicFree110000064.9</v>
      </c>
      <c r="S829" s="22" t="str">
        <f>IF(COUNTIF($R$2:$R$1409,R829)=1,"OK",IF(COUNTIF($R$2:$R$1409,R829)&gt;1,"Exact Duplicate","Review Required"))</f>
        <v>OK</v>
      </c>
      <c r="T829" s="22" t="s">
        <v>19</v>
      </c>
      <c r="U829" s="22" t="s">
        <v>25</v>
      </c>
      <c r="V829" s="22"/>
    </row>
    <row r="830" spans="1:22" ht="41.4">
      <c r="A830" s="22" t="s">
        <v>861</v>
      </c>
      <c r="B830" s="25">
        <v>45678</v>
      </c>
      <c r="C830" s="22" t="s">
        <v>723</v>
      </c>
      <c r="D830" s="22" t="s">
        <v>28</v>
      </c>
      <c r="E830" s="22" t="s">
        <v>24</v>
      </c>
      <c r="F830" s="22" t="s">
        <v>29</v>
      </c>
      <c r="G830" s="22" t="s">
        <v>21</v>
      </c>
      <c r="H830" s="22">
        <v>1</v>
      </c>
      <c r="I830" s="22">
        <v>0</v>
      </c>
      <c r="J830" s="22">
        <v>0</v>
      </c>
      <c r="K830" s="22">
        <v>0</v>
      </c>
      <c r="L830" s="22">
        <v>0</v>
      </c>
      <c r="M830" s="22">
        <v>0</v>
      </c>
      <c r="N830" s="22">
        <v>0</v>
      </c>
      <c r="O830" s="22"/>
      <c r="P830" s="22">
        <v>87.5</v>
      </c>
      <c r="Q830" s="22" t="str">
        <f>IF(OR(L830&lt;$Y$18,L830&gt;$Y$19),"Outlier","Normal")</f>
        <v>Normal</v>
      </c>
      <c r="R830" s="26" t="str">
        <f>A830&amp;B830&amp;C830&amp;D830&amp;E830&amp;F830&amp;G830&amp;H830&amp;I830&amp;J830&amp;K830&amp;L830&amp;M830&amp;N830&amp;O830&amp;P830</f>
        <v>USR-10082945678TreatmentEastMobilePaid SearchBasic100000087.5</v>
      </c>
      <c r="S830" s="22" t="str">
        <f>IF(COUNTIF($R$2:$R$1409,R830)=1,"OK",IF(COUNTIF($R$2:$R$1409,R830)&gt;1,"Exact Duplicate","Review Required"))</f>
        <v>OK</v>
      </c>
      <c r="T830" s="22" t="s">
        <v>24</v>
      </c>
      <c r="U830" s="22" t="s">
        <v>29</v>
      </c>
      <c r="V830" s="22"/>
    </row>
    <row r="831" spans="1:22" ht="41.4">
      <c r="A831" s="22" t="s">
        <v>862</v>
      </c>
      <c r="B831" s="25">
        <v>45771</v>
      </c>
      <c r="C831" s="22" t="s">
        <v>723</v>
      </c>
      <c r="D831" s="22" t="s">
        <v>18</v>
      </c>
      <c r="E831" s="22" t="s">
        <v>24</v>
      </c>
      <c r="F831" s="22" t="s">
        <v>25</v>
      </c>
      <c r="G831" s="22" t="s">
        <v>21</v>
      </c>
      <c r="H831" s="22">
        <v>1</v>
      </c>
      <c r="I831" s="22">
        <v>1</v>
      </c>
      <c r="J831" s="22">
        <v>1</v>
      </c>
      <c r="K831" s="22">
        <v>1</v>
      </c>
      <c r="L831" s="22">
        <v>1171.99</v>
      </c>
      <c r="M831" s="22">
        <v>0</v>
      </c>
      <c r="N831" s="22">
        <v>0</v>
      </c>
      <c r="O831" s="22">
        <v>5</v>
      </c>
      <c r="P831" s="22">
        <v>80.599999999999994</v>
      </c>
      <c r="Q831" s="22" t="str">
        <f>IF(OR(L831&lt;$Y$18,L831&gt;$Y$19),"Outlier","Normal")</f>
        <v>Normal</v>
      </c>
      <c r="R831" s="26" t="str">
        <f>A831&amp;B831&amp;C831&amp;D831&amp;E831&amp;F831&amp;G831&amp;H831&amp;I831&amp;J831&amp;K831&amp;L831&amp;M831&amp;N831&amp;O831&amp;P831</f>
        <v>USR-10083045771TreatmentNorthMobileOrganicBasic11111171.9900580.6</v>
      </c>
      <c r="S831" s="22" t="str">
        <f>IF(COUNTIF($R$2:$R$1409,R831)=1,"OK",IF(COUNTIF($R$2:$R$1409,R831)&gt;1,"Exact Duplicate","Review Required"))</f>
        <v>OK</v>
      </c>
      <c r="T831" s="22" t="s">
        <v>24</v>
      </c>
      <c r="U831" s="22" t="s">
        <v>25</v>
      </c>
      <c r="V831" s="22"/>
    </row>
    <row r="832" spans="1:22" ht="41.4">
      <c r="A832" s="22" t="s">
        <v>863</v>
      </c>
      <c r="B832" s="25">
        <v>45664</v>
      </c>
      <c r="C832" s="22" t="s">
        <v>723</v>
      </c>
      <c r="D832" s="22" t="s">
        <v>23</v>
      </c>
      <c r="E832" s="22" t="s">
        <v>19</v>
      </c>
      <c r="F832" s="22" t="s">
        <v>25</v>
      </c>
      <c r="G832" s="22" t="s">
        <v>26</v>
      </c>
      <c r="H832" s="22">
        <v>1</v>
      </c>
      <c r="I832" s="22">
        <v>0</v>
      </c>
      <c r="J832" s="22">
        <v>0</v>
      </c>
      <c r="K832" s="22">
        <v>0</v>
      </c>
      <c r="L832" s="22">
        <v>0</v>
      </c>
      <c r="M832" s="22">
        <v>0</v>
      </c>
      <c r="N832" s="22">
        <v>0</v>
      </c>
      <c r="O832" s="22"/>
      <c r="P832" s="22">
        <v>66.900000000000006</v>
      </c>
      <c r="Q832" s="22" t="str">
        <f>IF(OR(L832&lt;$Y$18,L832&gt;$Y$19),"Outlier","Normal")</f>
        <v>Normal</v>
      </c>
      <c r="R832" s="26" t="str">
        <f>A832&amp;B832&amp;C832&amp;D832&amp;E832&amp;F832&amp;G832&amp;H832&amp;I832&amp;J832&amp;K832&amp;L832&amp;M832&amp;N832&amp;O832&amp;P832</f>
        <v>USR-10083145664TreatmentWestDesktopOrganicFree100000066.9</v>
      </c>
      <c r="S832" s="22" t="str">
        <f>IF(COUNTIF($R$2:$R$1409,R832)=1,"OK",IF(COUNTIF($R$2:$R$1409,R832)&gt;1,"Exact Duplicate","Review Required"))</f>
        <v>OK</v>
      </c>
      <c r="T832" s="22" t="s">
        <v>19</v>
      </c>
      <c r="U832" s="22" t="s">
        <v>25</v>
      </c>
      <c r="V832" s="22"/>
    </row>
    <row r="833" spans="1:22" ht="41.4">
      <c r="A833" s="22" t="s">
        <v>864</v>
      </c>
      <c r="B833" s="25">
        <v>45808</v>
      </c>
      <c r="C833" s="22" t="s">
        <v>723</v>
      </c>
      <c r="D833" s="22" t="s">
        <v>32</v>
      </c>
      <c r="E833" s="22" t="s">
        <v>34</v>
      </c>
      <c r="F833" s="22" t="s">
        <v>25</v>
      </c>
      <c r="G833" s="22" t="s">
        <v>21</v>
      </c>
      <c r="H833" s="22">
        <v>1</v>
      </c>
      <c r="I833" s="22">
        <v>1</v>
      </c>
      <c r="J833" s="22">
        <v>1</v>
      </c>
      <c r="K833" s="22">
        <v>0</v>
      </c>
      <c r="L833" s="22">
        <v>0</v>
      </c>
      <c r="M833" s="22">
        <v>0</v>
      </c>
      <c r="N833" s="22">
        <v>0</v>
      </c>
      <c r="O833" s="22"/>
      <c r="P833" s="22">
        <v>58.8</v>
      </c>
      <c r="Q833" s="22" t="str">
        <f>IF(OR(L833&lt;$Y$18,L833&gt;$Y$19),"Outlier","Normal")</f>
        <v>Normal</v>
      </c>
      <c r="R833" s="26" t="str">
        <f>A833&amp;B833&amp;C833&amp;D833&amp;E833&amp;F833&amp;G833&amp;H833&amp;I833&amp;J833&amp;K833&amp;L833&amp;M833&amp;N833&amp;O833&amp;P833</f>
        <v>USR-10083245808TreatmentSouthTabletOrganicBasic111000058.8</v>
      </c>
      <c r="S833" s="22" t="str">
        <f>IF(COUNTIF($R$2:$R$1409,R833)=1,"OK",IF(COUNTIF($R$2:$R$1409,R833)&gt;1,"Exact Duplicate","Review Required"))</f>
        <v>OK</v>
      </c>
      <c r="T833" s="22" t="s">
        <v>34</v>
      </c>
      <c r="U833" s="22" t="s">
        <v>25</v>
      </c>
      <c r="V833" s="22"/>
    </row>
    <row r="834" spans="1:22" ht="41.4">
      <c r="A834" s="22" t="s">
        <v>865</v>
      </c>
      <c r="B834" s="25">
        <v>45749</v>
      </c>
      <c r="C834" s="22" t="s">
        <v>723</v>
      </c>
      <c r="D834" s="22" t="s">
        <v>18</v>
      </c>
      <c r="E834" s="22" t="s">
        <v>19</v>
      </c>
      <c r="F834" s="22" t="s">
        <v>25</v>
      </c>
      <c r="G834" s="22" t="s">
        <v>21</v>
      </c>
      <c r="H834" s="22">
        <v>1</v>
      </c>
      <c r="I834" s="22">
        <v>1</v>
      </c>
      <c r="J834" s="22">
        <v>1</v>
      </c>
      <c r="K834" s="22">
        <v>1</v>
      </c>
      <c r="L834" s="22">
        <v>1010.4</v>
      </c>
      <c r="M834" s="22">
        <v>0</v>
      </c>
      <c r="N834" s="22">
        <v>0</v>
      </c>
      <c r="O834" s="22">
        <v>4</v>
      </c>
      <c r="P834" s="22">
        <v>42.9</v>
      </c>
      <c r="Q834" s="22" t="str">
        <f>IF(OR(L834&lt;$Y$18,L834&gt;$Y$19),"Outlier","Normal")</f>
        <v>Normal</v>
      </c>
      <c r="R834" s="26" t="str">
        <f>A834&amp;B834&amp;C834&amp;D834&amp;E834&amp;F834&amp;G834&amp;H834&amp;I834&amp;J834&amp;K834&amp;L834&amp;M834&amp;N834&amp;O834&amp;P834</f>
        <v>USR-10083345749TreatmentNorthDesktopOrganicBasic11111010.400442.9</v>
      </c>
      <c r="S834" s="22" t="str">
        <f>IF(COUNTIF($R$2:$R$1409,R834)=1,"OK",IF(COUNTIF($R$2:$R$1409,R834)&gt;1,"Exact Duplicate","Review Required"))</f>
        <v>OK</v>
      </c>
      <c r="T834" s="22" t="s">
        <v>19</v>
      </c>
      <c r="U834" s="22" t="s">
        <v>25</v>
      </c>
      <c r="V834" s="22"/>
    </row>
    <row r="835" spans="1:22" ht="41.4">
      <c r="A835" s="22" t="s">
        <v>866</v>
      </c>
      <c r="B835" s="25">
        <v>45768</v>
      </c>
      <c r="C835" s="22" t="s">
        <v>723</v>
      </c>
      <c r="D835" s="22" t="s">
        <v>28</v>
      </c>
      <c r="E835" s="22" t="s">
        <v>24</v>
      </c>
      <c r="F835" s="22" t="s">
        <v>25</v>
      </c>
      <c r="G835" s="22" t="s">
        <v>26</v>
      </c>
      <c r="H835" s="22">
        <v>1</v>
      </c>
      <c r="I835" s="22">
        <v>1</v>
      </c>
      <c r="J835" s="22">
        <v>1</v>
      </c>
      <c r="K835" s="22">
        <v>0</v>
      </c>
      <c r="L835" s="22">
        <v>0</v>
      </c>
      <c r="M835" s="22">
        <v>1</v>
      </c>
      <c r="N835" s="22">
        <v>0</v>
      </c>
      <c r="O835" s="22"/>
      <c r="P835" s="22">
        <v>60.2</v>
      </c>
      <c r="Q835" s="22" t="str">
        <f>IF(OR(L835&lt;$Y$18,L835&gt;$Y$19),"Outlier","Normal")</f>
        <v>Normal</v>
      </c>
      <c r="R835" s="26" t="str">
        <f>A835&amp;B835&amp;C835&amp;D835&amp;E835&amp;F835&amp;G835&amp;H835&amp;I835&amp;J835&amp;K835&amp;L835&amp;M835&amp;N835&amp;O835&amp;P835</f>
        <v>USR-10083445768TreatmentEastMobileOrganicFree111001060.2</v>
      </c>
      <c r="S835" s="22" t="str">
        <f>IF(COUNTIF($R$2:$R$1409,R835)=1,"OK",IF(COUNTIF($R$2:$R$1409,R835)&gt;1,"Exact Duplicate","Review Required"))</f>
        <v>OK</v>
      </c>
      <c r="T835" s="22" t="s">
        <v>24</v>
      </c>
      <c r="U835" s="22" t="s">
        <v>25</v>
      </c>
      <c r="V835" s="22"/>
    </row>
    <row r="836" spans="1:22" ht="41.4">
      <c r="A836" s="22" t="s">
        <v>867</v>
      </c>
      <c r="B836" s="25">
        <v>45782</v>
      </c>
      <c r="C836" s="22" t="s">
        <v>723</v>
      </c>
      <c r="D836" s="22" t="s">
        <v>28</v>
      </c>
      <c r="E836" s="22" t="s">
        <v>24</v>
      </c>
      <c r="F836" s="22" t="s">
        <v>29</v>
      </c>
      <c r="G836" s="22" t="s">
        <v>21</v>
      </c>
      <c r="H836" s="22">
        <v>1</v>
      </c>
      <c r="I836" s="22">
        <v>0</v>
      </c>
      <c r="J836" s="22">
        <v>0</v>
      </c>
      <c r="K836" s="22">
        <v>0</v>
      </c>
      <c r="L836" s="22">
        <v>0</v>
      </c>
      <c r="M836" s="22">
        <v>0</v>
      </c>
      <c r="N836" s="22">
        <v>0</v>
      </c>
      <c r="O836" s="22"/>
      <c r="P836" s="22">
        <v>42.7</v>
      </c>
      <c r="Q836" s="22" t="str">
        <f>IF(OR(L836&lt;$Y$18,L836&gt;$Y$19),"Outlier","Normal")</f>
        <v>Normal</v>
      </c>
      <c r="R836" s="26" t="str">
        <f>A836&amp;B836&amp;C836&amp;D836&amp;E836&amp;F836&amp;G836&amp;H836&amp;I836&amp;J836&amp;K836&amp;L836&amp;M836&amp;N836&amp;O836&amp;P836</f>
        <v>USR-10083545782TreatmentEastMobilePaid SearchBasic100000042.7</v>
      </c>
      <c r="S836" s="22" t="str">
        <f>IF(COUNTIF($R$2:$R$1409,R836)=1,"OK",IF(COUNTIF($R$2:$R$1409,R836)&gt;1,"Exact Duplicate","Review Required"))</f>
        <v>OK</v>
      </c>
      <c r="T836" s="22" t="s">
        <v>24</v>
      </c>
      <c r="U836" s="22" t="s">
        <v>29</v>
      </c>
      <c r="V836" s="22"/>
    </row>
    <row r="837" spans="1:22" ht="41.4">
      <c r="A837" s="22" t="s">
        <v>868</v>
      </c>
      <c r="B837" s="25">
        <v>45663</v>
      </c>
      <c r="C837" s="22" t="s">
        <v>723</v>
      </c>
      <c r="D837" s="22" t="s">
        <v>18</v>
      </c>
      <c r="E837" s="22" t="s">
        <v>19</v>
      </c>
      <c r="F837" s="22" t="s">
        <v>41</v>
      </c>
      <c r="G837" s="22" t="s">
        <v>26</v>
      </c>
      <c r="H837" s="22">
        <v>1</v>
      </c>
      <c r="I837" s="22">
        <v>1</v>
      </c>
      <c r="J837" s="22">
        <v>1</v>
      </c>
      <c r="K837" s="22">
        <v>1</v>
      </c>
      <c r="L837" s="22">
        <v>431.27</v>
      </c>
      <c r="M837" s="22">
        <v>0</v>
      </c>
      <c r="N837" s="22">
        <v>0</v>
      </c>
      <c r="O837" s="22">
        <v>7</v>
      </c>
      <c r="P837" s="22">
        <v>60.8</v>
      </c>
      <c r="Q837" s="22" t="str">
        <f>IF(OR(L837&lt;$Y$18,L837&gt;$Y$19),"Outlier","Normal")</f>
        <v>Normal</v>
      </c>
      <c r="R837" s="26" t="str">
        <f>A837&amp;B837&amp;C837&amp;D837&amp;E837&amp;F837&amp;G837&amp;H837&amp;I837&amp;J837&amp;K837&amp;L837&amp;M837&amp;N837&amp;O837&amp;P837</f>
        <v>USR-10083645663TreatmentNorthDesktopSocialFree1111431.2700760.8</v>
      </c>
      <c r="S837" s="22" t="str">
        <f>IF(COUNTIF($R$2:$R$1409,R837)=1,"OK",IF(COUNTIF($R$2:$R$1409,R837)&gt;1,"Exact Duplicate","Review Required"))</f>
        <v>OK</v>
      </c>
      <c r="T837" s="22" t="s">
        <v>19</v>
      </c>
      <c r="U837" s="22" t="s">
        <v>41</v>
      </c>
      <c r="V837" s="22"/>
    </row>
    <row r="838" spans="1:22" ht="41.4">
      <c r="A838" s="22" t="s">
        <v>869</v>
      </c>
      <c r="B838" s="25">
        <v>45771</v>
      </c>
      <c r="C838" s="22" t="s">
        <v>723</v>
      </c>
      <c r="D838" s="22" t="s">
        <v>32</v>
      </c>
      <c r="E838" s="22" t="s">
        <v>24</v>
      </c>
      <c r="F838" s="22" t="s">
        <v>39</v>
      </c>
      <c r="G838" s="22" t="s">
        <v>26</v>
      </c>
      <c r="H838" s="22">
        <v>1</v>
      </c>
      <c r="I838" s="22">
        <v>1</v>
      </c>
      <c r="J838" s="22">
        <v>1</v>
      </c>
      <c r="K838" s="22">
        <v>1</v>
      </c>
      <c r="L838" s="22">
        <v>428.8</v>
      </c>
      <c r="M838" s="22">
        <v>0</v>
      </c>
      <c r="N838" s="22">
        <v>0</v>
      </c>
      <c r="O838" s="22">
        <v>9</v>
      </c>
      <c r="P838" s="22">
        <v>79.3</v>
      </c>
      <c r="Q838" s="22" t="str">
        <f>IF(OR(L838&lt;$Y$18,L838&gt;$Y$19),"Outlier","Normal")</f>
        <v>Normal</v>
      </c>
      <c r="R838" s="26" t="str">
        <f>A838&amp;B838&amp;C838&amp;D838&amp;E838&amp;F838&amp;G838&amp;H838&amp;I838&amp;J838&amp;K838&amp;L838&amp;M838&amp;N838&amp;O838&amp;P838</f>
        <v>USR-10083745771TreatmentSouthMobileReferralFree1111428.800979.3</v>
      </c>
      <c r="S838" s="22" t="str">
        <f>IF(COUNTIF($R$2:$R$1409,R838)=1,"OK",IF(COUNTIF($R$2:$R$1409,R838)&gt;1,"Exact Duplicate","Review Required"))</f>
        <v>OK</v>
      </c>
      <c r="T838" s="22" t="s">
        <v>24</v>
      </c>
      <c r="U838" s="22" t="s">
        <v>39</v>
      </c>
      <c r="V838" s="22"/>
    </row>
    <row r="839" spans="1:22" ht="41.4">
      <c r="A839" s="22" t="s">
        <v>870</v>
      </c>
      <c r="B839" s="25">
        <v>45768</v>
      </c>
      <c r="C839" s="22" t="s">
        <v>723</v>
      </c>
      <c r="D839" s="22" t="s">
        <v>32</v>
      </c>
      <c r="E839" s="22" t="s">
        <v>24</v>
      </c>
      <c r="F839" s="22" t="s">
        <v>25</v>
      </c>
      <c r="G839" s="22" t="s">
        <v>21</v>
      </c>
      <c r="H839" s="22">
        <v>1</v>
      </c>
      <c r="I839" s="22">
        <v>0</v>
      </c>
      <c r="J839" s="22">
        <v>0</v>
      </c>
      <c r="K839" s="22">
        <v>0</v>
      </c>
      <c r="L839" s="22">
        <v>0</v>
      </c>
      <c r="M839" s="22">
        <v>1</v>
      </c>
      <c r="N839" s="22">
        <v>0</v>
      </c>
      <c r="O839" s="22"/>
      <c r="P839" s="22">
        <v>88.6</v>
      </c>
      <c r="Q839" s="22" t="str">
        <f>IF(OR(L839&lt;$Y$18,L839&gt;$Y$19),"Outlier","Normal")</f>
        <v>Normal</v>
      </c>
      <c r="R839" s="26" t="str">
        <f>A839&amp;B839&amp;C839&amp;D839&amp;E839&amp;F839&amp;G839&amp;H839&amp;I839&amp;J839&amp;K839&amp;L839&amp;M839&amp;N839&amp;O839&amp;P839</f>
        <v>USR-10083845768TreatmentSouthMobileOrganicBasic100001088.6</v>
      </c>
      <c r="S839" s="22" t="str">
        <f>IF(COUNTIF($R$2:$R$1409,R839)=1,"OK",IF(COUNTIF($R$2:$R$1409,R839)&gt;1,"Exact Duplicate","Review Required"))</f>
        <v>OK</v>
      </c>
      <c r="T839" s="22" t="s">
        <v>24</v>
      </c>
      <c r="U839" s="22" t="s">
        <v>25</v>
      </c>
      <c r="V839" s="22"/>
    </row>
    <row r="840" spans="1:22" ht="41.4">
      <c r="A840" s="22" t="s">
        <v>871</v>
      </c>
      <c r="B840" s="25">
        <v>45697</v>
      </c>
      <c r="C840" s="22" t="s">
        <v>723</v>
      </c>
      <c r="D840" s="22" t="s">
        <v>23</v>
      </c>
      <c r="E840" s="22" t="s">
        <v>24</v>
      </c>
      <c r="F840" s="22" t="s">
        <v>25</v>
      </c>
      <c r="G840" s="22" t="s">
        <v>21</v>
      </c>
      <c r="H840" s="22">
        <v>1</v>
      </c>
      <c r="I840" s="22">
        <v>1</v>
      </c>
      <c r="J840" s="22">
        <v>1</v>
      </c>
      <c r="K840" s="22">
        <v>0</v>
      </c>
      <c r="L840" s="22">
        <v>0</v>
      </c>
      <c r="M840" s="22">
        <v>0</v>
      </c>
      <c r="N840" s="22">
        <v>0</v>
      </c>
      <c r="O840" s="22"/>
      <c r="P840" s="22">
        <v>63.1</v>
      </c>
      <c r="Q840" s="22" t="str">
        <f>IF(OR(L840&lt;$Y$18,L840&gt;$Y$19),"Outlier","Normal")</f>
        <v>Normal</v>
      </c>
      <c r="R840" s="26" t="str">
        <f>A840&amp;B840&amp;C840&amp;D840&amp;E840&amp;F840&amp;G840&amp;H840&amp;I840&amp;J840&amp;K840&amp;L840&amp;M840&amp;N840&amp;O840&amp;P840</f>
        <v>USR-10083945697TreatmentWestMobileOrganicBasic111000063.1</v>
      </c>
      <c r="S840" s="22" t="str">
        <f>IF(COUNTIF($R$2:$R$1409,R840)=1,"OK",IF(COUNTIF($R$2:$R$1409,R840)&gt;1,"Exact Duplicate","Review Required"))</f>
        <v>OK</v>
      </c>
      <c r="T840" s="22" t="s">
        <v>24</v>
      </c>
      <c r="U840" s="22" t="s">
        <v>25</v>
      </c>
      <c r="V840" s="22"/>
    </row>
    <row r="841" spans="1:22" ht="41.4">
      <c r="A841" s="22" t="s">
        <v>872</v>
      </c>
      <c r="B841" s="25">
        <v>45666</v>
      </c>
      <c r="C841" s="22" t="s">
        <v>723</v>
      </c>
      <c r="D841" s="22" t="s">
        <v>28</v>
      </c>
      <c r="E841" s="22" t="s">
        <v>24</v>
      </c>
      <c r="F841" s="22" t="s">
        <v>25</v>
      </c>
      <c r="G841" s="22" t="s">
        <v>30</v>
      </c>
      <c r="H841" s="22">
        <v>1</v>
      </c>
      <c r="I841" s="22">
        <v>0</v>
      </c>
      <c r="J841" s="22">
        <v>0</v>
      </c>
      <c r="K841" s="22">
        <v>0</v>
      </c>
      <c r="L841" s="22">
        <v>0</v>
      </c>
      <c r="M841" s="22">
        <v>0</v>
      </c>
      <c r="N841" s="22">
        <v>0</v>
      </c>
      <c r="O841" s="22"/>
      <c r="P841" s="22">
        <v>39.700000000000003</v>
      </c>
      <c r="Q841" s="22" t="str">
        <f>IF(OR(L841&lt;$Y$18,L841&gt;$Y$19),"Outlier","Normal")</f>
        <v>Normal</v>
      </c>
      <c r="R841" s="26" t="str">
        <f>A841&amp;B841&amp;C841&amp;D841&amp;E841&amp;F841&amp;G841&amp;H841&amp;I841&amp;J841&amp;K841&amp;L841&amp;M841&amp;N841&amp;O841&amp;P841</f>
        <v>USR-10084045666TreatmentEastMobileOrganicPremium100000039.7</v>
      </c>
      <c r="S841" s="22" t="str">
        <f>IF(COUNTIF($R$2:$R$1409,R841)=1,"OK",IF(COUNTIF($R$2:$R$1409,R841)&gt;1,"Exact Duplicate","Review Required"))</f>
        <v>OK</v>
      </c>
      <c r="T841" s="22" t="s">
        <v>24</v>
      </c>
      <c r="U841" s="22" t="s">
        <v>25</v>
      </c>
      <c r="V841" s="22"/>
    </row>
    <row r="842" spans="1:22" ht="41.4">
      <c r="A842" s="22" t="s">
        <v>873</v>
      </c>
      <c r="B842" s="25">
        <v>45704</v>
      </c>
      <c r="C842" s="22" t="s">
        <v>723</v>
      </c>
      <c r="D842" s="22" t="s">
        <v>18</v>
      </c>
      <c r="E842" s="22" t="s">
        <v>24</v>
      </c>
      <c r="F842" s="22" t="s">
        <v>29</v>
      </c>
      <c r="G842" s="22" t="s">
        <v>21</v>
      </c>
      <c r="H842" s="22">
        <v>0</v>
      </c>
      <c r="I842" s="22">
        <v>0</v>
      </c>
      <c r="J842" s="22">
        <v>0</v>
      </c>
      <c r="K842" s="22">
        <v>0</v>
      </c>
      <c r="L842" s="22">
        <v>0</v>
      </c>
      <c r="M842" s="22">
        <v>0</v>
      </c>
      <c r="N842" s="22">
        <v>0</v>
      </c>
      <c r="O842" s="22"/>
      <c r="P842" s="22">
        <v>67.2</v>
      </c>
      <c r="Q842" s="22" t="str">
        <f>IF(OR(L842&lt;$Y$18,L842&gt;$Y$19),"Outlier","Normal")</f>
        <v>Normal</v>
      </c>
      <c r="R842" s="26" t="str">
        <f>A842&amp;B842&amp;C842&amp;D842&amp;E842&amp;F842&amp;G842&amp;H842&amp;I842&amp;J842&amp;K842&amp;L842&amp;M842&amp;N842&amp;O842&amp;P842</f>
        <v>USR-10084145704TreatmentNorthMobilePaid SearchBasic000000067.2</v>
      </c>
      <c r="S842" s="22" t="str">
        <f>IF(COUNTIF($R$2:$R$1409,R842)=1,"OK",IF(COUNTIF($R$2:$R$1409,R842)&gt;1,"Exact Duplicate","Review Required"))</f>
        <v>OK</v>
      </c>
      <c r="T842" s="22" t="s">
        <v>24</v>
      </c>
      <c r="U842" s="22" t="s">
        <v>29</v>
      </c>
      <c r="V842" s="22"/>
    </row>
    <row r="843" spans="1:22" ht="41.4">
      <c r="A843" s="22" t="s">
        <v>874</v>
      </c>
      <c r="B843" s="25">
        <v>45709</v>
      </c>
      <c r="C843" s="22" t="s">
        <v>723</v>
      </c>
      <c r="D843" s="22" t="s">
        <v>32</v>
      </c>
      <c r="E843" s="22" t="s">
        <v>24</v>
      </c>
      <c r="F843" s="22" t="s">
        <v>25</v>
      </c>
      <c r="G843" s="22" t="s">
        <v>26</v>
      </c>
      <c r="H843" s="22">
        <v>1</v>
      </c>
      <c r="I843" s="22">
        <v>1</v>
      </c>
      <c r="J843" s="22">
        <v>1</v>
      </c>
      <c r="K843" s="22">
        <v>0</v>
      </c>
      <c r="L843" s="22">
        <v>0</v>
      </c>
      <c r="M843" s="22">
        <v>0</v>
      </c>
      <c r="N843" s="22">
        <v>0</v>
      </c>
      <c r="O843" s="22"/>
      <c r="P843" s="22">
        <v>62.3</v>
      </c>
      <c r="Q843" s="22" t="str">
        <f>IF(OR(L843&lt;$Y$18,L843&gt;$Y$19),"Outlier","Normal")</f>
        <v>Normal</v>
      </c>
      <c r="R843" s="26" t="str">
        <f>A843&amp;B843&amp;C843&amp;D843&amp;E843&amp;F843&amp;G843&amp;H843&amp;I843&amp;J843&amp;K843&amp;L843&amp;M843&amp;N843&amp;O843&amp;P843</f>
        <v>USR-10084245709TreatmentSouthMobileOrganicFree111000062.3</v>
      </c>
      <c r="S843" s="22" t="str">
        <f>IF(COUNTIF($R$2:$R$1409,R843)=1,"OK",IF(COUNTIF($R$2:$R$1409,R843)&gt;1,"Exact Duplicate","Review Required"))</f>
        <v>OK</v>
      </c>
      <c r="T843" s="22" t="s">
        <v>24</v>
      </c>
      <c r="U843" s="22" t="s">
        <v>25</v>
      </c>
      <c r="V843" s="22"/>
    </row>
    <row r="844" spans="1:22" ht="41.4">
      <c r="A844" s="22" t="s">
        <v>875</v>
      </c>
      <c r="B844" s="25">
        <v>45696</v>
      </c>
      <c r="C844" s="22" t="s">
        <v>723</v>
      </c>
      <c r="D844" s="22" t="s">
        <v>32</v>
      </c>
      <c r="E844" s="22" t="s">
        <v>24</v>
      </c>
      <c r="F844" s="22" t="s">
        <v>25</v>
      </c>
      <c r="G844" s="22" t="s">
        <v>30</v>
      </c>
      <c r="H844" s="22">
        <v>1</v>
      </c>
      <c r="I844" s="22">
        <v>0</v>
      </c>
      <c r="J844" s="22">
        <v>0</v>
      </c>
      <c r="K844" s="22">
        <v>0</v>
      </c>
      <c r="L844" s="22">
        <v>0</v>
      </c>
      <c r="M844" s="22">
        <v>0</v>
      </c>
      <c r="N844" s="22">
        <v>0</v>
      </c>
      <c r="O844" s="22"/>
      <c r="P844" s="22"/>
      <c r="Q844" s="22" t="str">
        <f>IF(OR(L844&lt;$Y$18,L844&gt;$Y$19),"Outlier","Normal")</f>
        <v>Normal</v>
      </c>
      <c r="R844" s="26" t="str">
        <f>A844&amp;B844&amp;C844&amp;D844&amp;E844&amp;F844&amp;G844&amp;H844&amp;I844&amp;J844&amp;K844&amp;L844&amp;M844&amp;N844&amp;O844&amp;P844</f>
        <v>USR-10084345696TreatmentSouthMobileOrganicPremium1000000</v>
      </c>
      <c r="S844" s="22" t="str">
        <f>IF(COUNTIF($R$2:$R$1409,R844)=1,"OK",IF(COUNTIF($R$2:$R$1409,R844)&gt;1,"Exact Duplicate","Review Required"))</f>
        <v>OK</v>
      </c>
      <c r="T844" s="22" t="s">
        <v>24</v>
      </c>
      <c r="U844" s="22" t="s">
        <v>25</v>
      </c>
      <c r="V844" s="22"/>
    </row>
    <row r="845" spans="1:22" ht="41.4">
      <c r="A845" s="22" t="s">
        <v>876</v>
      </c>
      <c r="B845" s="25">
        <v>45679</v>
      </c>
      <c r="C845" s="22" t="s">
        <v>723</v>
      </c>
      <c r="D845" s="22" t="s">
        <v>32</v>
      </c>
      <c r="E845" s="22" t="s">
        <v>24</v>
      </c>
      <c r="F845" s="22" t="s">
        <v>29</v>
      </c>
      <c r="G845" s="22" t="s">
        <v>30</v>
      </c>
      <c r="H845" s="22">
        <v>0</v>
      </c>
      <c r="I845" s="22">
        <v>0</v>
      </c>
      <c r="J845" s="22">
        <v>0</v>
      </c>
      <c r="K845" s="22">
        <v>0</v>
      </c>
      <c r="L845" s="22">
        <v>0</v>
      </c>
      <c r="M845" s="22">
        <v>0</v>
      </c>
      <c r="N845" s="22">
        <v>0</v>
      </c>
      <c r="O845" s="22"/>
      <c r="P845" s="22">
        <v>60.7</v>
      </c>
      <c r="Q845" s="22" t="str">
        <f>IF(OR(L845&lt;$Y$18,L845&gt;$Y$19),"Outlier","Normal")</f>
        <v>Normal</v>
      </c>
      <c r="R845" s="26" t="str">
        <f>A845&amp;B845&amp;C845&amp;D845&amp;E845&amp;F845&amp;G845&amp;H845&amp;I845&amp;J845&amp;K845&amp;L845&amp;M845&amp;N845&amp;O845&amp;P845</f>
        <v>USR-10084445679TreatmentSouthMobilePaid SearchPremium000000060.7</v>
      </c>
      <c r="S845" s="22" t="str">
        <f>IF(COUNTIF($R$2:$R$1409,R845)=1,"OK",IF(COUNTIF($R$2:$R$1409,R845)&gt;1,"Exact Duplicate","Review Required"))</f>
        <v>OK</v>
      </c>
      <c r="T845" s="22" t="s">
        <v>24</v>
      </c>
      <c r="U845" s="22" t="s">
        <v>29</v>
      </c>
      <c r="V845" s="22"/>
    </row>
    <row r="846" spans="1:22" ht="41.4">
      <c r="A846" s="22" t="s">
        <v>877</v>
      </c>
      <c r="B846" s="25">
        <v>45748</v>
      </c>
      <c r="C846" s="22" t="s">
        <v>723</v>
      </c>
      <c r="D846" s="22" t="s">
        <v>23</v>
      </c>
      <c r="E846" s="22" t="s">
        <v>24</v>
      </c>
      <c r="F846" s="22" t="s">
        <v>25</v>
      </c>
      <c r="G846" s="22" t="s">
        <v>21</v>
      </c>
      <c r="H846" s="22">
        <v>1</v>
      </c>
      <c r="I846" s="22">
        <v>0</v>
      </c>
      <c r="J846" s="22">
        <v>0</v>
      </c>
      <c r="K846" s="22">
        <v>0</v>
      </c>
      <c r="L846" s="22">
        <v>0</v>
      </c>
      <c r="M846" s="22">
        <v>0</v>
      </c>
      <c r="N846" s="22">
        <v>0</v>
      </c>
      <c r="O846" s="22"/>
      <c r="P846" s="22">
        <v>61.5</v>
      </c>
      <c r="Q846" s="22" t="str">
        <f>IF(OR(L846&lt;$Y$18,L846&gt;$Y$19),"Outlier","Normal")</f>
        <v>Normal</v>
      </c>
      <c r="R846" s="26" t="str">
        <f>A846&amp;B846&amp;C846&amp;D846&amp;E846&amp;F846&amp;G846&amp;H846&amp;I846&amp;J846&amp;K846&amp;L846&amp;M846&amp;N846&amp;O846&amp;P846</f>
        <v>USR-10084545748TreatmentWestMobileOrganicBasic100000061.5</v>
      </c>
      <c r="S846" s="22" t="str">
        <f>IF(COUNTIF($R$2:$R$1409,R846)=1,"OK",IF(COUNTIF($R$2:$R$1409,R846)&gt;1,"Exact Duplicate","Review Required"))</f>
        <v>OK</v>
      </c>
      <c r="T846" s="22" t="s">
        <v>24</v>
      </c>
      <c r="U846" s="22" t="s">
        <v>25</v>
      </c>
      <c r="V846" s="22"/>
    </row>
    <row r="847" spans="1:22" ht="41.4">
      <c r="A847" s="22" t="s">
        <v>878</v>
      </c>
      <c r="B847" s="25">
        <v>45678</v>
      </c>
      <c r="C847" s="22" t="s">
        <v>723</v>
      </c>
      <c r="D847" s="22" t="s">
        <v>18</v>
      </c>
      <c r="E847" s="22" t="s">
        <v>24</v>
      </c>
      <c r="F847" s="22" t="s">
        <v>29</v>
      </c>
      <c r="G847" s="22" t="s">
        <v>21</v>
      </c>
      <c r="H847" s="22">
        <v>1</v>
      </c>
      <c r="I847" s="22">
        <v>0</v>
      </c>
      <c r="J847" s="22">
        <v>0</v>
      </c>
      <c r="K847" s="22">
        <v>0</v>
      </c>
      <c r="L847" s="22">
        <v>0</v>
      </c>
      <c r="M847" s="22">
        <v>0</v>
      </c>
      <c r="N847" s="22">
        <v>0</v>
      </c>
      <c r="O847" s="22"/>
      <c r="P847" s="22">
        <v>75</v>
      </c>
      <c r="Q847" s="22" t="str">
        <f>IF(OR(L847&lt;$Y$18,L847&gt;$Y$19),"Outlier","Normal")</f>
        <v>Normal</v>
      </c>
      <c r="R847" s="26" t="str">
        <f>A847&amp;B847&amp;C847&amp;D847&amp;E847&amp;F847&amp;G847&amp;H847&amp;I847&amp;J847&amp;K847&amp;L847&amp;M847&amp;N847&amp;O847&amp;P847</f>
        <v>USR-10084645678TreatmentNorthMobilePaid SearchBasic100000075</v>
      </c>
      <c r="S847" s="22" t="str">
        <f>IF(COUNTIF($R$2:$R$1409,R847)=1,"OK",IF(COUNTIF($R$2:$R$1409,R847)&gt;1,"Exact Duplicate","Review Required"))</f>
        <v>OK</v>
      </c>
      <c r="T847" s="22" t="s">
        <v>24</v>
      </c>
      <c r="U847" s="22" t="s">
        <v>29</v>
      </c>
      <c r="V847" s="22"/>
    </row>
    <row r="848" spans="1:22" ht="41.4">
      <c r="A848" s="22" t="s">
        <v>879</v>
      </c>
      <c r="B848" s="25">
        <v>45659</v>
      </c>
      <c r="C848" s="22" t="s">
        <v>723</v>
      </c>
      <c r="D848" s="22" t="s">
        <v>28</v>
      </c>
      <c r="E848" s="22" t="s">
        <v>19</v>
      </c>
      <c r="F848" s="22" t="s">
        <v>25</v>
      </c>
      <c r="G848" s="22" t="s">
        <v>26</v>
      </c>
      <c r="H848" s="22">
        <v>1</v>
      </c>
      <c r="I848" s="22">
        <v>1</v>
      </c>
      <c r="J848" s="22">
        <v>0</v>
      </c>
      <c r="K848" s="22">
        <v>0</v>
      </c>
      <c r="L848" s="22">
        <v>0</v>
      </c>
      <c r="M848" s="22">
        <v>0</v>
      </c>
      <c r="N848" s="22">
        <v>0</v>
      </c>
      <c r="O848" s="22"/>
      <c r="P848" s="22">
        <v>51.9</v>
      </c>
      <c r="Q848" s="22" t="str">
        <f>IF(OR(L848&lt;$Y$18,L848&gt;$Y$19),"Outlier","Normal")</f>
        <v>Normal</v>
      </c>
      <c r="R848" s="26" t="str">
        <f>A848&amp;B848&amp;C848&amp;D848&amp;E848&amp;F848&amp;G848&amp;H848&amp;I848&amp;J848&amp;K848&amp;L848&amp;M848&amp;N848&amp;O848&amp;P848</f>
        <v>USR-10084745659TreatmentEastDesktopOrganicFree110000051.9</v>
      </c>
      <c r="S848" s="22" t="str">
        <f>IF(COUNTIF($R$2:$R$1409,R848)=1,"OK",IF(COUNTIF($R$2:$R$1409,R848)&gt;1,"Exact Duplicate","Review Required"))</f>
        <v>OK</v>
      </c>
      <c r="T848" s="22" t="s">
        <v>19</v>
      </c>
      <c r="U848" s="22" t="s">
        <v>25</v>
      </c>
      <c r="V848" s="22"/>
    </row>
    <row r="849" spans="1:22" ht="41.4">
      <c r="A849" s="22" t="s">
        <v>880</v>
      </c>
      <c r="B849" s="25">
        <v>45789</v>
      </c>
      <c r="C849" s="22" t="s">
        <v>723</v>
      </c>
      <c r="D849" s="22" t="s">
        <v>32</v>
      </c>
      <c r="E849" s="22" t="s">
        <v>19</v>
      </c>
      <c r="F849" s="22" t="s">
        <v>29</v>
      </c>
      <c r="G849" s="22" t="s">
        <v>26</v>
      </c>
      <c r="H849" s="22">
        <v>0</v>
      </c>
      <c r="I849" s="22">
        <v>0</v>
      </c>
      <c r="J849" s="22">
        <v>0</v>
      </c>
      <c r="K849" s="22">
        <v>0</v>
      </c>
      <c r="L849" s="22">
        <v>0</v>
      </c>
      <c r="M849" s="22">
        <v>0</v>
      </c>
      <c r="N849" s="22">
        <v>0</v>
      </c>
      <c r="O849" s="22"/>
      <c r="P849" s="22">
        <v>34.5</v>
      </c>
      <c r="Q849" s="22" t="str">
        <f>IF(OR(L849&lt;$Y$18,L849&gt;$Y$19),"Outlier","Normal")</f>
        <v>Normal</v>
      </c>
      <c r="R849" s="26" t="str">
        <f>A849&amp;B849&amp;C849&amp;D849&amp;E849&amp;F849&amp;G849&amp;H849&amp;I849&amp;J849&amp;K849&amp;L849&amp;M849&amp;N849&amp;O849&amp;P849</f>
        <v>USR-10084845789TreatmentSouthDesktopPaid SearchFree000000034.5</v>
      </c>
      <c r="S849" s="22" t="str">
        <f>IF(COUNTIF($R$2:$R$1409,R849)=1,"OK",IF(COUNTIF($R$2:$R$1409,R849)&gt;1,"Exact Duplicate","Review Required"))</f>
        <v>OK</v>
      </c>
      <c r="T849" s="22" t="s">
        <v>19</v>
      </c>
      <c r="U849" s="22" t="s">
        <v>29</v>
      </c>
      <c r="V849" s="22"/>
    </row>
    <row r="850" spans="1:22" ht="41.4">
      <c r="A850" s="22" t="s">
        <v>881</v>
      </c>
      <c r="B850" s="25">
        <v>45721</v>
      </c>
      <c r="C850" s="22" t="s">
        <v>723</v>
      </c>
      <c r="D850" s="22" t="s">
        <v>32</v>
      </c>
      <c r="E850" s="22" t="s">
        <v>24</v>
      </c>
      <c r="F850" s="22" t="s">
        <v>41</v>
      </c>
      <c r="G850" s="22" t="s">
        <v>21</v>
      </c>
      <c r="H850" s="22">
        <v>0</v>
      </c>
      <c r="I850" s="22">
        <v>0</v>
      </c>
      <c r="J850" s="22">
        <v>0</v>
      </c>
      <c r="K850" s="22">
        <v>0</v>
      </c>
      <c r="L850" s="22">
        <v>0</v>
      </c>
      <c r="M850" s="22">
        <v>0</v>
      </c>
      <c r="N850" s="22">
        <v>0</v>
      </c>
      <c r="O850" s="22"/>
      <c r="P850" s="22">
        <v>54.5</v>
      </c>
      <c r="Q850" s="22" t="str">
        <f>IF(OR(L850&lt;$Y$18,L850&gt;$Y$19),"Outlier","Normal")</f>
        <v>Normal</v>
      </c>
      <c r="R850" s="26" t="str">
        <f>A850&amp;B850&amp;C850&amp;D850&amp;E850&amp;F850&amp;G850&amp;H850&amp;I850&amp;J850&amp;K850&amp;L850&amp;M850&amp;N850&amp;O850&amp;P850</f>
        <v>USR-10084945721TreatmentSouthMobileSocialBasic000000054.5</v>
      </c>
      <c r="S850" s="22" t="str">
        <f>IF(COUNTIF($R$2:$R$1409,R850)=1,"OK",IF(COUNTIF($R$2:$R$1409,R850)&gt;1,"Exact Duplicate","Review Required"))</f>
        <v>OK</v>
      </c>
      <c r="T850" s="22" t="s">
        <v>24</v>
      </c>
      <c r="U850" s="22" t="s">
        <v>41</v>
      </c>
      <c r="V850" s="22"/>
    </row>
    <row r="851" spans="1:22" ht="41.4">
      <c r="A851" s="22" t="s">
        <v>882</v>
      </c>
      <c r="B851" s="25">
        <v>45681</v>
      </c>
      <c r="C851" s="22" t="s">
        <v>723</v>
      </c>
      <c r="D851" s="22" t="s">
        <v>28</v>
      </c>
      <c r="E851" s="22" t="s">
        <v>24</v>
      </c>
      <c r="F851" s="22" t="s">
        <v>25</v>
      </c>
      <c r="G851" s="22" t="s">
        <v>26</v>
      </c>
      <c r="H851" s="22">
        <v>0</v>
      </c>
      <c r="I851" s="22">
        <v>0</v>
      </c>
      <c r="J851" s="22">
        <v>0</v>
      </c>
      <c r="K851" s="22">
        <v>0</v>
      </c>
      <c r="L851" s="22">
        <v>0</v>
      </c>
      <c r="M851" s="22">
        <v>0</v>
      </c>
      <c r="N851" s="22">
        <v>0</v>
      </c>
      <c r="O851" s="22"/>
      <c r="P851" s="22">
        <v>46</v>
      </c>
      <c r="Q851" s="22" t="str">
        <f>IF(OR(L851&lt;$Y$18,L851&gt;$Y$19),"Outlier","Normal")</f>
        <v>Normal</v>
      </c>
      <c r="R851" s="26" t="str">
        <f>A851&amp;B851&amp;C851&amp;D851&amp;E851&amp;F851&amp;G851&amp;H851&amp;I851&amp;J851&amp;K851&amp;L851&amp;M851&amp;N851&amp;O851&amp;P851</f>
        <v>USR-10085045681TreatmentEastMobileOrganicFree000000046</v>
      </c>
      <c r="S851" s="22" t="str">
        <f>IF(COUNTIF($R$2:$R$1409,R851)=1,"OK",IF(COUNTIF($R$2:$R$1409,R851)&gt;1,"Exact Duplicate","Review Required"))</f>
        <v>OK</v>
      </c>
      <c r="T851" s="22" t="s">
        <v>24</v>
      </c>
      <c r="U851" s="22" t="s">
        <v>25</v>
      </c>
      <c r="V851" s="22"/>
    </row>
    <row r="852" spans="1:22" ht="41.4">
      <c r="A852" s="22" t="s">
        <v>883</v>
      </c>
      <c r="B852" s="25">
        <v>45688</v>
      </c>
      <c r="C852" s="22" t="s">
        <v>723</v>
      </c>
      <c r="D852" s="22" t="s">
        <v>28</v>
      </c>
      <c r="E852" s="22" t="s">
        <v>19</v>
      </c>
      <c r="F852" s="22" t="s">
        <v>20</v>
      </c>
      <c r="G852" s="22" t="s">
        <v>26</v>
      </c>
      <c r="H852" s="22">
        <v>1</v>
      </c>
      <c r="I852" s="22">
        <v>1</v>
      </c>
      <c r="J852" s="22">
        <v>1</v>
      </c>
      <c r="K852" s="22">
        <v>0</v>
      </c>
      <c r="L852" s="22">
        <v>0</v>
      </c>
      <c r="M852" s="22">
        <v>0</v>
      </c>
      <c r="N852" s="22">
        <v>0</v>
      </c>
      <c r="O852" s="22"/>
      <c r="P852" s="22">
        <v>88.4</v>
      </c>
      <c r="Q852" s="22" t="str">
        <f>IF(OR(L852&lt;$Y$18,L852&gt;$Y$19),"Outlier","Normal")</f>
        <v>Normal</v>
      </c>
      <c r="R852" s="26" t="str">
        <f>A852&amp;B852&amp;C852&amp;D852&amp;E852&amp;F852&amp;G852&amp;H852&amp;I852&amp;J852&amp;K852&amp;L852&amp;M852&amp;N852&amp;O852&amp;P852</f>
        <v>USR-10085145688TreatmentEastDesktopEmailFree111000088.4</v>
      </c>
      <c r="S852" s="22" t="str">
        <f>IF(COUNTIF($R$2:$R$1409,R852)=1,"OK",IF(COUNTIF($R$2:$R$1409,R852)&gt;1,"Exact Duplicate","Review Required"))</f>
        <v>OK</v>
      </c>
      <c r="T852" s="22" t="s">
        <v>19</v>
      </c>
      <c r="U852" s="22" t="s">
        <v>20</v>
      </c>
      <c r="V852" s="22"/>
    </row>
    <row r="853" spans="1:22" ht="41.4">
      <c r="A853" s="22" t="s">
        <v>884</v>
      </c>
      <c r="B853" s="25">
        <v>45681</v>
      </c>
      <c r="C853" s="22" t="s">
        <v>723</v>
      </c>
      <c r="D853" s="22" t="s">
        <v>18</v>
      </c>
      <c r="E853" s="22" t="s">
        <v>34</v>
      </c>
      <c r="F853" s="22" t="s">
        <v>25</v>
      </c>
      <c r="G853" s="22" t="s">
        <v>21</v>
      </c>
      <c r="H853" s="22">
        <v>1</v>
      </c>
      <c r="I853" s="22">
        <v>0</v>
      </c>
      <c r="J853" s="22">
        <v>0</v>
      </c>
      <c r="K853" s="22">
        <v>0</v>
      </c>
      <c r="L853" s="22">
        <v>0</v>
      </c>
      <c r="M853" s="22">
        <v>0</v>
      </c>
      <c r="N853" s="22">
        <v>0</v>
      </c>
      <c r="O853" s="22"/>
      <c r="P853" s="22">
        <v>69.5</v>
      </c>
      <c r="Q853" s="22" t="str">
        <f>IF(OR(L853&lt;$Y$18,L853&gt;$Y$19),"Outlier","Normal")</f>
        <v>Normal</v>
      </c>
      <c r="R853" s="26" t="str">
        <f>A853&amp;B853&amp;C853&amp;D853&amp;E853&amp;F853&amp;G853&amp;H853&amp;I853&amp;J853&amp;K853&amp;L853&amp;M853&amp;N853&amp;O853&amp;P853</f>
        <v>USR-10085245681TreatmentNorthTabletOrganicBasic100000069.5</v>
      </c>
      <c r="S853" s="22" t="str">
        <f>IF(COUNTIF($R$2:$R$1409,R853)=1,"OK",IF(COUNTIF($R$2:$R$1409,R853)&gt;1,"Exact Duplicate","Review Required"))</f>
        <v>OK</v>
      </c>
      <c r="T853" s="22" t="s">
        <v>34</v>
      </c>
      <c r="U853" s="22" t="s">
        <v>25</v>
      </c>
      <c r="V853" s="22"/>
    </row>
    <row r="854" spans="1:22" ht="41.4">
      <c r="A854" s="22" t="s">
        <v>885</v>
      </c>
      <c r="B854" s="25">
        <v>45702</v>
      </c>
      <c r="C854" s="22" t="s">
        <v>723</v>
      </c>
      <c r="D854" s="22" t="s">
        <v>18</v>
      </c>
      <c r="E854" s="22" t="s">
        <v>19</v>
      </c>
      <c r="F854" s="22" t="s">
        <v>39</v>
      </c>
      <c r="G854" s="22" t="s">
        <v>21</v>
      </c>
      <c r="H854" s="22">
        <v>1</v>
      </c>
      <c r="I854" s="22">
        <v>1</v>
      </c>
      <c r="J854" s="22">
        <v>1</v>
      </c>
      <c r="K854" s="22">
        <v>0</v>
      </c>
      <c r="L854" s="22">
        <v>0</v>
      </c>
      <c r="M854" s="22">
        <v>0</v>
      </c>
      <c r="N854" s="22">
        <v>0</v>
      </c>
      <c r="O854" s="22"/>
      <c r="P854" s="22">
        <v>74.2</v>
      </c>
      <c r="Q854" s="22" t="str">
        <f>IF(OR(L854&lt;$Y$18,L854&gt;$Y$19),"Outlier","Normal")</f>
        <v>Normal</v>
      </c>
      <c r="R854" s="26" t="str">
        <f>A854&amp;B854&amp;C854&amp;D854&amp;E854&amp;F854&amp;G854&amp;H854&amp;I854&amp;J854&amp;K854&amp;L854&amp;M854&amp;N854&amp;O854&amp;P854</f>
        <v>USR-10085345702TreatmentNorthDesktopReferralBasic111000074.2</v>
      </c>
      <c r="S854" s="22" t="str">
        <f>IF(COUNTIF($R$2:$R$1409,R854)=1,"OK",IF(COUNTIF($R$2:$R$1409,R854)&gt;1,"Exact Duplicate","Review Required"))</f>
        <v>OK</v>
      </c>
      <c r="T854" s="22" t="s">
        <v>19</v>
      </c>
      <c r="U854" s="22" t="s">
        <v>39</v>
      </c>
      <c r="V854" s="22"/>
    </row>
    <row r="855" spans="1:22" ht="41.4">
      <c r="A855" s="22" t="s">
        <v>886</v>
      </c>
      <c r="B855" s="25">
        <v>45804</v>
      </c>
      <c r="C855" s="22" t="s">
        <v>723</v>
      </c>
      <c r="D855" s="22" t="s">
        <v>18</v>
      </c>
      <c r="E855" s="22" t="s">
        <v>24</v>
      </c>
      <c r="F855" s="22" t="s">
        <v>25</v>
      </c>
      <c r="G855" s="22" t="s">
        <v>26</v>
      </c>
      <c r="H855" s="22">
        <v>1</v>
      </c>
      <c r="I855" s="22">
        <v>1</v>
      </c>
      <c r="J855" s="22">
        <v>1</v>
      </c>
      <c r="K855" s="22">
        <v>0</v>
      </c>
      <c r="L855" s="22">
        <v>0</v>
      </c>
      <c r="M855" s="22">
        <v>0</v>
      </c>
      <c r="N855" s="22">
        <v>0</v>
      </c>
      <c r="O855" s="22"/>
      <c r="P855" s="22">
        <v>72.099999999999994</v>
      </c>
      <c r="Q855" s="22" t="str">
        <f>IF(OR(L855&lt;$Y$18,L855&gt;$Y$19),"Outlier","Normal")</f>
        <v>Normal</v>
      </c>
      <c r="R855" s="26" t="str">
        <f>A855&amp;B855&amp;C855&amp;D855&amp;E855&amp;F855&amp;G855&amp;H855&amp;I855&amp;J855&amp;K855&amp;L855&amp;M855&amp;N855&amp;O855&amp;P855</f>
        <v>USR-10085445804TreatmentNorthMobileOrganicFree111000072.1</v>
      </c>
      <c r="S855" s="22" t="str">
        <f>IF(COUNTIF($R$2:$R$1409,R855)=1,"OK",IF(COUNTIF($R$2:$R$1409,R855)&gt;1,"Exact Duplicate","Review Required"))</f>
        <v>OK</v>
      </c>
      <c r="T855" s="22" t="s">
        <v>24</v>
      </c>
      <c r="U855" s="22" t="s">
        <v>25</v>
      </c>
      <c r="V855" s="22"/>
    </row>
    <row r="856" spans="1:22" ht="55.2">
      <c r="A856" s="22" t="s">
        <v>887</v>
      </c>
      <c r="B856" s="25">
        <v>45716</v>
      </c>
      <c r="C856" s="22" t="s">
        <v>723</v>
      </c>
      <c r="D856" s="22" t="s">
        <v>18</v>
      </c>
      <c r="E856" s="22" t="s">
        <v>24</v>
      </c>
      <c r="F856" s="22" t="s">
        <v>29</v>
      </c>
      <c r="G856" s="22" t="s">
        <v>26</v>
      </c>
      <c r="H856" s="22">
        <v>1</v>
      </c>
      <c r="I856" s="22">
        <v>1</v>
      </c>
      <c r="J856" s="22">
        <v>1</v>
      </c>
      <c r="K856" s="22">
        <v>1</v>
      </c>
      <c r="L856" s="22">
        <v>398.33</v>
      </c>
      <c r="M856" s="22">
        <v>0</v>
      </c>
      <c r="N856" s="22">
        <v>0</v>
      </c>
      <c r="O856" s="22">
        <v>5</v>
      </c>
      <c r="P856" s="22">
        <v>85.1</v>
      </c>
      <c r="Q856" s="22" t="str">
        <f>IF(OR(L856&lt;$Y$18,L856&gt;$Y$19),"Outlier","Normal")</f>
        <v>Normal</v>
      </c>
      <c r="R856" s="26" t="str">
        <f>A856&amp;B856&amp;C856&amp;D856&amp;E856&amp;F856&amp;G856&amp;H856&amp;I856&amp;J856&amp;K856&amp;L856&amp;M856&amp;N856&amp;O856&amp;P856</f>
        <v>USR-10085545716TreatmentNorthMobilePaid SearchFree1111398.3300585.1</v>
      </c>
      <c r="S856" s="22" t="str">
        <f>IF(COUNTIF($R$2:$R$1409,R856)=1,"OK",IF(COUNTIF($R$2:$R$1409,R856)&gt;1,"Exact Duplicate","Review Required"))</f>
        <v>OK</v>
      </c>
      <c r="T856" s="22" t="s">
        <v>24</v>
      </c>
      <c r="U856" s="22" t="s">
        <v>29</v>
      </c>
      <c r="V856" s="22"/>
    </row>
    <row r="857" spans="1:22" ht="41.4">
      <c r="A857" s="22" t="s">
        <v>888</v>
      </c>
      <c r="B857" s="25">
        <v>45804</v>
      </c>
      <c r="C857" s="22" t="s">
        <v>723</v>
      </c>
      <c r="D857" s="22" t="s">
        <v>18</v>
      </c>
      <c r="E857" s="22" t="s">
        <v>24</v>
      </c>
      <c r="F857" s="22" t="s">
        <v>25</v>
      </c>
      <c r="G857" s="22" t="s">
        <v>21</v>
      </c>
      <c r="H857" s="22">
        <v>1</v>
      </c>
      <c r="I857" s="22">
        <v>1</v>
      </c>
      <c r="J857" s="22">
        <v>1</v>
      </c>
      <c r="K857" s="22">
        <v>0</v>
      </c>
      <c r="L857" s="22">
        <v>0</v>
      </c>
      <c r="M857" s="22">
        <v>0</v>
      </c>
      <c r="N857" s="22">
        <v>0</v>
      </c>
      <c r="O857" s="22"/>
      <c r="P857" s="22">
        <v>49.5</v>
      </c>
      <c r="Q857" s="22" t="str">
        <f>IF(OR(L857&lt;$Y$18,L857&gt;$Y$19),"Outlier","Normal")</f>
        <v>Normal</v>
      </c>
      <c r="R857" s="26" t="str">
        <f>A857&amp;B857&amp;C857&amp;D857&amp;E857&amp;F857&amp;G857&amp;H857&amp;I857&amp;J857&amp;K857&amp;L857&amp;M857&amp;N857&amp;O857&amp;P857</f>
        <v>USR-10085645804TreatmentNorthMobileOrganicBasic111000049.5</v>
      </c>
      <c r="S857" s="22" t="str">
        <f>IF(COUNTIF($R$2:$R$1409,R857)=1,"OK",IF(COUNTIF($R$2:$R$1409,R857)&gt;1,"Exact Duplicate","Review Required"))</f>
        <v>OK</v>
      </c>
      <c r="T857" s="22" t="s">
        <v>24</v>
      </c>
      <c r="U857" s="22" t="s">
        <v>25</v>
      </c>
      <c r="V857" s="22"/>
    </row>
    <row r="858" spans="1:22" ht="41.4">
      <c r="A858" s="22" t="s">
        <v>889</v>
      </c>
      <c r="B858" s="25">
        <v>45794</v>
      </c>
      <c r="C858" s="22" t="s">
        <v>723</v>
      </c>
      <c r="D858" s="22" t="s">
        <v>32</v>
      </c>
      <c r="E858" s="22" t="s">
        <v>24</v>
      </c>
      <c r="F858" s="22" t="s">
        <v>29</v>
      </c>
      <c r="G858" s="22" t="s">
        <v>30</v>
      </c>
      <c r="H858" s="22">
        <v>0</v>
      </c>
      <c r="I858" s="22">
        <v>0</v>
      </c>
      <c r="J858" s="22">
        <v>0</v>
      </c>
      <c r="K858" s="22">
        <v>0</v>
      </c>
      <c r="L858" s="22">
        <v>0</v>
      </c>
      <c r="M858" s="22">
        <v>1</v>
      </c>
      <c r="N858" s="22">
        <v>0</v>
      </c>
      <c r="O858" s="22"/>
      <c r="P858" s="22">
        <v>79</v>
      </c>
      <c r="Q858" s="22" t="str">
        <f>IF(OR(L858&lt;$Y$18,L858&gt;$Y$19),"Outlier","Normal")</f>
        <v>Normal</v>
      </c>
      <c r="R858" s="26" t="str">
        <f>A858&amp;B858&amp;C858&amp;D858&amp;E858&amp;F858&amp;G858&amp;H858&amp;I858&amp;J858&amp;K858&amp;L858&amp;M858&amp;N858&amp;O858&amp;P858</f>
        <v>USR-10085745794TreatmentSouthMobilePaid SearchPremium000001079</v>
      </c>
      <c r="S858" s="22" t="str">
        <f>IF(COUNTIF($R$2:$R$1409,R858)=1,"OK",IF(COUNTIF($R$2:$R$1409,R858)&gt;1,"Exact Duplicate","Review Required"))</f>
        <v>OK</v>
      </c>
      <c r="T858" s="22" t="s">
        <v>24</v>
      </c>
      <c r="U858" s="22" t="s">
        <v>29</v>
      </c>
      <c r="V858" s="22"/>
    </row>
    <row r="859" spans="1:22" ht="41.4">
      <c r="A859" s="22" t="s">
        <v>890</v>
      </c>
      <c r="B859" s="25">
        <v>45667</v>
      </c>
      <c r="C859" s="22" t="s">
        <v>723</v>
      </c>
      <c r="D859" s="22" t="s">
        <v>23</v>
      </c>
      <c r="E859" s="22" t="s">
        <v>19</v>
      </c>
      <c r="F859" s="22" t="s">
        <v>41</v>
      </c>
      <c r="G859" s="22" t="s">
        <v>26</v>
      </c>
      <c r="H859" s="22">
        <v>0</v>
      </c>
      <c r="I859" s="22">
        <v>0</v>
      </c>
      <c r="J859" s="22">
        <v>0</v>
      </c>
      <c r="K859" s="22">
        <v>0</v>
      </c>
      <c r="L859" s="22">
        <v>0</v>
      </c>
      <c r="M859" s="22">
        <v>0</v>
      </c>
      <c r="N859" s="22">
        <v>0</v>
      </c>
      <c r="O859" s="22"/>
      <c r="P859" s="22">
        <v>71.8</v>
      </c>
      <c r="Q859" s="22" t="str">
        <f>IF(OR(L859&lt;$Y$18,L859&gt;$Y$19),"Outlier","Normal")</f>
        <v>Normal</v>
      </c>
      <c r="R859" s="26" t="str">
        <f>A859&amp;B859&amp;C859&amp;D859&amp;E859&amp;F859&amp;G859&amp;H859&amp;I859&amp;J859&amp;K859&amp;L859&amp;M859&amp;N859&amp;O859&amp;P859</f>
        <v>USR-10085845667TreatmentWestDesktopSocialFree000000071.8</v>
      </c>
      <c r="S859" s="22" t="str">
        <f>IF(COUNTIF($R$2:$R$1409,R859)=1,"OK",IF(COUNTIF($R$2:$R$1409,R859)&gt;1,"Exact Duplicate","Review Required"))</f>
        <v>OK</v>
      </c>
      <c r="T859" s="22" t="s">
        <v>19</v>
      </c>
      <c r="U859" s="22" t="s">
        <v>41</v>
      </c>
      <c r="V859" s="22"/>
    </row>
    <row r="860" spans="1:22" ht="41.4">
      <c r="A860" s="22" t="s">
        <v>891</v>
      </c>
      <c r="B860" s="25">
        <v>45769</v>
      </c>
      <c r="C860" s="22" t="s">
        <v>723</v>
      </c>
      <c r="D860" s="22" t="s">
        <v>18</v>
      </c>
      <c r="E860" s="22" t="s">
        <v>24</v>
      </c>
      <c r="F860" s="22" t="s">
        <v>20</v>
      </c>
      <c r="G860" s="22" t="s">
        <v>21</v>
      </c>
      <c r="H860" s="22">
        <v>1</v>
      </c>
      <c r="I860" s="22">
        <v>1</v>
      </c>
      <c r="J860" s="22">
        <v>1</v>
      </c>
      <c r="K860" s="22">
        <v>1</v>
      </c>
      <c r="L860" s="22">
        <v>1117.54</v>
      </c>
      <c r="M860" s="22">
        <v>0</v>
      </c>
      <c r="N860" s="22">
        <v>0</v>
      </c>
      <c r="O860" s="22">
        <v>6</v>
      </c>
      <c r="P860" s="22">
        <v>60.4</v>
      </c>
      <c r="Q860" s="22" t="str">
        <f>IF(OR(L860&lt;$Y$18,L860&gt;$Y$19),"Outlier","Normal")</f>
        <v>Normal</v>
      </c>
      <c r="R860" s="26" t="str">
        <f>A860&amp;B860&amp;C860&amp;D860&amp;E860&amp;F860&amp;G860&amp;H860&amp;I860&amp;J860&amp;K860&amp;L860&amp;M860&amp;N860&amp;O860&amp;P860</f>
        <v>USR-10085945769TreatmentNorthMobileEmailBasic11111117.5400660.4</v>
      </c>
      <c r="S860" s="22" t="str">
        <f>IF(COUNTIF($R$2:$R$1409,R860)=1,"OK",IF(COUNTIF($R$2:$R$1409,R860)&gt;1,"Exact Duplicate","Review Required"))</f>
        <v>OK</v>
      </c>
      <c r="T860" s="22" t="s">
        <v>24</v>
      </c>
      <c r="U860" s="22" t="s">
        <v>20</v>
      </c>
      <c r="V860" s="22"/>
    </row>
    <row r="861" spans="1:22" ht="41.4">
      <c r="A861" s="22" t="s">
        <v>892</v>
      </c>
      <c r="B861" s="25">
        <v>45718</v>
      </c>
      <c r="C861" s="22" t="s">
        <v>723</v>
      </c>
      <c r="D861" s="22" t="s">
        <v>32</v>
      </c>
      <c r="E861" s="22" t="s">
        <v>19</v>
      </c>
      <c r="F861" s="22" t="s">
        <v>25</v>
      </c>
      <c r="G861" s="22" t="s">
        <v>21</v>
      </c>
      <c r="H861" s="22">
        <v>1</v>
      </c>
      <c r="I861" s="22">
        <v>0</v>
      </c>
      <c r="J861" s="22">
        <v>0</v>
      </c>
      <c r="K861" s="22">
        <v>0</v>
      </c>
      <c r="L861" s="22">
        <v>0</v>
      </c>
      <c r="M861" s="22">
        <v>2</v>
      </c>
      <c r="N861" s="22">
        <v>0</v>
      </c>
      <c r="O861" s="22"/>
      <c r="P861" s="22">
        <v>38.299999999999997</v>
      </c>
      <c r="Q861" s="22" t="str">
        <f>IF(OR(L861&lt;$Y$18,L861&gt;$Y$19),"Outlier","Normal")</f>
        <v>Normal</v>
      </c>
      <c r="R861" s="26" t="str">
        <f>A861&amp;B861&amp;C861&amp;D861&amp;E861&amp;F861&amp;G861&amp;H861&amp;I861&amp;J861&amp;K861&amp;L861&amp;M861&amp;N861&amp;O861&amp;P861</f>
        <v>USR-10086045718TreatmentSouthDesktopOrganicBasic100002038.3</v>
      </c>
      <c r="S861" s="22" t="str">
        <f>IF(COUNTIF($R$2:$R$1409,R861)=1,"OK",IF(COUNTIF($R$2:$R$1409,R861)&gt;1,"Exact Duplicate","Review Required"))</f>
        <v>OK</v>
      </c>
      <c r="T861" s="22" t="s">
        <v>19</v>
      </c>
      <c r="U861" s="22" t="s">
        <v>25</v>
      </c>
      <c r="V861" s="22"/>
    </row>
    <row r="862" spans="1:22" ht="41.4">
      <c r="A862" s="22" t="s">
        <v>893</v>
      </c>
      <c r="B862" s="25">
        <v>45739</v>
      </c>
      <c r="C862" s="22" t="s">
        <v>723</v>
      </c>
      <c r="D862" s="22" t="s">
        <v>28</v>
      </c>
      <c r="E862" s="22" t="s">
        <v>24</v>
      </c>
      <c r="F862" s="22" t="s">
        <v>29</v>
      </c>
      <c r="G862" s="22" t="s">
        <v>26</v>
      </c>
      <c r="H862" s="22">
        <v>1</v>
      </c>
      <c r="I862" s="22">
        <v>1</v>
      </c>
      <c r="J862" s="22">
        <v>1</v>
      </c>
      <c r="K862" s="22">
        <v>0</v>
      </c>
      <c r="L862" s="22">
        <v>0</v>
      </c>
      <c r="M862" s="22">
        <v>0</v>
      </c>
      <c r="N862" s="22">
        <v>0</v>
      </c>
      <c r="O862" s="22"/>
      <c r="P862" s="22">
        <v>79.599999999999994</v>
      </c>
      <c r="Q862" s="22" t="str">
        <f>IF(OR(L862&lt;$Y$18,L862&gt;$Y$19),"Outlier","Normal")</f>
        <v>Normal</v>
      </c>
      <c r="R862" s="26" t="str">
        <f>A862&amp;B862&amp;C862&amp;D862&amp;E862&amp;F862&amp;G862&amp;H862&amp;I862&amp;J862&amp;K862&amp;L862&amp;M862&amp;N862&amp;O862&amp;P862</f>
        <v>USR-10086145739TreatmentEastMobilePaid SearchFree111000079.6</v>
      </c>
      <c r="S862" s="22" t="str">
        <f>IF(COUNTIF($R$2:$R$1409,R862)=1,"OK",IF(COUNTIF($R$2:$R$1409,R862)&gt;1,"Exact Duplicate","Review Required"))</f>
        <v>OK</v>
      </c>
      <c r="T862" s="22" t="s">
        <v>24</v>
      </c>
      <c r="U862" s="22" t="s">
        <v>29</v>
      </c>
      <c r="V862" s="22"/>
    </row>
    <row r="863" spans="1:22" ht="41.4">
      <c r="A863" s="22" t="s">
        <v>894</v>
      </c>
      <c r="B863" s="25">
        <v>45700</v>
      </c>
      <c r="C863" s="22" t="s">
        <v>723</v>
      </c>
      <c r="D863" s="22" t="s">
        <v>28</v>
      </c>
      <c r="E863" s="22" t="s">
        <v>24</v>
      </c>
      <c r="F863" s="22" t="s">
        <v>20</v>
      </c>
      <c r="G863" s="22" t="s">
        <v>26</v>
      </c>
      <c r="H863" s="22">
        <v>1</v>
      </c>
      <c r="I863" s="22">
        <v>1</v>
      </c>
      <c r="J863" s="22">
        <v>1</v>
      </c>
      <c r="K863" s="22">
        <v>0</v>
      </c>
      <c r="L863" s="22">
        <v>0</v>
      </c>
      <c r="M863" s="22">
        <v>0</v>
      </c>
      <c r="N863" s="22">
        <v>0</v>
      </c>
      <c r="O863" s="22"/>
      <c r="P863" s="22">
        <v>71.900000000000006</v>
      </c>
      <c r="Q863" s="22" t="str">
        <f>IF(OR(L863&lt;$Y$18,L863&gt;$Y$19),"Outlier","Normal")</f>
        <v>Normal</v>
      </c>
      <c r="R863" s="26" t="str">
        <f>A863&amp;B863&amp;C863&amp;D863&amp;E863&amp;F863&amp;G863&amp;H863&amp;I863&amp;J863&amp;K863&amp;L863&amp;M863&amp;N863&amp;O863&amp;P863</f>
        <v>USR-10086245700TreatmentEastMobileEmailFree111000071.9</v>
      </c>
      <c r="S863" s="22" t="str">
        <f>IF(COUNTIF($R$2:$R$1409,R863)=1,"OK",IF(COUNTIF($R$2:$R$1409,R863)&gt;1,"Exact Duplicate","Review Required"))</f>
        <v>OK</v>
      </c>
      <c r="T863" s="22" t="s">
        <v>24</v>
      </c>
      <c r="U863" s="22" t="s">
        <v>20</v>
      </c>
      <c r="V863" s="22"/>
    </row>
    <row r="864" spans="1:22" ht="41.4">
      <c r="A864" s="22" t="s">
        <v>895</v>
      </c>
      <c r="B864" s="25">
        <v>45780</v>
      </c>
      <c r="C864" s="22" t="s">
        <v>723</v>
      </c>
      <c r="D864" s="22" t="s">
        <v>32</v>
      </c>
      <c r="E864" s="22" t="s">
        <v>24</v>
      </c>
      <c r="F864" s="22" t="s">
        <v>39</v>
      </c>
      <c r="G864" s="22" t="s">
        <v>21</v>
      </c>
      <c r="H864" s="22">
        <v>1</v>
      </c>
      <c r="I864" s="22">
        <v>0</v>
      </c>
      <c r="J864" s="22">
        <v>0</v>
      </c>
      <c r="K864" s="22">
        <v>0</v>
      </c>
      <c r="L864" s="22">
        <v>0</v>
      </c>
      <c r="M864" s="22">
        <v>0</v>
      </c>
      <c r="N864" s="22">
        <v>0</v>
      </c>
      <c r="O864" s="22"/>
      <c r="P864" s="22">
        <v>54.6</v>
      </c>
      <c r="Q864" s="22" t="str">
        <f>IF(OR(L864&lt;$Y$18,L864&gt;$Y$19),"Outlier","Normal")</f>
        <v>Normal</v>
      </c>
      <c r="R864" s="26" t="str">
        <f>A864&amp;B864&amp;C864&amp;D864&amp;E864&amp;F864&amp;G864&amp;H864&amp;I864&amp;J864&amp;K864&amp;L864&amp;M864&amp;N864&amp;O864&amp;P864</f>
        <v>USR-10086345780TreatmentSouthMobileReferralBasic100000054.6</v>
      </c>
      <c r="S864" s="22" t="str">
        <f>IF(COUNTIF($R$2:$R$1409,R864)=1,"OK",IF(COUNTIF($R$2:$R$1409,R864)&gt;1,"Exact Duplicate","Review Required"))</f>
        <v>OK</v>
      </c>
      <c r="T864" s="22" t="s">
        <v>24</v>
      </c>
      <c r="U864" s="22" t="s">
        <v>39</v>
      </c>
      <c r="V864" s="22"/>
    </row>
    <row r="865" spans="1:22" ht="41.4">
      <c r="A865" s="22" t="s">
        <v>896</v>
      </c>
      <c r="B865" s="25">
        <v>45744</v>
      </c>
      <c r="C865" s="22" t="s">
        <v>723</v>
      </c>
      <c r="D865" s="22" t="s">
        <v>18</v>
      </c>
      <c r="E865" s="22" t="s">
        <v>19</v>
      </c>
      <c r="F865" s="22" t="s">
        <v>41</v>
      </c>
      <c r="G865" s="22" t="s">
        <v>26</v>
      </c>
      <c r="H865" s="22">
        <v>1</v>
      </c>
      <c r="I865" s="22">
        <v>0</v>
      </c>
      <c r="J865" s="22">
        <v>0</v>
      </c>
      <c r="K865" s="22">
        <v>0</v>
      </c>
      <c r="L865" s="22">
        <v>0</v>
      </c>
      <c r="M865" s="22">
        <v>3</v>
      </c>
      <c r="N865" s="22">
        <v>0</v>
      </c>
      <c r="O865" s="22"/>
      <c r="P865" s="22">
        <v>49.3</v>
      </c>
      <c r="Q865" s="22" t="str">
        <f>IF(OR(L865&lt;$Y$18,L865&gt;$Y$19),"Outlier","Normal")</f>
        <v>Normal</v>
      </c>
      <c r="R865" s="26" t="str">
        <f>A865&amp;B865&amp;C865&amp;D865&amp;E865&amp;F865&amp;G865&amp;H865&amp;I865&amp;J865&amp;K865&amp;L865&amp;M865&amp;N865&amp;O865&amp;P865</f>
        <v>USR-10086445744TreatmentNorthDesktopSocialFree100003049.3</v>
      </c>
      <c r="S865" s="22" t="str">
        <f>IF(COUNTIF($R$2:$R$1409,R865)=1,"OK",IF(COUNTIF($R$2:$R$1409,R865)&gt;1,"Exact Duplicate","Review Required"))</f>
        <v>OK</v>
      </c>
      <c r="T865" s="22" t="s">
        <v>19</v>
      </c>
      <c r="U865" s="22" t="s">
        <v>41</v>
      </c>
      <c r="V865" s="22"/>
    </row>
    <row r="866" spans="1:22" ht="41.4">
      <c r="A866" s="22" t="s">
        <v>897</v>
      </c>
      <c r="B866" s="25">
        <v>45728</v>
      </c>
      <c r="C866" s="22" t="s">
        <v>723</v>
      </c>
      <c r="D866" s="22" t="s">
        <v>18</v>
      </c>
      <c r="E866" s="22" t="s">
        <v>24</v>
      </c>
      <c r="F866" s="22" t="s">
        <v>41</v>
      </c>
      <c r="G866" s="22" t="s">
        <v>21</v>
      </c>
      <c r="H866" s="22">
        <v>0</v>
      </c>
      <c r="I866" s="22">
        <v>0</v>
      </c>
      <c r="J866" s="22">
        <v>0</v>
      </c>
      <c r="K866" s="22">
        <v>0</v>
      </c>
      <c r="L866" s="22">
        <v>0</v>
      </c>
      <c r="M866" s="22">
        <v>1</v>
      </c>
      <c r="N866" s="22">
        <v>0</v>
      </c>
      <c r="O866" s="22"/>
      <c r="P866" s="22">
        <v>66.900000000000006</v>
      </c>
      <c r="Q866" s="22" t="str">
        <f>IF(OR(L866&lt;$Y$18,L866&gt;$Y$19),"Outlier","Normal")</f>
        <v>Normal</v>
      </c>
      <c r="R866" s="26" t="str">
        <f>A866&amp;B866&amp;C866&amp;D866&amp;E866&amp;F866&amp;G866&amp;H866&amp;I866&amp;J866&amp;K866&amp;L866&amp;M866&amp;N866&amp;O866&amp;P866</f>
        <v>USR-10086545728TreatmentNorthMobileSocialBasic000001066.9</v>
      </c>
      <c r="S866" s="22" t="str">
        <f>IF(COUNTIF($R$2:$R$1409,R866)=1,"OK",IF(COUNTIF($R$2:$R$1409,R866)&gt;1,"Exact Duplicate","Review Required"))</f>
        <v>OK</v>
      </c>
      <c r="T866" s="22" t="s">
        <v>24</v>
      </c>
      <c r="U866" s="22" t="s">
        <v>41</v>
      </c>
      <c r="V866" s="22"/>
    </row>
    <row r="867" spans="1:22" ht="41.4">
      <c r="A867" s="22" t="s">
        <v>898</v>
      </c>
      <c r="B867" s="25">
        <v>45774</v>
      </c>
      <c r="C867" s="22" t="s">
        <v>723</v>
      </c>
      <c r="D867" s="22" t="s">
        <v>28</v>
      </c>
      <c r="E867" s="22" t="s">
        <v>24</v>
      </c>
      <c r="F867" s="22" t="s">
        <v>29</v>
      </c>
      <c r="G867" s="22" t="s">
        <v>26</v>
      </c>
      <c r="H867" s="22">
        <v>1</v>
      </c>
      <c r="I867" s="22">
        <v>0</v>
      </c>
      <c r="J867" s="22">
        <v>0</v>
      </c>
      <c r="K867" s="22">
        <v>0</v>
      </c>
      <c r="L867" s="22">
        <v>0</v>
      </c>
      <c r="M867" s="22">
        <v>1</v>
      </c>
      <c r="N867" s="22">
        <v>0</v>
      </c>
      <c r="O867" s="22"/>
      <c r="P867" s="22">
        <v>77.8</v>
      </c>
      <c r="Q867" s="22" t="str">
        <f>IF(OR(L867&lt;$Y$18,L867&gt;$Y$19),"Outlier","Normal")</f>
        <v>Normal</v>
      </c>
      <c r="R867" s="26" t="str">
        <f>A867&amp;B867&amp;C867&amp;D867&amp;E867&amp;F867&amp;G867&amp;H867&amp;I867&amp;J867&amp;K867&amp;L867&amp;M867&amp;N867&amp;O867&amp;P867</f>
        <v>USR-10086645774TreatmentEastMobilePaid SearchFree100001077.8</v>
      </c>
      <c r="S867" s="22" t="str">
        <f>IF(COUNTIF($R$2:$R$1409,R867)=1,"OK",IF(COUNTIF($R$2:$R$1409,R867)&gt;1,"Exact Duplicate","Review Required"))</f>
        <v>OK</v>
      </c>
      <c r="T867" s="22" t="s">
        <v>24</v>
      </c>
      <c r="U867" s="22" t="s">
        <v>29</v>
      </c>
      <c r="V867" s="22"/>
    </row>
    <row r="868" spans="1:22" ht="41.4">
      <c r="A868" s="22" t="s">
        <v>899</v>
      </c>
      <c r="B868" s="25">
        <v>45749</v>
      </c>
      <c r="C868" s="22" t="s">
        <v>723</v>
      </c>
      <c r="D868" s="22" t="s">
        <v>32</v>
      </c>
      <c r="E868" s="22" t="s">
        <v>24</v>
      </c>
      <c r="F868" s="22" t="s">
        <v>39</v>
      </c>
      <c r="G868" s="22" t="s">
        <v>21</v>
      </c>
      <c r="H868" s="22">
        <v>1</v>
      </c>
      <c r="I868" s="22">
        <v>0</v>
      </c>
      <c r="J868" s="22">
        <v>0</v>
      </c>
      <c r="K868" s="22">
        <v>0</v>
      </c>
      <c r="L868" s="22">
        <v>0</v>
      </c>
      <c r="M868" s="22">
        <v>0</v>
      </c>
      <c r="N868" s="22">
        <v>0</v>
      </c>
      <c r="O868" s="22"/>
      <c r="P868" s="22">
        <v>63</v>
      </c>
      <c r="Q868" s="22" t="str">
        <f>IF(OR(L868&lt;$Y$18,L868&gt;$Y$19),"Outlier","Normal")</f>
        <v>Normal</v>
      </c>
      <c r="R868" s="26" t="str">
        <f>A868&amp;B868&amp;C868&amp;D868&amp;E868&amp;F868&amp;G868&amp;H868&amp;I868&amp;J868&amp;K868&amp;L868&amp;M868&amp;N868&amp;O868&amp;P868</f>
        <v>USR-10086745749TreatmentSouthMobileReferralBasic100000063</v>
      </c>
      <c r="S868" s="22" t="str">
        <f>IF(COUNTIF($R$2:$R$1409,R868)=1,"OK",IF(COUNTIF($R$2:$R$1409,R868)&gt;1,"Exact Duplicate","Review Required"))</f>
        <v>OK</v>
      </c>
      <c r="T868" s="22" t="s">
        <v>24</v>
      </c>
      <c r="U868" s="22" t="s">
        <v>39</v>
      </c>
      <c r="V868" s="22"/>
    </row>
    <row r="869" spans="1:22" ht="41.4">
      <c r="A869" s="22" t="s">
        <v>900</v>
      </c>
      <c r="B869" s="25">
        <v>45768</v>
      </c>
      <c r="C869" s="22" t="s">
        <v>723</v>
      </c>
      <c r="D869" s="22" t="s">
        <v>18</v>
      </c>
      <c r="E869" s="22" t="s">
        <v>24</v>
      </c>
      <c r="F869" s="22" t="s">
        <v>41</v>
      </c>
      <c r="G869" s="22" t="s">
        <v>26</v>
      </c>
      <c r="H869" s="22">
        <v>0</v>
      </c>
      <c r="I869" s="22">
        <v>0</v>
      </c>
      <c r="J869" s="22">
        <v>0</v>
      </c>
      <c r="K869" s="22">
        <v>0</v>
      </c>
      <c r="L869" s="22">
        <v>0</v>
      </c>
      <c r="M869" s="22">
        <v>0</v>
      </c>
      <c r="N869" s="22">
        <v>0</v>
      </c>
      <c r="O869" s="22"/>
      <c r="P869" s="22">
        <v>79.8</v>
      </c>
      <c r="Q869" s="22" t="str">
        <f>IF(OR(L869&lt;$Y$18,L869&gt;$Y$19),"Outlier","Normal")</f>
        <v>Normal</v>
      </c>
      <c r="R869" s="26" t="str">
        <f>A869&amp;B869&amp;C869&amp;D869&amp;E869&amp;F869&amp;G869&amp;H869&amp;I869&amp;J869&amp;K869&amp;L869&amp;M869&amp;N869&amp;O869&amp;P869</f>
        <v>USR-10086845768TreatmentNorthMobileSocialFree000000079.8</v>
      </c>
      <c r="S869" s="22" t="str">
        <f>IF(COUNTIF($R$2:$R$1409,R869)=1,"OK",IF(COUNTIF($R$2:$R$1409,R869)&gt;1,"Exact Duplicate","Review Required"))</f>
        <v>OK</v>
      </c>
      <c r="T869" s="22" t="s">
        <v>24</v>
      </c>
      <c r="U869" s="22" t="s">
        <v>41</v>
      </c>
      <c r="V869" s="22"/>
    </row>
    <row r="870" spans="1:22" ht="41.4">
      <c r="A870" s="22" t="s">
        <v>901</v>
      </c>
      <c r="B870" s="25">
        <v>45683</v>
      </c>
      <c r="C870" s="22" t="s">
        <v>723</v>
      </c>
      <c r="D870" s="22" t="s">
        <v>23</v>
      </c>
      <c r="E870" s="22" t="s">
        <v>19</v>
      </c>
      <c r="F870" s="22" t="s">
        <v>25</v>
      </c>
      <c r="G870" s="22" t="s">
        <v>21</v>
      </c>
      <c r="H870" s="22">
        <v>0</v>
      </c>
      <c r="I870" s="22">
        <v>0</v>
      </c>
      <c r="J870" s="22">
        <v>0</v>
      </c>
      <c r="K870" s="22">
        <v>0</v>
      </c>
      <c r="L870" s="22">
        <v>0</v>
      </c>
      <c r="M870" s="22">
        <v>0</v>
      </c>
      <c r="N870" s="22">
        <v>0</v>
      </c>
      <c r="O870" s="22"/>
      <c r="P870" s="22">
        <v>69.900000000000006</v>
      </c>
      <c r="Q870" s="22" t="str">
        <f>IF(OR(L870&lt;$Y$18,L870&gt;$Y$19),"Outlier","Normal")</f>
        <v>Normal</v>
      </c>
      <c r="R870" s="26" t="str">
        <f>A870&amp;B870&amp;C870&amp;D870&amp;E870&amp;F870&amp;G870&amp;H870&amp;I870&amp;J870&amp;K870&amp;L870&amp;M870&amp;N870&amp;O870&amp;P870</f>
        <v>USR-10086945683TreatmentWestDesktopOrganicBasic000000069.9</v>
      </c>
      <c r="S870" s="22" t="str">
        <f>IF(COUNTIF($R$2:$R$1409,R870)=1,"OK",IF(COUNTIF($R$2:$R$1409,R870)&gt;1,"Exact Duplicate","Review Required"))</f>
        <v>OK</v>
      </c>
      <c r="T870" s="22" t="s">
        <v>19</v>
      </c>
      <c r="U870" s="22" t="s">
        <v>25</v>
      </c>
      <c r="V870" s="22"/>
    </row>
    <row r="871" spans="1:22" ht="41.4">
      <c r="A871" s="22" t="s">
        <v>902</v>
      </c>
      <c r="B871" s="25">
        <v>45663</v>
      </c>
      <c r="C871" s="22" t="s">
        <v>723</v>
      </c>
      <c r="D871" s="22" t="s">
        <v>23</v>
      </c>
      <c r="E871" s="22" t="s">
        <v>24</v>
      </c>
      <c r="F871" s="22" t="s">
        <v>25</v>
      </c>
      <c r="G871" s="22" t="s">
        <v>26</v>
      </c>
      <c r="H871" s="22">
        <v>0</v>
      </c>
      <c r="I871" s="22">
        <v>0</v>
      </c>
      <c r="J871" s="22">
        <v>0</v>
      </c>
      <c r="K871" s="22">
        <v>0</v>
      </c>
      <c r="L871" s="22">
        <v>0</v>
      </c>
      <c r="M871" s="22">
        <v>1</v>
      </c>
      <c r="N871" s="22">
        <v>0</v>
      </c>
      <c r="O871" s="22"/>
      <c r="P871" s="22">
        <v>66.400000000000006</v>
      </c>
      <c r="Q871" s="22" t="str">
        <f>IF(OR(L871&lt;$Y$18,L871&gt;$Y$19),"Outlier","Normal")</f>
        <v>Normal</v>
      </c>
      <c r="R871" s="26" t="str">
        <f>A871&amp;B871&amp;C871&amp;D871&amp;E871&amp;F871&amp;G871&amp;H871&amp;I871&amp;J871&amp;K871&amp;L871&amp;M871&amp;N871&amp;O871&amp;P871</f>
        <v>USR-10087045663TreatmentWestMobileOrganicFree000001066.4</v>
      </c>
      <c r="S871" s="22" t="str">
        <f>IF(COUNTIF($R$2:$R$1409,R871)=1,"OK",IF(COUNTIF($R$2:$R$1409,R871)&gt;1,"Exact Duplicate","Review Required"))</f>
        <v>OK</v>
      </c>
      <c r="T871" s="22" t="s">
        <v>24</v>
      </c>
      <c r="U871" s="22" t="s">
        <v>25</v>
      </c>
      <c r="V871" s="22"/>
    </row>
    <row r="872" spans="1:22" ht="41.4">
      <c r="A872" s="22" t="s">
        <v>903</v>
      </c>
      <c r="B872" s="25">
        <v>45695</v>
      </c>
      <c r="C872" s="22" t="s">
        <v>723</v>
      </c>
      <c r="D872" s="22" t="s">
        <v>28</v>
      </c>
      <c r="E872" s="22" t="s">
        <v>24</v>
      </c>
      <c r="F872" s="22" t="s">
        <v>25</v>
      </c>
      <c r="G872" s="22" t="s">
        <v>26</v>
      </c>
      <c r="H872" s="22">
        <v>1</v>
      </c>
      <c r="I872" s="22">
        <v>0</v>
      </c>
      <c r="J872" s="22">
        <v>0</v>
      </c>
      <c r="K872" s="22">
        <v>0</v>
      </c>
      <c r="L872" s="22">
        <v>0</v>
      </c>
      <c r="M872" s="22">
        <v>0</v>
      </c>
      <c r="N872" s="22">
        <v>0</v>
      </c>
      <c r="O872" s="22"/>
      <c r="P872" s="22">
        <v>27.6</v>
      </c>
      <c r="Q872" s="22" t="str">
        <f>IF(OR(L872&lt;$Y$18,L872&gt;$Y$19),"Outlier","Normal")</f>
        <v>Normal</v>
      </c>
      <c r="R872" s="26" t="str">
        <f>A872&amp;B872&amp;C872&amp;D872&amp;E872&amp;F872&amp;G872&amp;H872&amp;I872&amp;J872&amp;K872&amp;L872&amp;M872&amp;N872&amp;O872&amp;P872</f>
        <v>USR-10087145695TreatmentEastMobileOrganicFree100000027.6</v>
      </c>
      <c r="S872" s="22" t="str">
        <f>IF(COUNTIF($R$2:$R$1409,R872)=1,"OK",IF(COUNTIF($R$2:$R$1409,R872)&gt;1,"Exact Duplicate","Review Required"))</f>
        <v>OK</v>
      </c>
      <c r="T872" s="22" t="s">
        <v>24</v>
      </c>
      <c r="U872" s="22" t="s">
        <v>25</v>
      </c>
      <c r="V872" s="22"/>
    </row>
    <row r="873" spans="1:22" ht="41.4">
      <c r="A873" s="22" t="s">
        <v>904</v>
      </c>
      <c r="B873" s="25">
        <v>45784</v>
      </c>
      <c r="C873" s="22" t="s">
        <v>723</v>
      </c>
      <c r="D873" s="22" t="s">
        <v>23</v>
      </c>
      <c r="E873" s="22" t="s">
        <v>24</v>
      </c>
      <c r="F873" s="22" t="s">
        <v>25</v>
      </c>
      <c r="G873" s="22" t="s">
        <v>30</v>
      </c>
      <c r="H873" s="22">
        <v>1</v>
      </c>
      <c r="I873" s="22">
        <v>0</v>
      </c>
      <c r="J873" s="22">
        <v>0</v>
      </c>
      <c r="K873" s="22">
        <v>0</v>
      </c>
      <c r="L873" s="22">
        <v>0</v>
      </c>
      <c r="M873" s="22">
        <v>1</v>
      </c>
      <c r="N873" s="22">
        <v>0</v>
      </c>
      <c r="O873" s="22"/>
      <c r="P873" s="22">
        <v>56.5</v>
      </c>
      <c r="Q873" s="22" t="str">
        <f>IF(OR(L873&lt;$Y$18,L873&gt;$Y$19),"Outlier","Normal")</f>
        <v>Normal</v>
      </c>
      <c r="R873" s="26" t="str">
        <f>A873&amp;B873&amp;C873&amp;D873&amp;E873&amp;F873&amp;G873&amp;H873&amp;I873&amp;J873&amp;K873&amp;L873&amp;M873&amp;N873&amp;O873&amp;P873</f>
        <v>USR-10087245784TreatmentWestMobileOrganicPremium100001056.5</v>
      </c>
      <c r="S873" s="22" t="str">
        <f>IF(COUNTIF($R$2:$R$1409,R873)=1,"OK",IF(COUNTIF($R$2:$R$1409,R873)&gt;1,"Exact Duplicate","Review Required"))</f>
        <v>OK</v>
      </c>
      <c r="T873" s="22" t="s">
        <v>24</v>
      </c>
      <c r="U873" s="22" t="s">
        <v>25</v>
      </c>
      <c r="V873" s="22"/>
    </row>
    <row r="874" spans="1:22" ht="41.4">
      <c r="A874" s="22" t="s">
        <v>905</v>
      </c>
      <c r="B874" s="25">
        <v>45769</v>
      </c>
      <c r="C874" s="22" t="s">
        <v>723</v>
      </c>
      <c r="D874" s="22" t="s">
        <v>23</v>
      </c>
      <c r="E874" s="22" t="s">
        <v>1482</v>
      </c>
      <c r="F874" s="22" t="s">
        <v>41</v>
      </c>
      <c r="G874" s="22" t="s">
        <v>26</v>
      </c>
      <c r="H874" s="22">
        <v>1</v>
      </c>
      <c r="I874" s="22">
        <v>0</v>
      </c>
      <c r="J874" s="22">
        <v>0</v>
      </c>
      <c r="K874" s="22">
        <v>0</v>
      </c>
      <c r="L874" s="22">
        <v>0</v>
      </c>
      <c r="M874" s="22">
        <v>0</v>
      </c>
      <c r="N874" s="22">
        <v>0</v>
      </c>
      <c r="O874" s="22"/>
      <c r="P874" s="22">
        <v>67.8</v>
      </c>
      <c r="Q874" s="22" t="str">
        <f>IF(OR(L874&lt;$Y$18,L874&gt;$Y$19),"Outlier","Normal")</f>
        <v>Normal</v>
      </c>
      <c r="R874" s="26" t="str">
        <f>A874&amp;B874&amp;C874&amp;D874&amp;E874&amp;F874&amp;G874&amp;H874&amp;I874&amp;J874&amp;K874&amp;L874&amp;M874&amp;N874&amp;O874&amp;P874</f>
        <v>USR-10087345769TreatmentWestUnknownSocialFree100000067.8</v>
      </c>
      <c r="S874" s="22" t="str">
        <f>IF(COUNTIF($R$2:$R$1409,R874)=1,"OK",IF(COUNTIF($R$2:$R$1409,R874)&gt;1,"Exact Duplicate","Review Required"))</f>
        <v>OK</v>
      </c>
      <c r="T874" s="22"/>
      <c r="U874" s="22" t="s">
        <v>41</v>
      </c>
      <c r="V874" s="22"/>
    </row>
    <row r="875" spans="1:22" ht="41.4">
      <c r="A875" s="22" t="s">
        <v>906</v>
      </c>
      <c r="B875" s="25">
        <v>45781</v>
      </c>
      <c r="C875" s="22" t="s">
        <v>723</v>
      </c>
      <c r="D875" s="22" t="s">
        <v>23</v>
      </c>
      <c r="E875" s="22" t="s">
        <v>19</v>
      </c>
      <c r="F875" s="22" t="s">
        <v>41</v>
      </c>
      <c r="G875" s="22" t="s">
        <v>26</v>
      </c>
      <c r="H875" s="22">
        <v>1</v>
      </c>
      <c r="I875" s="22">
        <v>0</v>
      </c>
      <c r="J875" s="22">
        <v>0</v>
      </c>
      <c r="K875" s="22">
        <v>0</v>
      </c>
      <c r="L875" s="22">
        <v>0</v>
      </c>
      <c r="M875" s="22">
        <v>0</v>
      </c>
      <c r="N875" s="22">
        <v>0</v>
      </c>
      <c r="O875" s="22"/>
      <c r="P875" s="22">
        <v>80</v>
      </c>
      <c r="Q875" s="22" t="str">
        <f>IF(OR(L875&lt;$Y$18,L875&gt;$Y$19),"Outlier","Normal")</f>
        <v>Normal</v>
      </c>
      <c r="R875" s="26" t="str">
        <f>A875&amp;B875&amp;C875&amp;D875&amp;E875&amp;F875&amp;G875&amp;H875&amp;I875&amp;J875&amp;K875&amp;L875&amp;M875&amp;N875&amp;O875&amp;P875</f>
        <v>USR-10087445781TreatmentWestDesktopSocialFree100000080</v>
      </c>
      <c r="S875" s="22" t="str">
        <f>IF(COUNTIF($R$2:$R$1409,R875)=1,"OK",IF(COUNTIF($R$2:$R$1409,R875)&gt;1,"Exact Duplicate","Review Required"))</f>
        <v>OK</v>
      </c>
      <c r="T875" s="22" t="s">
        <v>19</v>
      </c>
      <c r="U875" s="22" t="s">
        <v>41</v>
      </c>
      <c r="V875" s="22"/>
    </row>
    <row r="876" spans="1:22" ht="41.4">
      <c r="A876" s="22" t="s">
        <v>907</v>
      </c>
      <c r="B876" s="25">
        <v>45793</v>
      </c>
      <c r="C876" s="22" t="s">
        <v>723</v>
      </c>
      <c r="D876" s="22" t="s">
        <v>32</v>
      </c>
      <c r="E876" s="22" t="s">
        <v>24</v>
      </c>
      <c r="F876" s="22" t="s">
        <v>41</v>
      </c>
      <c r="G876" s="22" t="s">
        <v>21</v>
      </c>
      <c r="H876" s="22">
        <v>1</v>
      </c>
      <c r="I876" s="22">
        <v>1</v>
      </c>
      <c r="J876" s="22">
        <v>1</v>
      </c>
      <c r="K876" s="22">
        <v>0</v>
      </c>
      <c r="L876" s="22">
        <v>0</v>
      </c>
      <c r="M876" s="22">
        <v>1</v>
      </c>
      <c r="N876" s="22">
        <v>0</v>
      </c>
      <c r="O876" s="22"/>
      <c r="P876" s="22">
        <v>80.900000000000006</v>
      </c>
      <c r="Q876" s="22" t="str">
        <f>IF(OR(L876&lt;$Y$18,L876&gt;$Y$19),"Outlier","Normal")</f>
        <v>Normal</v>
      </c>
      <c r="R876" s="26" t="str">
        <f>A876&amp;B876&amp;C876&amp;D876&amp;E876&amp;F876&amp;G876&amp;H876&amp;I876&amp;J876&amp;K876&amp;L876&amp;M876&amp;N876&amp;O876&amp;P876</f>
        <v>USR-10087545793TreatmentSouthMobileSocialBasic111001080.9</v>
      </c>
      <c r="S876" s="22" t="str">
        <f>IF(COUNTIF($R$2:$R$1409,R876)=1,"OK",IF(COUNTIF($R$2:$R$1409,R876)&gt;1,"Exact Duplicate","Review Required"))</f>
        <v>OK</v>
      </c>
      <c r="T876" s="22" t="s">
        <v>24</v>
      </c>
      <c r="U876" s="22" t="s">
        <v>41</v>
      </c>
      <c r="V876" s="22"/>
    </row>
    <row r="877" spans="1:22" ht="41.4">
      <c r="A877" s="22" t="s">
        <v>908</v>
      </c>
      <c r="B877" s="25">
        <v>45699</v>
      </c>
      <c r="C877" s="22" t="s">
        <v>723</v>
      </c>
      <c r="D877" s="22" t="s">
        <v>23</v>
      </c>
      <c r="E877" s="22" t="s">
        <v>24</v>
      </c>
      <c r="F877" s="22" t="s">
        <v>29</v>
      </c>
      <c r="G877" s="22" t="s">
        <v>26</v>
      </c>
      <c r="H877" s="22">
        <v>0</v>
      </c>
      <c r="I877" s="22">
        <v>0</v>
      </c>
      <c r="J877" s="22">
        <v>0</v>
      </c>
      <c r="K877" s="22">
        <v>0</v>
      </c>
      <c r="L877" s="22">
        <v>0</v>
      </c>
      <c r="M877" s="22">
        <v>0</v>
      </c>
      <c r="N877" s="22">
        <v>0</v>
      </c>
      <c r="O877" s="22"/>
      <c r="P877" s="22">
        <v>34.5</v>
      </c>
      <c r="Q877" s="22" t="str">
        <f>IF(OR(L877&lt;$Y$18,L877&gt;$Y$19),"Outlier","Normal")</f>
        <v>Normal</v>
      </c>
      <c r="R877" s="26" t="str">
        <f>A877&amp;B877&amp;C877&amp;D877&amp;E877&amp;F877&amp;G877&amp;H877&amp;I877&amp;J877&amp;K877&amp;L877&amp;M877&amp;N877&amp;O877&amp;P877</f>
        <v>USR-10087645699TreatmentWestMobilePaid SearchFree000000034.5</v>
      </c>
      <c r="S877" s="22" t="str">
        <f>IF(COUNTIF($R$2:$R$1409,R877)=1,"OK",IF(COUNTIF($R$2:$R$1409,R877)&gt;1,"Exact Duplicate","Review Required"))</f>
        <v>OK</v>
      </c>
      <c r="T877" s="22" t="s">
        <v>24</v>
      </c>
      <c r="U877" s="22" t="s">
        <v>29</v>
      </c>
      <c r="V877" s="22"/>
    </row>
    <row r="878" spans="1:22" ht="41.4">
      <c r="A878" s="22" t="s">
        <v>909</v>
      </c>
      <c r="B878" s="25">
        <v>45786</v>
      </c>
      <c r="C878" s="22" t="s">
        <v>723</v>
      </c>
      <c r="D878" s="22" t="s">
        <v>28</v>
      </c>
      <c r="E878" s="22" t="s">
        <v>19</v>
      </c>
      <c r="F878" s="22" t="s">
        <v>25</v>
      </c>
      <c r="G878" s="22" t="s">
        <v>30</v>
      </c>
      <c r="H878" s="22">
        <v>1</v>
      </c>
      <c r="I878" s="22">
        <v>0</v>
      </c>
      <c r="J878" s="22">
        <v>0</v>
      </c>
      <c r="K878" s="22">
        <v>0</v>
      </c>
      <c r="L878" s="22">
        <v>0</v>
      </c>
      <c r="M878" s="22">
        <v>0</v>
      </c>
      <c r="N878" s="22">
        <v>0</v>
      </c>
      <c r="O878" s="22"/>
      <c r="P878" s="22">
        <v>73.5</v>
      </c>
      <c r="Q878" s="22" t="str">
        <f>IF(OR(L878&lt;$Y$18,L878&gt;$Y$19),"Outlier","Normal")</f>
        <v>Normal</v>
      </c>
      <c r="R878" s="26" t="str">
        <f>A878&amp;B878&amp;C878&amp;D878&amp;E878&amp;F878&amp;G878&amp;H878&amp;I878&amp;J878&amp;K878&amp;L878&amp;M878&amp;N878&amp;O878&amp;P878</f>
        <v>USR-10087745786TreatmentEastDesktopOrganicPremium100000073.5</v>
      </c>
      <c r="S878" s="22" t="str">
        <f>IF(COUNTIF($R$2:$R$1409,R878)=1,"OK",IF(COUNTIF($R$2:$R$1409,R878)&gt;1,"Exact Duplicate","Review Required"))</f>
        <v>OK</v>
      </c>
      <c r="T878" s="22" t="s">
        <v>19</v>
      </c>
      <c r="U878" s="22" t="s">
        <v>25</v>
      </c>
      <c r="V878" s="22"/>
    </row>
    <row r="879" spans="1:22" ht="41.4">
      <c r="A879" s="22" t="s">
        <v>910</v>
      </c>
      <c r="B879" s="25">
        <v>45697</v>
      </c>
      <c r="C879" s="22" t="s">
        <v>723</v>
      </c>
      <c r="D879" s="22" t="s">
        <v>32</v>
      </c>
      <c r="E879" s="22" t="s">
        <v>19</v>
      </c>
      <c r="F879" s="22" t="s">
        <v>29</v>
      </c>
      <c r="G879" s="22" t="s">
        <v>26</v>
      </c>
      <c r="H879" s="22">
        <v>1</v>
      </c>
      <c r="I879" s="22">
        <v>1</v>
      </c>
      <c r="J879" s="22">
        <v>0</v>
      </c>
      <c r="K879" s="22">
        <v>0</v>
      </c>
      <c r="L879" s="22">
        <v>0</v>
      </c>
      <c r="M879" s="22">
        <v>0</v>
      </c>
      <c r="N879" s="22">
        <v>0</v>
      </c>
      <c r="O879" s="22"/>
      <c r="P879" s="22">
        <v>70</v>
      </c>
      <c r="Q879" s="22" t="str">
        <f>IF(OR(L879&lt;$Y$18,L879&gt;$Y$19),"Outlier","Normal")</f>
        <v>Normal</v>
      </c>
      <c r="R879" s="26" t="str">
        <f>A879&amp;B879&amp;C879&amp;D879&amp;E879&amp;F879&amp;G879&amp;H879&amp;I879&amp;J879&amp;K879&amp;L879&amp;M879&amp;N879&amp;O879&amp;P879</f>
        <v>USR-10087845697TreatmentSouthDesktopPaid SearchFree110000070</v>
      </c>
      <c r="S879" s="22" t="str">
        <f>IF(COUNTIF($R$2:$R$1409,R879)=1,"OK",IF(COUNTIF($R$2:$R$1409,R879)&gt;1,"Exact Duplicate","Review Required"))</f>
        <v>OK</v>
      </c>
      <c r="T879" s="22" t="s">
        <v>19</v>
      </c>
      <c r="U879" s="22" t="s">
        <v>29</v>
      </c>
      <c r="V879" s="22"/>
    </row>
    <row r="880" spans="1:22" ht="41.4">
      <c r="A880" s="22" t="s">
        <v>911</v>
      </c>
      <c r="B880" s="25">
        <v>45799</v>
      </c>
      <c r="C880" s="22" t="s">
        <v>723</v>
      </c>
      <c r="D880" s="22" t="s">
        <v>23</v>
      </c>
      <c r="E880" s="22" t="s">
        <v>24</v>
      </c>
      <c r="F880" s="22" t="s">
        <v>41</v>
      </c>
      <c r="G880" s="22" t="s">
        <v>21</v>
      </c>
      <c r="H880" s="22">
        <v>0</v>
      </c>
      <c r="I880" s="22">
        <v>0</v>
      </c>
      <c r="J880" s="22">
        <v>0</v>
      </c>
      <c r="K880" s="22">
        <v>0</v>
      </c>
      <c r="L880" s="22">
        <v>0</v>
      </c>
      <c r="M880" s="22">
        <v>0</v>
      </c>
      <c r="N880" s="22">
        <v>0</v>
      </c>
      <c r="O880" s="22"/>
      <c r="P880" s="22">
        <v>86.9</v>
      </c>
      <c r="Q880" s="22" t="str">
        <f>IF(OR(L880&lt;$Y$18,L880&gt;$Y$19),"Outlier","Normal")</f>
        <v>Normal</v>
      </c>
      <c r="R880" s="26" t="str">
        <f>A880&amp;B880&amp;C880&amp;D880&amp;E880&amp;F880&amp;G880&amp;H880&amp;I880&amp;J880&amp;K880&amp;L880&amp;M880&amp;N880&amp;O880&amp;P880</f>
        <v>USR-10087945799TreatmentWestMobileSocialBasic000000086.9</v>
      </c>
      <c r="S880" s="22" t="str">
        <f>IF(COUNTIF($R$2:$R$1409,R880)=1,"OK",IF(COUNTIF($R$2:$R$1409,R880)&gt;1,"Exact Duplicate","Review Required"))</f>
        <v>OK</v>
      </c>
      <c r="T880" s="22" t="s">
        <v>24</v>
      </c>
      <c r="U880" s="22" t="s">
        <v>41</v>
      </c>
      <c r="V880" s="22"/>
    </row>
    <row r="881" spans="1:22" ht="41.4">
      <c r="A881" s="22" t="s">
        <v>912</v>
      </c>
      <c r="B881" s="25">
        <v>45801</v>
      </c>
      <c r="C881" s="22" t="s">
        <v>723</v>
      </c>
      <c r="D881" s="22" t="s">
        <v>28</v>
      </c>
      <c r="E881" s="22" t="s">
        <v>24</v>
      </c>
      <c r="F881" s="22" t="s">
        <v>41</v>
      </c>
      <c r="G881" s="22" t="s">
        <v>21</v>
      </c>
      <c r="H881" s="22">
        <v>0</v>
      </c>
      <c r="I881" s="22">
        <v>0</v>
      </c>
      <c r="J881" s="22">
        <v>0</v>
      </c>
      <c r="K881" s="22">
        <v>0</v>
      </c>
      <c r="L881" s="22">
        <v>0</v>
      </c>
      <c r="M881" s="22">
        <v>0</v>
      </c>
      <c r="N881" s="22">
        <v>0</v>
      </c>
      <c r="O881" s="22"/>
      <c r="P881" s="22">
        <v>66.900000000000006</v>
      </c>
      <c r="Q881" s="22" t="str">
        <f>IF(OR(L881&lt;$Y$18,L881&gt;$Y$19),"Outlier","Normal")</f>
        <v>Normal</v>
      </c>
      <c r="R881" s="26" t="str">
        <f>A881&amp;B881&amp;C881&amp;D881&amp;E881&amp;F881&amp;G881&amp;H881&amp;I881&amp;J881&amp;K881&amp;L881&amp;M881&amp;N881&amp;O881&amp;P881</f>
        <v>USR-10088045801TreatmentEastMobileSocialBasic000000066.9</v>
      </c>
      <c r="S881" s="22" t="str">
        <f>IF(COUNTIF($R$2:$R$1409,R881)=1,"OK",IF(COUNTIF($R$2:$R$1409,R881)&gt;1,"Exact Duplicate","Review Required"))</f>
        <v>OK</v>
      </c>
      <c r="T881" s="22" t="s">
        <v>24</v>
      </c>
      <c r="U881" s="22" t="s">
        <v>41</v>
      </c>
      <c r="V881" s="22"/>
    </row>
    <row r="882" spans="1:22" ht="41.4">
      <c r="A882" s="22" t="s">
        <v>913</v>
      </c>
      <c r="B882" s="25">
        <v>45774</v>
      </c>
      <c r="C882" s="22" t="s">
        <v>723</v>
      </c>
      <c r="D882" s="22" t="s">
        <v>32</v>
      </c>
      <c r="E882" s="22" t="s">
        <v>19</v>
      </c>
      <c r="F882" s="22" t="s">
        <v>41</v>
      </c>
      <c r="G882" s="22" t="s">
        <v>21</v>
      </c>
      <c r="H882" s="22">
        <v>1</v>
      </c>
      <c r="I882" s="22">
        <v>1</v>
      </c>
      <c r="J882" s="22">
        <v>1</v>
      </c>
      <c r="K882" s="22">
        <v>0</v>
      </c>
      <c r="L882" s="22">
        <v>0</v>
      </c>
      <c r="M882" s="22">
        <v>0</v>
      </c>
      <c r="N882" s="22">
        <v>0</v>
      </c>
      <c r="O882" s="22"/>
      <c r="P882" s="22">
        <v>58.3</v>
      </c>
      <c r="Q882" s="22" t="str">
        <f>IF(OR(L882&lt;$Y$18,L882&gt;$Y$19),"Outlier","Normal")</f>
        <v>Normal</v>
      </c>
      <c r="R882" s="26" t="str">
        <f>A882&amp;B882&amp;C882&amp;D882&amp;E882&amp;F882&amp;G882&amp;H882&amp;I882&amp;J882&amp;K882&amp;L882&amp;M882&amp;N882&amp;O882&amp;P882</f>
        <v>USR-10088145774TreatmentSouthDesktopSocialBasic111000058.3</v>
      </c>
      <c r="S882" s="22" t="str">
        <f>IF(COUNTIF($R$2:$R$1409,R882)=1,"OK",IF(COUNTIF($R$2:$R$1409,R882)&gt;1,"Exact Duplicate","Review Required"))</f>
        <v>OK</v>
      </c>
      <c r="T882" s="22" t="s">
        <v>19</v>
      </c>
      <c r="U882" s="22" t="s">
        <v>41</v>
      </c>
      <c r="V882" s="22"/>
    </row>
    <row r="883" spans="1:22" ht="41.4">
      <c r="A883" s="22" t="s">
        <v>914</v>
      </c>
      <c r="B883" s="25">
        <v>45735</v>
      </c>
      <c r="C883" s="22" t="s">
        <v>723</v>
      </c>
      <c r="D883" s="22" t="s">
        <v>28</v>
      </c>
      <c r="E883" s="22" t="s">
        <v>24</v>
      </c>
      <c r="F883" s="22" t="s">
        <v>29</v>
      </c>
      <c r="G883" s="22" t="s">
        <v>26</v>
      </c>
      <c r="H883" s="22">
        <v>1</v>
      </c>
      <c r="I883" s="22">
        <v>0</v>
      </c>
      <c r="J883" s="22">
        <v>0</v>
      </c>
      <c r="K883" s="22">
        <v>0</v>
      </c>
      <c r="L883" s="22">
        <v>0</v>
      </c>
      <c r="M883" s="22">
        <v>0</v>
      </c>
      <c r="N883" s="22">
        <v>0</v>
      </c>
      <c r="O883" s="22"/>
      <c r="P883" s="22">
        <v>45</v>
      </c>
      <c r="Q883" s="22" t="str">
        <f>IF(OR(L883&lt;$Y$18,L883&gt;$Y$19),"Outlier","Normal")</f>
        <v>Normal</v>
      </c>
      <c r="R883" s="26" t="str">
        <f>A883&amp;B883&amp;C883&amp;D883&amp;E883&amp;F883&amp;G883&amp;H883&amp;I883&amp;J883&amp;K883&amp;L883&amp;M883&amp;N883&amp;O883&amp;P883</f>
        <v>USR-10088245735TreatmentEastMobilePaid SearchFree100000045</v>
      </c>
      <c r="S883" s="22" t="str">
        <f>IF(COUNTIF($R$2:$R$1409,R883)=1,"OK",IF(COUNTIF($R$2:$R$1409,R883)&gt;1,"Exact Duplicate","Review Required"))</f>
        <v>OK</v>
      </c>
      <c r="T883" s="22" t="s">
        <v>24</v>
      </c>
      <c r="U883" s="22" t="s">
        <v>29</v>
      </c>
      <c r="V883" s="22"/>
    </row>
    <row r="884" spans="1:22" ht="41.4">
      <c r="A884" s="22" t="s">
        <v>915</v>
      </c>
      <c r="B884" s="25">
        <v>45797</v>
      </c>
      <c r="C884" s="22" t="s">
        <v>723</v>
      </c>
      <c r="D884" s="22" t="s">
        <v>32</v>
      </c>
      <c r="E884" s="22" t="s">
        <v>24</v>
      </c>
      <c r="F884" s="22" t="s">
        <v>25</v>
      </c>
      <c r="G884" s="22" t="s">
        <v>30</v>
      </c>
      <c r="H884" s="22">
        <v>0</v>
      </c>
      <c r="I884" s="22">
        <v>0</v>
      </c>
      <c r="J884" s="22">
        <v>0</v>
      </c>
      <c r="K884" s="22">
        <v>0</v>
      </c>
      <c r="L884" s="22">
        <v>0</v>
      </c>
      <c r="M884" s="22">
        <v>0</v>
      </c>
      <c r="N884" s="22">
        <v>0</v>
      </c>
      <c r="O884" s="22"/>
      <c r="P884" s="22">
        <v>60.8</v>
      </c>
      <c r="Q884" s="22" t="str">
        <f>IF(OR(L884&lt;$Y$18,L884&gt;$Y$19),"Outlier","Normal")</f>
        <v>Normal</v>
      </c>
      <c r="R884" s="26" t="str">
        <f>A884&amp;B884&amp;C884&amp;D884&amp;E884&amp;F884&amp;G884&amp;H884&amp;I884&amp;J884&amp;K884&amp;L884&amp;M884&amp;N884&amp;O884&amp;P884</f>
        <v>USR-10088345797TreatmentSouthMobileOrganicPremium000000060.8</v>
      </c>
      <c r="S884" s="22" t="str">
        <f>IF(COUNTIF($R$2:$R$1409,R884)=1,"OK",IF(COUNTIF($R$2:$R$1409,R884)&gt;1,"Exact Duplicate","Review Required"))</f>
        <v>OK</v>
      </c>
      <c r="T884" s="22" t="s">
        <v>24</v>
      </c>
      <c r="U884" s="22" t="s">
        <v>25</v>
      </c>
      <c r="V884" s="22"/>
    </row>
    <row r="885" spans="1:22" ht="41.4">
      <c r="A885" s="22" t="s">
        <v>916</v>
      </c>
      <c r="B885" s="25">
        <v>45787</v>
      </c>
      <c r="C885" s="22" t="s">
        <v>723</v>
      </c>
      <c r="D885" s="22" t="s">
        <v>18</v>
      </c>
      <c r="E885" s="22" t="s">
        <v>24</v>
      </c>
      <c r="F885" s="22" t="s">
        <v>20</v>
      </c>
      <c r="G885" s="22" t="s">
        <v>30</v>
      </c>
      <c r="H885" s="22">
        <v>1</v>
      </c>
      <c r="I885" s="22">
        <v>0</v>
      </c>
      <c r="J885" s="22">
        <v>0</v>
      </c>
      <c r="K885" s="22">
        <v>0</v>
      </c>
      <c r="L885" s="22">
        <v>0</v>
      </c>
      <c r="M885" s="22">
        <v>4</v>
      </c>
      <c r="N885" s="22">
        <v>0</v>
      </c>
      <c r="O885" s="22"/>
      <c r="P885" s="22">
        <v>53.7</v>
      </c>
      <c r="Q885" s="22" t="str">
        <f>IF(OR(L885&lt;$Y$18,L885&gt;$Y$19),"Outlier","Normal")</f>
        <v>Normal</v>
      </c>
      <c r="R885" s="26" t="str">
        <f>A885&amp;B885&amp;C885&amp;D885&amp;E885&amp;F885&amp;G885&amp;H885&amp;I885&amp;J885&amp;K885&amp;L885&amp;M885&amp;N885&amp;O885&amp;P885</f>
        <v>USR-10088445787TreatmentNorthMobileEmailPremium100004053.7</v>
      </c>
      <c r="S885" s="22" t="str">
        <f>IF(COUNTIF($R$2:$R$1409,R885)=1,"OK",IF(COUNTIF($R$2:$R$1409,R885)&gt;1,"Exact Duplicate","Review Required"))</f>
        <v>OK</v>
      </c>
      <c r="T885" s="22" t="s">
        <v>24</v>
      </c>
      <c r="U885" s="22" t="s">
        <v>20</v>
      </c>
      <c r="V885" s="22"/>
    </row>
    <row r="886" spans="1:22" ht="41.4">
      <c r="A886" s="22" t="s">
        <v>917</v>
      </c>
      <c r="B886" s="25">
        <v>45745</v>
      </c>
      <c r="C886" s="22" t="s">
        <v>723</v>
      </c>
      <c r="D886" s="22" t="s">
        <v>28</v>
      </c>
      <c r="E886" s="22" t="s">
        <v>24</v>
      </c>
      <c r="F886" s="22" t="s">
        <v>41</v>
      </c>
      <c r="G886" s="22" t="s">
        <v>26</v>
      </c>
      <c r="H886" s="22">
        <v>1</v>
      </c>
      <c r="I886" s="22">
        <v>1</v>
      </c>
      <c r="J886" s="22">
        <v>1</v>
      </c>
      <c r="K886" s="22">
        <v>0</v>
      </c>
      <c r="L886" s="22">
        <v>0</v>
      </c>
      <c r="M886" s="22">
        <v>0</v>
      </c>
      <c r="N886" s="22">
        <v>0</v>
      </c>
      <c r="O886" s="22"/>
      <c r="P886" s="22">
        <v>48.8</v>
      </c>
      <c r="Q886" s="22" t="str">
        <f>IF(OR(L886&lt;$Y$18,L886&gt;$Y$19),"Outlier","Normal")</f>
        <v>Normal</v>
      </c>
      <c r="R886" s="26" t="str">
        <f>A886&amp;B886&amp;C886&amp;D886&amp;E886&amp;F886&amp;G886&amp;H886&amp;I886&amp;J886&amp;K886&amp;L886&amp;M886&amp;N886&amp;O886&amp;P886</f>
        <v>USR-10088545745TreatmentEastMobileSocialFree111000048.8</v>
      </c>
      <c r="S886" s="22" t="str">
        <f>IF(COUNTIF($R$2:$R$1409,R886)=1,"OK",IF(COUNTIF($R$2:$R$1409,R886)&gt;1,"Exact Duplicate","Review Required"))</f>
        <v>OK</v>
      </c>
      <c r="T886" s="22" t="s">
        <v>24</v>
      </c>
      <c r="U886" s="22" t="s">
        <v>41</v>
      </c>
      <c r="V886" s="22"/>
    </row>
    <row r="887" spans="1:22" ht="41.4">
      <c r="A887" s="22" t="s">
        <v>918</v>
      </c>
      <c r="B887" s="25">
        <v>45750</v>
      </c>
      <c r="C887" s="22" t="s">
        <v>723</v>
      </c>
      <c r="D887" s="22" t="s">
        <v>23</v>
      </c>
      <c r="E887" s="22" t="s">
        <v>19</v>
      </c>
      <c r="F887" s="22" t="s">
        <v>39</v>
      </c>
      <c r="G887" s="22" t="s">
        <v>21</v>
      </c>
      <c r="H887" s="22">
        <v>0</v>
      </c>
      <c r="I887" s="22">
        <v>0</v>
      </c>
      <c r="J887" s="22">
        <v>0</v>
      </c>
      <c r="K887" s="22">
        <v>0</v>
      </c>
      <c r="L887" s="22">
        <v>0</v>
      </c>
      <c r="M887" s="22">
        <v>0</v>
      </c>
      <c r="N887" s="22">
        <v>0</v>
      </c>
      <c r="O887" s="22"/>
      <c r="P887" s="22">
        <v>52.9</v>
      </c>
      <c r="Q887" s="22" t="str">
        <f>IF(OR(L887&lt;$Y$18,L887&gt;$Y$19),"Outlier","Normal")</f>
        <v>Normal</v>
      </c>
      <c r="R887" s="26" t="str">
        <f>A887&amp;B887&amp;C887&amp;D887&amp;E887&amp;F887&amp;G887&amp;H887&amp;I887&amp;J887&amp;K887&amp;L887&amp;M887&amp;N887&amp;O887&amp;P887</f>
        <v>USR-10088645750TreatmentWestDesktopReferralBasic000000052.9</v>
      </c>
      <c r="S887" s="22" t="str">
        <f>IF(COUNTIF($R$2:$R$1409,R887)=1,"OK",IF(COUNTIF($R$2:$R$1409,R887)&gt;1,"Exact Duplicate","Review Required"))</f>
        <v>OK</v>
      </c>
      <c r="T887" s="22" t="s">
        <v>19</v>
      </c>
      <c r="U887" s="22" t="s">
        <v>39</v>
      </c>
      <c r="V887" s="22"/>
    </row>
    <row r="888" spans="1:22" ht="41.4">
      <c r="A888" s="22" t="s">
        <v>919</v>
      </c>
      <c r="B888" s="25">
        <v>45807</v>
      </c>
      <c r="C888" s="22" t="s">
        <v>723</v>
      </c>
      <c r="D888" s="22" t="s">
        <v>32</v>
      </c>
      <c r="E888" s="22" t="s">
        <v>24</v>
      </c>
      <c r="F888" s="22" t="s">
        <v>20</v>
      </c>
      <c r="G888" s="22" t="s">
        <v>26</v>
      </c>
      <c r="H888" s="22">
        <v>1</v>
      </c>
      <c r="I888" s="22">
        <v>0</v>
      </c>
      <c r="J888" s="22">
        <v>0</v>
      </c>
      <c r="K888" s="22">
        <v>0</v>
      </c>
      <c r="L888" s="22">
        <v>0</v>
      </c>
      <c r="M888" s="22">
        <v>0</v>
      </c>
      <c r="N888" s="22">
        <v>0</v>
      </c>
      <c r="O888" s="22"/>
      <c r="P888" s="22">
        <v>42.4</v>
      </c>
      <c r="Q888" s="22" t="str">
        <f>IF(OR(L888&lt;$Y$18,L888&gt;$Y$19),"Outlier","Normal")</f>
        <v>Normal</v>
      </c>
      <c r="R888" s="26" t="str">
        <f>A888&amp;B888&amp;C888&amp;D888&amp;E888&amp;F888&amp;G888&amp;H888&amp;I888&amp;J888&amp;K888&amp;L888&amp;M888&amp;N888&amp;O888&amp;P888</f>
        <v>USR-10088745807TreatmentSouthMobileEmailFree100000042.4</v>
      </c>
      <c r="S888" s="22" t="str">
        <f>IF(COUNTIF($R$2:$R$1409,R888)=1,"OK",IF(COUNTIF($R$2:$R$1409,R888)&gt;1,"Exact Duplicate","Review Required"))</f>
        <v>OK</v>
      </c>
      <c r="T888" s="22" t="s">
        <v>24</v>
      </c>
      <c r="U888" s="22" t="s">
        <v>20</v>
      </c>
      <c r="V888" s="22"/>
    </row>
    <row r="889" spans="1:22" ht="41.4">
      <c r="A889" s="22" t="s">
        <v>920</v>
      </c>
      <c r="B889" s="25">
        <v>45753</v>
      </c>
      <c r="C889" s="22" t="s">
        <v>723</v>
      </c>
      <c r="D889" s="22" t="s">
        <v>28</v>
      </c>
      <c r="E889" s="22" t="s">
        <v>19</v>
      </c>
      <c r="F889" s="22" t="s">
        <v>20</v>
      </c>
      <c r="G889" s="22" t="s">
        <v>26</v>
      </c>
      <c r="H889" s="22">
        <v>1</v>
      </c>
      <c r="I889" s="22">
        <v>0</v>
      </c>
      <c r="J889" s="22">
        <v>0</v>
      </c>
      <c r="K889" s="22">
        <v>0</v>
      </c>
      <c r="L889" s="22">
        <v>0</v>
      </c>
      <c r="M889" s="22">
        <v>0</v>
      </c>
      <c r="N889" s="22">
        <v>0</v>
      </c>
      <c r="O889" s="22"/>
      <c r="P889" s="22">
        <v>58.7</v>
      </c>
      <c r="Q889" s="22" t="str">
        <f>IF(OR(L889&lt;$Y$18,L889&gt;$Y$19),"Outlier","Normal")</f>
        <v>Normal</v>
      </c>
      <c r="R889" s="26" t="str">
        <f>A889&amp;B889&amp;C889&amp;D889&amp;E889&amp;F889&amp;G889&amp;H889&amp;I889&amp;J889&amp;K889&amp;L889&amp;M889&amp;N889&amp;O889&amp;P889</f>
        <v>USR-10088845753TreatmentEastDesktopEmailFree100000058.7</v>
      </c>
      <c r="S889" s="22" t="str">
        <f>IF(COUNTIF($R$2:$R$1409,R889)=1,"OK",IF(COUNTIF($R$2:$R$1409,R889)&gt;1,"Exact Duplicate","Review Required"))</f>
        <v>OK</v>
      </c>
      <c r="T889" s="22" t="s">
        <v>19</v>
      </c>
      <c r="U889" s="22" t="s">
        <v>20</v>
      </c>
      <c r="V889" s="22"/>
    </row>
    <row r="890" spans="1:22" ht="41.4">
      <c r="A890" s="22" t="s">
        <v>921</v>
      </c>
      <c r="B890" s="25">
        <v>45730</v>
      </c>
      <c r="C890" s="22" t="s">
        <v>723</v>
      </c>
      <c r="D890" s="22" t="s">
        <v>18</v>
      </c>
      <c r="E890" s="22" t="s">
        <v>24</v>
      </c>
      <c r="F890" s="22" t="s">
        <v>39</v>
      </c>
      <c r="G890" s="22" t="s">
        <v>26</v>
      </c>
      <c r="H890" s="22">
        <v>1</v>
      </c>
      <c r="I890" s="22">
        <v>1</v>
      </c>
      <c r="J890" s="22">
        <v>1</v>
      </c>
      <c r="K890" s="22">
        <v>1</v>
      </c>
      <c r="L890" s="22">
        <v>2064.5500000000002</v>
      </c>
      <c r="M890" s="22">
        <v>0</v>
      </c>
      <c r="N890" s="22">
        <v>0</v>
      </c>
      <c r="O890" s="22">
        <v>1</v>
      </c>
      <c r="P890" s="22">
        <v>67.8</v>
      </c>
      <c r="Q890" s="22" t="str">
        <f>IF(OR(L890&lt;$Y$18,L890&gt;$Y$19),"Outlier","Normal")</f>
        <v>Normal</v>
      </c>
      <c r="R890" s="26" t="str">
        <f>A890&amp;B890&amp;C890&amp;D890&amp;E890&amp;F890&amp;G890&amp;H890&amp;I890&amp;J890&amp;K890&amp;L890&amp;M890&amp;N890&amp;O890&amp;P890</f>
        <v>USR-10088945730TreatmentNorthMobileReferralFree11112064.5500167.8</v>
      </c>
      <c r="S890" s="22" t="str">
        <f>IF(COUNTIF($R$2:$R$1409,R890)=1,"OK",IF(COUNTIF($R$2:$R$1409,R890)&gt;1,"Exact Duplicate","Review Required"))</f>
        <v>OK</v>
      </c>
      <c r="T890" s="22" t="s">
        <v>24</v>
      </c>
      <c r="U890" s="22" t="s">
        <v>39</v>
      </c>
      <c r="V890" s="22"/>
    </row>
    <row r="891" spans="1:22" ht="41.4">
      <c r="A891" s="22" t="s">
        <v>922</v>
      </c>
      <c r="B891" s="25">
        <v>45712</v>
      </c>
      <c r="C891" s="22" t="s">
        <v>723</v>
      </c>
      <c r="D891" s="22" t="s">
        <v>32</v>
      </c>
      <c r="E891" s="22" t="s">
        <v>19</v>
      </c>
      <c r="F891" s="22" t="s">
        <v>29</v>
      </c>
      <c r="G891" s="22" t="s">
        <v>21</v>
      </c>
      <c r="H891" s="22">
        <v>1</v>
      </c>
      <c r="I891" s="22">
        <v>0</v>
      </c>
      <c r="J891" s="22">
        <v>0</v>
      </c>
      <c r="K891" s="22">
        <v>0</v>
      </c>
      <c r="L891" s="22">
        <v>0</v>
      </c>
      <c r="M891" s="22">
        <v>0</v>
      </c>
      <c r="N891" s="22">
        <v>0</v>
      </c>
      <c r="O891" s="22"/>
      <c r="P891" s="22">
        <v>62.6</v>
      </c>
      <c r="Q891" s="22" t="str">
        <f>IF(OR(L891&lt;$Y$18,L891&gt;$Y$19),"Outlier","Normal")</f>
        <v>Normal</v>
      </c>
      <c r="R891" s="26" t="str">
        <f>A891&amp;B891&amp;C891&amp;D891&amp;E891&amp;F891&amp;G891&amp;H891&amp;I891&amp;J891&amp;K891&amp;L891&amp;M891&amp;N891&amp;O891&amp;P891</f>
        <v>USR-10089045712TreatmentSouthDesktopPaid SearchBasic100000062.6</v>
      </c>
      <c r="S891" s="22" t="str">
        <f>IF(COUNTIF($R$2:$R$1409,R891)=1,"OK",IF(COUNTIF($R$2:$R$1409,R891)&gt;1,"Exact Duplicate","Review Required"))</f>
        <v>OK</v>
      </c>
      <c r="T891" s="22" t="s">
        <v>19</v>
      </c>
      <c r="U891" s="22" t="s">
        <v>29</v>
      </c>
      <c r="V891" s="22"/>
    </row>
    <row r="892" spans="1:22" ht="41.4">
      <c r="A892" s="22" t="s">
        <v>923</v>
      </c>
      <c r="B892" s="25">
        <v>45720</v>
      </c>
      <c r="C892" s="22" t="s">
        <v>723</v>
      </c>
      <c r="D892" s="22" t="s">
        <v>23</v>
      </c>
      <c r="E892" s="22" t="s">
        <v>24</v>
      </c>
      <c r="F892" s="22" t="s">
        <v>20</v>
      </c>
      <c r="G892" s="22" t="s">
        <v>21</v>
      </c>
      <c r="H892" s="22">
        <v>1</v>
      </c>
      <c r="I892" s="22">
        <v>0</v>
      </c>
      <c r="J892" s="22">
        <v>0</v>
      </c>
      <c r="K892" s="22">
        <v>0</v>
      </c>
      <c r="L892" s="22">
        <v>0</v>
      </c>
      <c r="M892" s="22">
        <v>0</v>
      </c>
      <c r="N892" s="22">
        <v>0</v>
      </c>
      <c r="O892" s="22"/>
      <c r="P892" s="22">
        <v>82.4</v>
      </c>
      <c r="Q892" s="22" t="str">
        <f>IF(OR(L892&lt;$Y$18,L892&gt;$Y$19),"Outlier","Normal")</f>
        <v>Normal</v>
      </c>
      <c r="R892" s="26" t="str">
        <f>A892&amp;B892&amp;C892&amp;D892&amp;E892&amp;F892&amp;G892&amp;H892&amp;I892&amp;J892&amp;K892&amp;L892&amp;M892&amp;N892&amp;O892&amp;P892</f>
        <v>USR-10089145720TreatmentWestMobileEmailBasic100000082.4</v>
      </c>
      <c r="S892" s="22" t="str">
        <f>IF(COUNTIF($R$2:$R$1409,R892)=1,"OK",IF(COUNTIF($R$2:$R$1409,R892)&gt;1,"Exact Duplicate","Review Required"))</f>
        <v>OK</v>
      </c>
      <c r="T892" s="22" t="s">
        <v>24</v>
      </c>
      <c r="U892" s="22" t="s">
        <v>20</v>
      </c>
      <c r="V892" s="22"/>
    </row>
    <row r="893" spans="1:22" ht="41.4">
      <c r="A893" s="22" t="s">
        <v>924</v>
      </c>
      <c r="B893" s="25">
        <v>45749</v>
      </c>
      <c r="C893" s="22" t="s">
        <v>723</v>
      </c>
      <c r="D893" s="22" t="s">
        <v>18</v>
      </c>
      <c r="E893" s="22" t="s">
        <v>24</v>
      </c>
      <c r="F893" s="22" t="s">
        <v>25</v>
      </c>
      <c r="G893" s="22" t="s">
        <v>26</v>
      </c>
      <c r="H893" s="22">
        <v>1</v>
      </c>
      <c r="I893" s="22">
        <v>1</v>
      </c>
      <c r="J893" s="22">
        <v>1</v>
      </c>
      <c r="K893" s="22">
        <v>0</v>
      </c>
      <c r="L893" s="22">
        <v>0</v>
      </c>
      <c r="M893" s="22">
        <v>0</v>
      </c>
      <c r="N893" s="22">
        <v>0</v>
      </c>
      <c r="O893" s="22"/>
      <c r="P893" s="22">
        <v>50.4</v>
      </c>
      <c r="Q893" s="22" t="str">
        <f>IF(OR(L893&lt;$Y$18,L893&gt;$Y$19),"Outlier","Normal")</f>
        <v>Normal</v>
      </c>
      <c r="R893" s="26" t="str">
        <f>A893&amp;B893&amp;C893&amp;D893&amp;E893&amp;F893&amp;G893&amp;H893&amp;I893&amp;J893&amp;K893&amp;L893&amp;M893&amp;N893&amp;O893&amp;P893</f>
        <v>USR-10089245749TreatmentNorthMobileOrganicFree111000050.4</v>
      </c>
      <c r="S893" s="22" t="str">
        <f>IF(COUNTIF($R$2:$R$1409,R893)=1,"OK",IF(COUNTIF($R$2:$R$1409,R893)&gt;1,"Exact Duplicate","Review Required"))</f>
        <v>OK</v>
      </c>
      <c r="T893" s="22" t="s">
        <v>24</v>
      </c>
      <c r="U893" s="22" t="s">
        <v>25</v>
      </c>
      <c r="V893" s="22"/>
    </row>
    <row r="894" spans="1:22" ht="41.4">
      <c r="A894" s="22" t="s">
        <v>925</v>
      </c>
      <c r="B894" s="25">
        <v>45788</v>
      </c>
      <c r="C894" s="22" t="s">
        <v>723</v>
      </c>
      <c r="D894" s="22" t="s">
        <v>18</v>
      </c>
      <c r="E894" s="22" t="s">
        <v>24</v>
      </c>
      <c r="F894" s="22" t="s">
        <v>20</v>
      </c>
      <c r="G894" s="22" t="s">
        <v>30</v>
      </c>
      <c r="H894" s="22">
        <v>0</v>
      </c>
      <c r="I894" s="22">
        <v>0</v>
      </c>
      <c r="J894" s="22">
        <v>0</v>
      </c>
      <c r="K894" s="22">
        <v>0</v>
      </c>
      <c r="L894" s="22">
        <v>0</v>
      </c>
      <c r="M894" s="22">
        <v>0</v>
      </c>
      <c r="N894" s="22">
        <v>0</v>
      </c>
      <c r="O894" s="22"/>
      <c r="P894" s="22">
        <v>68.400000000000006</v>
      </c>
      <c r="Q894" s="22" t="str">
        <f>IF(OR(L894&lt;$Y$18,L894&gt;$Y$19),"Outlier","Normal")</f>
        <v>Normal</v>
      </c>
      <c r="R894" s="26" t="str">
        <f>A894&amp;B894&amp;C894&amp;D894&amp;E894&amp;F894&amp;G894&amp;H894&amp;I894&amp;J894&amp;K894&amp;L894&amp;M894&amp;N894&amp;O894&amp;P894</f>
        <v>USR-10089345788TreatmentNorthMobileEmailPremium000000068.4</v>
      </c>
      <c r="S894" s="22" t="str">
        <f>IF(COUNTIF($R$2:$R$1409,R894)=1,"OK",IF(COUNTIF($R$2:$R$1409,R894)&gt;1,"Exact Duplicate","Review Required"))</f>
        <v>OK</v>
      </c>
      <c r="T894" s="22" t="s">
        <v>24</v>
      </c>
      <c r="U894" s="22" t="s">
        <v>20</v>
      </c>
      <c r="V894" s="22"/>
    </row>
    <row r="895" spans="1:22" ht="41.4">
      <c r="A895" s="22" t="s">
        <v>926</v>
      </c>
      <c r="B895" s="25">
        <v>45787</v>
      </c>
      <c r="C895" s="22" t="s">
        <v>723</v>
      </c>
      <c r="D895" s="22" t="s">
        <v>23</v>
      </c>
      <c r="E895" s="22" t="s">
        <v>34</v>
      </c>
      <c r="F895" s="22" t="s">
        <v>29</v>
      </c>
      <c r="G895" s="22" t="s">
        <v>21</v>
      </c>
      <c r="H895" s="22">
        <v>1</v>
      </c>
      <c r="I895" s="22">
        <v>1</v>
      </c>
      <c r="J895" s="22">
        <v>1</v>
      </c>
      <c r="K895" s="22">
        <v>0</v>
      </c>
      <c r="L895" s="22">
        <v>0</v>
      </c>
      <c r="M895" s="22">
        <v>0</v>
      </c>
      <c r="N895" s="22">
        <v>0</v>
      </c>
      <c r="O895" s="22"/>
      <c r="P895" s="22">
        <v>58.8</v>
      </c>
      <c r="Q895" s="22" t="str">
        <f>IF(OR(L895&lt;$Y$18,L895&gt;$Y$19),"Outlier","Normal")</f>
        <v>Normal</v>
      </c>
      <c r="R895" s="26" t="str">
        <f>A895&amp;B895&amp;C895&amp;D895&amp;E895&amp;F895&amp;G895&amp;H895&amp;I895&amp;J895&amp;K895&amp;L895&amp;M895&amp;N895&amp;O895&amp;P895</f>
        <v>USR-10089445787TreatmentWestTabletPaid SearchBasic111000058.8</v>
      </c>
      <c r="S895" s="22" t="str">
        <f>IF(COUNTIF($R$2:$R$1409,R895)=1,"OK",IF(COUNTIF($R$2:$R$1409,R895)&gt;1,"Exact Duplicate","Review Required"))</f>
        <v>OK</v>
      </c>
      <c r="T895" s="22" t="s">
        <v>34</v>
      </c>
      <c r="U895" s="22" t="s">
        <v>29</v>
      </c>
      <c r="V895" s="22"/>
    </row>
    <row r="896" spans="1:22" ht="41.4">
      <c r="A896" s="22" t="s">
        <v>927</v>
      </c>
      <c r="B896" s="25">
        <v>45783</v>
      </c>
      <c r="C896" s="22" t="s">
        <v>723</v>
      </c>
      <c r="D896" s="22" t="s">
        <v>23</v>
      </c>
      <c r="E896" s="22" t="s">
        <v>24</v>
      </c>
      <c r="F896" s="22" t="s">
        <v>39</v>
      </c>
      <c r="G896" s="22" t="s">
        <v>26</v>
      </c>
      <c r="H896" s="22">
        <v>1</v>
      </c>
      <c r="I896" s="22">
        <v>1</v>
      </c>
      <c r="J896" s="22">
        <v>0</v>
      </c>
      <c r="K896" s="22">
        <v>0</v>
      </c>
      <c r="L896" s="22">
        <v>0</v>
      </c>
      <c r="M896" s="22">
        <v>2</v>
      </c>
      <c r="N896" s="22">
        <v>0</v>
      </c>
      <c r="O896" s="22"/>
      <c r="P896" s="22">
        <v>28.3</v>
      </c>
      <c r="Q896" s="22" t="str">
        <f>IF(OR(L896&lt;$Y$18,L896&gt;$Y$19),"Outlier","Normal")</f>
        <v>Normal</v>
      </c>
      <c r="R896" s="26" t="str">
        <f>A896&amp;B896&amp;C896&amp;D896&amp;E896&amp;F896&amp;G896&amp;H896&amp;I896&amp;J896&amp;K896&amp;L896&amp;M896&amp;N896&amp;O896&amp;P896</f>
        <v>USR-10089545783TreatmentWestMobileReferralFree110002028.3</v>
      </c>
      <c r="S896" s="22" t="str">
        <f>IF(COUNTIF($R$2:$R$1409,R896)=1,"OK",IF(COUNTIF($R$2:$R$1409,R896)&gt;1,"Exact Duplicate","Review Required"))</f>
        <v>OK</v>
      </c>
      <c r="T896" s="22" t="s">
        <v>24</v>
      </c>
      <c r="U896" s="22" t="s">
        <v>39</v>
      </c>
      <c r="V896" s="22"/>
    </row>
    <row r="897" spans="1:22" ht="41.4">
      <c r="A897" s="22" t="s">
        <v>928</v>
      </c>
      <c r="B897" s="25">
        <v>45699</v>
      </c>
      <c r="C897" s="22" t="s">
        <v>723</v>
      </c>
      <c r="D897" s="22" t="s">
        <v>23</v>
      </c>
      <c r="E897" s="22" t="s">
        <v>19</v>
      </c>
      <c r="F897" s="22" t="s">
        <v>29</v>
      </c>
      <c r="G897" s="22" t="s">
        <v>26</v>
      </c>
      <c r="H897" s="22">
        <v>1</v>
      </c>
      <c r="I897" s="22">
        <v>1</v>
      </c>
      <c r="J897" s="22">
        <v>0</v>
      </c>
      <c r="K897" s="22">
        <v>0</v>
      </c>
      <c r="L897" s="22">
        <v>0</v>
      </c>
      <c r="M897" s="22">
        <v>0</v>
      </c>
      <c r="N897" s="22">
        <v>0</v>
      </c>
      <c r="O897" s="22"/>
      <c r="P897" s="22">
        <v>44.1</v>
      </c>
      <c r="Q897" s="22" t="str">
        <f>IF(OR(L897&lt;$Y$18,L897&gt;$Y$19),"Outlier","Normal")</f>
        <v>Normal</v>
      </c>
      <c r="R897" s="26" t="str">
        <f>A897&amp;B897&amp;C897&amp;D897&amp;E897&amp;F897&amp;G897&amp;H897&amp;I897&amp;J897&amp;K897&amp;L897&amp;M897&amp;N897&amp;O897&amp;P897</f>
        <v>USR-10089645699TreatmentWestDesktopPaid SearchFree110000044.1</v>
      </c>
      <c r="S897" s="22" t="str">
        <f>IF(COUNTIF($R$2:$R$1409,R897)=1,"OK",IF(COUNTIF($R$2:$R$1409,R897)&gt;1,"Exact Duplicate","Review Required"))</f>
        <v>OK</v>
      </c>
      <c r="T897" s="22" t="s">
        <v>19</v>
      </c>
      <c r="U897" s="22" t="s">
        <v>29</v>
      </c>
      <c r="V897" s="22"/>
    </row>
    <row r="898" spans="1:22" ht="41.4">
      <c r="A898" s="22" t="s">
        <v>929</v>
      </c>
      <c r="B898" s="25">
        <v>45786</v>
      </c>
      <c r="C898" s="22" t="s">
        <v>723</v>
      </c>
      <c r="D898" s="22" t="s">
        <v>32</v>
      </c>
      <c r="E898" s="22" t="s">
        <v>24</v>
      </c>
      <c r="F898" s="22" t="s">
        <v>29</v>
      </c>
      <c r="G898" s="22" t="s">
        <v>30</v>
      </c>
      <c r="H898" s="22">
        <v>1</v>
      </c>
      <c r="I898" s="22">
        <v>1</v>
      </c>
      <c r="J898" s="22">
        <v>0</v>
      </c>
      <c r="K898" s="22">
        <v>0</v>
      </c>
      <c r="L898" s="22">
        <v>0</v>
      </c>
      <c r="M898" s="22">
        <v>0</v>
      </c>
      <c r="N898" s="22">
        <v>0</v>
      </c>
      <c r="O898" s="22"/>
      <c r="P898" s="22">
        <v>66.7</v>
      </c>
      <c r="Q898" s="22" t="str">
        <f>IF(OR(L898&lt;$Y$18,L898&gt;$Y$19),"Outlier","Normal")</f>
        <v>Normal</v>
      </c>
      <c r="R898" s="26" t="str">
        <f>A898&amp;B898&amp;C898&amp;D898&amp;E898&amp;F898&amp;G898&amp;H898&amp;I898&amp;J898&amp;K898&amp;L898&amp;M898&amp;N898&amp;O898&amp;P898</f>
        <v>USR-10089745786TreatmentSouthMobilePaid SearchPremium110000066.7</v>
      </c>
      <c r="S898" s="22" t="str">
        <f>IF(COUNTIF($R$2:$R$1409,R898)=1,"OK",IF(COUNTIF($R$2:$R$1409,R898)&gt;1,"Exact Duplicate","Review Required"))</f>
        <v>OK</v>
      </c>
      <c r="T898" s="22" t="s">
        <v>24</v>
      </c>
      <c r="U898" s="22" t="s">
        <v>29</v>
      </c>
      <c r="V898" s="22"/>
    </row>
    <row r="899" spans="1:22" ht="41.4">
      <c r="A899" s="22" t="s">
        <v>930</v>
      </c>
      <c r="B899" s="25">
        <v>45690</v>
      </c>
      <c r="C899" s="22" t="s">
        <v>723</v>
      </c>
      <c r="D899" s="22" t="s">
        <v>32</v>
      </c>
      <c r="E899" s="22" t="s">
        <v>24</v>
      </c>
      <c r="F899" s="22" t="s">
        <v>1482</v>
      </c>
      <c r="G899" s="22" t="s">
        <v>26</v>
      </c>
      <c r="H899" s="22">
        <v>1</v>
      </c>
      <c r="I899" s="22">
        <v>0</v>
      </c>
      <c r="J899" s="22">
        <v>0</v>
      </c>
      <c r="K899" s="22">
        <v>0</v>
      </c>
      <c r="L899" s="22">
        <v>0</v>
      </c>
      <c r="M899" s="22">
        <v>0</v>
      </c>
      <c r="N899" s="22">
        <v>0</v>
      </c>
      <c r="O899" s="22"/>
      <c r="P899" s="22">
        <v>100</v>
      </c>
      <c r="Q899" s="22" t="str">
        <f>IF(OR(L899&lt;$Y$18,L899&gt;$Y$19),"Outlier","Normal")</f>
        <v>Normal</v>
      </c>
      <c r="R899" s="26" t="str">
        <f>A899&amp;B899&amp;C899&amp;D899&amp;E899&amp;F899&amp;G899&amp;H899&amp;I899&amp;J899&amp;K899&amp;L899&amp;M899&amp;N899&amp;O899&amp;P899</f>
        <v>USR-10089845690TreatmentSouthMobileUnknownFree1000000100</v>
      </c>
      <c r="S899" s="22" t="str">
        <f>IF(COUNTIF($R$2:$R$1409,R899)=1,"OK",IF(COUNTIF($R$2:$R$1409,R899)&gt;1,"Exact Duplicate","Review Required"))</f>
        <v>OK</v>
      </c>
      <c r="T899" s="22" t="s">
        <v>24</v>
      </c>
      <c r="U899" s="22"/>
      <c r="V899" s="22"/>
    </row>
    <row r="900" spans="1:22" ht="41.4">
      <c r="A900" s="22" t="s">
        <v>931</v>
      </c>
      <c r="B900" s="25">
        <v>45750</v>
      </c>
      <c r="C900" s="22" t="s">
        <v>723</v>
      </c>
      <c r="D900" s="22" t="s">
        <v>32</v>
      </c>
      <c r="E900" s="22" t="s">
        <v>24</v>
      </c>
      <c r="F900" s="22" t="s">
        <v>41</v>
      </c>
      <c r="G900" s="22" t="s">
        <v>26</v>
      </c>
      <c r="H900" s="22">
        <v>1</v>
      </c>
      <c r="I900" s="22">
        <v>1</v>
      </c>
      <c r="J900" s="22">
        <v>0</v>
      </c>
      <c r="K900" s="22">
        <v>0</v>
      </c>
      <c r="L900" s="22">
        <v>0</v>
      </c>
      <c r="M900" s="22">
        <v>0</v>
      </c>
      <c r="N900" s="22">
        <v>0</v>
      </c>
      <c r="O900" s="22"/>
      <c r="P900" s="22">
        <v>87.5</v>
      </c>
      <c r="Q900" s="22" t="str">
        <f>IF(OR(L900&lt;$Y$18,L900&gt;$Y$19),"Outlier","Normal")</f>
        <v>Normal</v>
      </c>
      <c r="R900" s="26" t="str">
        <f>A900&amp;B900&amp;C900&amp;D900&amp;E900&amp;F900&amp;G900&amp;H900&amp;I900&amp;J900&amp;K900&amp;L900&amp;M900&amp;N900&amp;O900&amp;P900</f>
        <v>USR-10089945750TreatmentSouthMobileSocialFree110000087.5</v>
      </c>
      <c r="S900" s="22" t="str">
        <f>IF(COUNTIF($R$2:$R$1409,R900)=1,"OK",IF(COUNTIF($R$2:$R$1409,R900)&gt;1,"Exact Duplicate","Review Required"))</f>
        <v>OK</v>
      </c>
      <c r="T900" s="22" t="s">
        <v>24</v>
      </c>
      <c r="U900" s="22" t="s">
        <v>41</v>
      </c>
      <c r="V900" s="22"/>
    </row>
    <row r="901" spans="1:22" ht="41.4">
      <c r="A901" s="22" t="s">
        <v>932</v>
      </c>
      <c r="B901" s="25">
        <v>45703</v>
      </c>
      <c r="C901" s="22" t="s">
        <v>723</v>
      </c>
      <c r="D901" s="22" t="s">
        <v>18</v>
      </c>
      <c r="E901" s="22" t="s">
        <v>19</v>
      </c>
      <c r="F901" s="22" t="s">
        <v>25</v>
      </c>
      <c r="G901" s="22" t="s">
        <v>21</v>
      </c>
      <c r="H901" s="22">
        <v>1</v>
      </c>
      <c r="I901" s="22">
        <v>0</v>
      </c>
      <c r="J901" s="22">
        <v>0</v>
      </c>
      <c r="K901" s="22">
        <v>0</v>
      </c>
      <c r="L901" s="22">
        <v>0</v>
      </c>
      <c r="M901" s="22">
        <v>2</v>
      </c>
      <c r="N901" s="22">
        <v>0</v>
      </c>
      <c r="O901" s="22"/>
      <c r="P901" s="22">
        <v>65.400000000000006</v>
      </c>
      <c r="Q901" s="22" t="str">
        <f>IF(OR(L901&lt;$Y$18,L901&gt;$Y$19),"Outlier","Normal")</f>
        <v>Normal</v>
      </c>
      <c r="R901" s="26" t="str">
        <f>A901&amp;B901&amp;C901&amp;D901&amp;E901&amp;F901&amp;G901&amp;H901&amp;I901&amp;J901&amp;K901&amp;L901&amp;M901&amp;N901&amp;O901&amp;P901</f>
        <v>USR-10090045703TreatmentNorthDesktopOrganicBasic100002065.4</v>
      </c>
      <c r="S901" s="22" t="str">
        <f>IF(COUNTIF($R$2:$R$1409,R901)=1,"OK",IF(COUNTIF($R$2:$R$1409,R901)&gt;1,"Exact Duplicate","Review Required"))</f>
        <v>OK</v>
      </c>
      <c r="T901" s="22" t="s">
        <v>19</v>
      </c>
      <c r="U901" s="22" t="s">
        <v>25</v>
      </c>
      <c r="V901" s="22"/>
    </row>
    <row r="902" spans="1:22" ht="41.4">
      <c r="A902" s="22" t="s">
        <v>933</v>
      </c>
      <c r="B902" s="25">
        <v>45765</v>
      </c>
      <c r="C902" s="22" t="s">
        <v>723</v>
      </c>
      <c r="D902" s="22" t="s">
        <v>32</v>
      </c>
      <c r="E902" s="22" t="s">
        <v>19</v>
      </c>
      <c r="F902" s="22" t="s">
        <v>25</v>
      </c>
      <c r="G902" s="22" t="s">
        <v>26</v>
      </c>
      <c r="H902" s="22">
        <v>1</v>
      </c>
      <c r="I902" s="22">
        <v>0</v>
      </c>
      <c r="J902" s="22">
        <v>0</v>
      </c>
      <c r="K902" s="22">
        <v>0</v>
      </c>
      <c r="L902" s="22">
        <v>0</v>
      </c>
      <c r="M902" s="22">
        <v>0</v>
      </c>
      <c r="N902" s="22">
        <v>0</v>
      </c>
      <c r="O902" s="22"/>
      <c r="P902" s="22">
        <v>22.9</v>
      </c>
      <c r="Q902" s="22" t="str">
        <f>IF(OR(L902&lt;$Y$18,L902&gt;$Y$19),"Outlier","Normal")</f>
        <v>Normal</v>
      </c>
      <c r="R902" s="26" t="str">
        <f>A902&amp;B902&amp;C902&amp;D902&amp;E902&amp;F902&amp;G902&amp;H902&amp;I902&amp;J902&amp;K902&amp;L902&amp;M902&amp;N902&amp;O902&amp;P902</f>
        <v>USR-10090145765TreatmentSouthDesktopOrganicFree100000022.9</v>
      </c>
      <c r="S902" s="22" t="str">
        <f>IF(COUNTIF($R$2:$R$1409,R902)=1,"OK",IF(COUNTIF($R$2:$R$1409,R902)&gt;1,"Exact Duplicate","Review Required"))</f>
        <v>OK</v>
      </c>
      <c r="T902" s="22" t="s">
        <v>19</v>
      </c>
      <c r="U902" s="22" t="s">
        <v>25</v>
      </c>
      <c r="V902" s="22"/>
    </row>
    <row r="903" spans="1:22" ht="41.4">
      <c r="A903" s="22" t="s">
        <v>934</v>
      </c>
      <c r="B903" s="25">
        <v>45730</v>
      </c>
      <c r="C903" s="22" t="s">
        <v>723</v>
      </c>
      <c r="D903" s="22" t="s">
        <v>23</v>
      </c>
      <c r="E903" s="22" t="s">
        <v>19</v>
      </c>
      <c r="F903" s="22" t="s">
        <v>25</v>
      </c>
      <c r="G903" s="22" t="s">
        <v>30</v>
      </c>
      <c r="H903" s="22">
        <v>0</v>
      </c>
      <c r="I903" s="22">
        <v>0</v>
      </c>
      <c r="J903" s="22">
        <v>0</v>
      </c>
      <c r="K903" s="22">
        <v>0</v>
      </c>
      <c r="L903" s="22">
        <v>0</v>
      </c>
      <c r="M903" s="22">
        <v>0</v>
      </c>
      <c r="N903" s="22">
        <v>0</v>
      </c>
      <c r="O903" s="22"/>
      <c r="P903" s="22">
        <v>64.599999999999994</v>
      </c>
      <c r="Q903" s="22" t="str">
        <f>IF(OR(L903&lt;$Y$18,L903&gt;$Y$19),"Outlier","Normal")</f>
        <v>Normal</v>
      </c>
      <c r="R903" s="26" t="str">
        <f>A903&amp;B903&amp;C903&amp;D903&amp;E903&amp;F903&amp;G903&amp;H903&amp;I903&amp;J903&amp;K903&amp;L903&amp;M903&amp;N903&amp;O903&amp;P903</f>
        <v>USR-10090245730TreatmentWestDesktopOrganicPremium000000064.6</v>
      </c>
      <c r="S903" s="22" t="str">
        <f>IF(COUNTIF($R$2:$R$1409,R903)=1,"OK",IF(COUNTIF($R$2:$R$1409,R903)&gt;1,"Exact Duplicate","Review Required"))</f>
        <v>OK</v>
      </c>
      <c r="T903" s="22" t="s">
        <v>19</v>
      </c>
      <c r="U903" s="22" t="s">
        <v>25</v>
      </c>
      <c r="V903" s="22"/>
    </row>
    <row r="904" spans="1:22" ht="41.4">
      <c r="A904" s="22" t="s">
        <v>935</v>
      </c>
      <c r="B904" s="25">
        <v>45745</v>
      </c>
      <c r="C904" s="22" t="s">
        <v>723</v>
      </c>
      <c r="D904" s="22" t="s">
        <v>32</v>
      </c>
      <c r="E904" s="22" t="s">
        <v>24</v>
      </c>
      <c r="F904" s="22" t="s">
        <v>39</v>
      </c>
      <c r="G904" s="22" t="s">
        <v>26</v>
      </c>
      <c r="H904" s="22">
        <v>1</v>
      </c>
      <c r="I904" s="22">
        <v>0</v>
      </c>
      <c r="J904" s="22">
        <v>0</v>
      </c>
      <c r="K904" s="22">
        <v>0</v>
      </c>
      <c r="L904" s="22">
        <v>0</v>
      </c>
      <c r="M904" s="22">
        <v>2</v>
      </c>
      <c r="N904" s="22">
        <v>0</v>
      </c>
      <c r="O904" s="22"/>
      <c r="P904" s="22">
        <v>54.4</v>
      </c>
      <c r="Q904" s="22" t="str">
        <f>IF(OR(L904&lt;$Y$18,L904&gt;$Y$19),"Outlier","Normal")</f>
        <v>Normal</v>
      </c>
      <c r="R904" s="26" t="str">
        <f>A904&amp;B904&amp;C904&amp;D904&amp;E904&amp;F904&amp;G904&amp;H904&amp;I904&amp;J904&amp;K904&amp;L904&amp;M904&amp;N904&amp;O904&amp;P904</f>
        <v>USR-10090345745TreatmentSouthMobileReferralFree100002054.4</v>
      </c>
      <c r="S904" s="22" t="str">
        <f>IF(COUNTIF($R$2:$R$1409,R904)=1,"OK",IF(COUNTIF($R$2:$R$1409,R904)&gt;1,"Exact Duplicate","Review Required"))</f>
        <v>OK</v>
      </c>
      <c r="T904" s="22" t="s">
        <v>24</v>
      </c>
      <c r="U904" s="22" t="s">
        <v>39</v>
      </c>
      <c r="V904" s="22"/>
    </row>
    <row r="905" spans="1:22" ht="41.4">
      <c r="A905" s="22" t="s">
        <v>936</v>
      </c>
      <c r="B905" s="25">
        <v>45701</v>
      </c>
      <c r="C905" s="22" t="s">
        <v>723</v>
      </c>
      <c r="D905" s="22" t="s">
        <v>18</v>
      </c>
      <c r="E905" s="22" t="s">
        <v>19</v>
      </c>
      <c r="F905" s="22" t="s">
        <v>25</v>
      </c>
      <c r="G905" s="22" t="s">
        <v>26</v>
      </c>
      <c r="H905" s="22">
        <v>1</v>
      </c>
      <c r="I905" s="22">
        <v>1</v>
      </c>
      <c r="J905" s="22">
        <v>1</v>
      </c>
      <c r="K905" s="22">
        <v>0</v>
      </c>
      <c r="L905" s="22">
        <v>0</v>
      </c>
      <c r="M905" s="22">
        <v>0</v>
      </c>
      <c r="N905" s="22">
        <v>0</v>
      </c>
      <c r="O905" s="22"/>
      <c r="P905" s="22">
        <v>56.8</v>
      </c>
      <c r="Q905" s="22" t="str">
        <f>IF(OR(L905&lt;$Y$18,L905&gt;$Y$19),"Outlier","Normal")</f>
        <v>Normal</v>
      </c>
      <c r="R905" s="26" t="str">
        <f>A905&amp;B905&amp;C905&amp;D905&amp;E905&amp;F905&amp;G905&amp;H905&amp;I905&amp;J905&amp;K905&amp;L905&amp;M905&amp;N905&amp;O905&amp;P905</f>
        <v>USR-10090445701TreatmentNorthDesktopOrganicFree111000056.8</v>
      </c>
      <c r="S905" s="22" t="str">
        <f>IF(COUNTIF($R$2:$R$1409,R905)=1,"OK",IF(COUNTIF($R$2:$R$1409,R905)&gt;1,"Exact Duplicate","Review Required"))</f>
        <v>OK</v>
      </c>
      <c r="T905" s="22" t="s">
        <v>19</v>
      </c>
      <c r="U905" s="22" t="s">
        <v>25</v>
      </c>
      <c r="V905" s="22"/>
    </row>
    <row r="906" spans="1:22" ht="55.2">
      <c r="A906" s="22" t="s">
        <v>937</v>
      </c>
      <c r="B906" s="25">
        <v>45680</v>
      </c>
      <c r="C906" s="22" t="s">
        <v>723</v>
      </c>
      <c r="D906" s="22" t="s">
        <v>32</v>
      </c>
      <c r="E906" s="22" t="s">
        <v>24</v>
      </c>
      <c r="F906" s="22" t="s">
        <v>29</v>
      </c>
      <c r="G906" s="22" t="s">
        <v>26</v>
      </c>
      <c r="H906" s="22">
        <v>1</v>
      </c>
      <c r="I906" s="22">
        <v>1</v>
      </c>
      <c r="J906" s="22">
        <v>1</v>
      </c>
      <c r="K906" s="22">
        <v>1</v>
      </c>
      <c r="L906" s="22">
        <v>341.38</v>
      </c>
      <c r="M906" s="22">
        <v>0</v>
      </c>
      <c r="N906" s="22">
        <v>0</v>
      </c>
      <c r="O906" s="22">
        <v>2</v>
      </c>
      <c r="P906" s="22">
        <v>63.6</v>
      </c>
      <c r="Q906" s="22" t="str">
        <f>IF(OR(L906&lt;$Y$18,L906&gt;$Y$19),"Outlier","Normal")</f>
        <v>Normal</v>
      </c>
      <c r="R906" s="26" t="str">
        <f>A906&amp;B906&amp;C906&amp;D906&amp;E906&amp;F906&amp;G906&amp;H906&amp;I906&amp;J906&amp;K906&amp;L906&amp;M906&amp;N906&amp;O906&amp;P906</f>
        <v>USR-10090545680TreatmentSouthMobilePaid SearchFree1111341.3800263.6</v>
      </c>
      <c r="S906" s="22" t="str">
        <f>IF(COUNTIF($R$2:$R$1409,R906)=1,"OK",IF(COUNTIF($R$2:$R$1409,R906)&gt;1,"Exact Duplicate","Review Required"))</f>
        <v>OK</v>
      </c>
      <c r="T906" s="22" t="s">
        <v>24</v>
      </c>
      <c r="U906" s="22" t="s">
        <v>29</v>
      </c>
      <c r="V906" s="22"/>
    </row>
    <row r="907" spans="1:22" ht="41.4">
      <c r="A907" s="22" t="s">
        <v>938</v>
      </c>
      <c r="B907" s="25">
        <v>45712</v>
      </c>
      <c r="C907" s="22" t="s">
        <v>723</v>
      </c>
      <c r="D907" s="22" t="s">
        <v>28</v>
      </c>
      <c r="E907" s="22" t="s">
        <v>24</v>
      </c>
      <c r="F907" s="22" t="s">
        <v>41</v>
      </c>
      <c r="G907" s="22" t="s">
        <v>26</v>
      </c>
      <c r="H907" s="22">
        <v>1</v>
      </c>
      <c r="I907" s="22">
        <v>0</v>
      </c>
      <c r="J907" s="22">
        <v>0</v>
      </c>
      <c r="K907" s="22">
        <v>0</v>
      </c>
      <c r="L907" s="22">
        <v>0</v>
      </c>
      <c r="M907" s="22">
        <v>0</v>
      </c>
      <c r="N907" s="22">
        <v>0</v>
      </c>
      <c r="O907" s="22"/>
      <c r="P907" s="22">
        <v>58.2</v>
      </c>
      <c r="Q907" s="22" t="str">
        <f>IF(OR(L907&lt;$Y$18,L907&gt;$Y$19),"Outlier","Normal")</f>
        <v>Normal</v>
      </c>
      <c r="R907" s="26" t="str">
        <f>A907&amp;B907&amp;C907&amp;D907&amp;E907&amp;F907&amp;G907&amp;H907&amp;I907&amp;J907&amp;K907&amp;L907&amp;M907&amp;N907&amp;O907&amp;P907</f>
        <v>USR-10090645712TreatmentEastMobileSocialFree100000058.2</v>
      </c>
      <c r="S907" s="22" t="str">
        <f>IF(COUNTIF($R$2:$R$1409,R907)=1,"OK",IF(COUNTIF($R$2:$R$1409,R907)&gt;1,"Exact Duplicate","Review Required"))</f>
        <v>OK</v>
      </c>
      <c r="T907" s="22" t="s">
        <v>24</v>
      </c>
      <c r="U907" s="22" t="s">
        <v>41</v>
      </c>
      <c r="V907" s="22"/>
    </row>
    <row r="908" spans="1:22" ht="41.4">
      <c r="A908" s="22" t="s">
        <v>939</v>
      </c>
      <c r="B908" s="25">
        <v>45716</v>
      </c>
      <c r="C908" s="22" t="s">
        <v>723</v>
      </c>
      <c r="D908" s="22" t="s">
        <v>23</v>
      </c>
      <c r="E908" s="22" t="s">
        <v>24</v>
      </c>
      <c r="F908" s="22" t="s">
        <v>29</v>
      </c>
      <c r="G908" s="22" t="s">
        <v>26</v>
      </c>
      <c r="H908" s="22">
        <v>1</v>
      </c>
      <c r="I908" s="22">
        <v>1</v>
      </c>
      <c r="J908" s="22">
        <v>0</v>
      </c>
      <c r="K908" s="22">
        <v>0</v>
      </c>
      <c r="L908" s="22">
        <v>0</v>
      </c>
      <c r="M908" s="22">
        <v>0</v>
      </c>
      <c r="N908" s="22">
        <v>0</v>
      </c>
      <c r="O908" s="22"/>
      <c r="P908" s="22">
        <v>54.6</v>
      </c>
      <c r="Q908" s="22" t="str">
        <f>IF(OR(L908&lt;$Y$18,L908&gt;$Y$19),"Outlier","Normal")</f>
        <v>Normal</v>
      </c>
      <c r="R908" s="26" t="str">
        <f>A908&amp;B908&amp;C908&amp;D908&amp;E908&amp;F908&amp;G908&amp;H908&amp;I908&amp;J908&amp;K908&amp;L908&amp;M908&amp;N908&amp;O908&amp;P908</f>
        <v>USR-10090745716TreatmentWestMobilePaid SearchFree110000054.6</v>
      </c>
      <c r="S908" s="22" t="str">
        <f>IF(COUNTIF($R$2:$R$1409,R908)=1,"OK",IF(COUNTIF($R$2:$R$1409,R908)&gt;1,"Exact Duplicate","Review Required"))</f>
        <v>OK</v>
      </c>
      <c r="T908" s="22" t="s">
        <v>24</v>
      </c>
      <c r="U908" s="22" t="s">
        <v>29</v>
      </c>
      <c r="V908" s="22"/>
    </row>
    <row r="909" spans="1:22" ht="41.4">
      <c r="A909" s="22" t="s">
        <v>940</v>
      </c>
      <c r="B909" s="25">
        <v>45664</v>
      </c>
      <c r="C909" s="22" t="s">
        <v>723</v>
      </c>
      <c r="D909" s="22" t="s">
        <v>23</v>
      </c>
      <c r="E909" s="22" t="s">
        <v>34</v>
      </c>
      <c r="F909" s="22" t="s">
        <v>25</v>
      </c>
      <c r="G909" s="22" t="s">
        <v>21</v>
      </c>
      <c r="H909" s="22">
        <v>1</v>
      </c>
      <c r="I909" s="22">
        <v>0</v>
      </c>
      <c r="J909" s="22">
        <v>0</v>
      </c>
      <c r="K909" s="22">
        <v>0</v>
      </c>
      <c r="L909" s="22">
        <v>0</v>
      </c>
      <c r="M909" s="22">
        <v>0</v>
      </c>
      <c r="N909" s="22">
        <v>0</v>
      </c>
      <c r="O909" s="22"/>
      <c r="P909" s="22">
        <v>81.900000000000006</v>
      </c>
      <c r="Q909" s="22" t="str">
        <f>IF(OR(L909&lt;$Y$18,L909&gt;$Y$19),"Outlier","Normal")</f>
        <v>Normal</v>
      </c>
      <c r="R909" s="26" t="str">
        <f>A909&amp;B909&amp;C909&amp;D909&amp;E909&amp;F909&amp;G909&amp;H909&amp;I909&amp;J909&amp;K909&amp;L909&amp;M909&amp;N909&amp;O909&amp;P909</f>
        <v>USR-10090845664TreatmentWestTabletOrganicBasic100000081.9</v>
      </c>
      <c r="S909" s="22" t="str">
        <f>IF(COUNTIF($R$2:$R$1409,R909)=1,"OK",IF(COUNTIF($R$2:$R$1409,R909)&gt;1,"Exact Duplicate","Review Required"))</f>
        <v>OK</v>
      </c>
      <c r="T909" s="22" t="s">
        <v>34</v>
      </c>
      <c r="U909" s="22" t="s">
        <v>25</v>
      </c>
      <c r="V909" s="22"/>
    </row>
    <row r="910" spans="1:22" ht="41.4">
      <c r="A910" s="22" t="s">
        <v>941</v>
      </c>
      <c r="B910" s="25">
        <v>45737</v>
      </c>
      <c r="C910" s="22" t="s">
        <v>723</v>
      </c>
      <c r="D910" s="22" t="s">
        <v>23</v>
      </c>
      <c r="E910" s="22" t="s">
        <v>19</v>
      </c>
      <c r="F910" s="22" t="s">
        <v>20</v>
      </c>
      <c r="G910" s="22" t="s">
        <v>26</v>
      </c>
      <c r="H910" s="22">
        <v>1</v>
      </c>
      <c r="I910" s="22">
        <v>0</v>
      </c>
      <c r="J910" s="22">
        <v>0</v>
      </c>
      <c r="K910" s="22">
        <v>0</v>
      </c>
      <c r="L910" s="22">
        <v>0</v>
      </c>
      <c r="M910" s="22">
        <v>3</v>
      </c>
      <c r="N910" s="22">
        <v>0</v>
      </c>
      <c r="O910" s="22"/>
      <c r="P910" s="22">
        <v>53.3</v>
      </c>
      <c r="Q910" s="22" t="str">
        <f>IF(OR(L910&lt;$Y$18,L910&gt;$Y$19),"Outlier","Normal")</f>
        <v>Normal</v>
      </c>
      <c r="R910" s="26" t="str">
        <f>A910&amp;B910&amp;C910&amp;D910&amp;E910&amp;F910&amp;G910&amp;H910&amp;I910&amp;J910&amp;K910&amp;L910&amp;M910&amp;N910&amp;O910&amp;P910</f>
        <v>USR-10090945737TreatmentWestDesktopEmailFree100003053.3</v>
      </c>
      <c r="S910" s="22" t="str">
        <f>IF(COUNTIF($R$2:$R$1409,R910)=1,"OK",IF(COUNTIF($R$2:$R$1409,R910)&gt;1,"Exact Duplicate","Review Required"))</f>
        <v>OK</v>
      </c>
      <c r="T910" s="22" t="s">
        <v>19</v>
      </c>
      <c r="U910" s="22" t="s">
        <v>20</v>
      </c>
      <c r="V910" s="22"/>
    </row>
    <row r="911" spans="1:22" ht="41.4">
      <c r="A911" s="22" t="s">
        <v>942</v>
      </c>
      <c r="B911" s="25">
        <v>45706</v>
      </c>
      <c r="C911" s="22" t="s">
        <v>723</v>
      </c>
      <c r="D911" s="22" t="s">
        <v>18</v>
      </c>
      <c r="E911" s="22" t="s">
        <v>19</v>
      </c>
      <c r="F911" s="22" t="s">
        <v>25</v>
      </c>
      <c r="G911" s="22" t="s">
        <v>21</v>
      </c>
      <c r="H911" s="22">
        <v>0</v>
      </c>
      <c r="I911" s="22">
        <v>0</v>
      </c>
      <c r="J911" s="22">
        <v>0</v>
      </c>
      <c r="K911" s="22">
        <v>0</v>
      </c>
      <c r="L911" s="22">
        <v>0</v>
      </c>
      <c r="M911" s="22">
        <v>0</v>
      </c>
      <c r="N911" s="22">
        <v>0</v>
      </c>
      <c r="O911" s="22"/>
      <c r="P911" s="22">
        <v>54.2</v>
      </c>
      <c r="Q911" s="22" t="str">
        <f>IF(OR(L911&lt;$Y$18,L911&gt;$Y$19),"Outlier","Normal")</f>
        <v>Normal</v>
      </c>
      <c r="R911" s="26" t="str">
        <f>A911&amp;B911&amp;C911&amp;D911&amp;E911&amp;F911&amp;G911&amp;H911&amp;I911&amp;J911&amp;K911&amp;L911&amp;M911&amp;N911&amp;O911&amp;P911</f>
        <v>USR-10091045706TreatmentNorthDesktopOrganicBasic000000054.2</v>
      </c>
      <c r="S911" s="22" t="str">
        <f>IF(COUNTIF($R$2:$R$1409,R911)=1,"OK",IF(COUNTIF($R$2:$R$1409,R911)&gt;1,"Exact Duplicate","Review Required"))</f>
        <v>OK</v>
      </c>
      <c r="T911" s="22" t="s">
        <v>19</v>
      </c>
      <c r="U911" s="22" t="s">
        <v>25</v>
      </c>
      <c r="V911" s="22"/>
    </row>
    <row r="912" spans="1:22" ht="41.4">
      <c r="A912" s="22" t="s">
        <v>943</v>
      </c>
      <c r="B912" s="25">
        <v>45662</v>
      </c>
      <c r="C912" s="22" t="s">
        <v>723</v>
      </c>
      <c r="D912" s="22" t="s">
        <v>18</v>
      </c>
      <c r="E912" s="22" t="s">
        <v>24</v>
      </c>
      <c r="F912" s="22" t="s">
        <v>29</v>
      </c>
      <c r="G912" s="22" t="s">
        <v>26</v>
      </c>
      <c r="H912" s="22">
        <v>1</v>
      </c>
      <c r="I912" s="22">
        <v>1</v>
      </c>
      <c r="J912" s="22">
        <v>0</v>
      </c>
      <c r="K912" s="22">
        <v>0</v>
      </c>
      <c r="L912" s="22">
        <v>0</v>
      </c>
      <c r="M912" s="22">
        <v>0</v>
      </c>
      <c r="N912" s="22">
        <v>0</v>
      </c>
      <c r="O912" s="22"/>
      <c r="P912" s="22">
        <v>65.599999999999994</v>
      </c>
      <c r="Q912" s="22" t="str">
        <f>IF(OR(L912&lt;$Y$18,L912&gt;$Y$19),"Outlier","Normal")</f>
        <v>Normal</v>
      </c>
      <c r="R912" s="26" t="str">
        <f>A912&amp;B912&amp;C912&amp;D912&amp;E912&amp;F912&amp;G912&amp;H912&amp;I912&amp;J912&amp;K912&amp;L912&amp;M912&amp;N912&amp;O912&amp;P912</f>
        <v>USR-10091145662TreatmentNorthMobilePaid SearchFree110000065.6</v>
      </c>
      <c r="S912" s="22" t="str">
        <f>IF(COUNTIF($R$2:$R$1409,R912)=1,"OK",IF(COUNTIF($R$2:$R$1409,R912)&gt;1,"Exact Duplicate","Review Required"))</f>
        <v>OK</v>
      </c>
      <c r="T912" s="22" t="s">
        <v>24</v>
      </c>
      <c r="U912" s="22" t="s">
        <v>29</v>
      </c>
      <c r="V912" s="22"/>
    </row>
    <row r="913" spans="1:22" ht="41.4">
      <c r="A913" s="22" t="s">
        <v>944</v>
      </c>
      <c r="B913" s="25">
        <v>45727</v>
      </c>
      <c r="C913" s="22" t="s">
        <v>723</v>
      </c>
      <c r="D913" s="22" t="s">
        <v>28</v>
      </c>
      <c r="E913" s="22" t="s">
        <v>19</v>
      </c>
      <c r="F913" s="22" t="s">
        <v>25</v>
      </c>
      <c r="G913" s="22" t="s">
        <v>21</v>
      </c>
      <c r="H913" s="22">
        <v>1</v>
      </c>
      <c r="I913" s="22">
        <v>0</v>
      </c>
      <c r="J913" s="22">
        <v>0</v>
      </c>
      <c r="K913" s="22">
        <v>0</v>
      </c>
      <c r="L913" s="22">
        <v>0</v>
      </c>
      <c r="M913" s="22">
        <v>1</v>
      </c>
      <c r="N913" s="22">
        <v>0</v>
      </c>
      <c r="O913" s="22"/>
      <c r="P913" s="22">
        <v>56.5</v>
      </c>
      <c r="Q913" s="22" t="str">
        <f>IF(OR(L913&lt;$Y$18,L913&gt;$Y$19),"Outlier","Normal")</f>
        <v>Normal</v>
      </c>
      <c r="R913" s="26" t="str">
        <f>A913&amp;B913&amp;C913&amp;D913&amp;E913&amp;F913&amp;G913&amp;H913&amp;I913&amp;J913&amp;K913&amp;L913&amp;M913&amp;N913&amp;O913&amp;P913</f>
        <v>USR-10091245727TreatmentEastDesktopOrganicBasic100001056.5</v>
      </c>
      <c r="S913" s="22" t="str">
        <f>IF(COUNTIF($R$2:$R$1409,R913)=1,"OK",IF(COUNTIF($R$2:$R$1409,R913)&gt;1,"Exact Duplicate","Review Required"))</f>
        <v>OK</v>
      </c>
      <c r="T913" s="22" t="s">
        <v>19</v>
      </c>
      <c r="U913" s="22" t="s">
        <v>25</v>
      </c>
      <c r="V913" s="22"/>
    </row>
    <row r="914" spans="1:22" ht="41.4">
      <c r="A914" s="22" t="s">
        <v>945</v>
      </c>
      <c r="B914" s="25">
        <v>45666</v>
      </c>
      <c r="C914" s="22" t="s">
        <v>723</v>
      </c>
      <c r="D914" s="22" t="s">
        <v>18</v>
      </c>
      <c r="E914" s="22" t="s">
        <v>19</v>
      </c>
      <c r="F914" s="22" t="s">
        <v>25</v>
      </c>
      <c r="G914" s="22" t="s">
        <v>21</v>
      </c>
      <c r="H914" s="22">
        <v>1</v>
      </c>
      <c r="I914" s="22">
        <v>0</v>
      </c>
      <c r="J914" s="22">
        <v>0</v>
      </c>
      <c r="K914" s="22">
        <v>0</v>
      </c>
      <c r="L914" s="22">
        <v>0</v>
      </c>
      <c r="M914" s="22">
        <v>0</v>
      </c>
      <c r="N914" s="22">
        <v>0</v>
      </c>
      <c r="O914" s="22"/>
      <c r="P914" s="22">
        <v>59.7</v>
      </c>
      <c r="Q914" s="22" t="str">
        <f>IF(OR(L914&lt;$Y$18,L914&gt;$Y$19),"Outlier","Normal")</f>
        <v>Normal</v>
      </c>
      <c r="R914" s="26" t="str">
        <f>A914&amp;B914&amp;C914&amp;D914&amp;E914&amp;F914&amp;G914&amp;H914&amp;I914&amp;J914&amp;K914&amp;L914&amp;M914&amp;N914&amp;O914&amp;P914</f>
        <v>USR-10091345666TreatmentNorthDesktopOrganicBasic100000059.7</v>
      </c>
      <c r="S914" s="22" t="str">
        <f>IF(COUNTIF($R$2:$R$1409,R914)=1,"OK",IF(COUNTIF($R$2:$R$1409,R914)&gt;1,"Exact Duplicate","Review Required"))</f>
        <v>OK</v>
      </c>
      <c r="T914" s="22" t="s">
        <v>19</v>
      </c>
      <c r="U914" s="22" t="s">
        <v>25</v>
      </c>
      <c r="V914" s="22"/>
    </row>
    <row r="915" spans="1:22" ht="41.4">
      <c r="A915" s="22" t="s">
        <v>946</v>
      </c>
      <c r="B915" s="25">
        <v>45665</v>
      </c>
      <c r="C915" s="22" t="s">
        <v>723</v>
      </c>
      <c r="D915" s="22" t="s">
        <v>32</v>
      </c>
      <c r="E915" s="22" t="s">
        <v>24</v>
      </c>
      <c r="F915" s="22" t="s">
        <v>25</v>
      </c>
      <c r="G915" s="22" t="s">
        <v>26</v>
      </c>
      <c r="H915" s="22">
        <v>1</v>
      </c>
      <c r="I915" s="22">
        <v>1</v>
      </c>
      <c r="J915" s="22">
        <v>1</v>
      </c>
      <c r="K915" s="22">
        <v>0</v>
      </c>
      <c r="L915" s="22">
        <v>0</v>
      </c>
      <c r="M915" s="22">
        <v>0</v>
      </c>
      <c r="N915" s="22">
        <v>0</v>
      </c>
      <c r="O915" s="22"/>
      <c r="P915" s="22">
        <v>72.5</v>
      </c>
      <c r="Q915" s="22" t="str">
        <f>IF(OR(L915&lt;$Y$18,L915&gt;$Y$19),"Outlier","Normal")</f>
        <v>Normal</v>
      </c>
      <c r="R915" s="26" t="str">
        <f>A915&amp;B915&amp;C915&amp;D915&amp;E915&amp;F915&amp;G915&amp;H915&amp;I915&amp;J915&amp;K915&amp;L915&amp;M915&amp;N915&amp;O915&amp;P915</f>
        <v>USR-10091445665TreatmentSouthMobileOrganicFree111000072.5</v>
      </c>
      <c r="S915" s="22" t="str">
        <f>IF(COUNTIF($R$2:$R$1409,R915)=1,"OK",IF(COUNTIF($R$2:$R$1409,R915)&gt;1,"Exact Duplicate","Review Required"))</f>
        <v>OK</v>
      </c>
      <c r="T915" s="22" t="s">
        <v>24</v>
      </c>
      <c r="U915" s="22" t="s">
        <v>25</v>
      </c>
      <c r="V915" s="22"/>
    </row>
    <row r="916" spans="1:22" ht="41.4">
      <c r="A916" s="22" t="s">
        <v>947</v>
      </c>
      <c r="B916" s="25">
        <v>45778</v>
      </c>
      <c r="C916" s="22" t="s">
        <v>723</v>
      </c>
      <c r="D916" s="22" t="s">
        <v>28</v>
      </c>
      <c r="E916" s="22" t="s">
        <v>19</v>
      </c>
      <c r="F916" s="22" t="s">
        <v>29</v>
      </c>
      <c r="G916" s="22" t="s">
        <v>26</v>
      </c>
      <c r="H916" s="22">
        <v>1</v>
      </c>
      <c r="I916" s="22">
        <v>0</v>
      </c>
      <c r="J916" s="22">
        <v>0</v>
      </c>
      <c r="K916" s="22">
        <v>0</v>
      </c>
      <c r="L916" s="22">
        <v>0</v>
      </c>
      <c r="M916" s="22">
        <v>0</v>
      </c>
      <c r="N916" s="22">
        <v>0</v>
      </c>
      <c r="O916" s="22"/>
      <c r="P916" s="22">
        <v>64.3</v>
      </c>
      <c r="Q916" s="22" t="str">
        <f>IF(OR(L916&lt;$Y$18,L916&gt;$Y$19),"Outlier","Normal")</f>
        <v>Normal</v>
      </c>
      <c r="R916" s="26" t="str">
        <f>A916&amp;B916&amp;C916&amp;D916&amp;E916&amp;F916&amp;G916&amp;H916&amp;I916&amp;J916&amp;K916&amp;L916&amp;M916&amp;N916&amp;O916&amp;P916</f>
        <v>USR-10091545778TreatmentEastDesktopPaid SearchFree100000064.3</v>
      </c>
      <c r="S916" s="22" t="str">
        <f>IF(COUNTIF($R$2:$R$1409,R916)=1,"OK",IF(COUNTIF($R$2:$R$1409,R916)&gt;1,"Exact Duplicate","Review Required"))</f>
        <v>OK</v>
      </c>
      <c r="T916" s="22" t="s">
        <v>19</v>
      </c>
      <c r="U916" s="22" t="s">
        <v>29</v>
      </c>
      <c r="V916" s="22"/>
    </row>
    <row r="917" spans="1:22" ht="41.4">
      <c r="A917" s="22" t="s">
        <v>948</v>
      </c>
      <c r="B917" s="25">
        <v>45719</v>
      </c>
      <c r="C917" s="22" t="s">
        <v>723</v>
      </c>
      <c r="D917" s="22" t="s">
        <v>32</v>
      </c>
      <c r="E917" s="22" t="s">
        <v>24</v>
      </c>
      <c r="F917" s="22" t="s">
        <v>41</v>
      </c>
      <c r="G917" s="22" t="s">
        <v>26</v>
      </c>
      <c r="H917" s="22">
        <v>1</v>
      </c>
      <c r="I917" s="22">
        <v>0</v>
      </c>
      <c r="J917" s="22">
        <v>0</v>
      </c>
      <c r="K917" s="22">
        <v>0</v>
      </c>
      <c r="L917" s="22">
        <v>0</v>
      </c>
      <c r="M917" s="22">
        <v>0</v>
      </c>
      <c r="N917" s="22">
        <v>0</v>
      </c>
      <c r="O917" s="22"/>
      <c r="P917" s="22">
        <v>64.5</v>
      </c>
      <c r="Q917" s="22" t="str">
        <f>IF(OR(L917&lt;$Y$18,L917&gt;$Y$19),"Outlier","Normal")</f>
        <v>Normal</v>
      </c>
      <c r="R917" s="26" t="str">
        <f>A917&amp;B917&amp;C917&amp;D917&amp;E917&amp;F917&amp;G917&amp;H917&amp;I917&amp;J917&amp;K917&amp;L917&amp;M917&amp;N917&amp;O917&amp;P917</f>
        <v>USR-10091645719TreatmentSouthMobileSocialFree100000064.5</v>
      </c>
      <c r="S917" s="22" t="str">
        <f>IF(COUNTIF($R$2:$R$1409,R917)=1,"OK",IF(COUNTIF($R$2:$R$1409,R917)&gt;1,"Exact Duplicate","Review Required"))</f>
        <v>OK</v>
      </c>
      <c r="T917" s="22" t="s">
        <v>24</v>
      </c>
      <c r="U917" s="22" t="s">
        <v>41</v>
      </c>
      <c r="V917" s="22"/>
    </row>
    <row r="918" spans="1:22" ht="41.4">
      <c r="A918" s="22" t="s">
        <v>949</v>
      </c>
      <c r="B918" s="25">
        <v>45711</v>
      </c>
      <c r="C918" s="22" t="s">
        <v>723</v>
      </c>
      <c r="D918" s="22" t="s">
        <v>23</v>
      </c>
      <c r="E918" s="22" t="s">
        <v>19</v>
      </c>
      <c r="F918" s="22" t="s">
        <v>41</v>
      </c>
      <c r="G918" s="22" t="s">
        <v>21</v>
      </c>
      <c r="H918" s="22">
        <v>1</v>
      </c>
      <c r="I918" s="22">
        <v>1</v>
      </c>
      <c r="J918" s="22">
        <v>1</v>
      </c>
      <c r="K918" s="22">
        <v>0</v>
      </c>
      <c r="L918" s="22">
        <v>0</v>
      </c>
      <c r="M918" s="22">
        <v>0</v>
      </c>
      <c r="N918" s="22">
        <v>0</v>
      </c>
      <c r="O918" s="22"/>
      <c r="P918" s="22">
        <v>70.599999999999994</v>
      </c>
      <c r="Q918" s="22" t="str">
        <f>IF(OR(L918&lt;$Y$18,L918&gt;$Y$19),"Outlier","Normal")</f>
        <v>Normal</v>
      </c>
      <c r="R918" s="26" t="str">
        <f>A918&amp;B918&amp;C918&amp;D918&amp;E918&amp;F918&amp;G918&amp;H918&amp;I918&amp;J918&amp;K918&amp;L918&amp;M918&amp;N918&amp;O918&amp;P918</f>
        <v>USR-10091745711TreatmentWestDesktopSocialBasic111000070.6</v>
      </c>
      <c r="S918" s="22" t="str">
        <f>IF(COUNTIF($R$2:$R$1409,R918)=1,"OK",IF(COUNTIF($R$2:$R$1409,R918)&gt;1,"Exact Duplicate","Review Required"))</f>
        <v>OK</v>
      </c>
      <c r="T918" s="22" t="s">
        <v>19</v>
      </c>
      <c r="U918" s="22" t="s">
        <v>41</v>
      </c>
      <c r="V918" s="22"/>
    </row>
    <row r="919" spans="1:22" ht="41.4">
      <c r="A919" s="22" t="s">
        <v>950</v>
      </c>
      <c r="B919" s="25">
        <v>45705</v>
      </c>
      <c r="C919" s="22" t="s">
        <v>723</v>
      </c>
      <c r="D919" s="22" t="s">
        <v>32</v>
      </c>
      <c r="E919" s="22" t="s">
        <v>19</v>
      </c>
      <c r="F919" s="22" t="s">
        <v>25</v>
      </c>
      <c r="G919" s="22" t="s">
        <v>21</v>
      </c>
      <c r="H919" s="22">
        <v>0</v>
      </c>
      <c r="I919" s="22">
        <v>0</v>
      </c>
      <c r="J919" s="22">
        <v>0</v>
      </c>
      <c r="K919" s="22">
        <v>0</v>
      </c>
      <c r="L919" s="22">
        <v>0</v>
      </c>
      <c r="M919" s="22">
        <v>0</v>
      </c>
      <c r="N919" s="22">
        <v>0</v>
      </c>
      <c r="O919" s="22"/>
      <c r="P919" s="22">
        <v>58.4</v>
      </c>
      <c r="Q919" s="22" t="str">
        <f>IF(OR(L919&lt;$Y$18,L919&gt;$Y$19),"Outlier","Normal")</f>
        <v>Normal</v>
      </c>
      <c r="R919" s="26" t="str">
        <f>A919&amp;B919&amp;C919&amp;D919&amp;E919&amp;F919&amp;G919&amp;H919&amp;I919&amp;J919&amp;K919&amp;L919&amp;M919&amp;N919&amp;O919&amp;P919</f>
        <v>USR-10091845705TreatmentSouthDesktopOrganicBasic000000058.4</v>
      </c>
      <c r="S919" s="22" t="str">
        <f>IF(COUNTIF($R$2:$R$1409,R919)=1,"OK",IF(COUNTIF($R$2:$R$1409,R919)&gt;1,"Exact Duplicate","Review Required"))</f>
        <v>OK</v>
      </c>
      <c r="T919" s="22" t="s">
        <v>19</v>
      </c>
      <c r="U919" s="22" t="s">
        <v>25</v>
      </c>
      <c r="V919" s="22"/>
    </row>
    <row r="920" spans="1:22" ht="41.4">
      <c r="A920" s="22" t="s">
        <v>951</v>
      </c>
      <c r="B920" s="25">
        <v>45798</v>
      </c>
      <c r="C920" s="22" t="s">
        <v>723</v>
      </c>
      <c r="D920" s="22" t="s">
        <v>28</v>
      </c>
      <c r="E920" s="22" t="s">
        <v>24</v>
      </c>
      <c r="F920" s="22" t="s">
        <v>25</v>
      </c>
      <c r="G920" s="22" t="s">
        <v>21</v>
      </c>
      <c r="H920" s="22">
        <v>1</v>
      </c>
      <c r="I920" s="22">
        <v>0</v>
      </c>
      <c r="J920" s="22">
        <v>0</v>
      </c>
      <c r="K920" s="22">
        <v>0</v>
      </c>
      <c r="L920" s="22">
        <v>0</v>
      </c>
      <c r="M920" s="22">
        <v>0</v>
      </c>
      <c r="N920" s="22">
        <v>0</v>
      </c>
      <c r="O920" s="22"/>
      <c r="P920" s="22">
        <v>56.6</v>
      </c>
      <c r="Q920" s="22" t="str">
        <f>IF(OR(L920&lt;$Y$18,L920&gt;$Y$19),"Outlier","Normal")</f>
        <v>Normal</v>
      </c>
      <c r="R920" s="26" t="str">
        <f>A920&amp;B920&amp;C920&amp;D920&amp;E920&amp;F920&amp;G920&amp;H920&amp;I920&amp;J920&amp;K920&amp;L920&amp;M920&amp;N920&amp;O920&amp;P920</f>
        <v>USR-10091945798TreatmentEastMobileOrganicBasic100000056.6</v>
      </c>
      <c r="S920" s="22" t="str">
        <f>IF(COUNTIF($R$2:$R$1409,R920)=1,"OK",IF(COUNTIF($R$2:$R$1409,R920)&gt;1,"Exact Duplicate","Review Required"))</f>
        <v>OK</v>
      </c>
      <c r="T920" s="22" t="s">
        <v>24</v>
      </c>
      <c r="U920" s="22" t="s">
        <v>25</v>
      </c>
      <c r="V920" s="22"/>
    </row>
    <row r="921" spans="1:22" ht="41.4">
      <c r="A921" s="22" t="s">
        <v>952</v>
      </c>
      <c r="B921" s="25">
        <v>45687</v>
      </c>
      <c r="C921" s="22" t="s">
        <v>723</v>
      </c>
      <c r="D921" s="22" t="s">
        <v>32</v>
      </c>
      <c r="E921" s="22" t="s">
        <v>24</v>
      </c>
      <c r="F921" s="22" t="s">
        <v>25</v>
      </c>
      <c r="G921" s="22" t="s">
        <v>26</v>
      </c>
      <c r="H921" s="22">
        <v>1</v>
      </c>
      <c r="I921" s="22">
        <v>0</v>
      </c>
      <c r="J921" s="22">
        <v>0</v>
      </c>
      <c r="K921" s="22">
        <v>0</v>
      </c>
      <c r="L921" s="22">
        <v>0</v>
      </c>
      <c r="M921" s="22">
        <v>0</v>
      </c>
      <c r="N921" s="22">
        <v>0</v>
      </c>
      <c r="O921" s="22"/>
      <c r="P921" s="22">
        <v>61.8</v>
      </c>
      <c r="Q921" s="22" t="str">
        <f>IF(OR(L921&lt;$Y$18,L921&gt;$Y$19),"Outlier","Normal")</f>
        <v>Normal</v>
      </c>
      <c r="R921" s="26" t="str">
        <f>A921&amp;B921&amp;C921&amp;D921&amp;E921&amp;F921&amp;G921&amp;H921&amp;I921&amp;J921&amp;K921&amp;L921&amp;M921&amp;N921&amp;O921&amp;P921</f>
        <v>USR-10092045687TreatmentSouthMobileOrganicFree100000061.8</v>
      </c>
      <c r="S921" s="22" t="str">
        <f>IF(COUNTIF($R$2:$R$1409,R921)=1,"OK",IF(COUNTIF($R$2:$R$1409,R921)&gt;1,"Exact Duplicate","Review Required"))</f>
        <v>OK</v>
      </c>
      <c r="T921" s="22" t="s">
        <v>24</v>
      </c>
      <c r="U921" s="22" t="s">
        <v>25</v>
      </c>
      <c r="V921" s="22"/>
    </row>
    <row r="922" spans="1:22" ht="41.4">
      <c r="A922" s="22" t="s">
        <v>953</v>
      </c>
      <c r="B922" s="25">
        <v>45736</v>
      </c>
      <c r="C922" s="22" t="s">
        <v>723</v>
      </c>
      <c r="D922" s="22" t="s">
        <v>23</v>
      </c>
      <c r="E922" s="22" t="s">
        <v>24</v>
      </c>
      <c r="F922" s="22" t="s">
        <v>20</v>
      </c>
      <c r="G922" s="22" t="s">
        <v>26</v>
      </c>
      <c r="H922" s="22">
        <v>1</v>
      </c>
      <c r="I922" s="22">
        <v>1</v>
      </c>
      <c r="J922" s="22">
        <v>1</v>
      </c>
      <c r="K922" s="22">
        <v>1</v>
      </c>
      <c r="L922" s="22">
        <v>513.52</v>
      </c>
      <c r="M922" s="22">
        <v>0</v>
      </c>
      <c r="N922" s="22">
        <v>0</v>
      </c>
      <c r="O922" s="22">
        <v>8</v>
      </c>
      <c r="P922" s="22">
        <v>43.4</v>
      </c>
      <c r="Q922" s="22" t="str">
        <f>IF(OR(L922&lt;$Y$18,L922&gt;$Y$19),"Outlier","Normal")</f>
        <v>Normal</v>
      </c>
      <c r="R922" s="26" t="str">
        <f>A922&amp;B922&amp;C922&amp;D922&amp;E922&amp;F922&amp;G922&amp;H922&amp;I922&amp;J922&amp;K922&amp;L922&amp;M922&amp;N922&amp;O922&amp;P922</f>
        <v>USR-10092145736TreatmentWestMobileEmailFree1111513.5200843.4</v>
      </c>
      <c r="S922" s="22" t="str">
        <f>IF(COUNTIF($R$2:$R$1409,R922)=1,"OK",IF(COUNTIF($R$2:$R$1409,R922)&gt;1,"Exact Duplicate","Review Required"))</f>
        <v>OK</v>
      </c>
      <c r="T922" s="22" t="s">
        <v>24</v>
      </c>
      <c r="U922" s="22" t="s">
        <v>20</v>
      </c>
      <c r="V922" s="22"/>
    </row>
    <row r="923" spans="1:22" ht="41.4">
      <c r="A923" s="22" t="s">
        <v>954</v>
      </c>
      <c r="B923" s="25">
        <v>45757</v>
      </c>
      <c r="C923" s="22" t="s">
        <v>723</v>
      </c>
      <c r="D923" s="22" t="s">
        <v>23</v>
      </c>
      <c r="E923" s="22" t="s">
        <v>34</v>
      </c>
      <c r="F923" s="22" t="s">
        <v>29</v>
      </c>
      <c r="G923" s="22" t="s">
        <v>26</v>
      </c>
      <c r="H923" s="22">
        <v>0</v>
      </c>
      <c r="I923" s="22">
        <v>0</v>
      </c>
      <c r="J923" s="22">
        <v>0</v>
      </c>
      <c r="K923" s="22">
        <v>0</v>
      </c>
      <c r="L923" s="22">
        <v>0</v>
      </c>
      <c r="M923" s="22">
        <v>0</v>
      </c>
      <c r="N923" s="22">
        <v>0</v>
      </c>
      <c r="O923" s="22"/>
      <c r="P923" s="22">
        <v>43</v>
      </c>
      <c r="Q923" s="22" t="str">
        <f>IF(OR(L923&lt;$Y$18,L923&gt;$Y$19),"Outlier","Normal")</f>
        <v>Normal</v>
      </c>
      <c r="R923" s="26" t="str">
        <f>A923&amp;B923&amp;C923&amp;D923&amp;E923&amp;F923&amp;G923&amp;H923&amp;I923&amp;J923&amp;K923&amp;L923&amp;M923&amp;N923&amp;O923&amp;P923</f>
        <v>USR-10092245757TreatmentWestTabletPaid SearchFree000000043</v>
      </c>
      <c r="S923" s="22" t="str">
        <f>IF(COUNTIF($R$2:$R$1409,R923)=1,"OK",IF(COUNTIF($R$2:$R$1409,R923)&gt;1,"Exact Duplicate","Review Required"))</f>
        <v>OK</v>
      </c>
      <c r="T923" s="22" t="s">
        <v>34</v>
      </c>
      <c r="U923" s="22" t="s">
        <v>29</v>
      </c>
      <c r="V923" s="22"/>
    </row>
    <row r="924" spans="1:22" ht="41.4">
      <c r="A924" s="22" t="s">
        <v>955</v>
      </c>
      <c r="B924" s="25">
        <v>45723</v>
      </c>
      <c r="C924" s="22" t="s">
        <v>723</v>
      </c>
      <c r="D924" s="22" t="s">
        <v>18</v>
      </c>
      <c r="E924" s="22" t="s">
        <v>19</v>
      </c>
      <c r="F924" s="22" t="s">
        <v>25</v>
      </c>
      <c r="G924" s="22" t="s">
        <v>26</v>
      </c>
      <c r="H924" s="22">
        <v>1</v>
      </c>
      <c r="I924" s="22">
        <v>1</v>
      </c>
      <c r="J924" s="22">
        <v>1</v>
      </c>
      <c r="K924" s="22">
        <v>0</v>
      </c>
      <c r="L924" s="22">
        <v>0</v>
      </c>
      <c r="M924" s="22">
        <v>0</v>
      </c>
      <c r="N924" s="22">
        <v>0</v>
      </c>
      <c r="O924" s="22"/>
      <c r="P924" s="22">
        <v>51.1</v>
      </c>
      <c r="Q924" s="22" t="str">
        <f>IF(OR(L924&lt;$Y$18,L924&gt;$Y$19),"Outlier","Normal")</f>
        <v>Normal</v>
      </c>
      <c r="R924" s="26" t="str">
        <f>A924&amp;B924&amp;C924&amp;D924&amp;E924&amp;F924&amp;G924&amp;H924&amp;I924&amp;J924&amp;K924&amp;L924&amp;M924&amp;N924&amp;O924&amp;P924</f>
        <v>USR-10092345723TreatmentNorthDesktopOrganicFree111000051.1</v>
      </c>
      <c r="S924" s="22" t="str">
        <f>IF(COUNTIF($R$2:$R$1409,R924)=1,"OK",IF(COUNTIF($R$2:$R$1409,R924)&gt;1,"Exact Duplicate","Review Required"))</f>
        <v>OK</v>
      </c>
      <c r="T924" s="22" t="s">
        <v>19</v>
      </c>
      <c r="U924" s="22" t="s">
        <v>25</v>
      </c>
      <c r="V924" s="22"/>
    </row>
    <row r="925" spans="1:22" ht="41.4">
      <c r="A925" s="22" t="s">
        <v>956</v>
      </c>
      <c r="B925" s="25">
        <v>45728</v>
      </c>
      <c r="C925" s="22" t="s">
        <v>723</v>
      </c>
      <c r="D925" s="22" t="s">
        <v>23</v>
      </c>
      <c r="E925" s="22" t="s">
        <v>24</v>
      </c>
      <c r="F925" s="22" t="s">
        <v>20</v>
      </c>
      <c r="G925" s="22" t="s">
        <v>21</v>
      </c>
      <c r="H925" s="22">
        <v>1</v>
      </c>
      <c r="I925" s="22">
        <v>0</v>
      </c>
      <c r="J925" s="22">
        <v>0</v>
      </c>
      <c r="K925" s="22">
        <v>0</v>
      </c>
      <c r="L925" s="22">
        <v>0</v>
      </c>
      <c r="M925" s="22">
        <v>0</v>
      </c>
      <c r="N925" s="22">
        <v>0</v>
      </c>
      <c r="O925" s="22"/>
      <c r="P925" s="22">
        <v>48.8</v>
      </c>
      <c r="Q925" s="22" t="str">
        <f>IF(OR(L925&lt;$Y$18,L925&gt;$Y$19),"Outlier","Normal")</f>
        <v>Normal</v>
      </c>
      <c r="R925" s="26" t="str">
        <f>A925&amp;B925&amp;C925&amp;D925&amp;E925&amp;F925&amp;G925&amp;H925&amp;I925&amp;J925&amp;K925&amp;L925&amp;M925&amp;N925&amp;O925&amp;P925</f>
        <v>USR-10092445728TreatmentWestMobileEmailBasic100000048.8</v>
      </c>
      <c r="S925" s="22" t="str">
        <f>IF(COUNTIF($R$2:$R$1409,R925)=1,"OK",IF(COUNTIF($R$2:$R$1409,R925)&gt;1,"Exact Duplicate","Review Required"))</f>
        <v>OK</v>
      </c>
      <c r="T925" s="22" t="s">
        <v>24</v>
      </c>
      <c r="U925" s="22" t="s">
        <v>20</v>
      </c>
      <c r="V925" s="22"/>
    </row>
    <row r="926" spans="1:22" ht="41.4">
      <c r="A926" s="22" t="s">
        <v>957</v>
      </c>
      <c r="B926" s="25">
        <v>45712</v>
      </c>
      <c r="C926" s="22" t="s">
        <v>723</v>
      </c>
      <c r="D926" s="22" t="s">
        <v>28</v>
      </c>
      <c r="E926" s="22" t="s">
        <v>24</v>
      </c>
      <c r="F926" s="22" t="s">
        <v>39</v>
      </c>
      <c r="G926" s="22" t="s">
        <v>26</v>
      </c>
      <c r="H926" s="22">
        <v>0</v>
      </c>
      <c r="I926" s="22">
        <v>0</v>
      </c>
      <c r="J926" s="22">
        <v>0</v>
      </c>
      <c r="K926" s="22">
        <v>0</v>
      </c>
      <c r="L926" s="22">
        <v>0</v>
      </c>
      <c r="M926" s="22">
        <v>0</v>
      </c>
      <c r="N926" s="22">
        <v>0</v>
      </c>
      <c r="O926" s="22"/>
      <c r="P926" s="22">
        <v>73.2</v>
      </c>
      <c r="Q926" s="22" t="str">
        <f>IF(OR(L926&lt;$Y$18,L926&gt;$Y$19),"Outlier","Normal")</f>
        <v>Normal</v>
      </c>
      <c r="R926" s="26" t="str">
        <f>A926&amp;B926&amp;C926&amp;D926&amp;E926&amp;F926&amp;G926&amp;H926&amp;I926&amp;J926&amp;K926&amp;L926&amp;M926&amp;N926&amp;O926&amp;P926</f>
        <v>USR-10092545712TreatmentEastMobileReferralFree000000073.2</v>
      </c>
      <c r="S926" s="22" t="str">
        <f>IF(COUNTIF($R$2:$R$1409,R926)=1,"OK",IF(COUNTIF($R$2:$R$1409,R926)&gt;1,"Exact Duplicate","Review Required"))</f>
        <v>OK</v>
      </c>
      <c r="T926" s="22" t="s">
        <v>24</v>
      </c>
      <c r="U926" s="22" t="s">
        <v>39</v>
      </c>
      <c r="V926" s="22"/>
    </row>
    <row r="927" spans="1:22" ht="41.4">
      <c r="A927" s="22" t="s">
        <v>958</v>
      </c>
      <c r="B927" s="25">
        <v>45672</v>
      </c>
      <c r="C927" s="22" t="s">
        <v>723</v>
      </c>
      <c r="D927" s="22" t="s">
        <v>28</v>
      </c>
      <c r="E927" s="22" t="s">
        <v>24</v>
      </c>
      <c r="F927" s="22" t="s">
        <v>39</v>
      </c>
      <c r="G927" s="22" t="s">
        <v>26</v>
      </c>
      <c r="H927" s="22">
        <v>1</v>
      </c>
      <c r="I927" s="22">
        <v>1</v>
      </c>
      <c r="J927" s="22">
        <v>1</v>
      </c>
      <c r="K927" s="22">
        <v>0</v>
      </c>
      <c r="L927" s="22">
        <v>0</v>
      </c>
      <c r="M927" s="22">
        <v>0</v>
      </c>
      <c r="N927" s="22">
        <v>0</v>
      </c>
      <c r="O927" s="22"/>
      <c r="P927" s="22">
        <v>80</v>
      </c>
      <c r="Q927" s="22" t="str">
        <f>IF(OR(L927&lt;$Y$18,L927&gt;$Y$19),"Outlier","Normal")</f>
        <v>Normal</v>
      </c>
      <c r="R927" s="26" t="str">
        <f>A927&amp;B927&amp;C927&amp;D927&amp;E927&amp;F927&amp;G927&amp;H927&amp;I927&amp;J927&amp;K927&amp;L927&amp;M927&amp;N927&amp;O927&amp;P927</f>
        <v>USR-10092645672TreatmentEastMobileReferralFree111000080</v>
      </c>
      <c r="S927" s="22" t="str">
        <f>IF(COUNTIF($R$2:$R$1409,R927)=1,"OK",IF(COUNTIF($R$2:$R$1409,R927)&gt;1,"Exact Duplicate","Review Required"))</f>
        <v>OK</v>
      </c>
      <c r="T927" s="22" t="s">
        <v>24</v>
      </c>
      <c r="U927" s="22" t="s">
        <v>39</v>
      </c>
      <c r="V927" s="22"/>
    </row>
    <row r="928" spans="1:22" ht="41.4">
      <c r="A928" s="22" t="s">
        <v>959</v>
      </c>
      <c r="B928" s="25">
        <v>45664</v>
      </c>
      <c r="C928" s="22" t="s">
        <v>723</v>
      </c>
      <c r="D928" s="22" t="s">
        <v>18</v>
      </c>
      <c r="E928" s="22" t="s">
        <v>19</v>
      </c>
      <c r="F928" s="22" t="s">
        <v>29</v>
      </c>
      <c r="G928" s="22" t="s">
        <v>26</v>
      </c>
      <c r="H928" s="22">
        <v>1</v>
      </c>
      <c r="I928" s="22">
        <v>0</v>
      </c>
      <c r="J928" s="22">
        <v>0</v>
      </c>
      <c r="K928" s="22">
        <v>0</v>
      </c>
      <c r="L928" s="22">
        <v>0</v>
      </c>
      <c r="M928" s="22">
        <v>0</v>
      </c>
      <c r="N928" s="22">
        <v>0</v>
      </c>
      <c r="O928" s="22"/>
      <c r="P928" s="22">
        <v>52.3</v>
      </c>
      <c r="Q928" s="22" t="str">
        <f>IF(OR(L928&lt;$Y$18,L928&gt;$Y$19),"Outlier","Normal")</f>
        <v>Normal</v>
      </c>
      <c r="R928" s="26" t="str">
        <f>A928&amp;B928&amp;C928&amp;D928&amp;E928&amp;F928&amp;G928&amp;H928&amp;I928&amp;J928&amp;K928&amp;L928&amp;M928&amp;N928&amp;O928&amp;P928</f>
        <v>USR-10092745664TreatmentNorthDesktopPaid SearchFree100000052.3</v>
      </c>
      <c r="S928" s="22" t="str">
        <f>IF(COUNTIF($R$2:$R$1409,R928)=1,"OK",IF(COUNTIF($R$2:$R$1409,R928)&gt;1,"Exact Duplicate","Review Required"))</f>
        <v>OK</v>
      </c>
      <c r="T928" s="22" t="s">
        <v>19</v>
      </c>
      <c r="U928" s="22" t="s">
        <v>29</v>
      </c>
      <c r="V928" s="22"/>
    </row>
    <row r="929" spans="1:22" ht="41.4">
      <c r="A929" s="22" t="s">
        <v>960</v>
      </c>
      <c r="B929" s="25">
        <v>45718</v>
      </c>
      <c r="C929" s="22" t="s">
        <v>723</v>
      </c>
      <c r="D929" s="22" t="s">
        <v>18</v>
      </c>
      <c r="E929" s="22" t="s">
        <v>19</v>
      </c>
      <c r="F929" s="22" t="s">
        <v>25</v>
      </c>
      <c r="G929" s="22" t="s">
        <v>26</v>
      </c>
      <c r="H929" s="22">
        <v>0</v>
      </c>
      <c r="I929" s="22">
        <v>0</v>
      </c>
      <c r="J929" s="22">
        <v>0</v>
      </c>
      <c r="K929" s="22">
        <v>0</v>
      </c>
      <c r="L929" s="22">
        <v>0</v>
      </c>
      <c r="M929" s="22">
        <v>0</v>
      </c>
      <c r="N929" s="22">
        <v>0</v>
      </c>
      <c r="O929" s="22"/>
      <c r="P929" s="22">
        <v>49.1</v>
      </c>
      <c r="Q929" s="22" t="str">
        <f>IF(OR(L929&lt;$Y$18,L929&gt;$Y$19),"Outlier","Normal")</f>
        <v>Normal</v>
      </c>
      <c r="R929" s="26" t="str">
        <f>A929&amp;B929&amp;C929&amp;D929&amp;E929&amp;F929&amp;G929&amp;H929&amp;I929&amp;J929&amp;K929&amp;L929&amp;M929&amp;N929&amp;O929&amp;P929</f>
        <v>USR-10092845718TreatmentNorthDesktopOrganicFree000000049.1</v>
      </c>
      <c r="S929" s="22" t="str">
        <f>IF(COUNTIF($R$2:$R$1409,R929)=1,"OK",IF(COUNTIF($R$2:$R$1409,R929)&gt;1,"Exact Duplicate","Review Required"))</f>
        <v>OK</v>
      </c>
      <c r="T929" s="22" t="s">
        <v>19</v>
      </c>
      <c r="U929" s="22" t="s">
        <v>25</v>
      </c>
      <c r="V929" s="22"/>
    </row>
    <row r="930" spans="1:22" ht="41.4">
      <c r="A930" s="22" t="s">
        <v>961</v>
      </c>
      <c r="B930" s="25">
        <v>45662</v>
      </c>
      <c r="C930" s="22" t="s">
        <v>723</v>
      </c>
      <c r="D930" s="22" t="s">
        <v>32</v>
      </c>
      <c r="E930" s="22" t="s">
        <v>19</v>
      </c>
      <c r="F930" s="22" t="s">
        <v>39</v>
      </c>
      <c r="G930" s="22" t="s">
        <v>21</v>
      </c>
      <c r="H930" s="22">
        <v>0</v>
      </c>
      <c r="I930" s="22">
        <v>0</v>
      </c>
      <c r="J930" s="22">
        <v>0</v>
      </c>
      <c r="K930" s="22">
        <v>0</v>
      </c>
      <c r="L930" s="22">
        <v>0</v>
      </c>
      <c r="M930" s="22">
        <v>0</v>
      </c>
      <c r="N930" s="22">
        <v>0</v>
      </c>
      <c r="O930" s="22"/>
      <c r="P930" s="22">
        <v>45.3</v>
      </c>
      <c r="Q930" s="22" t="str">
        <f>IF(OR(L930&lt;$Y$18,L930&gt;$Y$19),"Outlier","Normal")</f>
        <v>Normal</v>
      </c>
      <c r="R930" s="26" t="str">
        <f>A930&amp;B930&amp;C930&amp;D930&amp;E930&amp;F930&amp;G930&amp;H930&amp;I930&amp;J930&amp;K930&amp;L930&amp;M930&amp;N930&amp;O930&amp;P930</f>
        <v>USR-10092945662TreatmentSouthDesktopReferralBasic000000045.3</v>
      </c>
      <c r="S930" s="22" t="str">
        <f>IF(COUNTIF($R$2:$R$1409,R930)=1,"OK",IF(COUNTIF($R$2:$R$1409,R930)&gt;1,"Exact Duplicate","Review Required"))</f>
        <v>OK</v>
      </c>
      <c r="T930" s="22" t="s">
        <v>19</v>
      </c>
      <c r="U930" s="22" t="s">
        <v>39</v>
      </c>
      <c r="V930" s="22"/>
    </row>
    <row r="931" spans="1:22" ht="41.4">
      <c r="A931" s="22" t="s">
        <v>962</v>
      </c>
      <c r="B931" s="25">
        <v>45719</v>
      </c>
      <c r="C931" s="22" t="s">
        <v>723</v>
      </c>
      <c r="D931" s="22" t="s">
        <v>32</v>
      </c>
      <c r="E931" s="22" t="s">
        <v>24</v>
      </c>
      <c r="F931" s="22" t="s">
        <v>25</v>
      </c>
      <c r="G931" s="22" t="s">
        <v>26</v>
      </c>
      <c r="H931" s="22">
        <v>1</v>
      </c>
      <c r="I931" s="22">
        <v>1</v>
      </c>
      <c r="J931" s="22">
        <v>0</v>
      </c>
      <c r="K931" s="22">
        <v>0</v>
      </c>
      <c r="L931" s="22">
        <v>0</v>
      </c>
      <c r="M931" s="22">
        <v>0</v>
      </c>
      <c r="N931" s="22">
        <v>0</v>
      </c>
      <c r="O931" s="22"/>
      <c r="P931" s="22">
        <v>49.1</v>
      </c>
      <c r="Q931" s="22" t="str">
        <f>IF(OR(L931&lt;$Y$18,L931&gt;$Y$19),"Outlier","Normal")</f>
        <v>Normal</v>
      </c>
      <c r="R931" s="26" t="str">
        <f>A931&amp;B931&amp;C931&amp;D931&amp;E931&amp;F931&amp;G931&amp;H931&amp;I931&amp;J931&amp;K931&amp;L931&amp;M931&amp;N931&amp;O931&amp;P931</f>
        <v>USR-10093045719TreatmentSouthMobileOrganicFree110000049.1</v>
      </c>
      <c r="S931" s="22" t="str">
        <f>IF(COUNTIF($R$2:$R$1409,R931)=1,"OK",IF(COUNTIF($R$2:$R$1409,R931)&gt;1,"Exact Duplicate","Review Required"))</f>
        <v>OK</v>
      </c>
      <c r="T931" s="22" t="s">
        <v>24</v>
      </c>
      <c r="U931" s="22" t="s">
        <v>25</v>
      </c>
      <c r="V931" s="22"/>
    </row>
    <row r="932" spans="1:22" ht="41.4">
      <c r="A932" s="22" t="s">
        <v>963</v>
      </c>
      <c r="B932" s="25">
        <v>45747</v>
      </c>
      <c r="C932" s="22" t="s">
        <v>723</v>
      </c>
      <c r="D932" s="22" t="s">
        <v>28</v>
      </c>
      <c r="E932" s="22" t="s">
        <v>19</v>
      </c>
      <c r="F932" s="22" t="s">
        <v>39</v>
      </c>
      <c r="G932" s="22" t="s">
        <v>26</v>
      </c>
      <c r="H932" s="22">
        <v>1</v>
      </c>
      <c r="I932" s="22">
        <v>1</v>
      </c>
      <c r="J932" s="22">
        <v>1</v>
      </c>
      <c r="K932" s="22">
        <v>1</v>
      </c>
      <c r="L932" s="22">
        <v>476.44</v>
      </c>
      <c r="M932" s="22">
        <v>0</v>
      </c>
      <c r="N932" s="22">
        <v>0</v>
      </c>
      <c r="O932" s="22">
        <v>3</v>
      </c>
      <c r="P932" s="22">
        <v>88.6</v>
      </c>
      <c r="Q932" s="22" t="str">
        <f>IF(OR(L932&lt;$Y$18,L932&gt;$Y$19),"Outlier","Normal")</f>
        <v>Normal</v>
      </c>
      <c r="R932" s="26" t="str">
        <f>A932&amp;B932&amp;C932&amp;D932&amp;E932&amp;F932&amp;G932&amp;H932&amp;I932&amp;J932&amp;K932&amp;L932&amp;M932&amp;N932&amp;O932&amp;P932</f>
        <v>USR-10093145747TreatmentEastDesktopReferralFree1111476.4400388.6</v>
      </c>
      <c r="S932" s="22" t="str">
        <f>IF(COUNTIF($R$2:$R$1409,R932)=1,"OK",IF(COUNTIF($R$2:$R$1409,R932)&gt;1,"Exact Duplicate","Review Required"))</f>
        <v>OK</v>
      </c>
      <c r="T932" s="22" t="s">
        <v>19</v>
      </c>
      <c r="U932" s="22" t="s">
        <v>39</v>
      </c>
      <c r="V932" s="22"/>
    </row>
    <row r="933" spans="1:22" ht="41.4">
      <c r="A933" s="22" t="s">
        <v>964</v>
      </c>
      <c r="B933" s="25">
        <v>45671</v>
      </c>
      <c r="C933" s="22" t="s">
        <v>723</v>
      </c>
      <c r="D933" s="22" t="s">
        <v>28</v>
      </c>
      <c r="E933" s="22" t="s">
        <v>19</v>
      </c>
      <c r="F933" s="22" t="s">
        <v>29</v>
      </c>
      <c r="G933" s="22" t="s">
        <v>30</v>
      </c>
      <c r="H933" s="22">
        <v>0</v>
      </c>
      <c r="I933" s="22">
        <v>0</v>
      </c>
      <c r="J933" s="22">
        <v>0</v>
      </c>
      <c r="K933" s="22">
        <v>0</v>
      </c>
      <c r="L933" s="22">
        <v>0</v>
      </c>
      <c r="M933" s="22">
        <v>1</v>
      </c>
      <c r="N933" s="22">
        <v>0</v>
      </c>
      <c r="O933" s="22"/>
      <c r="P933" s="22">
        <v>54.4</v>
      </c>
      <c r="Q933" s="22" t="str">
        <f>IF(OR(L933&lt;$Y$18,L933&gt;$Y$19),"Outlier","Normal")</f>
        <v>Normal</v>
      </c>
      <c r="R933" s="26" t="str">
        <f>A933&amp;B933&amp;C933&amp;D933&amp;E933&amp;F933&amp;G933&amp;H933&amp;I933&amp;J933&amp;K933&amp;L933&amp;M933&amp;N933&amp;O933&amp;P933</f>
        <v>USR-10093245671TreatmentEastDesktopPaid SearchPremium000001054.4</v>
      </c>
      <c r="S933" s="22" t="str">
        <f>IF(COUNTIF($R$2:$R$1409,R933)=1,"OK",IF(COUNTIF($R$2:$R$1409,R933)&gt;1,"Exact Duplicate","Review Required"))</f>
        <v>OK</v>
      </c>
      <c r="T933" s="22" t="s">
        <v>19</v>
      </c>
      <c r="U933" s="22" t="s">
        <v>29</v>
      </c>
      <c r="V933" s="22"/>
    </row>
    <row r="934" spans="1:22" ht="41.4">
      <c r="A934" s="22" t="s">
        <v>965</v>
      </c>
      <c r="B934" s="25">
        <v>45672</v>
      </c>
      <c r="C934" s="22" t="s">
        <v>723</v>
      </c>
      <c r="D934" s="22" t="s">
        <v>23</v>
      </c>
      <c r="E934" s="22" t="s">
        <v>19</v>
      </c>
      <c r="F934" s="22" t="s">
        <v>29</v>
      </c>
      <c r="G934" s="22" t="s">
        <v>30</v>
      </c>
      <c r="H934" s="22">
        <v>1</v>
      </c>
      <c r="I934" s="22">
        <v>0</v>
      </c>
      <c r="J934" s="22">
        <v>0</v>
      </c>
      <c r="K934" s="22">
        <v>0</v>
      </c>
      <c r="L934" s="22">
        <v>0</v>
      </c>
      <c r="M934" s="22">
        <v>0</v>
      </c>
      <c r="N934" s="22">
        <v>0</v>
      </c>
      <c r="O934" s="22"/>
      <c r="P934" s="22">
        <v>72.900000000000006</v>
      </c>
      <c r="Q934" s="22" t="str">
        <f>IF(OR(L934&lt;$Y$18,L934&gt;$Y$19),"Outlier","Normal")</f>
        <v>Normal</v>
      </c>
      <c r="R934" s="26" t="str">
        <f>A934&amp;B934&amp;C934&amp;D934&amp;E934&amp;F934&amp;G934&amp;H934&amp;I934&amp;J934&amp;K934&amp;L934&amp;M934&amp;N934&amp;O934&amp;P934</f>
        <v>USR-10093345672TreatmentWestDesktopPaid SearchPremium100000072.9</v>
      </c>
      <c r="S934" s="22" t="str">
        <f>IF(COUNTIF($R$2:$R$1409,R934)=1,"OK",IF(COUNTIF($R$2:$R$1409,R934)&gt;1,"Exact Duplicate","Review Required"))</f>
        <v>OK</v>
      </c>
      <c r="T934" s="22" t="s">
        <v>19</v>
      </c>
      <c r="U934" s="22" t="s">
        <v>29</v>
      </c>
      <c r="V934" s="22"/>
    </row>
    <row r="935" spans="1:22" ht="41.4">
      <c r="A935" s="22" t="s">
        <v>966</v>
      </c>
      <c r="B935" s="25">
        <v>45772</v>
      </c>
      <c r="C935" s="22" t="s">
        <v>723</v>
      </c>
      <c r="D935" s="22" t="s">
        <v>23</v>
      </c>
      <c r="E935" s="22" t="s">
        <v>19</v>
      </c>
      <c r="F935" s="22" t="s">
        <v>25</v>
      </c>
      <c r="G935" s="22" t="s">
        <v>26</v>
      </c>
      <c r="H935" s="22">
        <v>1</v>
      </c>
      <c r="I935" s="22">
        <v>0</v>
      </c>
      <c r="J935" s="22">
        <v>0</v>
      </c>
      <c r="K935" s="22">
        <v>0</v>
      </c>
      <c r="L935" s="22">
        <v>0</v>
      </c>
      <c r="M935" s="22">
        <v>0</v>
      </c>
      <c r="N935" s="22">
        <v>0</v>
      </c>
      <c r="O935" s="22"/>
      <c r="P935" s="22">
        <v>53.2</v>
      </c>
      <c r="Q935" s="22" t="str">
        <f>IF(OR(L935&lt;$Y$18,L935&gt;$Y$19),"Outlier","Normal")</f>
        <v>Normal</v>
      </c>
      <c r="R935" s="26" t="str">
        <f>A935&amp;B935&amp;C935&amp;D935&amp;E935&amp;F935&amp;G935&amp;H935&amp;I935&amp;J935&amp;K935&amp;L935&amp;M935&amp;N935&amp;O935&amp;P935</f>
        <v>USR-10093445772TreatmentWestDesktopOrganicFree100000053.2</v>
      </c>
      <c r="S935" s="22" t="str">
        <f>IF(COUNTIF($R$2:$R$1409,R935)=1,"OK",IF(COUNTIF($R$2:$R$1409,R935)&gt;1,"Exact Duplicate","Review Required"))</f>
        <v>OK</v>
      </c>
      <c r="T935" s="22" t="s">
        <v>19</v>
      </c>
      <c r="U935" s="22" t="s">
        <v>25</v>
      </c>
      <c r="V935" s="22"/>
    </row>
    <row r="936" spans="1:22" ht="41.4">
      <c r="A936" s="22" t="s">
        <v>967</v>
      </c>
      <c r="B936" s="25">
        <v>45737</v>
      </c>
      <c r="C936" s="22" t="s">
        <v>723</v>
      </c>
      <c r="D936" s="22" t="s">
        <v>28</v>
      </c>
      <c r="E936" s="22" t="s">
        <v>24</v>
      </c>
      <c r="F936" s="22" t="s">
        <v>25</v>
      </c>
      <c r="G936" s="22" t="s">
        <v>21</v>
      </c>
      <c r="H936" s="22">
        <v>1</v>
      </c>
      <c r="I936" s="22">
        <v>1</v>
      </c>
      <c r="J936" s="22">
        <v>0</v>
      </c>
      <c r="K936" s="22">
        <v>0</v>
      </c>
      <c r="L936" s="22">
        <v>0</v>
      </c>
      <c r="M936" s="22">
        <v>0</v>
      </c>
      <c r="N936" s="22">
        <v>0</v>
      </c>
      <c r="O936" s="22"/>
      <c r="P936" s="22">
        <v>48.7</v>
      </c>
      <c r="Q936" s="22" t="str">
        <f>IF(OR(L936&lt;$Y$18,L936&gt;$Y$19),"Outlier","Normal")</f>
        <v>Normal</v>
      </c>
      <c r="R936" s="26" t="str">
        <f>A936&amp;B936&amp;C936&amp;D936&amp;E936&amp;F936&amp;G936&amp;H936&amp;I936&amp;J936&amp;K936&amp;L936&amp;M936&amp;N936&amp;O936&amp;P936</f>
        <v>USR-10093545737TreatmentEastMobileOrganicBasic110000048.7</v>
      </c>
      <c r="S936" s="22" t="str">
        <f>IF(COUNTIF($R$2:$R$1409,R936)=1,"OK",IF(COUNTIF($R$2:$R$1409,R936)&gt;1,"Exact Duplicate","Review Required"))</f>
        <v>OK</v>
      </c>
      <c r="T936" s="22" t="s">
        <v>24</v>
      </c>
      <c r="U936" s="22" t="s">
        <v>25</v>
      </c>
      <c r="V936" s="22"/>
    </row>
    <row r="937" spans="1:22" ht="41.4">
      <c r="A937" s="22" t="s">
        <v>968</v>
      </c>
      <c r="B937" s="25">
        <v>45773</v>
      </c>
      <c r="C937" s="22" t="s">
        <v>723</v>
      </c>
      <c r="D937" s="22" t="s">
        <v>32</v>
      </c>
      <c r="E937" s="22" t="s">
        <v>24</v>
      </c>
      <c r="F937" s="22" t="s">
        <v>29</v>
      </c>
      <c r="G937" s="22" t="s">
        <v>21</v>
      </c>
      <c r="H937" s="22">
        <v>1</v>
      </c>
      <c r="I937" s="22">
        <v>1</v>
      </c>
      <c r="J937" s="22">
        <v>1</v>
      </c>
      <c r="K937" s="22">
        <v>0</v>
      </c>
      <c r="L937" s="22">
        <v>0</v>
      </c>
      <c r="M937" s="22">
        <v>0</v>
      </c>
      <c r="N937" s="22">
        <v>0</v>
      </c>
      <c r="O937" s="22"/>
      <c r="P937" s="22">
        <v>59.9</v>
      </c>
      <c r="Q937" s="22" t="str">
        <f>IF(OR(L937&lt;$Y$18,L937&gt;$Y$19),"Outlier","Normal")</f>
        <v>Normal</v>
      </c>
      <c r="R937" s="26" t="str">
        <f>A937&amp;B937&amp;C937&amp;D937&amp;E937&amp;F937&amp;G937&amp;H937&amp;I937&amp;J937&amp;K937&amp;L937&amp;M937&amp;N937&amp;O937&amp;P937</f>
        <v>USR-10093645773TreatmentSouthMobilePaid SearchBasic111000059.9</v>
      </c>
      <c r="S937" s="22" t="str">
        <f>IF(COUNTIF($R$2:$R$1409,R937)=1,"OK",IF(COUNTIF($R$2:$R$1409,R937)&gt;1,"Exact Duplicate","Review Required"))</f>
        <v>OK</v>
      </c>
      <c r="T937" s="22" t="s">
        <v>24</v>
      </c>
      <c r="U937" s="22" t="s">
        <v>29</v>
      </c>
      <c r="V937" s="22"/>
    </row>
    <row r="938" spans="1:22" ht="41.4">
      <c r="A938" s="22" t="s">
        <v>969</v>
      </c>
      <c r="B938" s="25">
        <v>45798</v>
      </c>
      <c r="C938" s="22" t="s">
        <v>723</v>
      </c>
      <c r="D938" s="22" t="s">
        <v>32</v>
      </c>
      <c r="E938" s="22" t="s">
        <v>19</v>
      </c>
      <c r="F938" s="22" t="s">
        <v>1482</v>
      </c>
      <c r="G938" s="22" t="s">
        <v>21</v>
      </c>
      <c r="H938" s="22">
        <v>0</v>
      </c>
      <c r="I938" s="22">
        <v>0</v>
      </c>
      <c r="J938" s="22">
        <v>0</v>
      </c>
      <c r="K938" s="22">
        <v>0</v>
      </c>
      <c r="L938" s="22">
        <v>0</v>
      </c>
      <c r="M938" s="22">
        <v>0</v>
      </c>
      <c r="N938" s="22">
        <v>0</v>
      </c>
      <c r="O938" s="22"/>
      <c r="P938" s="22">
        <v>82</v>
      </c>
      <c r="Q938" s="22" t="str">
        <f>IF(OR(L938&lt;$Y$18,L938&gt;$Y$19),"Outlier","Normal")</f>
        <v>Normal</v>
      </c>
      <c r="R938" s="26" t="str">
        <f>A938&amp;B938&amp;C938&amp;D938&amp;E938&amp;F938&amp;G938&amp;H938&amp;I938&amp;J938&amp;K938&amp;L938&amp;M938&amp;N938&amp;O938&amp;P938</f>
        <v>USR-10093745798TreatmentSouthDesktopUnknownBasic000000082</v>
      </c>
      <c r="S938" s="22" t="str">
        <f>IF(COUNTIF($R$2:$R$1409,R938)=1,"OK",IF(COUNTIF($R$2:$R$1409,R938)&gt;1,"Exact Duplicate","Review Required"))</f>
        <v>OK</v>
      </c>
      <c r="T938" s="22" t="s">
        <v>19</v>
      </c>
      <c r="U938" s="22"/>
      <c r="V938" s="22"/>
    </row>
    <row r="939" spans="1:22" ht="41.4">
      <c r="A939" s="22" t="s">
        <v>970</v>
      </c>
      <c r="B939" s="25">
        <v>45765</v>
      </c>
      <c r="C939" s="22" t="s">
        <v>723</v>
      </c>
      <c r="D939" s="22" t="s">
        <v>28</v>
      </c>
      <c r="E939" s="22" t="s">
        <v>24</v>
      </c>
      <c r="F939" s="22" t="s">
        <v>29</v>
      </c>
      <c r="G939" s="22" t="s">
        <v>26</v>
      </c>
      <c r="H939" s="22">
        <v>0</v>
      </c>
      <c r="I939" s="22">
        <v>0</v>
      </c>
      <c r="J939" s="22">
        <v>0</v>
      </c>
      <c r="K939" s="22">
        <v>0</v>
      </c>
      <c r="L939" s="22">
        <v>0</v>
      </c>
      <c r="M939" s="22">
        <v>0</v>
      </c>
      <c r="N939" s="22">
        <v>0</v>
      </c>
      <c r="O939" s="22"/>
      <c r="P939" s="22">
        <v>72.099999999999994</v>
      </c>
      <c r="Q939" s="22" t="str">
        <f>IF(OR(L939&lt;$Y$18,L939&gt;$Y$19),"Outlier","Normal")</f>
        <v>Normal</v>
      </c>
      <c r="R939" s="26" t="str">
        <f>A939&amp;B939&amp;C939&amp;D939&amp;E939&amp;F939&amp;G939&amp;H939&amp;I939&amp;J939&amp;K939&amp;L939&amp;M939&amp;N939&amp;O939&amp;P939</f>
        <v>USR-10093845765TreatmentEastMobilePaid SearchFree000000072.1</v>
      </c>
      <c r="S939" s="22" t="str">
        <f>IF(COUNTIF($R$2:$R$1409,R939)=1,"OK",IF(COUNTIF($R$2:$R$1409,R939)&gt;1,"Exact Duplicate","Review Required"))</f>
        <v>OK</v>
      </c>
      <c r="T939" s="22" t="s">
        <v>24</v>
      </c>
      <c r="U939" s="22" t="s">
        <v>29</v>
      </c>
      <c r="V939" s="22"/>
    </row>
    <row r="940" spans="1:22" ht="41.4">
      <c r="A940" s="22" t="s">
        <v>971</v>
      </c>
      <c r="B940" s="25">
        <v>45686</v>
      </c>
      <c r="C940" s="22" t="s">
        <v>723</v>
      </c>
      <c r="D940" s="22" t="s">
        <v>18</v>
      </c>
      <c r="E940" s="22" t="s">
        <v>19</v>
      </c>
      <c r="F940" s="22" t="s">
        <v>20</v>
      </c>
      <c r="G940" s="22" t="s">
        <v>30</v>
      </c>
      <c r="H940" s="22">
        <v>1</v>
      </c>
      <c r="I940" s="22">
        <v>1</v>
      </c>
      <c r="J940" s="22">
        <v>0</v>
      </c>
      <c r="K940" s="22">
        <v>0</v>
      </c>
      <c r="L940" s="22">
        <v>0</v>
      </c>
      <c r="M940" s="22">
        <v>0</v>
      </c>
      <c r="N940" s="22">
        <v>0</v>
      </c>
      <c r="O940" s="22"/>
      <c r="P940" s="22">
        <v>68.3</v>
      </c>
      <c r="Q940" s="22" t="str">
        <f>IF(OR(L940&lt;$Y$18,L940&gt;$Y$19),"Outlier","Normal")</f>
        <v>Normal</v>
      </c>
      <c r="R940" s="26" t="str">
        <f>A940&amp;B940&amp;C940&amp;D940&amp;E940&amp;F940&amp;G940&amp;H940&amp;I940&amp;J940&amp;K940&amp;L940&amp;M940&amp;N940&amp;O940&amp;P940</f>
        <v>USR-10093945686TreatmentNorthDesktopEmailPremium110000068.3</v>
      </c>
      <c r="S940" s="22" t="str">
        <f>IF(COUNTIF($R$2:$R$1409,R940)=1,"OK",IF(COUNTIF($R$2:$R$1409,R940)&gt;1,"Exact Duplicate","Review Required"))</f>
        <v>OK</v>
      </c>
      <c r="T940" s="22" t="s">
        <v>19</v>
      </c>
      <c r="U940" s="22" t="s">
        <v>20</v>
      </c>
      <c r="V940" s="22"/>
    </row>
    <row r="941" spans="1:22" ht="41.4">
      <c r="A941" s="22" t="s">
        <v>972</v>
      </c>
      <c r="B941" s="25">
        <v>45805</v>
      </c>
      <c r="C941" s="22" t="s">
        <v>723</v>
      </c>
      <c r="D941" s="22" t="s">
        <v>23</v>
      </c>
      <c r="E941" s="22" t="s">
        <v>24</v>
      </c>
      <c r="F941" s="22" t="s">
        <v>25</v>
      </c>
      <c r="G941" s="22" t="s">
        <v>30</v>
      </c>
      <c r="H941" s="22">
        <v>0</v>
      </c>
      <c r="I941" s="22">
        <v>0</v>
      </c>
      <c r="J941" s="22">
        <v>0</v>
      </c>
      <c r="K941" s="22">
        <v>0</v>
      </c>
      <c r="L941" s="22">
        <v>0</v>
      </c>
      <c r="M941" s="22">
        <v>0</v>
      </c>
      <c r="N941" s="22">
        <v>0</v>
      </c>
      <c r="O941" s="22"/>
      <c r="P941" s="22">
        <v>100</v>
      </c>
      <c r="Q941" s="22" t="str">
        <f>IF(OR(L941&lt;$Y$18,L941&gt;$Y$19),"Outlier","Normal")</f>
        <v>Normal</v>
      </c>
      <c r="R941" s="26" t="str">
        <f>A941&amp;B941&amp;C941&amp;D941&amp;E941&amp;F941&amp;G941&amp;H941&amp;I941&amp;J941&amp;K941&amp;L941&amp;M941&amp;N941&amp;O941&amp;P941</f>
        <v>USR-10094045805TreatmentWestMobileOrganicPremium0000000100</v>
      </c>
      <c r="S941" s="22" t="str">
        <f>IF(COUNTIF($R$2:$R$1409,R941)=1,"OK",IF(COUNTIF($R$2:$R$1409,R941)&gt;1,"Exact Duplicate","Review Required"))</f>
        <v>OK</v>
      </c>
      <c r="T941" s="22" t="s">
        <v>24</v>
      </c>
      <c r="U941" s="22" t="s">
        <v>25</v>
      </c>
      <c r="V941" s="22"/>
    </row>
    <row r="942" spans="1:22" ht="41.4">
      <c r="A942" s="22" t="s">
        <v>973</v>
      </c>
      <c r="B942" s="25">
        <v>45672</v>
      </c>
      <c r="C942" s="22" t="s">
        <v>723</v>
      </c>
      <c r="D942" s="22" t="s">
        <v>28</v>
      </c>
      <c r="E942" s="22" t="s">
        <v>24</v>
      </c>
      <c r="F942" s="22" t="s">
        <v>20</v>
      </c>
      <c r="G942" s="22" t="s">
        <v>26</v>
      </c>
      <c r="H942" s="22">
        <v>1</v>
      </c>
      <c r="I942" s="22">
        <v>1</v>
      </c>
      <c r="J942" s="22">
        <v>1</v>
      </c>
      <c r="K942" s="22">
        <v>0</v>
      </c>
      <c r="L942" s="22">
        <v>0</v>
      </c>
      <c r="M942" s="22">
        <v>2</v>
      </c>
      <c r="N942" s="22">
        <v>0</v>
      </c>
      <c r="O942" s="22"/>
      <c r="P942" s="22">
        <v>76.5</v>
      </c>
      <c r="Q942" s="22" t="str">
        <f>IF(OR(L942&lt;$Y$18,L942&gt;$Y$19),"Outlier","Normal")</f>
        <v>Normal</v>
      </c>
      <c r="R942" s="26" t="str">
        <f>A942&amp;B942&amp;C942&amp;D942&amp;E942&amp;F942&amp;G942&amp;H942&amp;I942&amp;J942&amp;K942&amp;L942&amp;M942&amp;N942&amp;O942&amp;P942</f>
        <v>USR-10094145672TreatmentEastMobileEmailFree111002076.5</v>
      </c>
      <c r="S942" s="22" t="str">
        <f>IF(COUNTIF($R$2:$R$1409,R942)=1,"OK",IF(COUNTIF($R$2:$R$1409,R942)&gt;1,"Exact Duplicate","Review Required"))</f>
        <v>OK</v>
      </c>
      <c r="T942" s="22" t="s">
        <v>24</v>
      </c>
      <c r="U942" s="22" t="s">
        <v>20</v>
      </c>
      <c r="V942" s="22"/>
    </row>
    <row r="943" spans="1:22" ht="41.4">
      <c r="A943" s="22" t="s">
        <v>974</v>
      </c>
      <c r="B943" s="25">
        <v>45660</v>
      </c>
      <c r="C943" s="22" t="s">
        <v>723</v>
      </c>
      <c r="D943" s="22" t="s">
        <v>32</v>
      </c>
      <c r="E943" s="22" t="s">
        <v>24</v>
      </c>
      <c r="F943" s="22" t="s">
        <v>25</v>
      </c>
      <c r="G943" s="22" t="s">
        <v>21</v>
      </c>
      <c r="H943" s="22">
        <v>1</v>
      </c>
      <c r="I943" s="22">
        <v>1</v>
      </c>
      <c r="J943" s="22">
        <v>0</v>
      </c>
      <c r="K943" s="22">
        <v>0</v>
      </c>
      <c r="L943" s="22">
        <v>0</v>
      </c>
      <c r="M943" s="22">
        <v>0</v>
      </c>
      <c r="N943" s="22">
        <v>0</v>
      </c>
      <c r="O943" s="22"/>
      <c r="P943" s="22">
        <v>62</v>
      </c>
      <c r="Q943" s="22" t="str">
        <f>IF(OR(L943&lt;$Y$18,L943&gt;$Y$19),"Outlier","Normal")</f>
        <v>Normal</v>
      </c>
      <c r="R943" s="26" t="str">
        <f>A943&amp;B943&amp;C943&amp;D943&amp;E943&amp;F943&amp;G943&amp;H943&amp;I943&amp;J943&amp;K943&amp;L943&amp;M943&amp;N943&amp;O943&amp;P943</f>
        <v>USR-10094245660TreatmentSouthMobileOrganicBasic110000062</v>
      </c>
      <c r="S943" s="22" t="str">
        <f>IF(COUNTIF($R$2:$R$1409,R943)=1,"OK",IF(COUNTIF($R$2:$R$1409,R943)&gt;1,"Exact Duplicate","Review Required"))</f>
        <v>OK</v>
      </c>
      <c r="T943" s="22" t="s">
        <v>24</v>
      </c>
      <c r="U943" s="22" t="s">
        <v>25</v>
      </c>
      <c r="V943" s="22"/>
    </row>
    <row r="944" spans="1:22" ht="55.2">
      <c r="A944" s="22" t="s">
        <v>975</v>
      </c>
      <c r="B944" s="25">
        <v>45692</v>
      </c>
      <c r="C944" s="22" t="s">
        <v>723</v>
      </c>
      <c r="D944" s="22" t="s">
        <v>32</v>
      </c>
      <c r="E944" s="22" t="s">
        <v>24</v>
      </c>
      <c r="F944" s="22" t="s">
        <v>29</v>
      </c>
      <c r="G944" s="22" t="s">
        <v>26</v>
      </c>
      <c r="H944" s="22">
        <v>1</v>
      </c>
      <c r="I944" s="22">
        <v>1</v>
      </c>
      <c r="J944" s="22">
        <v>1</v>
      </c>
      <c r="K944" s="22">
        <v>1</v>
      </c>
      <c r="L944" s="22">
        <v>324.68</v>
      </c>
      <c r="M944" s="22">
        <v>1</v>
      </c>
      <c r="N944" s="22">
        <v>0</v>
      </c>
      <c r="O944" s="22">
        <v>7</v>
      </c>
      <c r="P944" s="22">
        <v>50.1</v>
      </c>
      <c r="Q944" s="22" t="str">
        <f>IF(OR(L944&lt;$Y$18,L944&gt;$Y$19),"Outlier","Normal")</f>
        <v>Normal</v>
      </c>
      <c r="R944" s="26" t="str">
        <f>A944&amp;B944&amp;C944&amp;D944&amp;E944&amp;F944&amp;G944&amp;H944&amp;I944&amp;J944&amp;K944&amp;L944&amp;M944&amp;N944&amp;O944&amp;P944</f>
        <v>USR-10094345692TreatmentSouthMobilePaid SearchFree1111324.6810750.1</v>
      </c>
      <c r="S944" s="22" t="str">
        <f>IF(COUNTIF($R$2:$R$1409,R944)=1,"OK",IF(COUNTIF($R$2:$R$1409,R944)&gt;1,"Exact Duplicate","Review Required"))</f>
        <v>OK</v>
      </c>
      <c r="T944" s="22" t="s">
        <v>24</v>
      </c>
      <c r="U944" s="22" t="s">
        <v>29</v>
      </c>
      <c r="V944" s="22"/>
    </row>
    <row r="945" spans="1:22" ht="41.4">
      <c r="A945" s="22" t="s">
        <v>976</v>
      </c>
      <c r="B945" s="25">
        <v>45710</v>
      </c>
      <c r="C945" s="22" t="s">
        <v>723</v>
      </c>
      <c r="D945" s="22" t="s">
        <v>32</v>
      </c>
      <c r="E945" s="22" t="s">
        <v>24</v>
      </c>
      <c r="F945" s="22" t="s">
        <v>39</v>
      </c>
      <c r="G945" s="22" t="s">
        <v>30</v>
      </c>
      <c r="H945" s="22">
        <v>1</v>
      </c>
      <c r="I945" s="22">
        <v>0</v>
      </c>
      <c r="J945" s="22">
        <v>0</v>
      </c>
      <c r="K945" s="22">
        <v>0</v>
      </c>
      <c r="L945" s="22">
        <v>0</v>
      </c>
      <c r="M945" s="22">
        <v>0</v>
      </c>
      <c r="N945" s="22">
        <v>0</v>
      </c>
      <c r="O945" s="22"/>
      <c r="P945" s="22">
        <v>62.1</v>
      </c>
      <c r="Q945" s="22" t="str">
        <f>IF(OR(L945&lt;$Y$18,L945&gt;$Y$19),"Outlier","Normal")</f>
        <v>Normal</v>
      </c>
      <c r="R945" s="26" t="str">
        <f>A945&amp;B945&amp;C945&amp;D945&amp;E945&amp;F945&amp;G945&amp;H945&amp;I945&amp;J945&amp;K945&amp;L945&amp;M945&amp;N945&amp;O945&amp;P945</f>
        <v>USR-10094445710TreatmentSouthMobileReferralPremium100000062.1</v>
      </c>
      <c r="S945" s="22" t="str">
        <f>IF(COUNTIF($R$2:$R$1409,R945)=1,"OK",IF(COUNTIF($R$2:$R$1409,R945)&gt;1,"Exact Duplicate","Review Required"))</f>
        <v>OK</v>
      </c>
      <c r="T945" s="22" t="s">
        <v>24</v>
      </c>
      <c r="U945" s="22" t="s">
        <v>39</v>
      </c>
      <c r="V945" s="22"/>
    </row>
    <row r="946" spans="1:22" ht="41.4">
      <c r="A946" s="22" t="s">
        <v>977</v>
      </c>
      <c r="B946" s="25">
        <v>45783</v>
      </c>
      <c r="C946" s="22" t="s">
        <v>723</v>
      </c>
      <c r="D946" s="22" t="s">
        <v>23</v>
      </c>
      <c r="E946" s="22" t="s">
        <v>24</v>
      </c>
      <c r="F946" s="22" t="s">
        <v>25</v>
      </c>
      <c r="G946" s="22" t="s">
        <v>21</v>
      </c>
      <c r="H946" s="22">
        <v>1</v>
      </c>
      <c r="I946" s="22">
        <v>0</v>
      </c>
      <c r="J946" s="22">
        <v>0</v>
      </c>
      <c r="K946" s="22">
        <v>0</v>
      </c>
      <c r="L946" s="22">
        <v>0</v>
      </c>
      <c r="M946" s="22">
        <v>0</v>
      </c>
      <c r="N946" s="22">
        <v>0</v>
      </c>
      <c r="O946" s="22"/>
      <c r="P946" s="22">
        <v>49.7</v>
      </c>
      <c r="Q946" s="22" t="str">
        <f>IF(OR(L946&lt;$Y$18,L946&gt;$Y$19),"Outlier","Normal")</f>
        <v>Normal</v>
      </c>
      <c r="R946" s="26" t="str">
        <f>A946&amp;B946&amp;C946&amp;D946&amp;E946&amp;F946&amp;G946&amp;H946&amp;I946&amp;J946&amp;K946&amp;L946&amp;M946&amp;N946&amp;O946&amp;P946</f>
        <v>USR-10094545783TreatmentWestMobileOrganicBasic100000049.7</v>
      </c>
      <c r="S946" s="22" t="str">
        <f>IF(COUNTIF($R$2:$R$1409,R946)=1,"OK",IF(COUNTIF($R$2:$R$1409,R946)&gt;1,"Exact Duplicate","Review Required"))</f>
        <v>OK</v>
      </c>
      <c r="T946" s="22" t="s">
        <v>24</v>
      </c>
      <c r="U946" s="22" t="s">
        <v>25</v>
      </c>
      <c r="V946" s="22"/>
    </row>
    <row r="947" spans="1:22" ht="41.4">
      <c r="A947" s="22" t="s">
        <v>978</v>
      </c>
      <c r="B947" s="25">
        <v>45688</v>
      </c>
      <c r="C947" s="22" t="s">
        <v>723</v>
      </c>
      <c r="D947" s="22" t="s">
        <v>32</v>
      </c>
      <c r="E947" s="22" t="s">
        <v>24</v>
      </c>
      <c r="F947" s="22" t="s">
        <v>25</v>
      </c>
      <c r="G947" s="22" t="s">
        <v>26</v>
      </c>
      <c r="H947" s="22">
        <v>1</v>
      </c>
      <c r="I947" s="22">
        <v>0</v>
      </c>
      <c r="J947" s="22">
        <v>0</v>
      </c>
      <c r="K947" s="22">
        <v>0</v>
      </c>
      <c r="L947" s="22">
        <v>0</v>
      </c>
      <c r="M947" s="22">
        <v>3</v>
      </c>
      <c r="N947" s="22">
        <v>0</v>
      </c>
      <c r="O947" s="22"/>
      <c r="P947" s="22">
        <v>71.099999999999994</v>
      </c>
      <c r="Q947" s="22" t="str">
        <f>IF(OR(L947&lt;$Y$18,L947&gt;$Y$19),"Outlier","Normal")</f>
        <v>Normal</v>
      </c>
      <c r="R947" s="26" t="str">
        <f>A947&amp;B947&amp;C947&amp;D947&amp;E947&amp;F947&amp;G947&amp;H947&amp;I947&amp;J947&amp;K947&amp;L947&amp;M947&amp;N947&amp;O947&amp;P947</f>
        <v>USR-10094645688TreatmentSouthMobileOrganicFree100003071.1</v>
      </c>
      <c r="S947" s="22" t="str">
        <f>IF(COUNTIF($R$2:$R$1409,R947)=1,"OK",IF(COUNTIF($R$2:$R$1409,R947)&gt;1,"Exact Duplicate","Review Required"))</f>
        <v>OK</v>
      </c>
      <c r="T947" s="22" t="s">
        <v>24</v>
      </c>
      <c r="U947" s="22" t="s">
        <v>25</v>
      </c>
      <c r="V947" s="22"/>
    </row>
    <row r="948" spans="1:22" ht="41.4">
      <c r="A948" s="22" t="s">
        <v>979</v>
      </c>
      <c r="B948" s="25">
        <v>45706</v>
      </c>
      <c r="C948" s="22" t="s">
        <v>723</v>
      </c>
      <c r="D948" s="22" t="s">
        <v>18</v>
      </c>
      <c r="E948" s="22" t="s">
        <v>24</v>
      </c>
      <c r="F948" s="22" t="s">
        <v>41</v>
      </c>
      <c r="G948" s="22" t="s">
        <v>21</v>
      </c>
      <c r="H948" s="22">
        <v>0</v>
      </c>
      <c r="I948" s="22">
        <v>0</v>
      </c>
      <c r="J948" s="22">
        <v>0</v>
      </c>
      <c r="K948" s="22">
        <v>0</v>
      </c>
      <c r="L948" s="22">
        <v>0</v>
      </c>
      <c r="M948" s="22">
        <v>0</v>
      </c>
      <c r="N948" s="22">
        <v>0</v>
      </c>
      <c r="O948" s="22"/>
      <c r="P948" s="22">
        <v>70.8</v>
      </c>
      <c r="Q948" s="22" t="str">
        <f>IF(OR(L948&lt;$Y$18,L948&gt;$Y$19),"Outlier","Normal")</f>
        <v>Normal</v>
      </c>
      <c r="R948" s="26" t="str">
        <f>A948&amp;B948&amp;C948&amp;D948&amp;E948&amp;F948&amp;G948&amp;H948&amp;I948&amp;J948&amp;K948&amp;L948&amp;M948&amp;N948&amp;O948&amp;P948</f>
        <v>USR-10094745706TreatmentNorthMobileSocialBasic000000070.8</v>
      </c>
      <c r="S948" s="22" t="str">
        <f>IF(COUNTIF($R$2:$R$1409,R948)=1,"OK",IF(COUNTIF($R$2:$R$1409,R948)&gt;1,"Exact Duplicate","Review Required"))</f>
        <v>OK</v>
      </c>
      <c r="T948" s="22" t="s">
        <v>24</v>
      </c>
      <c r="U948" s="22" t="s">
        <v>41</v>
      </c>
      <c r="V948" s="22"/>
    </row>
    <row r="949" spans="1:22" ht="55.2">
      <c r="A949" s="22" t="s">
        <v>980</v>
      </c>
      <c r="B949" s="25">
        <v>45770</v>
      </c>
      <c r="C949" s="22" t="s">
        <v>723</v>
      </c>
      <c r="D949" s="22" t="s">
        <v>28</v>
      </c>
      <c r="E949" s="22" t="s">
        <v>24</v>
      </c>
      <c r="F949" s="22" t="s">
        <v>29</v>
      </c>
      <c r="G949" s="22" t="s">
        <v>26</v>
      </c>
      <c r="H949" s="22">
        <v>1</v>
      </c>
      <c r="I949" s="22">
        <v>1</v>
      </c>
      <c r="J949" s="22">
        <v>1</v>
      </c>
      <c r="K949" s="22">
        <v>1</v>
      </c>
      <c r="L949" s="22">
        <v>301.98</v>
      </c>
      <c r="M949" s="22">
        <v>0</v>
      </c>
      <c r="N949" s="22">
        <v>0</v>
      </c>
      <c r="O949" s="22">
        <v>10</v>
      </c>
      <c r="P949" s="22">
        <v>52.2</v>
      </c>
      <c r="Q949" s="22" t="str">
        <f>IF(OR(L949&lt;$Y$18,L949&gt;$Y$19),"Outlier","Normal")</f>
        <v>Normal</v>
      </c>
      <c r="R949" s="26" t="str">
        <f>A949&amp;B949&amp;C949&amp;D949&amp;E949&amp;F949&amp;G949&amp;H949&amp;I949&amp;J949&amp;K949&amp;L949&amp;M949&amp;N949&amp;O949&amp;P949</f>
        <v>USR-10094845770TreatmentEastMobilePaid SearchFree1111301.98001052.2</v>
      </c>
      <c r="S949" s="22" t="str">
        <f>IF(COUNTIF($R$2:$R$1409,R949)=1,"OK",IF(COUNTIF($R$2:$R$1409,R949)&gt;1,"Exact Duplicate","Review Required"))</f>
        <v>OK</v>
      </c>
      <c r="T949" s="22" t="s">
        <v>24</v>
      </c>
      <c r="U949" s="22" t="s">
        <v>29</v>
      </c>
      <c r="V949" s="22"/>
    </row>
    <row r="950" spans="1:22" ht="41.4">
      <c r="A950" s="22" t="s">
        <v>981</v>
      </c>
      <c r="B950" s="25">
        <v>45694</v>
      </c>
      <c r="C950" s="22" t="s">
        <v>723</v>
      </c>
      <c r="D950" s="22" t="s">
        <v>18</v>
      </c>
      <c r="E950" s="22" t="s">
        <v>24</v>
      </c>
      <c r="F950" s="22" t="s">
        <v>25</v>
      </c>
      <c r="G950" s="22" t="s">
        <v>26</v>
      </c>
      <c r="H950" s="22">
        <v>1</v>
      </c>
      <c r="I950" s="22">
        <v>1</v>
      </c>
      <c r="J950" s="22">
        <v>1</v>
      </c>
      <c r="K950" s="22">
        <v>0</v>
      </c>
      <c r="L950" s="22">
        <v>0</v>
      </c>
      <c r="M950" s="22">
        <v>0</v>
      </c>
      <c r="N950" s="22">
        <v>0</v>
      </c>
      <c r="O950" s="22"/>
      <c r="P950" s="22">
        <v>73</v>
      </c>
      <c r="Q950" s="22" t="str">
        <f>IF(OR(L950&lt;$Y$18,L950&gt;$Y$19),"Outlier","Normal")</f>
        <v>Normal</v>
      </c>
      <c r="R950" s="26" t="str">
        <f>A950&amp;B950&amp;C950&amp;D950&amp;E950&amp;F950&amp;G950&amp;H950&amp;I950&amp;J950&amp;K950&amp;L950&amp;M950&amp;N950&amp;O950&amp;P950</f>
        <v>USR-10094945694TreatmentNorthMobileOrganicFree111000073</v>
      </c>
      <c r="S950" s="22" t="str">
        <f>IF(COUNTIF($R$2:$R$1409,R950)=1,"OK",IF(COUNTIF($R$2:$R$1409,R950)&gt;1,"Exact Duplicate","Review Required"))</f>
        <v>OK</v>
      </c>
      <c r="T950" s="22" t="s">
        <v>24</v>
      </c>
      <c r="U950" s="22" t="s">
        <v>25</v>
      </c>
      <c r="V950" s="22"/>
    </row>
    <row r="951" spans="1:22" ht="41.4">
      <c r="A951" s="22" t="s">
        <v>982</v>
      </c>
      <c r="B951" s="25">
        <v>45773</v>
      </c>
      <c r="C951" s="22" t="s">
        <v>723</v>
      </c>
      <c r="D951" s="22" t="s">
        <v>32</v>
      </c>
      <c r="E951" s="22" t="s">
        <v>19</v>
      </c>
      <c r="F951" s="22" t="s">
        <v>29</v>
      </c>
      <c r="G951" s="22" t="s">
        <v>26</v>
      </c>
      <c r="H951" s="22">
        <v>0</v>
      </c>
      <c r="I951" s="22">
        <v>0</v>
      </c>
      <c r="J951" s="22">
        <v>0</v>
      </c>
      <c r="K951" s="22">
        <v>0</v>
      </c>
      <c r="L951" s="22">
        <v>0</v>
      </c>
      <c r="M951" s="22">
        <v>0</v>
      </c>
      <c r="N951" s="22">
        <v>0</v>
      </c>
      <c r="O951" s="22"/>
      <c r="P951" s="22">
        <v>78.2</v>
      </c>
      <c r="Q951" s="22" t="str">
        <f>IF(OR(L951&lt;$Y$18,L951&gt;$Y$19),"Outlier","Normal")</f>
        <v>Normal</v>
      </c>
      <c r="R951" s="26" t="str">
        <f>A951&amp;B951&amp;C951&amp;D951&amp;E951&amp;F951&amp;G951&amp;H951&amp;I951&amp;J951&amp;K951&amp;L951&amp;M951&amp;N951&amp;O951&amp;P951</f>
        <v>USR-10095045773TreatmentSouthDesktopPaid SearchFree000000078.2</v>
      </c>
      <c r="S951" s="22" t="str">
        <f>IF(COUNTIF($R$2:$R$1409,R951)=1,"OK",IF(COUNTIF($R$2:$R$1409,R951)&gt;1,"Exact Duplicate","Review Required"))</f>
        <v>OK</v>
      </c>
      <c r="T951" s="22" t="s">
        <v>19</v>
      </c>
      <c r="U951" s="22" t="s">
        <v>29</v>
      </c>
      <c r="V951" s="22"/>
    </row>
    <row r="952" spans="1:22" ht="41.4">
      <c r="A952" s="22" t="s">
        <v>983</v>
      </c>
      <c r="B952" s="25">
        <v>45746</v>
      </c>
      <c r="C952" s="22" t="s">
        <v>723</v>
      </c>
      <c r="D952" s="22" t="s">
        <v>23</v>
      </c>
      <c r="E952" s="22" t="s">
        <v>19</v>
      </c>
      <c r="F952" s="22" t="s">
        <v>29</v>
      </c>
      <c r="G952" s="22" t="s">
        <v>21</v>
      </c>
      <c r="H952" s="22">
        <v>1</v>
      </c>
      <c r="I952" s="22">
        <v>0</v>
      </c>
      <c r="J952" s="22">
        <v>0</v>
      </c>
      <c r="K952" s="22">
        <v>0</v>
      </c>
      <c r="L952" s="22">
        <v>0</v>
      </c>
      <c r="M952" s="22">
        <v>0</v>
      </c>
      <c r="N952" s="22">
        <v>0</v>
      </c>
      <c r="O952" s="22"/>
      <c r="P952" s="22">
        <v>68.8</v>
      </c>
      <c r="Q952" s="22" t="str">
        <f>IF(OR(L952&lt;$Y$18,L952&gt;$Y$19),"Outlier","Normal")</f>
        <v>Normal</v>
      </c>
      <c r="R952" s="26" t="str">
        <f>A952&amp;B952&amp;C952&amp;D952&amp;E952&amp;F952&amp;G952&amp;H952&amp;I952&amp;J952&amp;K952&amp;L952&amp;M952&amp;N952&amp;O952&amp;P952</f>
        <v>USR-10095145746TreatmentWestDesktopPaid SearchBasic100000068.8</v>
      </c>
      <c r="S952" s="22" t="str">
        <f>IF(COUNTIF($R$2:$R$1409,R952)=1,"OK",IF(COUNTIF($R$2:$R$1409,R952)&gt;1,"Exact Duplicate","Review Required"))</f>
        <v>OK</v>
      </c>
      <c r="T952" s="22" t="s">
        <v>19</v>
      </c>
      <c r="U952" s="22" t="s">
        <v>29</v>
      </c>
      <c r="V952" s="22"/>
    </row>
    <row r="953" spans="1:22" ht="41.4">
      <c r="A953" s="22" t="s">
        <v>984</v>
      </c>
      <c r="B953" s="25">
        <v>45760</v>
      </c>
      <c r="C953" s="22" t="s">
        <v>723</v>
      </c>
      <c r="D953" s="22" t="s">
        <v>23</v>
      </c>
      <c r="E953" s="22" t="s">
        <v>24</v>
      </c>
      <c r="F953" s="22" t="s">
        <v>1482</v>
      </c>
      <c r="G953" s="22" t="s">
        <v>30</v>
      </c>
      <c r="H953" s="22">
        <v>1</v>
      </c>
      <c r="I953" s="22">
        <v>0</v>
      </c>
      <c r="J953" s="22">
        <v>0</v>
      </c>
      <c r="K953" s="22">
        <v>0</v>
      </c>
      <c r="L953" s="22">
        <v>0</v>
      </c>
      <c r="M953" s="22">
        <v>0</v>
      </c>
      <c r="N953" s="22">
        <v>0</v>
      </c>
      <c r="O953" s="22"/>
      <c r="P953" s="22">
        <v>57.1</v>
      </c>
      <c r="Q953" s="22" t="str">
        <f>IF(OR(L953&lt;$Y$18,L953&gt;$Y$19),"Outlier","Normal")</f>
        <v>Normal</v>
      </c>
      <c r="R953" s="26" t="str">
        <f>A953&amp;B953&amp;C953&amp;D953&amp;E953&amp;F953&amp;G953&amp;H953&amp;I953&amp;J953&amp;K953&amp;L953&amp;M953&amp;N953&amp;O953&amp;P953</f>
        <v>USR-10095245760TreatmentWestMobileUnknownPremium100000057.1</v>
      </c>
      <c r="S953" s="22" t="str">
        <f>IF(COUNTIF($R$2:$R$1409,R953)=1,"OK",IF(COUNTIF($R$2:$R$1409,R953)&gt;1,"Exact Duplicate","Review Required"))</f>
        <v>OK</v>
      </c>
      <c r="T953" s="22" t="s">
        <v>24</v>
      </c>
      <c r="U953" s="22"/>
      <c r="V953" s="22"/>
    </row>
    <row r="954" spans="1:22" ht="41.4">
      <c r="A954" s="22" t="s">
        <v>985</v>
      </c>
      <c r="B954" s="25">
        <v>45751</v>
      </c>
      <c r="C954" s="22" t="s">
        <v>723</v>
      </c>
      <c r="D954" s="22" t="s">
        <v>28</v>
      </c>
      <c r="E954" s="22" t="s">
        <v>19</v>
      </c>
      <c r="F954" s="22" t="s">
        <v>25</v>
      </c>
      <c r="G954" s="22" t="s">
        <v>30</v>
      </c>
      <c r="H954" s="22">
        <v>0</v>
      </c>
      <c r="I954" s="22">
        <v>0</v>
      </c>
      <c r="J954" s="22">
        <v>0</v>
      </c>
      <c r="K954" s="22">
        <v>0</v>
      </c>
      <c r="L954" s="22">
        <v>0</v>
      </c>
      <c r="M954" s="22">
        <v>1</v>
      </c>
      <c r="N954" s="22">
        <v>0</v>
      </c>
      <c r="O954" s="22"/>
      <c r="P954" s="22">
        <v>74.599999999999994</v>
      </c>
      <c r="Q954" s="22" t="str">
        <f>IF(OR(L954&lt;$Y$18,L954&gt;$Y$19),"Outlier","Normal")</f>
        <v>Normal</v>
      </c>
      <c r="R954" s="26" t="str">
        <f>A954&amp;B954&amp;C954&amp;D954&amp;E954&amp;F954&amp;G954&amp;H954&amp;I954&amp;J954&amp;K954&amp;L954&amp;M954&amp;N954&amp;O954&amp;P954</f>
        <v>USR-10095345751TreatmentEastDesktopOrganicPremium000001074.6</v>
      </c>
      <c r="S954" s="22" t="str">
        <f>IF(COUNTIF($R$2:$R$1409,R954)=1,"OK",IF(COUNTIF($R$2:$R$1409,R954)&gt;1,"Exact Duplicate","Review Required"))</f>
        <v>OK</v>
      </c>
      <c r="T954" s="22" t="s">
        <v>19</v>
      </c>
      <c r="U954" s="22" t="s">
        <v>25</v>
      </c>
      <c r="V954" s="22"/>
    </row>
    <row r="955" spans="1:22" ht="41.4">
      <c r="A955" s="22" t="s">
        <v>986</v>
      </c>
      <c r="B955" s="25">
        <v>45750</v>
      </c>
      <c r="C955" s="22" t="s">
        <v>723</v>
      </c>
      <c r="D955" s="22" t="s">
        <v>18</v>
      </c>
      <c r="E955" s="22" t="s">
        <v>19</v>
      </c>
      <c r="F955" s="22" t="s">
        <v>39</v>
      </c>
      <c r="G955" s="22" t="s">
        <v>26</v>
      </c>
      <c r="H955" s="22">
        <v>1</v>
      </c>
      <c r="I955" s="22">
        <v>0</v>
      </c>
      <c r="J955" s="22">
        <v>0</v>
      </c>
      <c r="K955" s="22">
        <v>0</v>
      </c>
      <c r="L955" s="22">
        <v>0</v>
      </c>
      <c r="M955" s="22">
        <v>1</v>
      </c>
      <c r="N955" s="22">
        <v>0</v>
      </c>
      <c r="O955" s="22"/>
      <c r="P955" s="22">
        <v>64.099999999999994</v>
      </c>
      <c r="Q955" s="22" t="str">
        <f>IF(OR(L955&lt;$Y$18,L955&gt;$Y$19),"Outlier","Normal")</f>
        <v>Normal</v>
      </c>
      <c r="R955" s="26" t="str">
        <f>A955&amp;B955&amp;C955&amp;D955&amp;E955&amp;F955&amp;G955&amp;H955&amp;I955&amp;J955&amp;K955&amp;L955&amp;M955&amp;N955&amp;O955&amp;P955</f>
        <v>USR-10095445750TreatmentNorthDesktopReferralFree100001064.1</v>
      </c>
      <c r="S955" s="22" t="str">
        <f>IF(COUNTIF($R$2:$R$1409,R955)=1,"OK",IF(COUNTIF($R$2:$R$1409,R955)&gt;1,"Exact Duplicate","Review Required"))</f>
        <v>OK</v>
      </c>
      <c r="T955" s="22" t="s">
        <v>19</v>
      </c>
      <c r="U955" s="22" t="s">
        <v>39</v>
      </c>
      <c r="V955" s="22"/>
    </row>
    <row r="956" spans="1:22" ht="41.4">
      <c r="A956" s="22" t="s">
        <v>987</v>
      </c>
      <c r="B956" s="25">
        <v>45730</v>
      </c>
      <c r="C956" s="22" t="s">
        <v>723</v>
      </c>
      <c r="D956" s="22" t="s">
        <v>23</v>
      </c>
      <c r="E956" s="22" t="s">
        <v>24</v>
      </c>
      <c r="F956" s="22" t="s">
        <v>29</v>
      </c>
      <c r="G956" s="22" t="s">
        <v>30</v>
      </c>
      <c r="H956" s="22">
        <v>1</v>
      </c>
      <c r="I956" s="22">
        <v>0</v>
      </c>
      <c r="J956" s="22">
        <v>0</v>
      </c>
      <c r="K956" s="22">
        <v>0</v>
      </c>
      <c r="L956" s="22">
        <v>0</v>
      </c>
      <c r="M956" s="22">
        <v>0</v>
      </c>
      <c r="N956" s="22">
        <v>0</v>
      </c>
      <c r="O956" s="22"/>
      <c r="P956" s="22">
        <v>67.3</v>
      </c>
      <c r="Q956" s="22" t="str">
        <f>IF(OR(L956&lt;$Y$18,L956&gt;$Y$19),"Outlier","Normal")</f>
        <v>Normal</v>
      </c>
      <c r="R956" s="26" t="str">
        <f>A956&amp;B956&amp;C956&amp;D956&amp;E956&amp;F956&amp;G956&amp;H956&amp;I956&amp;J956&amp;K956&amp;L956&amp;M956&amp;N956&amp;O956&amp;P956</f>
        <v>USR-10095545730TreatmentWestMobilePaid SearchPremium100000067.3</v>
      </c>
      <c r="S956" s="22" t="str">
        <f>IF(COUNTIF($R$2:$R$1409,R956)=1,"OK",IF(COUNTIF($R$2:$R$1409,R956)&gt;1,"Exact Duplicate","Review Required"))</f>
        <v>OK</v>
      </c>
      <c r="T956" s="22" t="s">
        <v>24</v>
      </c>
      <c r="U956" s="22" t="s">
        <v>29</v>
      </c>
      <c r="V956" s="22"/>
    </row>
    <row r="957" spans="1:22" ht="41.4">
      <c r="A957" s="22" t="s">
        <v>988</v>
      </c>
      <c r="B957" s="25">
        <v>45671</v>
      </c>
      <c r="C957" s="22" t="s">
        <v>723</v>
      </c>
      <c r="D957" s="22" t="s">
        <v>23</v>
      </c>
      <c r="E957" s="22" t="s">
        <v>24</v>
      </c>
      <c r="F957" s="22" t="s">
        <v>39</v>
      </c>
      <c r="G957" s="22" t="s">
        <v>26</v>
      </c>
      <c r="H957" s="22">
        <v>0</v>
      </c>
      <c r="I957" s="22">
        <v>0</v>
      </c>
      <c r="J957" s="22">
        <v>0</v>
      </c>
      <c r="K957" s="22">
        <v>0</v>
      </c>
      <c r="L957" s="22">
        <v>0</v>
      </c>
      <c r="M957" s="22">
        <v>2</v>
      </c>
      <c r="N957" s="22">
        <v>0</v>
      </c>
      <c r="O957" s="22"/>
      <c r="P957" s="22">
        <v>41</v>
      </c>
      <c r="Q957" s="22" t="str">
        <f>IF(OR(L957&lt;$Y$18,L957&gt;$Y$19),"Outlier","Normal")</f>
        <v>Normal</v>
      </c>
      <c r="R957" s="26" t="str">
        <f>A957&amp;B957&amp;C957&amp;D957&amp;E957&amp;F957&amp;G957&amp;H957&amp;I957&amp;J957&amp;K957&amp;L957&amp;M957&amp;N957&amp;O957&amp;P957</f>
        <v>USR-10095645671TreatmentWestMobileReferralFree000002041</v>
      </c>
      <c r="S957" s="22" t="str">
        <f>IF(COUNTIF($R$2:$R$1409,R957)=1,"OK",IF(COUNTIF($R$2:$R$1409,R957)&gt;1,"Exact Duplicate","Review Required"))</f>
        <v>OK</v>
      </c>
      <c r="T957" s="22" t="s">
        <v>24</v>
      </c>
      <c r="U957" s="22" t="s">
        <v>39</v>
      </c>
      <c r="V957" s="22"/>
    </row>
    <row r="958" spans="1:22" ht="41.4">
      <c r="A958" s="22" t="s">
        <v>989</v>
      </c>
      <c r="B958" s="25">
        <v>45782</v>
      </c>
      <c r="C958" s="22" t="s">
        <v>723</v>
      </c>
      <c r="D958" s="22" t="s">
        <v>23</v>
      </c>
      <c r="E958" s="22" t="s">
        <v>24</v>
      </c>
      <c r="F958" s="22" t="s">
        <v>29</v>
      </c>
      <c r="G958" s="22" t="s">
        <v>26</v>
      </c>
      <c r="H958" s="22">
        <v>0</v>
      </c>
      <c r="I958" s="22">
        <v>0</v>
      </c>
      <c r="J958" s="22">
        <v>0</v>
      </c>
      <c r="K958" s="22">
        <v>0</v>
      </c>
      <c r="L958" s="22">
        <v>0</v>
      </c>
      <c r="M958" s="22">
        <v>0</v>
      </c>
      <c r="N958" s="22">
        <v>0</v>
      </c>
      <c r="O958" s="22"/>
      <c r="P958" s="22">
        <v>48.1</v>
      </c>
      <c r="Q958" s="22" t="str">
        <f>IF(OR(L958&lt;$Y$18,L958&gt;$Y$19),"Outlier","Normal")</f>
        <v>Normal</v>
      </c>
      <c r="R958" s="26" t="str">
        <f>A958&amp;B958&amp;C958&amp;D958&amp;E958&amp;F958&amp;G958&amp;H958&amp;I958&amp;J958&amp;K958&amp;L958&amp;M958&amp;N958&amp;O958&amp;P958</f>
        <v>USR-10095745782TreatmentWestMobilePaid SearchFree000000048.1</v>
      </c>
      <c r="S958" s="22" t="str">
        <f>IF(COUNTIF($R$2:$R$1409,R958)=1,"OK",IF(COUNTIF($R$2:$R$1409,R958)&gt;1,"Exact Duplicate","Review Required"))</f>
        <v>OK</v>
      </c>
      <c r="T958" s="22" t="s">
        <v>24</v>
      </c>
      <c r="U958" s="22" t="s">
        <v>29</v>
      </c>
      <c r="V958" s="22"/>
    </row>
    <row r="959" spans="1:22" ht="41.4">
      <c r="A959" s="22" t="s">
        <v>990</v>
      </c>
      <c r="B959" s="25">
        <v>45779</v>
      </c>
      <c r="C959" s="22" t="s">
        <v>723</v>
      </c>
      <c r="D959" s="22" t="s">
        <v>23</v>
      </c>
      <c r="E959" s="22" t="s">
        <v>19</v>
      </c>
      <c r="F959" s="22" t="s">
        <v>41</v>
      </c>
      <c r="G959" s="22" t="s">
        <v>26</v>
      </c>
      <c r="H959" s="22">
        <v>0</v>
      </c>
      <c r="I959" s="22">
        <v>0</v>
      </c>
      <c r="J959" s="22">
        <v>0</v>
      </c>
      <c r="K959" s="22">
        <v>0</v>
      </c>
      <c r="L959" s="22">
        <v>0</v>
      </c>
      <c r="M959" s="22">
        <v>1</v>
      </c>
      <c r="N959" s="22">
        <v>0</v>
      </c>
      <c r="O959" s="22"/>
      <c r="P959" s="22">
        <v>60.8</v>
      </c>
      <c r="Q959" s="22" t="str">
        <f>IF(OR(L959&lt;$Y$18,L959&gt;$Y$19),"Outlier","Normal")</f>
        <v>Normal</v>
      </c>
      <c r="R959" s="26" t="str">
        <f>A959&amp;B959&amp;C959&amp;D959&amp;E959&amp;F959&amp;G959&amp;H959&amp;I959&amp;J959&amp;K959&amp;L959&amp;M959&amp;N959&amp;O959&amp;P959</f>
        <v>USR-10095845779TreatmentWestDesktopSocialFree000001060.8</v>
      </c>
      <c r="S959" s="22" t="str">
        <f>IF(COUNTIF($R$2:$R$1409,R959)=1,"OK",IF(COUNTIF($R$2:$R$1409,R959)&gt;1,"Exact Duplicate","Review Required"))</f>
        <v>OK</v>
      </c>
      <c r="T959" s="22" t="s">
        <v>19</v>
      </c>
      <c r="U959" s="22" t="s">
        <v>41</v>
      </c>
      <c r="V959" s="22"/>
    </row>
    <row r="960" spans="1:22" ht="41.4">
      <c r="A960" s="22" t="s">
        <v>991</v>
      </c>
      <c r="B960" s="25">
        <v>45798</v>
      </c>
      <c r="C960" s="22" t="s">
        <v>723</v>
      </c>
      <c r="D960" s="22" t="s">
        <v>28</v>
      </c>
      <c r="E960" s="22" t="s">
        <v>24</v>
      </c>
      <c r="F960" s="22" t="s">
        <v>25</v>
      </c>
      <c r="G960" s="22" t="s">
        <v>26</v>
      </c>
      <c r="H960" s="22">
        <v>1</v>
      </c>
      <c r="I960" s="22">
        <v>0</v>
      </c>
      <c r="J960" s="22">
        <v>0</v>
      </c>
      <c r="K960" s="22">
        <v>0</v>
      </c>
      <c r="L960" s="22">
        <v>0</v>
      </c>
      <c r="M960" s="22">
        <v>0</v>
      </c>
      <c r="N960" s="22">
        <v>0</v>
      </c>
      <c r="O960" s="22"/>
      <c r="P960" s="22">
        <v>63.1</v>
      </c>
      <c r="Q960" s="22" t="str">
        <f>IF(OR(L960&lt;$Y$18,L960&gt;$Y$19),"Outlier","Normal")</f>
        <v>Normal</v>
      </c>
      <c r="R960" s="26" t="str">
        <f>A960&amp;B960&amp;C960&amp;D960&amp;E960&amp;F960&amp;G960&amp;H960&amp;I960&amp;J960&amp;K960&amp;L960&amp;M960&amp;N960&amp;O960&amp;P960</f>
        <v>USR-10095945798TreatmentEastMobileOrganicFree100000063.1</v>
      </c>
      <c r="S960" s="22" t="str">
        <f>IF(COUNTIF($R$2:$R$1409,R960)=1,"OK",IF(COUNTIF($R$2:$R$1409,R960)&gt;1,"Exact Duplicate","Review Required"))</f>
        <v>OK</v>
      </c>
      <c r="T960" s="22" t="s">
        <v>24</v>
      </c>
      <c r="U960" s="22" t="s">
        <v>25</v>
      </c>
      <c r="V960" s="22"/>
    </row>
    <row r="961" spans="1:22" ht="41.4">
      <c r="A961" s="22" t="s">
        <v>992</v>
      </c>
      <c r="B961" s="25">
        <v>45793</v>
      </c>
      <c r="C961" s="22" t="s">
        <v>723</v>
      </c>
      <c r="D961" s="22" t="s">
        <v>18</v>
      </c>
      <c r="E961" s="22" t="s">
        <v>24</v>
      </c>
      <c r="F961" s="22" t="s">
        <v>39</v>
      </c>
      <c r="G961" s="22" t="s">
        <v>30</v>
      </c>
      <c r="H961" s="22">
        <v>1</v>
      </c>
      <c r="I961" s="22">
        <v>0</v>
      </c>
      <c r="J961" s="22">
        <v>0</v>
      </c>
      <c r="K961" s="22">
        <v>0</v>
      </c>
      <c r="L961" s="22">
        <v>0</v>
      </c>
      <c r="M961" s="22">
        <v>2</v>
      </c>
      <c r="N961" s="22">
        <v>0</v>
      </c>
      <c r="O961" s="22"/>
      <c r="P961" s="22">
        <v>49.7</v>
      </c>
      <c r="Q961" s="22" t="str">
        <f>IF(OR(L961&lt;$Y$18,L961&gt;$Y$19),"Outlier","Normal")</f>
        <v>Normal</v>
      </c>
      <c r="R961" s="26" t="str">
        <f>A961&amp;B961&amp;C961&amp;D961&amp;E961&amp;F961&amp;G961&amp;H961&amp;I961&amp;J961&amp;K961&amp;L961&amp;M961&amp;N961&amp;O961&amp;P961</f>
        <v>USR-10096045793TreatmentNorthMobileReferralPremium100002049.7</v>
      </c>
      <c r="S961" s="22" t="str">
        <f>IF(COUNTIF($R$2:$R$1409,R961)=1,"OK",IF(COUNTIF($R$2:$R$1409,R961)&gt;1,"Exact Duplicate","Review Required"))</f>
        <v>OK</v>
      </c>
      <c r="T961" s="22" t="s">
        <v>24</v>
      </c>
      <c r="U961" s="22" t="s">
        <v>39</v>
      </c>
      <c r="V961" s="22"/>
    </row>
    <row r="962" spans="1:22" ht="41.4">
      <c r="A962" s="22" t="s">
        <v>993</v>
      </c>
      <c r="B962" s="25">
        <v>45801</v>
      </c>
      <c r="C962" s="22" t="s">
        <v>723</v>
      </c>
      <c r="D962" s="22" t="s">
        <v>28</v>
      </c>
      <c r="E962" s="22" t="s">
        <v>19</v>
      </c>
      <c r="F962" s="22" t="s">
        <v>25</v>
      </c>
      <c r="G962" s="22" t="s">
        <v>30</v>
      </c>
      <c r="H962" s="22">
        <v>1</v>
      </c>
      <c r="I962" s="22">
        <v>1</v>
      </c>
      <c r="J962" s="22">
        <v>1</v>
      </c>
      <c r="K962" s="22">
        <v>0</v>
      </c>
      <c r="L962" s="22">
        <v>0</v>
      </c>
      <c r="M962" s="22">
        <v>1</v>
      </c>
      <c r="N962" s="22">
        <v>0</v>
      </c>
      <c r="O962" s="22"/>
      <c r="P962" s="22">
        <v>83.4</v>
      </c>
      <c r="Q962" s="22" t="str">
        <f>IF(OR(L962&lt;$Y$18,L962&gt;$Y$19),"Outlier","Normal")</f>
        <v>Normal</v>
      </c>
      <c r="R962" s="26" t="str">
        <f>A962&amp;B962&amp;C962&amp;D962&amp;E962&amp;F962&amp;G962&amp;H962&amp;I962&amp;J962&amp;K962&amp;L962&amp;M962&amp;N962&amp;O962&amp;P962</f>
        <v>USR-10096145801TreatmentEastDesktopOrganicPremium111001083.4</v>
      </c>
      <c r="S962" s="22" t="str">
        <f>IF(COUNTIF($R$2:$R$1409,R962)=1,"OK",IF(COUNTIF($R$2:$R$1409,R962)&gt;1,"Exact Duplicate","Review Required"))</f>
        <v>OK</v>
      </c>
      <c r="T962" s="22" t="s">
        <v>19</v>
      </c>
      <c r="U962" s="22" t="s">
        <v>25</v>
      </c>
      <c r="V962" s="22"/>
    </row>
    <row r="963" spans="1:22" ht="41.4">
      <c r="A963" s="22" t="s">
        <v>994</v>
      </c>
      <c r="B963" s="25">
        <v>45734</v>
      </c>
      <c r="C963" s="22" t="s">
        <v>723</v>
      </c>
      <c r="D963" s="22" t="s">
        <v>28</v>
      </c>
      <c r="E963" s="22" t="s">
        <v>24</v>
      </c>
      <c r="F963" s="22" t="s">
        <v>25</v>
      </c>
      <c r="G963" s="22" t="s">
        <v>21</v>
      </c>
      <c r="H963" s="22">
        <v>1</v>
      </c>
      <c r="I963" s="22">
        <v>0</v>
      </c>
      <c r="J963" s="22">
        <v>0</v>
      </c>
      <c r="K963" s="22">
        <v>0</v>
      </c>
      <c r="L963" s="22">
        <v>0</v>
      </c>
      <c r="M963" s="22">
        <v>0</v>
      </c>
      <c r="N963" s="22">
        <v>0</v>
      </c>
      <c r="O963" s="22"/>
      <c r="P963" s="22">
        <v>75.900000000000006</v>
      </c>
      <c r="Q963" s="22" t="str">
        <f>IF(OR(L963&lt;$Y$18,L963&gt;$Y$19),"Outlier","Normal")</f>
        <v>Normal</v>
      </c>
      <c r="R963" s="26" t="str">
        <f>A963&amp;B963&amp;C963&amp;D963&amp;E963&amp;F963&amp;G963&amp;H963&amp;I963&amp;J963&amp;K963&amp;L963&amp;M963&amp;N963&amp;O963&amp;P963</f>
        <v>USR-10096245734TreatmentEastMobileOrganicBasic100000075.9</v>
      </c>
      <c r="S963" s="22" t="str">
        <f>IF(COUNTIF($R$2:$R$1409,R963)=1,"OK",IF(COUNTIF($R$2:$R$1409,R963)&gt;1,"Exact Duplicate","Review Required"))</f>
        <v>OK</v>
      </c>
      <c r="T963" s="22" t="s">
        <v>24</v>
      </c>
      <c r="U963" s="22" t="s">
        <v>25</v>
      </c>
      <c r="V963" s="22"/>
    </row>
    <row r="964" spans="1:22" ht="41.4">
      <c r="A964" s="22" t="s">
        <v>995</v>
      </c>
      <c r="B964" s="25">
        <v>45668</v>
      </c>
      <c r="C964" s="22" t="s">
        <v>723</v>
      </c>
      <c r="D964" s="22" t="s">
        <v>28</v>
      </c>
      <c r="E964" s="22" t="s">
        <v>19</v>
      </c>
      <c r="F964" s="22" t="s">
        <v>29</v>
      </c>
      <c r="G964" s="22" t="s">
        <v>26</v>
      </c>
      <c r="H964" s="22">
        <v>0</v>
      </c>
      <c r="I964" s="22">
        <v>0</v>
      </c>
      <c r="J964" s="22">
        <v>0</v>
      </c>
      <c r="K964" s="22">
        <v>0</v>
      </c>
      <c r="L964" s="22">
        <v>0</v>
      </c>
      <c r="M964" s="22">
        <v>1</v>
      </c>
      <c r="N964" s="22">
        <v>0</v>
      </c>
      <c r="O964" s="22"/>
      <c r="P964" s="22">
        <v>71.8</v>
      </c>
      <c r="Q964" s="22" t="str">
        <f>IF(OR(L964&lt;$Y$18,L964&gt;$Y$19),"Outlier","Normal")</f>
        <v>Normal</v>
      </c>
      <c r="R964" s="26" t="str">
        <f>A964&amp;B964&amp;C964&amp;D964&amp;E964&amp;F964&amp;G964&amp;H964&amp;I964&amp;J964&amp;K964&amp;L964&amp;M964&amp;N964&amp;O964&amp;P964</f>
        <v>USR-10096345668TreatmentEastDesktopPaid SearchFree000001071.8</v>
      </c>
      <c r="S964" s="22" t="str">
        <f>IF(COUNTIF($R$2:$R$1409,R964)=1,"OK",IF(COUNTIF($R$2:$R$1409,R964)&gt;1,"Exact Duplicate","Review Required"))</f>
        <v>OK</v>
      </c>
      <c r="T964" s="22" t="s">
        <v>19</v>
      </c>
      <c r="U964" s="22" t="s">
        <v>29</v>
      </c>
      <c r="V964" s="22"/>
    </row>
    <row r="965" spans="1:22" ht="41.4">
      <c r="A965" s="22" t="s">
        <v>996</v>
      </c>
      <c r="B965" s="25">
        <v>45697</v>
      </c>
      <c r="C965" s="22" t="s">
        <v>723</v>
      </c>
      <c r="D965" s="22" t="s">
        <v>32</v>
      </c>
      <c r="E965" s="22" t="s">
        <v>24</v>
      </c>
      <c r="F965" s="22" t="s">
        <v>25</v>
      </c>
      <c r="G965" s="22" t="s">
        <v>21</v>
      </c>
      <c r="H965" s="22">
        <v>0</v>
      </c>
      <c r="I965" s="22">
        <v>0</v>
      </c>
      <c r="J965" s="22">
        <v>0</v>
      </c>
      <c r="K965" s="22">
        <v>0</v>
      </c>
      <c r="L965" s="22">
        <v>0</v>
      </c>
      <c r="M965" s="22">
        <v>0</v>
      </c>
      <c r="N965" s="22">
        <v>0</v>
      </c>
      <c r="O965" s="22"/>
      <c r="P965" s="22">
        <v>37.9</v>
      </c>
      <c r="Q965" s="22" t="str">
        <f>IF(OR(L965&lt;$Y$18,L965&gt;$Y$19),"Outlier","Normal")</f>
        <v>Normal</v>
      </c>
      <c r="R965" s="26" t="str">
        <f>A965&amp;B965&amp;C965&amp;D965&amp;E965&amp;F965&amp;G965&amp;H965&amp;I965&amp;J965&amp;K965&amp;L965&amp;M965&amp;N965&amp;O965&amp;P965</f>
        <v>USR-10096445697TreatmentSouthMobileOrganicBasic000000037.9</v>
      </c>
      <c r="S965" s="22" t="str">
        <f>IF(COUNTIF($R$2:$R$1409,R965)=1,"OK",IF(COUNTIF($R$2:$R$1409,R965)&gt;1,"Exact Duplicate","Review Required"))</f>
        <v>OK</v>
      </c>
      <c r="T965" s="22" t="s">
        <v>24</v>
      </c>
      <c r="U965" s="22" t="s">
        <v>25</v>
      </c>
      <c r="V965" s="22"/>
    </row>
    <row r="966" spans="1:22" ht="41.4">
      <c r="A966" s="22" t="s">
        <v>997</v>
      </c>
      <c r="B966" s="25">
        <v>45717</v>
      </c>
      <c r="C966" s="22" t="s">
        <v>723</v>
      </c>
      <c r="D966" s="22" t="s">
        <v>18</v>
      </c>
      <c r="E966" s="22" t="s">
        <v>19</v>
      </c>
      <c r="F966" s="22" t="s">
        <v>41</v>
      </c>
      <c r="G966" s="22" t="s">
        <v>26</v>
      </c>
      <c r="H966" s="22">
        <v>1</v>
      </c>
      <c r="I966" s="22">
        <v>0</v>
      </c>
      <c r="J966" s="22">
        <v>0</v>
      </c>
      <c r="K966" s="22">
        <v>0</v>
      </c>
      <c r="L966" s="22">
        <v>0</v>
      </c>
      <c r="M966" s="22">
        <v>0</v>
      </c>
      <c r="N966" s="22">
        <v>0</v>
      </c>
      <c r="O966" s="22"/>
      <c r="P966" s="22">
        <v>59.8</v>
      </c>
      <c r="Q966" s="22" t="str">
        <f>IF(OR(L966&lt;$Y$18,L966&gt;$Y$19),"Outlier","Normal")</f>
        <v>Normal</v>
      </c>
      <c r="R966" s="26" t="str">
        <f>A966&amp;B966&amp;C966&amp;D966&amp;E966&amp;F966&amp;G966&amp;H966&amp;I966&amp;J966&amp;K966&amp;L966&amp;M966&amp;N966&amp;O966&amp;P966</f>
        <v>USR-10096545717TreatmentNorthDesktopSocialFree100000059.8</v>
      </c>
      <c r="S966" s="22" t="str">
        <f>IF(COUNTIF($R$2:$R$1409,R966)=1,"OK",IF(COUNTIF($R$2:$R$1409,R966)&gt;1,"Exact Duplicate","Review Required"))</f>
        <v>OK</v>
      </c>
      <c r="T966" s="22" t="s">
        <v>19</v>
      </c>
      <c r="U966" s="22" t="s">
        <v>41</v>
      </c>
      <c r="V966" s="22"/>
    </row>
    <row r="967" spans="1:22" ht="41.4">
      <c r="A967" s="22" t="s">
        <v>998</v>
      </c>
      <c r="B967" s="25">
        <v>45784</v>
      </c>
      <c r="C967" s="22" t="s">
        <v>723</v>
      </c>
      <c r="D967" s="22" t="s">
        <v>18</v>
      </c>
      <c r="E967" s="22" t="s">
        <v>24</v>
      </c>
      <c r="F967" s="22" t="s">
        <v>25</v>
      </c>
      <c r="G967" s="22" t="s">
        <v>21</v>
      </c>
      <c r="H967" s="22">
        <v>0</v>
      </c>
      <c r="I967" s="22">
        <v>0</v>
      </c>
      <c r="J967" s="22">
        <v>0</v>
      </c>
      <c r="K967" s="22">
        <v>0</v>
      </c>
      <c r="L967" s="22">
        <v>0</v>
      </c>
      <c r="M967" s="22">
        <v>0</v>
      </c>
      <c r="N967" s="22">
        <v>0</v>
      </c>
      <c r="O967" s="22"/>
      <c r="P967" s="22">
        <v>66.900000000000006</v>
      </c>
      <c r="Q967" s="22" t="str">
        <f>IF(OR(L967&lt;$Y$18,L967&gt;$Y$19),"Outlier","Normal")</f>
        <v>Normal</v>
      </c>
      <c r="R967" s="26" t="str">
        <f>A967&amp;B967&amp;C967&amp;D967&amp;E967&amp;F967&amp;G967&amp;H967&amp;I967&amp;J967&amp;K967&amp;L967&amp;M967&amp;N967&amp;O967&amp;P967</f>
        <v>USR-10096645784TreatmentNorthMobileOrganicBasic000000066.9</v>
      </c>
      <c r="S967" s="22" t="str">
        <f>IF(COUNTIF($R$2:$R$1409,R967)=1,"OK",IF(COUNTIF($R$2:$R$1409,R967)&gt;1,"Exact Duplicate","Review Required"))</f>
        <v>OK</v>
      </c>
      <c r="T967" s="22" t="s">
        <v>24</v>
      </c>
      <c r="U967" s="22" t="s">
        <v>25</v>
      </c>
      <c r="V967" s="22"/>
    </row>
    <row r="968" spans="1:22" ht="41.4">
      <c r="A968" s="22" t="s">
        <v>999</v>
      </c>
      <c r="B968" s="25">
        <v>45707</v>
      </c>
      <c r="C968" s="22" t="s">
        <v>723</v>
      </c>
      <c r="D968" s="22" t="s">
        <v>32</v>
      </c>
      <c r="E968" s="22" t="s">
        <v>19</v>
      </c>
      <c r="F968" s="22" t="s">
        <v>1482</v>
      </c>
      <c r="G968" s="22" t="s">
        <v>26</v>
      </c>
      <c r="H968" s="22">
        <v>1</v>
      </c>
      <c r="I968" s="22">
        <v>0</v>
      </c>
      <c r="J968" s="22">
        <v>0</v>
      </c>
      <c r="K968" s="22">
        <v>0</v>
      </c>
      <c r="L968" s="22">
        <v>0</v>
      </c>
      <c r="M968" s="22">
        <v>0</v>
      </c>
      <c r="N968" s="22">
        <v>0</v>
      </c>
      <c r="O968" s="22"/>
      <c r="P968" s="22">
        <v>59</v>
      </c>
      <c r="Q968" s="22" t="str">
        <f>IF(OR(L968&lt;$Y$18,L968&gt;$Y$19),"Outlier","Normal")</f>
        <v>Normal</v>
      </c>
      <c r="R968" s="26" t="str">
        <f>A968&amp;B968&amp;C968&amp;D968&amp;E968&amp;F968&amp;G968&amp;H968&amp;I968&amp;J968&amp;K968&amp;L968&amp;M968&amp;N968&amp;O968&amp;P968</f>
        <v>USR-10096745707TreatmentSouthDesktopUnknownFree100000059</v>
      </c>
      <c r="S968" s="22" t="str">
        <f>IF(COUNTIF($R$2:$R$1409,R968)=1,"OK",IF(COUNTIF($R$2:$R$1409,R968)&gt;1,"Exact Duplicate","Review Required"))</f>
        <v>OK</v>
      </c>
      <c r="T968" s="22" t="s">
        <v>19</v>
      </c>
      <c r="U968" s="22"/>
      <c r="V968" s="22"/>
    </row>
    <row r="969" spans="1:22" ht="41.4">
      <c r="A969" s="22" t="s">
        <v>1000</v>
      </c>
      <c r="B969" s="25">
        <v>45714</v>
      </c>
      <c r="C969" s="22" t="s">
        <v>723</v>
      </c>
      <c r="D969" s="22" t="s">
        <v>23</v>
      </c>
      <c r="E969" s="22" t="s">
        <v>24</v>
      </c>
      <c r="F969" s="22" t="s">
        <v>25</v>
      </c>
      <c r="G969" s="22" t="s">
        <v>30</v>
      </c>
      <c r="H969" s="22">
        <v>1</v>
      </c>
      <c r="I969" s="22">
        <v>0</v>
      </c>
      <c r="J969" s="22">
        <v>0</v>
      </c>
      <c r="K969" s="22">
        <v>0</v>
      </c>
      <c r="L969" s="22">
        <v>0</v>
      </c>
      <c r="M969" s="22">
        <v>0</v>
      </c>
      <c r="N969" s="22">
        <v>0</v>
      </c>
      <c r="O969" s="22"/>
      <c r="P969" s="22">
        <v>80.099999999999994</v>
      </c>
      <c r="Q969" s="22" t="str">
        <f>IF(OR(L969&lt;$Y$18,L969&gt;$Y$19),"Outlier","Normal")</f>
        <v>Normal</v>
      </c>
      <c r="R969" s="26" t="str">
        <f>A969&amp;B969&amp;C969&amp;D969&amp;E969&amp;F969&amp;G969&amp;H969&amp;I969&amp;J969&amp;K969&amp;L969&amp;M969&amp;N969&amp;O969&amp;P969</f>
        <v>USR-10096845714TreatmentWestMobileOrganicPremium100000080.1</v>
      </c>
      <c r="S969" s="22" t="str">
        <f>IF(COUNTIF($R$2:$R$1409,R969)=1,"OK",IF(COUNTIF($R$2:$R$1409,R969)&gt;1,"Exact Duplicate","Review Required"))</f>
        <v>OK</v>
      </c>
      <c r="T969" s="22" t="s">
        <v>24</v>
      </c>
      <c r="U969" s="22" t="s">
        <v>25</v>
      </c>
      <c r="V969" s="22"/>
    </row>
    <row r="970" spans="1:22" ht="41.4">
      <c r="A970" s="22" t="s">
        <v>1001</v>
      </c>
      <c r="B970" s="25">
        <v>45739</v>
      </c>
      <c r="C970" s="22" t="s">
        <v>723</v>
      </c>
      <c r="D970" s="22" t="s">
        <v>32</v>
      </c>
      <c r="E970" s="22" t="s">
        <v>24</v>
      </c>
      <c r="F970" s="22" t="s">
        <v>41</v>
      </c>
      <c r="G970" s="22" t="s">
        <v>26</v>
      </c>
      <c r="H970" s="22">
        <v>0</v>
      </c>
      <c r="I970" s="22">
        <v>0</v>
      </c>
      <c r="J970" s="22">
        <v>0</v>
      </c>
      <c r="K970" s="22">
        <v>0</v>
      </c>
      <c r="L970" s="22">
        <v>0</v>
      </c>
      <c r="M970" s="22">
        <v>0</v>
      </c>
      <c r="N970" s="22">
        <v>0</v>
      </c>
      <c r="O970" s="22"/>
      <c r="P970" s="22">
        <v>64.3</v>
      </c>
      <c r="Q970" s="22" t="str">
        <f>IF(OR(L970&lt;$Y$18,L970&gt;$Y$19),"Outlier","Normal")</f>
        <v>Normal</v>
      </c>
      <c r="R970" s="26" t="str">
        <f>A970&amp;B970&amp;C970&amp;D970&amp;E970&amp;F970&amp;G970&amp;H970&amp;I970&amp;J970&amp;K970&amp;L970&amp;M970&amp;N970&amp;O970&amp;P970</f>
        <v>USR-10096945739TreatmentSouthMobileSocialFree000000064.3</v>
      </c>
      <c r="S970" s="22" t="str">
        <f>IF(COUNTIF($R$2:$R$1409,R970)=1,"OK",IF(COUNTIF($R$2:$R$1409,R970)&gt;1,"Exact Duplicate","Review Required"))</f>
        <v>OK</v>
      </c>
      <c r="T970" s="22" t="s">
        <v>24</v>
      </c>
      <c r="U970" s="22" t="s">
        <v>41</v>
      </c>
      <c r="V970" s="22"/>
    </row>
    <row r="971" spans="1:22" ht="41.4">
      <c r="A971" s="22" t="s">
        <v>1002</v>
      </c>
      <c r="B971" s="25">
        <v>45772</v>
      </c>
      <c r="C971" s="22" t="s">
        <v>723</v>
      </c>
      <c r="D971" s="22" t="s">
        <v>32</v>
      </c>
      <c r="E971" s="22" t="s">
        <v>19</v>
      </c>
      <c r="F971" s="22" t="s">
        <v>41</v>
      </c>
      <c r="G971" s="22" t="s">
        <v>26</v>
      </c>
      <c r="H971" s="22">
        <v>0</v>
      </c>
      <c r="I971" s="22">
        <v>0</v>
      </c>
      <c r="J971" s="22">
        <v>0</v>
      </c>
      <c r="K971" s="22">
        <v>0</v>
      </c>
      <c r="L971" s="22">
        <v>0</v>
      </c>
      <c r="M971" s="22">
        <v>1</v>
      </c>
      <c r="N971" s="22">
        <v>0</v>
      </c>
      <c r="O971" s="22"/>
      <c r="P971" s="22">
        <v>57.4</v>
      </c>
      <c r="Q971" s="22" t="str">
        <f>IF(OR(L971&lt;$Y$18,L971&gt;$Y$19),"Outlier","Normal")</f>
        <v>Normal</v>
      </c>
      <c r="R971" s="26" t="str">
        <f>A971&amp;B971&amp;C971&amp;D971&amp;E971&amp;F971&amp;G971&amp;H971&amp;I971&amp;J971&amp;K971&amp;L971&amp;M971&amp;N971&amp;O971&amp;P971</f>
        <v>USR-10097045772TreatmentSouthDesktopSocialFree000001057.4</v>
      </c>
      <c r="S971" s="22" t="str">
        <f>IF(COUNTIF($R$2:$R$1409,R971)=1,"OK",IF(COUNTIF($R$2:$R$1409,R971)&gt;1,"Exact Duplicate","Review Required"))</f>
        <v>OK</v>
      </c>
      <c r="T971" s="22" t="s">
        <v>19</v>
      </c>
      <c r="U971" s="22" t="s">
        <v>41</v>
      </c>
      <c r="V971" s="22"/>
    </row>
    <row r="972" spans="1:22" ht="41.4">
      <c r="A972" s="22" t="s">
        <v>1003</v>
      </c>
      <c r="B972" s="25">
        <v>45787</v>
      </c>
      <c r="C972" s="22" t="s">
        <v>723</v>
      </c>
      <c r="D972" s="22" t="s">
        <v>18</v>
      </c>
      <c r="E972" s="22" t="s">
        <v>19</v>
      </c>
      <c r="F972" s="22" t="s">
        <v>41</v>
      </c>
      <c r="G972" s="22" t="s">
        <v>26</v>
      </c>
      <c r="H972" s="22">
        <v>1</v>
      </c>
      <c r="I972" s="22">
        <v>1</v>
      </c>
      <c r="J972" s="22">
        <v>1</v>
      </c>
      <c r="K972" s="22">
        <v>0</v>
      </c>
      <c r="L972" s="22">
        <v>0</v>
      </c>
      <c r="M972" s="22">
        <v>0</v>
      </c>
      <c r="N972" s="22">
        <v>0</v>
      </c>
      <c r="O972" s="22"/>
      <c r="P972" s="22">
        <v>83.6</v>
      </c>
      <c r="Q972" s="22" t="str">
        <f>IF(OR(L972&lt;$Y$18,L972&gt;$Y$19),"Outlier","Normal")</f>
        <v>Normal</v>
      </c>
      <c r="R972" s="26" t="str">
        <f>A972&amp;B972&amp;C972&amp;D972&amp;E972&amp;F972&amp;G972&amp;H972&amp;I972&amp;J972&amp;K972&amp;L972&amp;M972&amp;N972&amp;O972&amp;P972</f>
        <v>USR-10097145787TreatmentNorthDesktopSocialFree111000083.6</v>
      </c>
      <c r="S972" s="22" t="str">
        <f>IF(COUNTIF($R$2:$R$1409,R972)=1,"OK",IF(COUNTIF($R$2:$R$1409,R972)&gt;1,"Exact Duplicate","Review Required"))</f>
        <v>OK</v>
      </c>
      <c r="T972" s="22" t="s">
        <v>19</v>
      </c>
      <c r="U972" s="22" t="s">
        <v>41</v>
      </c>
      <c r="V972" s="22"/>
    </row>
    <row r="973" spans="1:22" ht="41.4">
      <c r="A973" s="22" t="s">
        <v>1004</v>
      </c>
      <c r="B973" s="25">
        <v>45769</v>
      </c>
      <c r="C973" s="22" t="s">
        <v>723</v>
      </c>
      <c r="D973" s="22" t="s">
        <v>28</v>
      </c>
      <c r="E973" s="22" t="s">
        <v>24</v>
      </c>
      <c r="F973" s="22" t="s">
        <v>29</v>
      </c>
      <c r="G973" s="22" t="s">
        <v>30</v>
      </c>
      <c r="H973" s="22">
        <v>0</v>
      </c>
      <c r="I973" s="22">
        <v>0</v>
      </c>
      <c r="J973" s="22">
        <v>0</v>
      </c>
      <c r="K973" s="22">
        <v>0</v>
      </c>
      <c r="L973" s="22">
        <v>0</v>
      </c>
      <c r="M973" s="22">
        <v>0</v>
      </c>
      <c r="N973" s="22">
        <v>0</v>
      </c>
      <c r="O973" s="22"/>
      <c r="P973" s="22">
        <v>45.8</v>
      </c>
      <c r="Q973" s="22" t="str">
        <f>IF(OR(L973&lt;$Y$18,L973&gt;$Y$19),"Outlier","Normal")</f>
        <v>Normal</v>
      </c>
      <c r="R973" s="26" t="str">
        <f>A973&amp;B973&amp;C973&amp;D973&amp;E973&amp;F973&amp;G973&amp;H973&amp;I973&amp;J973&amp;K973&amp;L973&amp;M973&amp;N973&amp;O973&amp;P973</f>
        <v>USR-10097245769TreatmentEastMobilePaid SearchPremium000000045.8</v>
      </c>
      <c r="S973" s="22" t="str">
        <f>IF(COUNTIF($R$2:$R$1409,R973)=1,"OK",IF(COUNTIF($R$2:$R$1409,R973)&gt;1,"Exact Duplicate","Review Required"))</f>
        <v>OK</v>
      </c>
      <c r="T973" s="22" t="s">
        <v>24</v>
      </c>
      <c r="U973" s="22" t="s">
        <v>29</v>
      </c>
      <c r="V973" s="22"/>
    </row>
    <row r="974" spans="1:22" ht="41.4">
      <c r="A974" s="22" t="s">
        <v>1005</v>
      </c>
      <c r="B974" s="25">
        <v>45706</v>
      </c>
      <c r="C974" s="22" t="s">
        <v>723</v>
      </c>
      <c r="D974" s="22" t="s">
        <v>23</v>
      </c>
      <c r="E974" s="22" t="s">
        <v>24</v>
      </c>
      <c r="F974" s="22" t="s">
        <v>39</v>
      </c>
      <c r="G974" s="22" t="s">
        <v>21</v>
      </c>
      <c r="H974" s="22">
        <v>1</v>
      </c>
      <c r="I974" s="22">
        <v>1</v>
      </c>
      <c r="J974" s="22">
        <v>1</v>
      </c>
      <c r="K974" s="22">
        <v>0</v>
      </c>
      <c r="L974" s="22">
        <v>0</v>
      </c>
      <c r="M974" s="22">
        <v>0</v>
      </c>
      <c r="N974" s="22">
        <v>0</v>
      </c>
      <c r="O974" s="22"/>
      <c r="P974" s="22">
        <v>64.3</v>
      </c>
      <c r="Q974" s="22" t="str">
        <f>IF(OR(L974&lt;$Y$18,L974&gt;$Y$19),"Outlier","Normal")</f>
        <v>Normal</v>
      </c>
      <c r="R974" s="26" t="str">
        <f>A974&amp;B974&amp;C974&amp;D974&amp;E974&amp;F974&amp;G974&amp;H974&amp;I974&amp;J974&amp;K974&amp;L974&amp;M974&amp;N974&amp;O974&amp;P974</f>
        <v>USR-10097345706TreatmentWestMobileReferralBasic111000064.3</v>
      </c>
      <c r="S974" s="22" t="str">
        <f>IF(COUNTIF($R$2:$R$1409,R974)=1,"OK",IF(COUNTIF($R$2:$R$1409,R974)&gt;1,"Exact Duplicate","Review Required"))</f>
        <v>OK</v>
      </c>
      <c r="T974" s="22" t="s">
        <v>24</v>
      </c>
      <c r="U974" s="22" t="s">
        <v>39</v>
      </c>
      <c r="V974" s="22"/>
    </row>
    <row r="975" spans="1:22" ht="41.4">
      <c r="A975" s="22" t="s">
        <v>1006</v>
      </c>
      <c r="B975" s="25">
        <v>45683</v>
      </c>
      <c r="C975" s="22" t="s">
        <v>723</v>
      </c>
      <c r="D975" s="22" t="s">
        <v>32</v>
      </c>
      <c r="E975" s="22" t="s">
        <v>24</v>
      </c>
      <c r="F975" s="22" t="s">
        <v>29</v>
      </c>
      <c r="G975" s="22" t="s">
        <v>30</v>
      </c>
      <c r="H975" s="22">
        <v>1</v>
      </c>
      <c r="I975" s="22">
        <v>1</v>
      </c>
      <c r="J975" s="22">
        <v>1</v>
      </c>
      <c r="K975" s="22">
        <v>0</v>
      </c>
      <c r="L975" s="22">
        <v>0</v>
      </c>
      <c r="M975" s="22">
        <v>0</v>
      </c>
      <c r="N975" s="22">
        <v>0</v>
      </c>
      <c r="O975" s="22"/>
      <c r="P975" s="22">
        <v>80.5</v>
      </c>
      <c r="Q975" s="22" t="str">
        <f>IF(OR(L975&lt;$Y$18,L975&gt;$Y$19),"Outlier","Normal")</f>
        <v>Normal</v>
      </c>
      <c r="R975" s="26" t="str">
        <f>A975&amp;B975&amp;C975&amp;D975&amp;E975&amp;F975&amp;G975&amp;H975&amp;I975&amp;J975&amp;K975&amp;L975&amp;M975&amp;N975&amp;O975&amp;P975</f>
        <v>USR-10097445683TreatmentSouthMobilePaid SearchPremium111000080.5</v>
      </c>
      <c r="S975" s="22" t="str">
        <f>IF(COUNTIF($R$2:$R$1409,R975)=1,"OK",IF(COUNTIF($R$2:$R$1409,R975)&gt;1,"Exact Duplicate","Review Required"))</f>
        <v>OK</v>
      </c>
      <c r="T975" s="22" t="s">
        <v>24</v>
      </c>
      <c r="U975" s="22" t="s">
        <v>29</v>
      </c>
      <c r="V975" s="22"/>
    </row>
    <row r="976" spans="1:22" ht="41.4">
      <c r="A976" s="22" t="s">
        <v>1007</v>
      </c>
      <c r="B976" s="25">
        <v>45775</v>
      </c>
      <c r="C976" s="22" t="s">
        <v>723</v>
      </c>
      <c r="D976" s="22" t="s">
        <v>18</v>
      </c>
      <c r="E976" s="22" t="s">
        <v>24</v>
      </c>
      <c r="F976" s="22" t="s">
        <v>25</v>
      </c>
      <c r="G976" s="22" t="s">
        <v>26</v>
      </c>
      <c r="H976" s="22">
        <v>1</v>
      </c>
      <c r="I976" s="22">
        <v>0</v>
      </c>
      <c r="J976" s="22">
        <v>0</v>
      </c>
      <c r="K976" s="22">
        <v>0</v>
      </c>
      <c r="L976" s="22">
        <v>0</v>
      </c>
      <c r="M976" s="22">
        <v>0</v>
      </c>
      <c r="N976" s="22">
        <v>0</v>
      </c>
      <c r="O976" s="22"/>
      <c r="P976" s="22">
        <v>46.3</v>
      </c>
      <c r="Q976" s="22" t="str">
        <f>IF(OR(L976&lt;$Y$18,L976&gt;$Y$19),"Outlier","Normal")</f>
        <v>Normal</v>
      </c>
      <c r="R976" s="26" t="str">
        <f>A976&amp;B976&amp;C976&amp;D976&amp;E976&amp;F976&amp;G976&amp;H976&amp;I976&amp;J976&amp;K976&amp;L976&amp;M976&amp;N976&amp;O976&amp;P976</f>
        <v>USR-10097545775TreatmentNorthMobileOrganicFree100000046.3</v>
      </c>
      <c r="S976" s="22" t="str">
        <f>IF(COUNTIF($R$2:$R$1409,R976)=1,"OK",IF(COUNTIF($R$2:$R$1409,R976)&gt;1,"Exact Duplicate","Review Required"))</f>
        <v>OK</v>
      </c>
      <c r="T976" s="22" t="s">
        <v>24</v>
      </c>
      <c r="U976" s="22" t="s">
        <v>25</v>
      </c>
      <c r="V976" s="22"/>
    </row>
    <row r="977" spans="1:22" ht="41.4">
      <c r="A977" s="22" t="s">
        <v>1008</v>
      </c>
      <c r="B977" s="25">
        <v>45749</v>
      </c>
      <c r="C977" s="22" t="s">
        <v>723</v>
      </c>
      <c r="D977" s="22" t="s">
        <v>32</v>
      </c>
      <c r="E977" s="22" t="s">
        <v>19</v>
      </c>
      <c r="F977" s="22" t="s">
        <v>20</v>
      </c>
      <c r="G977" s="22" t="s">
        <v>21</v>
      </c>
      <c r="H977" s="22">
        <v>1</v>
      </c>
      <c r="I977" s="22">
        <v>0</v>
      </c>
      <c r="J977" s="22">
        <v>0</v>
      </c>
      <c r="K977" s="22">
        <v>0</v>
      </c>
      <c r="L977" s="22">
        <v>0</v>
      </c>
      <c r="M977" s="22">
        <v>0</v>
      </c>
      <c r="N977" s="22">
        <v>0</v>
      </c>
      <c r="O977" s="22"/>
      <c r="P977" s="22">
        <v>71.599999999999994</v>
      </c>
      <c r="Q977" s="22" t="str">
        <f>IF(OR(L977&lt;$Y$18,L977&gt;$Y$19),"Outlier","Normal")</f>
        <v>Normal</v>
      </c>
      <c r="R977" s="26" t="str">
        <f>A977&amp;B977&amp;C977&amp;D977&amp;E977&amp;F977&amp;G977&amp;H977&amp;I977&amp;J977&amp;K977&amp;L977&amp;M977&amp;N977&amp;O977&amp;P977</f>
        <v>USR-10097645749TreatmentSouthDesktopEmailBasic100000071.6</v>
      </c>
      <c r="S977" s="22" t="str">
        <f>IF(COUNTIF($R$2:$R$1409,R977)=1,"OK",IF(COUNTIF($R$2:$R$1409,R977)&gt;1,"Exact Duplicate","Review Required"))</f>
        <v>OK</v>
      </c>
      <c r="T977" s="22" t="s">
        <v>19</v>
      </c>
      <c r="U977" s="22" t="s">
        <v>20</v>
      </c>
      <c r="V977" s="22"/>
    </row>
    <row r="978" spans="1:22" ht="41.4">
      <c r="A978" s="22" t="s">
        <v>1009</v>
      </c>
      <c r="B978" s="25">
        <v>45759</v>
      </c>
      <c r="C978" s="22" t="s">
        <v>723</v>
      </c>
      <c r="D978" s="22" t="s">
        <v>32</v>
      </c>
      <c r="E978" s="22" t="s">
        <v>19</v>
      </c>
      <c r="F978" s="22" t="s">
        <v>20</v>
      </c>
      <c r="G978" s="22" t="s">
        <v>30</v>
      </c>
      <c r="H978" s="22">
        <v>1</v>
      </c>
      <c r="I978" s="22">
        <v>1</v>
      </c>
      <c r="J978" s="22">
        <v>0</v>
      </c>
      <c r="K978" s="22">
        <v>0</v>
      </c>
      <c r="L978" s="22">
        <v>0</v>
      </c>
      <c r="M978" s="22">
        <v>0</v>
      </c>
      <c r="N978" s="22">
        <v>0</v>
      </c>
      <c r="O978" s="22"/>
      <c r="P978" s="22">
        <v>57.8</v>
      </c>
      <c r="Q978" s="22" t="str">
        <f>IF(OR(L978&lt;$Y$18,L978&gt;$Y$19),"Outlier","Normal")</f>
        <v>Normal</v>
      </c>
      <c r="R978" s="26" t="str">
        <f>A978&amp;B978&amp;C978&amp;D978&amp;E978&amp;F978&amp;G978&amp;H978&amp;I978&amp;J978&amp;K978&amp;L978&amp;M978&amp;N978&amp;O978&amp;P978</f>
        <v>USR-10097745759TreatmentSouthDesktopEmailPremium110000057.8</v>
      </c>
      <c r="S978" s="22" t="str">
        <f>IF(COUNTIF($R$2:$R$1409,R978)=1,"OK",IF(COUNTIF($R$2:$R$1409,R978)&gt;1,"Exact Duplicate","Review Required"))</f>
        <v>OK</v>
      </c>
      <c r="T978" s="22" t="s">
        <v>19</v>
      </c>
      <c r="U978" s="22" t="s">
        <v>20</v>
      </c>
      <c r="V978" s="22"/>
    </row>
    <row r="979" spans="1:22" ht="41.4">
      <c r="A979" s="22" t="s">
        <v>1010</v>
      </c>
      <c r="B979" s="25">
        <v>45660</v>
      </c>
      <c r="C979" s="22" t="s">
        <v>723</v>
      </c>
      <c r="D979" s="22" t="s">
        <v>23</v>
      </c>
      <c r="E979" s="22" t="s">
        <v>19</v>
      </c>
      <c r="F979" s="22" t="s">
        <v>20</v>
      </c>
      <c r="G979" s="22" t="s">
        <v>21</v>
      </c>
      <c r="H979" s="22">
        <v>1</v>
      </c>
      <c r="I979" s="22">
        <v>1</v>
      </c>
      <c r="J979" s="22">
        <v>1</v>
      </c>
      <c r="K979" s="22">
        <v>0</v>
      </c>
      <c r="L979" s="22">
        <v>0</v>
      </c>
      <c r="M979" s="22">
        <v>1</v>
      </c>
      <c r="N979" s="22">
        <v>0</v>
      </c>
      <c r="O979" s="22"/>
      <c r="P979" s="22">
        <v>57.8</v>
      </c>
      <c r="Q979" s="22" t="str">
        <f>IF(OR(L979&lt;$Y$18,L979&gt;$Y$19),"Outlier","Normal")</f>
        <v>Normal</v>
      </c>
      <c r="R979" s="26" t="str">
        <f>A979&amp;B979&amp;C979&amp;D979&amp;E979&amp;F979&amp;G979&amp;H979&amp;I979&amp;J979&amp;K979&amp;L979&amp;M979&amp;N979&amp;O979&amp;P979</f>
        <v>USR-10097845660TreatmentWestDesktopEmailBasic111001057.8</v>
      </c>
      <c r="S979" s="22" t="str">
        <f>IF(COUNTIF($R$2:$R$1409,R979)=1,"OK",IF(COUNTIF($R$2:$R$1409,R979)&gt;1,"Exact Duplicate","Review Required"))</f>
        <v>OK</v>
      </c>
      <c r="T979" s="22" t="s">
        <v>19</v>
      </c>
      <c r="U979" s="22" t="s">
        <v>20</v>
      </c>
      <c r="V979" s="22"/>
    </row>
    <row r="980" spans="1:22" ht="41.4">
      <c r="A980" s="22" t="s">
        <v>1011</v>
      </c>
      <c r="B980" s="25">
        <v>45785</v>
      </c>
      <c r="C980" s="22" t="s">
        <v>723</v>
      </c>
      <c r="D980" s="22" t="s">
        <v>18</v>
      </c>
      <c r="E980" s="22" t="s">
        <v>24</v>
      </c>
      <c r="F980" s="22" t="s">
        <v>29</v>
      </c>
      <c r="G980" s="22" t="s">
        <v>26</v>
      </c>
      <c r="H980" s="22">
        <v>1</v>
      </c>
      <c r="I980" s="22">
        <v>0</v>
      </c>
      <c r="J980" s="22">
        <v>0</v>
      </c>
      <c r="K980" s="22">
        <v>0</v>
      </c>
      <c r="L980" s="22">
        <v>0</v>
      </c>
      <c r="M980" s="22">
        <v>0</v>
      </c>
      <c r="N980" s="22">
        <v>0</v>
      </c>
      <c r="O980" s="22"/>
      <c r="P980" s="22">
        <v>38.299999999999997</v>
      </c>
      <c r="Q980" s="22" t="str">
        <f>IF(OR(L980&lt;$Y$18,L980&gt;$Y$19),"Outlier","Normal")</f>
        <v>Normal</v>
      </c>
      <c r="R980" s="26" t="str">
        <f>A980&amp;B980&amp;C980&amp;D980&amp;E980&amp;F980&amp;G980&amp;H980&amp;I980&amp;J980&amp;K980&amp;L980&amp;M980&amp;N980&amp;O980&amp;P980</f>
        <v>USR-10097945785TreatmentNorthMobilePaid SearchFree100000038.3</v>
      </c>
      <c r="S980" s="22" t="str">
        <f>IF(COUNTIF($R$2:$R$1409,R980)=1,"OK",IF(COUNTIF($R$2:$R$1409,R980)&gt;1,"Exact Duplicate","Review Required"))</f>
        <v>OK</v>
      </c>
      <c r="T980" s="22" t="s">
        <v>24</v>
      </c>
      <c r="U980" s="22" t="s">
        <v>29</v>
      </c>
      <c r="V980" s="22"/>
    </row>
    <row r="981" spans="1:22" ht="41.4">
      <c r="A981" s="22" t="s">
        <v>1012</v>
      </c>
      <c r="B981" s="25">
        <v>45708</v>
      </c>
      <c r="C981" s="22" t="s">
        <v>723</v>
      </c>
      <c r="D981" s="22" t="s">
        <v>18</v>
      </c>
      <c r="E981" s="22" t="s">
        <v>24</v>
      </c>
      <c r="F981" s="22" t="s">
        <v>39</v>
      </c>
      <c r="G981" s="22" t="s">
        <v>30</v>
      </c>
      <c r="H981" s="22">
        <v>1</v>
      </c>
      <c r="I981" s="22">
        <v>0</v>
      </c>
      <c r="J981" s="22">
        <v>0</v>
      </c>
      <c r="K981" s="22">
        <v>0</v>
      </c>
      <c r="L981" s="22">
        <v>0</v>
      </c>
      <c r="M981" s="22">
        <v>1</v>
      </c>
      <c r="N981" s="22">
        <v>0</v>
      </c>
      <c r="O981" s="22"/>
      <c r="P981" s="22">
        <v>66.099999999999994</v>
      </c>
      <c r="Q981" s="22" t="str">
        <f>IF(OR(L981&lt;$Y$18,L981&gt;$Y$19),"Outlier","Normal")</f>
        <v>Normal</v>
      </c>
      <c r="R981" s="26" t="str">
        <f>A981&amp;B981&amp;C981&amp;D981&amp;E981&amp;F981&amp;G981&amp;H981&amp;I981&amp;J981&amp;K981&amp;L981&amp;M981&amp;N981&amp;O981&amp;P981</f>
        <v>USR-10098045708TreatmentNorthMobileReferralPremium100001066.1</v>
      </c>
      <c r="S981" s="22" t="str">
        <f>IF(COUNTIF($R$2:$R$1409,R981)=1,"OK",IF(COUNTIF($R$2:$R$1409,R981)&gt;1,"Exact Duplicate","Review Required"))</f>
        <v>OK</v>
      </c>
      <c r="T981" s="22" t="s">
        <v>24</v>
      </c>
      <c r="U981" s="22" t="s">
        <v>39</v>
      </c>
      <c r="V981" s="22"/>
    </row>
    <row r="982" spans="1:22" ht="55.2">
      <c r="A982" s="22" t="s">
        <v>1013</v>
      </c>
      <c r="B982" s="25">
        <v>45733</v>
      </c>
      <c r="C982" s="22" t="s">
        <v>723</v>
      </c>
      <c r="D982" s="22" t="s">
        <v>18</v>
      </c>
      <c r="E982" s="22" t="s">
        <v>19</v>
      </c>
      <c r="F982" s="22" t="s">
        <v>29</v>
      </c>
      <c r="G982" s="22" t="s">
        <v>30</v>
      </c>
      <c r="H982" s="22">
        <v>1</v>
      </c>
      <c r="I982" s="22">
        <v>0</v>
      </c>
      <c r="J982" s="22">
        <v>0</v>
      </c>
      <c r="K982" s="22">
        <v>0</v>
      </c>
      <c r="L982" s="22">
        <v>0</v>
      </c>
      <c r="M982" s="22">
        <v>0</v>
      </c>
      <c r="N982" s="22">
        <v>0</v>
      </c>
      <c r="O982" s="22"/>
      <c r="P982" s="22">
        <v>66.5</v>
      </c>
      <c r="Q982" s="22" t="str">
        <f>IF(OR(L982&lt;$Y$18,L982&gt;$Y$19),"Outlier","Normal")</f>
        <v>Normal</v>
      </c>
      <c r="R982" s="26" t="str">
        <f>A982&amp;B982&amp;C982&amp;D982&amp;E982&amp;F982&amp;G982&amp;H982&amp;I982&amp;J982&amp;K982&amp;L982&amp;M982&amp;N982&amp;O982&amp;P982</f>
        <v>USR-10098145733TreatmentNorthDesktopPaid SearchPremium100000066.5</v>
      </c>
      <c r="S982" s="22" t="str">
        <f>IF(COUNTIF($R$2:$R$1409,R982)=1,"OK",IF(COUNTIF($R$2:$R$1409,R982)&gt;1,"Exact Duplicate","Review Required"))</f>
        <v>OK</v>
      </c>
      <c r="T982" s="22" t="s">
        <v>19</v>
      </c>
      <c r="U982" s="22" t="s">
        <v>29</v>
      </c>
      <c r="V982" s="22"/>
    </row>
    <row r="983" spans="1:22" ht="41.4">
      <c r="A983" s="22" t="s">
        <v>1014</v>
      </c>
      <c r="B983" s="25">
        <v>45757</v>
      </c>
      <c r="C983" s="22" t="s">
        <v>723</v>
      </c>
      <c r="D983" s="22" t="s">
        <v>32</v>
      </c>
      <c r="E983" s="22" t="s">
        <v>19</v>
      </c>
      <c r="F983" s="22" t="s">
        <v>20</v>
      </c>
      <c r="G983" s="22" t="s">
        <v>26</v>
      </c>
      <c r="H983" s="22">
        <v>1</v>
      </c>
      <c r="I983" s="22">
        <v>0</v>
      </c>
      <c r="J983" s="22">
        <v>0</v>
      </c>
      <c r="K983" s="22">
        <v>0</v>
      </c>
      <c r="L983" s="22">
        <v>0</v>
      </c>
      <c r="M983" s="22">
        <v>3</v>
      </c>
      <c r="N983" s="22">
        <v>0</v>
      </c>
      <c r="O983" s="22"/>
      <c r="P983" s="22">
        <v>51.5</v>
      </c>
      <c r="Q983" s="22" t="str">
        <f>IF(OR(L983&lt;$Y$18,L983&gt;$Y$19),"Outlier","Normal")</f>
        <v>Normal</v>
      </c>
      <c r="R983" s="26" t="str">
        <f>A983&amp;B983&amp;C983&amp;D983&amp;E983&amp;F983&amp;G983&amp;H983&amp;I983&amp;J983&amp;K983&amp;L983&amp;M983&amp;N983&amp;O983&amp;P983</f>
        <v>USR-10098245757TreatmentSouthDesktopEmailFree100003051.5</v>
      </c>
      <c r="S983" s="22" t="str">
        <f>IF(COUNTIF($R$2:$R$1409,R983)=1,"OK",IF(COUNTIF($R$2:$R$1409,R983)&gt;1,"Exact Duplicate","Review Required"))</f>
        <v>OK</v>
      </c>
      <c r="T983" s="22" t="s">
        <v>19</v>
      </c>
      <c r="U983" s="22" t="s">
        <v>20</v>
      </c>
      <c r="V983" s="22"/>
    </row>
    <row r="984" spans="1:22" ht="41.4">
      <c r="A984" s="22" t="s">
        <v>1015</v>
      </c>
      <c r="B984" s="25">
        <v>45785</v>
      </c>
      <c r="C984" s="22" t="s">
        <v>723</v>
      </c>
      <c r="D984" s="22" t="s">
        <v>18</v>
      </c>
      <c r="E984" s="22" t="s">
        <v>19</v>
      </c>
      <c r="F984" s="22" t="s">
        <v>39</v>
      </c>
      <c r="G984" s="22" t="s">
        <v>26</v>
      </c>
      <c r="H984" s="22">
        <v>1</v>
      </c>
      <c r="I984" s="22">
        <v>0</v>
      </c>
      <c r="J984" s="22">
        <v>0</v>
      </c>
      <c r="K984" s="22">
        <v>0</v>
      </c>
      <c r="L984" s="22">
        <v>0</v>
      </c>
      <c r="M984" s="22">
        <v>0</v>
      </c>
      <c r="N984" s="22">
        <v>0</v>
      </c>
      <c r="O984" s="22"/>
      <c r="P984" s="22">
        <v>59.9</v>
      </c>
      <c r="Q984" s="22" t="str">
        <f>IF(OR(L984&lt;$Y$18,L984&gt;$Y$19),"Outlier","Normal")</f>
        <v>Normal</v>
      </c>
      <c r="R984" s="26" t="str">
        <f>A984&amp;B984&amp;C984&amp;D984&amp;E984&amp;F984&amp;G984&amp;H984&amp;I984&amp;J984&amp;K984&amp;L984&amp;M984&amp;N984&amp;O984&amp;P984</f>
        <v>USR-10098345785TreatmentNorthDesktopReferralFree100000059.9</v>
      </c>
      <c r="S984" s="22" t="str">
        <f>IF(COUNTIF($R$2:$R$1409,R984)=1,"OK",IF(COUNTIF($R$2:$R$1409,R984)&gt;1,"Exact Duplicate","Review Required"))</f>
        <v>OK</v>
      </c>
      <c r="T984" s="22" t="s">
        <v>19</v>
      </c>
      <c r="U984" s="22" t="s">
        <v>39</v>
      </c>
      <c r="V984" s="22"/>
    </row>
    <row r="985" spans="1:22" ht="41.4">
      <c r="A985" s="22" t="s">
        <v>1016</v>
      </c>
      <c r="B985" s="25">
        <v>45766</v>
      </c>
      <c r="C985" s="22" t="s">
        <v>723</v>
      </c>
      <c r="D985" s="22" t="s">
        <v>23</v>
      </c>
      <c r="E985" s="22" t="s">
        <v>24</v>
      </c>
      <c r="F985" s="22" t="s">
        <v>29</v>
      </c>
      <c r="G985" s="22" t="s">
        <v>21</v>
      </c>
      <c r="H985" s="22">
        <v>1</v>
      </c>
      <c r="I985" s="22">
        <v>0</v>
      </c>
      <c r="J985" s="22">
        <v>0</v>
      </c>
      <c r="K985" s="22">
        <v>0</v>
      </c>
      <c r="L985" s="22">
        <v>0</v>
      </c>
      <c r="M985" s="22">
        <v>0</v>
      </c>
      <c r="N985" s="22">
        <v>0</v>
      </c>
      <c r="O985" s="22"/>
      <c r="P985" s="22">
        <v>58.8</v>
      </c>
      <c r="Q985" s="22" t="str">
        <f>IF(OR(L985&lt;$Y$18,L985&gt;$Y$19),"Outlier","Normal")</f>
        <v>Normal</v>
      </c>
      <c r="R985" s="26" t="str">
        <f>A985&amp;B985&amp;C985&amp;D985&amp;E985&amp;F985&amp;G985&amp;H985&amp;I985&amp;J985&amp;K985&amp;L985&amp;M985&amp;N985&amp;O985&amp;P985</f>
        <v>USR-10098445766TreatmentWestMobilePaid SearchBasic100000058.8</v>
      </c>
      <c r="S985" s="22" t="str">
        <f>IF(COUNTIF($R$2:$R$1409,R985)=1,"OK",IF(COUNTIF($R$2:$R$1409,R985)&gt;1,"Exact Duplicate","Review Required"))</f>
        <v>OK</v>
      </c>
      <c r="T985" s="22" t="s">
        <v>24</v>
      </c>
      <c r="U985" s="22" t="s">
        <v>29</v>
      </c>
      <c r="V985" s="22"/>
    </row>
    <row r="986" spans="1:22" ht="41.4">
      <c r="A986" s="22" t="s">
        <v>1017</v>
      </c>
      <c r="B986" s="25">
        <v>45658</v>
      </c>
      <c r="C986" s="22" t="s">
        <v>723</v>
      </c>
      <c r="D986" s="22" t="s">
        <v>32</v>
      </c>
      <c r="E986" s="22" t="s">
        <v>34</v>
      </c>
      <c r="F986" s="22" t="s">
        <v>29</v>
      </c>
      <c r="G986" s="22" t="s">
        <v>21</v>
      </c>
      <c r="H986" s="22">
        <v>1</v>
      </c>
      <c r="I986" s="22">
        <v>0</v>
      </c>
      <c r="J986" s="22">
        <v>0</v>
      </c>
      <c r="K986" s="22">
        <v>0</v>
      </c>
      <c r="L986" s="22">
        <v>0</v>
      </c>
      <c r="M986" s="22">
        <v>0</v>
      </c>
      <c r="N986" s="22">
        <v>0</v>
      </c>
      <c r="O986" s="22"/>
      <c r="P986" s="22">
        <v>69.599999999999994</v>
      </c>
      <c r="Q986" s="22" t="str">
        <f>IF(OR(L986&lt;$Y$18,L986&gt;$Y$19),"Outlier","Normal")</f>
        <v>Normal</v>
      </c>
      <c r="R986" s="26" t="str">
        <f>A986&amp;B986&amp;C986&amp;D986&amp;E986&amp;F986&amp;G986&amp;H986&amp;I986&amp;J986&amp;K986&amp;L986&amp;M986&amp;N986&amp;O986&amp;P986</f>
        <v>USR-10098545658TreatmentSouthTabletPaid SearchBasic100000069.6</v>
      </c>
      <c r="S986" s="22" t="str">
        <f>IF(COUNTIF($R$2:$R$1409,R986)=1,"OK",IF(COUNTIF($R$2:$R$1409,R986)&gt;1,"Exact Duplicate","Review Required"))</f>
        <v>OK</v>
      </c>
      <c r="T986" s="22" t="s">
        <v>34</v>
      </c>
      <c r="U986" s="22" t="s">
        <v>29</v>
      </c>
      <c r="V986" s="22"/>
    </row>
    <row r="987" spans="1:22" ht="41.4">
      <c r="A987" s="22" t="s">
        <v>1018</v>
      </c>
      <c r="B987" s="25">
        <v>45726</v>
      </c>
      <c r="C987" s="22" t="s">
        <v>723</v>
      </c>
      <c r="D987" s="22" t="s">
        <v>28</v>
      </c>
      <c r="E987" s="22" t="s">
        <v>24</v>
      </c>
      <c r="F987" s="22" t="s">
        <v>29</v>
      </c>
      <c r="G987" s="22" t="s">
        <v>26</v>
      </c>
      <c r="H987" s="22">
        <v>1</v>
      </c>
      <c r="I987" s="22">
        <v>0</v>
      </c>
      <c r="J987" s="22">
        <v>0</v>
      </c>
      <c r="K987" s="22">
        <v>0</v>
      </c>
      <c r="L987" s="22">
        <v>0</v>
      </c>
      <c r="M987" s="22">
        <v>0</v>
      </c>
      <c r="N987" s="22">
        <v>0</v>
      </c>
      <c r="O987" s="22"/>
      <c r="P987" s="22">
        <v>77.5</v>
      </c>
      <c r="Q987" s="22" t="str">
        <f>IF(OR(L987&lt;$Y$18,L987&gt;$Y$19),"Outlier","Normal")</f>
        <v>Normal</v>
      </c>
      <c r="R987" s="26" t="str">
        <f>A987&amp;B987&amp;C987&amp;D987&amp;E987&amp;F987&amp;G987&amp;H987&amp;I987&amp;J987&amp;K987&amp;L987&amp;M987&amp;N987&amp;O987&amp;P987</f>
        <v>USR-10098645726TreatmentEastMobilePaid SearchFree100000077.5</v>
      </c>
      <c r="S987" s="22" t="str">
        <f>IF(COUNTIF($R$2:$R$1409,R987)=1,"OK",IF(COUNTIF($R$2:$R$1409,R987)&gt;1,"Exact Duplicate","Review Required"))</f>
        <v>OK</v>
      </c>
      <c r="T987" s="22" t="s">
        <v>24</v>
      </c>
      <c r="U987" s="22" t="s">
        <v>29</v>
      </c>
      <c r="V987" s="22"/>
    </row>
    <row r="988" spans="1:22" ht="41.4">
      <c r="A988" s="22" t="s">
        <v>1019</v>
      </c>
      <c r="B988" s="25">
        <v>45726</v>
      </c>
      <c r="C988" s="22" t="s">
        <v>723</v>
      </c>
      <c r="D988" s="22" t="s">
        <v>28</v>
      </c>
      <c r="E988" s="22" t="s">
        <v>34</v>
      </c>
      <c r="F988" s="22" t="s">
        <v>41</v>
      </c>
      <c r="G988" s="22" t="s">
        <v>30</v>
      </c>
      <c r="H988" s="22">
        <v>0</v>
      </c>
      <c r="I988" s="22">
        <v>0</v>
      </c>
      <c r="J988" s="22">
        <v>0</v>
      </c>
      <c r="K988" s="22">
        <v>0</v>
      </c>
      <c r="L988" s="22">
        <v>0</v>
      </c>
      <c r="M988" s="22">
        <v>2</v>
      </c>
      <c r="N988" s="22">
        <v>0</v>
      </c>
      <c r="O988" s="22"/>
      <c r="P988" s="22">
        <v>57.5</v>
      </c>
      <c r="Q988" s="22" t="str">
        <f>IF(OR(L988&lt;$Y$18,L988&gt;$Y$19),"Outlier","Normal")</f>
        <v>Normal</v>
      </c>
      <c r="R988" s="26" t="str">
        <f>A988&amp;B988&amp;C988&amp;D988&amp;E988&amp;F988&amp;G988&amp;H988&amp;I988&amp;J988&amp;K988&amp;L988&amp;M988&amp;N988&amp;O988&amp;P988</f>
        <v>USR-10098745726TreatmentEastTabletSocialPremium000002057.5</v>
      </c>
      <c r="S988" s="22" t="str">
        <f>IF(COUNTIF($R$2:$R$1409,R988)=1,"OK",IF(COUNTIF($R$2:$R$1409,R988)&gt;1,"Exact Duplicate","Review Required"))</f>
        <v>OK</v>
      </c>
      <c r="T988" s="22" t="s">
        <v>34</v>
      </c>
      <c r="U988" s="22" t="s">
        <v>41</v>
      </c>
      <c r="V988" s="22"/>
    </row>
    <row r="989" spans="1:22" ht="41.4">
      <c r="A989" s="22" t="s">
        <v>1020</v>
      </c>
      <c r="B989" s="25">
        <v>45766</v>
      </c>
      <c r="C989" s="22" t="s">
        <v>723</v>
      </c>
      <c r="D989" s="22" t="s">
        <v>23</v>
      </c>
      <c r="E989" s="22" t="s">
        <v>34</v>
      </c>
      <c r="F989" s="22" t="s">
        <v>20</v>
      </c>
      <c r="G989" s="22" t="s">
        <v>21</v>
      </c>
      <c r="H989" s="22">
        <v>1</v>
      </c>
      <c r="I989" s="22">
        <v>0</v>
      </c>
      <c r="J989" s="22">
        <v>0</v>
      </c>
      <c r="K989" s="22">
        <v>0</v>
      </c>
      <c r="L989" s="22">
        <v>0</v>
      </c>
      <c r="M989" s="22">
        <v>0</v>
      </c>
      <c r="N989" s="22">
        <v>0</v>
      </c>
      <c r="O989" s="22"/>
      <c r="P989" s="22">
        <v>64.2</v>
      </c>
      <c r="Q989" s="22" t="str">
        <f>IF(OR(L989&lt;$Y$18,L989&gt;$Y$19),"Outlier","Normal")</f>
        <v>Normal</v>
      </c>
      <c r="R989" s="26" t="str">
        <f>A989&amp;B989&amp;C989&amp;D989&amp;E989&amp;F989&amp;G989&amp;H989&amp;I989&amp;J989&amp;K989&amp;L989&amp;M989&amp;N989&amp;O989&amp;P989</f>
        <v>USR-10098845766TreatmentWestTabletEmailBasic100000064.2</v>
      </c>
      <c r="S989" s="22" t="str">
        <f>IF(COUNTIF($R$2:$R$1409,R989)=1,"OK",IF(COUNTIF($R$2:$R$1409,R989)&gt;1,"Exact Duplicate","Review Required"))</f>
        <v>OK</v>
      </c>
      <c r="T989" s="22" t="s">
        <v>34</v>
      </c>
      <c r="U989" s="22" t="s">
        <v>20</v>
      </c>
      <c r="V989" s="22"/>
    </row>
    <row r="990" spans="1:22" ht="41.4">
      <c r="A990" s="22" t="s">
        <v>1021</v>
      </c>
      <c r="B990" s="25">
        <v>45758</v>
      </c>
      <c r="C990" s="22" t="s">
        <v>723</v>
      </c>
      <c r="D990" s="22" t="s">
        <v>23</v>
      </c>
      <c r="E990" s="22" t="s">
        <v>19</v>
      </c>
      <c r="F990" s="22" t="s">
        <v>25</v>
      </c>
      <c r="G990" s="22" t="s">
        <v>26</v>
      </c>
      <c r="H990" s="22">
        <v>0</v>
      </c>
      <c r="I990" s="22">
        <v>0</v>
      </c>
      <c r="J990" s="22">
        <v>0</v>
      </c>
      <c r="K990" s="22">
        <v>0</v>
      </c>
      <c r="L990" s="22">
        <v>0</v>
      </c>
      <c r="M990" s="22">
        <v>0</v>
      </c>
      <c r="N990" s="22">
        <v>0</v>
      </c>
      <c r="O990" s="22"/>
      <c r="P990" s="22">
        <v>60</v>
      </c>
      <c r="Q990" s="22" t="str">
        <f>IF(OR(L990&lt;$Y$18,L990&gt;$Y$19),"Outlier","Normal")</f>
        <v>Normal</v>
      </c>
      <c r="R990" s="26" t="str">
        <f>A990&amp;B990&amp;C990&amp;D990&amp;E990&amp;F990&amp;G990&amp;H990&amp;I990&amp;J990&amp;K990&amp;L990&amp;M990&amp;N990&amp;O990&amp;P990</f>
        <v>USR-10098945758TreatmentWestDesktopOrganicFree000000060</v>
      </c>
      <c r="S990" s="22" t="str">
        <f>IF(COUNTIF($R$2:$R$1409,R990)=1,"OK",IF(COUNTIF($R$2:$R$1409,R990)&gt;1,"Exact Duplicate","Review Required"))</f>
        <v>OK</v>
      </c>
      <c r="T990" s="22" t="s">
        <v>19</v>
      </c>
      <c r="U990" s="22" t="s">
        <v>25</v>
      </c>
      <c r="V990" s="22"/>
    </row>
    <row r="991" spans="1:22" ht="41.4">
      <c r="A991" s="22" t="s">
        <v>1022</v>
      </c>
      <c r="B991" s="25">
        <v>45757</v>
      </c>
      <c r="C991" s="22" t="s">
        <v>723</v>
      </c>
      <c r="D991" s="22" t="s">
        <v>28</v>
      </c>
      <c r="E991" s="22" t="s">
        <v>24</v>
      </c>
      <c r="F991" s="22" t="s">
        <v>25</v>
      </c>
      <c r="G991" s="22" t="s">
        <v>21</v>
      </c>
      <c r="H991" s="22">
        <v>1</v>
      </c>
      <c r="I991" s="22">
        <v>0</v>
      </c>
      <c r="J991" s="22">
        <v>0</v>
      </c>
      <c r="K991" s="22">
        <v>0</v>
      </c>
      <c r="L991" s="22">
        <v>0</v>
      </c>
      <c r="M991" s="22">
        <v>1</v>
      </c>
      <c r="N991" s="22">
        <v>0</v>
      </c>
      <c r="O991" s="22"/>
      <c r="P991" s="22">
        <v>43.7</v>
      </c>
      <c r="Q991" s="22" t="str">
        <f>IF(OR(L991&lt;$Y$18,L991&gt;$Y$19),"Outlier","Normal")</f>
        <v>Normal</v>
      </c>
      <c r="R991" s="26" t="str">
        <f>A991&amp;B991&amp;C991&amp;D991&amp;E991&amp;F991&amp;G991&amp;H991&amp;I991&amp;J991&amp;K991&amp;L991&amp;M991&amp;N991&amp;O991&amp;P991</f>
        <v>USR-10099045757TreatmentEastMobileOrganicBasic100001043.7</v>
      </c>
      <c r="S991" s="22" t="str">
        <f>IF(COUNTIF($R$2:$R$1409,R991)=1,"OK",IF(COUNTIF($R$2:$R$1409,R991)&gt;1,"Exact Duplicate","Review Required"))</f>
        <v>OK</v>
      </c>
      <c r="T991" s="22" t="s">
        <v>24</v>
      </c>
      <c r="U991" s="22" t="s">
        <v>25</v>
      </c>
      <c r="V991" s="22"/>
    </row>
    <row r="992" spans="1:22" ht="41.4">
      <c r="A992" s="22" t="s">
        <v>1023</v>
      </c>
      <c r="B992" s="25">
        <v>45670</v>
      </c>
      <c r="C992" s="22" t="s">
        <v>723</v>
      </c>
      <c r="D992" s="22" t="s">
        <v>23</v>
      </c>
      <c r="E992" s="22" t="s">
        <v>19</v>
      </c>
      <c r="F992" s="22" t="s">
        <v>41</v>
      </c>
      <c r="G992" s="22" t="s">
        <v>26</v>
      </c>
      <c r="H992" s="22">
        <v>1</v>
      </c>
      <c r="I992" s="22">
        <v>0</v>
      </c>
      <c r="J992" s="22">
        <v>0</v>
      </c>
      <c r="K992" s="22">
        <v>0</v>
      </c>
      <c r="L992" s="22">
        <v>0</v>
      </c>
      <c r="M992" s="22">
        <v>0</v>
      </c>
      <c r="N992" s="22">
        <v>0</v>
      </c>
      <c r="O992" s="22"/>
      <c r="P992" s="22">
        <v>64.900000000000006</v>
      </c>
      <c r="Q992" s="22" t="str">
        <f>IF(OR(L992&lt;$Y$18,L992&gt;$Y$19),"Outlier","Normal")</f>
        <v>Normal</v>
      </c>
      <c r="R992" s="26" t="str">
        <f>A992&amp;B992&amp;C992&amp;D992&amp;E992&amp;F992&amp;G992&amp;H992&amp;I992&amp;J992&amp;K992&amp;L992&amp;M992&amp;N992&amp;O992&amp;P992</f>
        <v>USR-10099145670TreatmentWestDesktopSocialFree100000064.9</v>
      </c>
      <c r="S992" s="22" t="str">
        <f>IF(COUNTIF($R$2:$R$1409,R992)=1,"OK",IF(COUNTIF($R$2:$R$1409,R992)&gt;1,"Exact Duplicate","Review Required"))</f>
        <v>OK</v>
      </c>
      <c r="T992" s="22" t="s">
        <v>19</v>
      </c>
      <c r="U992" s="22" t="s">
        <v>41</v>
      </c>
      <c r="V992" s="22"/>
    </row>
    <row r="993" spans="1:22" ht="41.4">
      <c r="A993" s="22" t="s">
        <v>1024</v>
      </c>
      <c r="B993" s="25">
        <v>45744</v>
      </c>
      <c r="C993" s="22" t="s">
        <v>723</v>
      </c>
      <c r="D993" s="22" t="s">
        <v>32</v>
      </c>
      <c r="E993" s="22" t="s">
        <v>19</v>
      </c>
      <c r="F993" s="22" t="s">
        <v>25</v>
      </c>
      <c r="G993" s="22" t="s">
        <v>26</v>
      </c>
      <c r="H993" s="22">
        <v>1</v>
      </c>
      <c r="I993" s="22">
        <v>1</v>
      </c>
      <c r="J993" s="22">
        <v>0</v>
      </c>
      <c r="K993" s="22">
        <v>0</v>
      </c>
      <c r="L993" s="22">
        <v>0</v>
      </c>
      <c r="M993" s="22">
        <v>0</v>
      </c>
      <c r="N993" s="22">
        <v>0</v>
      </c>
      <c r="O993" s="22"/>
      <c r="P993" s="22">
        <v>45.5</v>
      </c>
      <c r="Q993" s="22" t="str">
        <f>IF(OR(L993&lt;$Y$18,L993&gt;$Y$19),"Outlier","Normal")</f>
        <v>Normal</v>
      </c>
      <c r="R993" s="26" t="str">
        <f>A993&amp;B993&amp;C993&amp;D993&amp;E993&amp;F993&amp;G993&amp;H993&amp;I993&amp;J993&amp;K993&amp;L993&amp;M993&amp;N993&amp;O993&amp;P993</f>
        <v>USR-10099245744TreatmentSouthDesktopOrganicFree110000045.5</v>
      </c>
      <c r="S993" s="22" t="str">
        <f>IF(COUNTIF($R$2:$R$1409,R993)=1,"OK",IF(COUNTIF($R$2:$R$1409,R993)&gt;1,"Exact Duplicate","Review Required"))</f>
        <v>OK</v>
      </c>
      <c r="T993" s="22" t="s">
        <v>19</v>
      </c>
      <c r="U993" s="22" t="s">
        <v>25</v>
      </c>
      <c r="V993" s="22"/>
    </row>
    <row r="994" spans="1:22" ht="55.2">
      <c r="A994" s="22" t="s">
        <v>1025</v>
      </c>
      <c r="B994" s="25">
        <v>45686</v>
      </c>
      <c r="C994" s="22" t="s">
        <v>723</v>
      </c>
      <c r="D994" s="22" t="s">
        <v>28</v>
      </c>
      <c r="E994" s="22" t="s">
        <v>24</v>
      </c>
      <c r="F994" s="22" t="s">
        <v>29</v>
      </c>
      <c r="G994" s="22" t="s">
        <v>26</v>
      </c>
      <c r="H994" s="22">
        <v>1</v>
      </c>
      <c r="I994" s="22">
        <v>1</v>
      </c>
      <c r="J994" s="22">
        <v>1</v>
      </c>
      <c r="K994" s="22">
        <v>1</v>
      </c>
      <c r="L994" s="22">
        <v>1772.97</v>
      </c>
      <c r="M994" s="22">
        <v>0</v>
      </c>
      <c r="N994" s="22">
        <v>0</v>
      </c>
      <c r="O994" s="22">
        <v>8</v>
      </c>
      <c r="P994" s="22">
        <v>61.2</v>
      </c>
      <c r="Q994" s="22" t="str">
        <f>IF(OR(L994&lt;$Y$18,L994&gt;$Y$19),"Outlier","Normal")</f>
        <v>Normal</v>
      </c>
      <c r="R994" s="26" t="str">
        <f>A994&amp;B994&amp;C994&amp;D994&amp;E994&amp;F994&amp;G994&amp;H994&amp;I994&amp;J994&amp;K994&amp;L994&amp;M994&amp;N994&amp;O994&amp;P994</f>
        <v>USR-10099345686TreatmentEastMobilePaid SearchFree11111772.9700861.2</v>
      </c>
      <c r="S994" s="22" t="str">
        <f>IF(COUNTIF($R$2:$R$1409,R994)=1,"OK",IF(COUNTIF($R$2:$R$1409,R994)&gt;1,"Exact Duplicate","Review Required"))</f>
        <v>OK</v>
      </c>
      <c r="T994" s="22" t="s">
        <v>24</v>
      </c>
      <c r="U994" s="22" t="s">
        <v>29</v>
      </c>
      <c r="V994" s="22"/>
    </row>
    <row r="995" spans="1:22" ht="41.4">
      <c r="A995" s="22" t="s">
        <v>1026</v>
      </c>
      <c r="B995" s="25">
        <v>45743</v>
      </c>
      <c r="C995" s="22" t="s">
        <v>723</v>
      </c>
      <c r="D995" s="22" t="s">
        <v>32</v>
      </c>
      <c r="E995" s="22" t="s">
        <v>24</v>
      </c>
      <c r="F995" s="22" t="s">
        <v>39</v>
      </c>
      <c r="G995" s="22" t="s">
        <v>26</v>
      </c>
      <c r="H995" s="22">
        <v>0</v>
      </c>
      <c r="I995" s="22">
        <v>0</v>
      </c>
      <c r="J995" s="22">
        <v>0</v>
      </c>
      <c r="K995" s="22">
        <v>0</v>
      </c>
      <c r="L995" s="22">
        <v>0</v>
      </c>
      <c r="M995" s="22">
        <v>0</v>
      </c>
      <c r="N995" s="22">
        <v>0</v>
      </c>
      <c r="O995" s="22"/>
      <c r="P995" s="22">
        <v>87.8</v>
      </c>
      <c r="Q995" s="22" t="str">
        <f>IF(OR(L995&lt;$Y$18,L995&gt;$Y$19),"Outlier","Normal")</f>
        <v>Normal</v>
      </c>
      <c r="R995" s="26" t="str">
        <f>A995&amp;B995&amp;C995&amp;D995&amp;E995&amp;F995&amp;G995&amp;H995&amp;I995&amp;J995&amp;K995&amp;L995&amp;M995&amp;N995&amp;O995&amp;P995</f>
        <v>USR-10099445743TreatmentSouthMobileReferralFree000000087.8</v>
      </c>
      <c r="S995" s="22" t="str">
        <f>IF(COUNTIF($R$2:$R$1409,R995)=1,"OK",IF(COUNTIF($R$2:$R$1409,R995)&gt;1,"Exact Duplicate","Review Required"))</f>
        <v>OK</v>
      </c>
      <c r="T995" s="22" t="s">
        <v>24</v>
      </c>
      <c r="U995" s="22" t="s">
        <v>39</v>
      </c>
      <c r="V995" s="22"/>
    </row>
    <row r="996" spans="1:22" ht="41.4">
      <c r="A996" s="22" t="s">
        <v>1027</v>
      </c>
      <c r="B996" s="25">
        <v>45736</v>
      </c>
      <c r="C996" s="22" t="s">
        <v>723</v>
      </c>
      <c r="D996" s="22" t="s">
        <v>28</v>
      </c>
      <c r="E996" s="22" t="s">
        <v>34</v>
      </c>
      <c r="F996" s="22" t="s">
        <v>41</v>
      </c>
      <c r="G996" s="22" t="s">
        <v>26</v>
      </c>
      <c r="H996" s="22">
        <v>0</v>
      </c>
      <c r="I996" s="22">
        <v>0</v>
      </c>
      <c r="J996" s="22">
        <v>0</v>
      </c>
      <c r="K996" s="22">
        <v>0</v>
      </c>
      <c r="L996" s="22">
        <v>0</v>
      </c>
      <c r="M996" s="22">
        <v>0</v>
      </c>
      <c r="N996" s="22">
        <v>0</v>
      </c>
      <c r="O996" s="22"/>
      <c r="P996" s="22">
        <v>86.4</v>
      </c>
      <c r="Q996" s="22" t="str">
        <f>IF(OR(L996&lt;$Y$18,L996&gt;$Y$19),"Outlier","Normal")</f>
        <v>Normal</v>
      </c>
      <c r="R996" s="26" t="str">
        <f>A996&amp;B996&amp;C996&amp;D996&amp;E996&amp;F996&amp;G996&amp;H996&amp;I996&amp;J996&amp;K996&amp;L996&amp;M996&amp;N996&amp;O996&amp;P996</f>
        <v>USR-10099545736TreatmentEastTabletSocialFree000000086.4</v>
      </c>
      <c r="S996" s="22" t="str">
        <f>IF(COUNTIF($R$2:$R$1409,R996)=1,"OK",IF(COUNTIF($R$2:$R$1409,R996)&gt;1,"Exact Duplicate","Review Required"))</f>
        <v>OK</v>
      </c>
      <c r="T996" s="22" t="s">
        <v>34</v>
      </c>
      <c r="U996" s="22" t="s">
        <v>41</v>
      </c>
      <c r="V996" s="22"/>
    </row>
    <row r="997" spans="1:22" ht="41.4">
      <c r="A997" s="22" t="s">
        <v>1028</v>
      </c>
      <c r="B997" s="25">
        <v>45666</v>
      </c>
      <c r="C997" s="22" t="s">
        <v>723</v>
      </c>
      <c r="D997" s="22" t="s">
        <v>18</v>
      </c>
      <c r="E997" s="22" t="s">
        <v>24</v>
      </c>
      <c r="F997" s="22" t="s">
        <v>29</v>
      </c>
      <c r="G997" s="22" t="s">
        <v>21</v>
      </c>
      <c r="H997" s="22">
        <v>0</v>
      </c>
      <c r="I997" s="22">
        <v>0</v>
      </c>
      <c r="J997" s="22">
        <v>0</v>
      </c>
      <c r="K997" s="22">
        <v>0</v>
      </c>
      <c r="L997" s="22">
        <v>0</v>
      </c>
      <c r="M997" s="22">
        <v>1</v>
      </c>
      <c r="N997" s="22">
        <v>0</v>
      </c>
      <c r="O997" s="22"/>
      <c r="P997" s="22">
        <v>71.400000000000006</v>
      </c>
      <c r="Q997" s="22" t="str">
        <f>IF(OR(L997&lt;$Y$18,L997&gt;$Y$19),"Outlier","Normal")</f>
        <v>Normal</v>
      </c>
      <c r="R997" s="26" t="str">
        <f>A997&amp;B997&amp;C997&amp;D997&amp;E997&amp;F997&amp;G997&amp;H997&amp;I997&amp;J997&amp;K997&amp;L997&amp;M997&amp;N997&amp;O997&amp;P997</f>
        <v>USR-10099645666TreatmentNorthMobilePaid SearchBasic000001071.4</v>
      </c>
      <c r="S997" s="22" t="str">
        <f>IF(COUNTIF($R$2:$R$1409,R997)=1,"OK",IF(COUNTIF($R$2:$R$1409,R997)&gt;1,"Exact Duplicate","Review Required"))</f>
        <v>OK</v>
      </c>
      <c r="T997" s="22" t="s">
        <v>24</v>
      </c>
      <c r="U997" s="22" t="s">
        <v>29</v>
      </c>
      <c r="V997" s="22"/>
    </row>
    <row r="998" spans="1:22" ht="41.4">
      <c r="A998" s="22" t="s">
        <v>1029</v>
      </c>
      <c r="B998" s="25">
        <v>45772</v>
      </c>
      <c r="C998" s="22" t="s">
        <v>723</v>
      </c>
      <c r="D998" s="22" t="s">
        <v>23</v>
      </c>
      <c r="E998" s="22" t="s">
        <v>24</v>
      </c>
      <c r="F998" s="22" t="s">
        <v>41</v>
      </c>
      <c r="G998" s="22" t="s">
        <v>26</v>
      </c>
      <c r="H998" s="22">
        <v>1</v>
      </c>
      <c r="I998" s="22">
        <v>1</v>
      </c>
      <c r="J998" s="22">
        <v>1</v>
      </c>
      <c r="K998" s="22">
        <v>1</v>
      </c>
      <c r="L998" s="22">
        <v>218.66</v>
      </c>
      <c r="M998" s="22">
        <v>0</v>
      </c>
      <c r="N998" s="22">
        <v>1</v>
      </c>
      <c r="O998" s="22">
        <v>8</v>
      </c>
      <c r="P998" s="22">
        <v>72.2</v>
      </c>
      <c r="Q998" s="22" t="str">
        <f>IF(OR(L998&lt;$Y$18,L998&gt;$Y$19),"Outlier","Normal")</f>
        <v>Normal</v>
      </c>
      <c r="R998" s="26" t="str">
        <f>A998&amp;B998&amp;C998&amp;D998&amp;E998&amp;F998&amp;G998&amp;H998&amp;I998&amp;J998&amp;K998&amp;L998&amp;M998&amp;N998&amp;O998&amp;P998</f>
        <v>USR-10099745772TreatmentWestMobileSocialFree1111218.6601872.2</v>
      </c>
      <c r="S998" s="22" t="str">
        <f>IF(COUNTIF($R$2:$R$1409,R998)=1,"OK",IF(COUNTIF($R$2:$R$1409,R998)&gt;1,"Exact Duplicate","Review Required"))</f>
        <v>OK</v>
      </c>
      <c r="T998" s="22" t="s">
        <v>24</v>
      </c>
      <c r="U998" s="22" t="s">
        <v>41</v>
      </c>
      <c r="V998" s="22"/>
    </row>
    <row r="999" spans="1:22" ht="41.4">
      <c r="A999" s="22" t="s">
        <v>1030</v>
      </c>
      <c r="B999" s="25">
        <v>45758</v>
      </c>
      <c r="C999" s="22" t="s">
        <v>723</v>
      </c>
      <c r="D999" s="22" t="s">
        <v>32</v>
      </c>
      <c r="E999" s="22" t="s">
        <v>19</v>
      </c>
      <c r="F999" s="22" t="s">
        <v>41</v>
      </c>
      <c r="G999" s="22" t="s">
        <v>26</v>
      </c>
      <c r="H999" s="22">
        <v>1</v>
      </c>
      <c r="I999" s="22">
        <v>0</v>
      </c>
      <c r="J999" s="22">
        <v>0</v>
      </c>
      <c r="K999" s="22">
        <v>0</v>
      </c>
      <c r="L999" s="22">
        <v>0</v>
      </c>
      <c r="M999" s="22">
        <v>0</v>
      </c>
      <c r="N999" s="22">
        <v>0</v>
      </c>
      <c r="O999" s="22"/>
      <c r="P999" s="22">
        <v>51.9</v>
      </c>
      <c r="Q999" s="22" t="str">
        <f>IF(OR(L999&lt;$Y$18,L999&gt;$Y$19),"Outlier","Normal")</f>
        <v>Normal</v>
      </c>
      <c r="R999" s="26" t="str">
        <f>A999&amp;B999&amp;C999&amp;D999&amp;E999&amp;F999&amp;G999&amp;H999&amp;I999&amp;J999&amp;K999&amp;L999&amp;M999&amp;N999&amp;O999&amp;P999</f>
        <v>USR-10099845758TreatmentSouthDesktopSocialFree100000051.9</v>
      </c>
      <c r="S999" s="22" t="str">
        <f>IF(COUNTIF($R$2:$R$1409,R999)=1,"OK",IF(COUNTIF($R$2:$R$1409,R999)&gt;1,"Exact Duplicate","Review Required"))</f>
        <v>OK</v>
      </c>
      <c r="T999" s="22" t="s">
        <v>19</v>
      </c>
      <c r="U999" s="22" t="s">
        <v>41</v>
      </c>
      <c r="V999" s="22"/>
    </row>
    <row r="1000" spans="1:22" ht="41.4">
      <c r="A1000" s="22" t="s">
        <v>1031</v>
      </c>
      <c r="B1000" s="25">
        <v>45693</v>
      </c>
      <c r="C1000" s="22" t="s">
        <v>723</v>
      </c>
      <c r="D1000" s="22" t="s">
        <v>28</v>
      </c>
      <c r="E1000" s="22" t="s">
        <v>24</v>
      </c>
      <c r="F1000" s="22" t="s">
        <v>41</v>
      </c>
      <c r="G1000" s="22" t="s">
        <v>21</v>
      </c>
      <c r="H1000" s="22">
        <v>1</v>
      </c>
      <c r="I1000" s="22">
        <v>1</v>
      </c>
      <c r="J1000" s="22">
        <v>1</v>
      </c>
      <c r="K1000" s="22">
        <v>0</v>
      </c>
      <c r="L1000" s="22">
        <v>0</v>
      </c>
      <c r="M1000" s="22">
        <v>0</v>
      </c>
      <c r="N1000" s="22">
        <v>0</v>
      </c>
      <c r="O1000" s="22"/>
      <c r="P1000" s="22">
        <v>70.3</v>
      </c>
      <c r="Q1000" s="22" t="str">
        <f>IF(OR(L1000&lt;$Y$18,L1000&gt;$Y$19),"Outlier","Normal")</f>
        <v>Normal</v>
      </c>
      <c r="R1000" s="26" t="str">
        <f>A1000&amp;B1000&amp;C1000&amp;D1000&amp;E1000&amp;F1000&amp;G1000&amp;H1000&amp;I1000&amp;J1000&amp;K1000&amp;L1000&amp;M1000&amp;N1000&amp;O1000&amp;P1000</f>
        <v>USR-10099945693TreatmentEastMobileSocialBasic111000070.3</v>
      </c>
      <c r="S1000" s="22" t="str">
        <f>IF(COUNTIF($R$2:$R$1409,R1000)=1,"OK",IF(COUNTIF($R$2:$R$1409,R1000)&gt;1,"Exact Duplicate","Review Required"))</f>
        <v>OK</v>
      </c>
      <c r="T1000" s="22" t="s">
        <v>24</v>
      </c>
      <c r="U1000" s="22" t="s">
        <v>41</v>
      </c>
      <c r="V1000" s="22"/>
    </row>
    <row r="1001" spans="1:22" ht="41.4">
      <c r="A1001" s="22" t="s">
        <v>1032</v>
      </c>
      <c r="B1001" s="25">
        <v>45744</v>
      </c>
      <c r="C1001" s="22" t="s">
        <v>723</v>
      </c>
      <c r="D1001" s="22" t="s">
        <v>32</v>
      </c>
      <c r="E1001" s="22" t="s">
        <v>24</v>
      </c>
      <c r="F1001" s="22" t="s">
        <v>41</v>
      </c>
      <c r="G1001" s="22" t="s">
        <v>30</v>
      </c>
      <c r="H1001" s="22">
        <v>1</v>
      </c>
      <c r="I1001" s="22">
        <v>0</v>
      </c>
      <c r="J1001" s="22">
        <v>0</v>
      </c>
      <c r="K1001" s="22">
        <v>0</v>
      </c>
      <c r="L1001" s="22">
        <v>0</v>
      </c>
      <c r="M1001" s="22">
        <v>1</v>
      </c>
      <c r="N1001" s="22">
        <v>0</v>
      </c>
      <c r="O1001" s="22"/>
      <c r="P1001" s="22">
        <v>49.2</v>
      </c>
      <c r="Q1001" s="22" t="str">
        <f>IF(OR(L1001&lt;$Y$18,L1001&gt;$Y$19),"Outlier","Normal")</f>
        <v>Normal</v>
      </c>
      <c r="R1001" s="26" t="str">
        <f>A1001&amp;B1001&amp;C1001&amp;D1001&amp;E1001&amp;F1001&amp;G1001&amp;H1001&amp;I1001&amp;J1001&amp;K1001&amp;L1001&amp;M1001&amp;N1001&amp;O1001&amp;P1001</f>
        <v>USR-10100045744TreatmentSouthMobileSocialPremium100001049.2</v>
      </c>
      <c r="S1001" s="22" t="str">
        <f>IF(COUNTIF($R$2:$R$1409,R1001)=1,"OK",IF(COUNTIF($R$2:$R$1409,R1001)&gt;1,"Exact Duplicate","Review Required"))</f>
        <v>OK</v>
      </c>
      <c r="T1001" s="22" t="s">
        <v>24</v>
      </c>
      <c r="U1001" s="22" t="s">
        <v>41</v>
      </c>
      <c r="V1001" s="22"/>
    </row>
    <row r="1002" spans="1:22" ht="41.4">
      <c r="A1002" s="22" t="s">
        <v>1033</v>
      </c>
      <c r="B1002" s="25">
        <v>45791</v>
      </c>
      <c r="C1002" s="22" t="s">
        <v>723</v>
      </c>
      <c r="D1002" s="22" t="s">
        <v>32</v>
      </c>
      <c r="E1002" s="22" t="s">
        <v>24</v>
      </c>
      <c r="F1002" s="22" t="s">
        <v>39</v>
      </c>
      <c r="G1002" s="22" t="s">
        <v>26</v>
      </c>
      <c r="H1002" s="22">
        <v>0</v>
      </c>
      <c r="I1002" s="22">
        <v>0</v>
      </c>
      <c r="J1002" s="22">
        <v>0</v>
      </c>
      <c r="K1002" s="22">
        <v>0</v>
      </c>
      <c r="L1002" s="22">
        <v>0</v>
      </c>
      <c r="M1002" s="22">
        <v>0</v>
      </c>
      <c r="N1002" s="22">
        <v>0</v>
      </c>
      <c r="O1002" s="22"/>
      <c r="P1002" s="22">
        <v>52.2</v>
      </c>
      <c r="Q1002" s="22" t="str">
        <f>IF(OR(L1002&lt;$Y$18,L1002&gt;$Y$19),"Outlier","Normal")</f>
        <v>Normal</v>
      </c>
      <c r="R1002" s="26" t="str">
        <f>A1002&amp;B1002&amp;C1002&amp;D1002&amp;E1002&amp;F1002&amp;G1002&amp;H1002&amp;I1002&amp;J1002&amp;K1002&amp;L1002&amp;M1002&amp;N1002&amp;O1002&amp;P1002</f>
        <v>USR-10100145791TreatmentSouthMobileReferralFree000000052.2</v>
      </c>
      <c r="S1002" s="22" t="str">
        <f>IF(COUNTIF($R$2:$R$1409,R1002)=1,"OK",IF(COUNTIF($R$2:$R$1409,R1002)&gt;1,"Exact Duplicate","Review Required"))</f>
        <v>OK</v>
      </c>
      <c r="T1002" s="22" t="s">
        <v>24</v>
      </c>
      <c r="U1002" s="22" t="s">
        <v>39</v>
      </c>
      <c r="V1002" s="22"/>
    </row>
    <row r="1003" spans="1:22" ht="41.4">
      <c r="A1003" s="22" t="s">
        <v>1034</v>
      </c>
      <c r="B1003" s="25">
        <v>45726</v>
      </c>
      <c r="C1003" s="22" t="s">
        <v>723</v>
      </c>
      <c r="D1003" s="22" t="s">
        <v>28</v>
      </c>
      <c r="E1003" s="22" t="s">
        <v>24</v>
      </c>
      <c r="F1003" s="22" t="s">
        <v>29</v>
      </c>
      <c r="G1003" s="22" t="s">
        <v>21</v>
      </c>
      <c r="H1003" s="22">
        <v>0</v>
      </c>
      <c r="I1003" s="22">
        <v>0</v>
      </c>
      <c r="J1003" s="22">
        <v>0</v>
      </c>
      <c r="K1003" s="22">
        <v>0</v>
      </c>
      <c r="L1003" s="22">
        <v>0</v>
      </c>
      <c r="M1003" s="22">
        <v>1</v>
      </c>
      <c r="N1003" s="22">
        <v>0</v>
      </c>
      <c r="O1003" s="22"/>
      <c r="P1003" s="22">
        <v>62.6</v>
      </c>
      <c r="Q1003" s="22" t="str">
        <f>IF(OR(L1003&lt;$Y$18,L1003&gt;$Y$19),"Outlier","Normal")</f>
        <v>Normal</v>
      </c>
      <c r="R1003" s="26" t="str">
        <f>A1003&amp;B1003&amp;C1003&amp;D1003&amp;E1003&amp;F1003&amp;G1003&amp;H1003&amp;I1003&amp;J1003&amp;K1003&amp;L1003&amp;M1003&amp;N1003&amp;O1003&amp;P1003</f>
        <v>USR-10100245726TreatmentEastMobilePaid SearchBasic000001062.6</v>
      </c>
      <c r="S1003" s="22" t="str">
        <f>IF(COUNTIF($R$2:$R$1409,R1003)=1,"OK",IF(COUNTIF($R$2:$R$1409,R1003)&gt;1,"Exact Duplicate","Review Required"))</f>
        <v>OK</v>
      </c>
      <c r="T1003" s="22" t="s">
        <v>24</v>
      </c>
      <c r="U1003" s="22" t="s">
        <v>29</v>
      </c>
      <c r="V1003" s="22"/>
    </row>
    <row r="1004" spans="1:22" ht="41.4">
      <c r="A1004" s="22" t="s">
        <v>1035</v>
      </c>
      <c r="B1004" s="25">
        <v>45756</v>
      </c>
      <c r="C1004" s="22" t="s">
        <v>723</v>
      </c>
      <c r="D1004" s="22" t="s">
        <v>28</v>
      </c>
      <c r="E1004" s="22" t="s">
        <v>19</v>
      </c>
      <c r="F1004" s="22" t="s">
        <v>29</v>
      </c>
      <c r="G1004" s="22" t="s">
        <v>26</v>
      </c>
      <c r="H1004" s="22">
        <v>1</v>
      </c>
      <c r="I1004" s="22">
        <v>1</v>
      </c>
      <c r="J1004" s="22">
        <v>0</v>
      </c>
      <c r="K1004" s="22">
        <v>0</v>
      </c>
      <c r="L1004" s="22">
        <v>0</v>
      </c>
      <c r="M1004" s="22">
        <v>0</v>
      </c>
      <c r="N1004" s="22">
        <v>0</v>
      </c>
      <c r="O1004" s="22"/>
      <c r="P1004" s="22">
        <v>100</v>
      </c>
      <c r="Q1004" s="22" t="str">
        <f>IF(OR(L1004&lt;$Y$18,L1004&gt;$Y$19),"Outlier","Normal")</f>
        <v>Normal</v>
      </c>
      <c r="R1004" s="26" t="str">
        <f>A1004&amp;B1004&amp;C1004&amp;D1004&amp;E1004&amp;F1004&amp;G1004&amp;H1004&amp;I1004&amp;J1004&amp;K1004&amp;L1004&amp;M1004&amp;N1004&amp;O1004&amp;P1004</f>
        <v>USR-10100345756TreatmentEastDesktopPaid SearchFree1100000100</v>
      </c>
      <c r="S1004" s="22" t="str">
        <f>IF(COUNTIF($R$2:$R$1409,R1004)=1,"OK",IF(COUNTIF($R$2:$R$1409,R1004)&gt;1,"Exact Duplicate","Review Required"))</f>
        <v>OK</v>
      </c>
      <c r="T1004" s="22" t="s">
        <v>19</v>
      </c>
      <c r="U1004" s="22" t="s">
        <v>29</v>
      </c>
      <c r="V1004" s="22"/>
    </row>
    <row r="1005" spans="1:22" ht="41.4">
      <c r="A1005" s="22" t="s">
        <v>1036</v>
      </c>
      <c r="B1005" s="25">
        <v>45701</v>
      </c>
      <c r="C1005" s="22" t="s">
        <v>723</v>
      </c>
      <c r="D1005" s="22" t="s">
        <v>18</v>
      </c>
      <c r="E1005" s="22" t="s">
        <v>24</v>
      </c>
      <c r="F1005" s="22" t="s">
        <v>39</v>
      </c>
      <c r="G1005" s="22" t="s">
        <v>21</v>
      </c>
      <c r="H1005" s="22">
        <v>1</v>
      </c>
      <c r="I1005" s="22">
        <v>1</v>
      </c>
      <c r="J1005" s="22">
        <v>1</v>
      </c>
      <c r="K1005" s="22">
        <v>0</v>
      </c>
      <c r="L1005" s="22">
        <v>0</v>
      </c>
      <c r="M1005" s="22">
        <v>2</v>
      </c>
      <c r="N1005" s="22">
        <v>0</v>
      </c>
      <c r="O1005" s="22"/>
      <c r="P1005" s="22">
        <v>45.9</v>
      </c>
      <c r="Q1005" s="22" t="str">
        <f>IF(OR(L1005&lt;$Y$18,L1005&gt;$Y$19),"Outlier","Normal")</f>
        <v>Normal</v>
      </c>
      <c r="R1005" s="26" t="str">
        <f>A1005&amp;B1005&amp;C1005&amp;D1005&amp;E1005&amp;F1005&amp;G1005&amp;H1005&amp;I1005&amp;J1005&amp;K1005&amp;L1005&amp;M1005&amp;N1005&amp;O1005&amp;P1005</f>
        <v>USR-10100445701TreatmentNorthMobileReferralBasic111002045.9</v>
      </c>
      <c r="S1005" s="22" t="str">
        <f>IF(COUNTIF($R$2:$R$1409,R1005)=1,"OK",IF(COUNTIF($R$2:$R$1409,R1005)&gt;1,"Exact Duplicate","Review Required"))</f>
        <v>OK</v>
      </c>
      <c r="T1005" s="22" t="s">
        <v>24</v>
      </c>
      <c r="U1005" s="22" t="s">
        <v>39</v>
      </c>
      <c r="V1005" s="22"/>
    </row>
    <row r="1006" spans="1:22" ht="41.4">
      <c r="A1006" s="22" t="s">
        <v>1037</v>
      </c>
      <c r="B1006" s="25">
        <v>45780</v>
      </c>
      <c r="C1006" s="22" t="s">
        <v>723</v>
      </c>
      <c r="D1006" s="22" t="s">
        <v>28</v>
      </c>
      <c r="E1006" s="22" t="s">
        <v>24</v>
      </c>
      <c r="F1006" s="22" t="s">
        <v>20</v>
      </c>
      <c r="G1006" s="22" t="s">
        <v>26</v>
      </c>
      <c r="H1006" s="22">
        <v>1</v>
      </c>
      <c r="I1006" s="22">
        <v>1</v>
      </c>
      <c r="J1006" s="22">
        <v>1</v>
      </c>
      <c r="K1006" s="22">
        <v>0</v>
      </c>
      <c r="L1006" s="22">
        <v>0</v>
      </c>
      <c r="M1006" s="22">
        <v>0</v>
      </c>
      <c r="N1006" s="22">
        <v>0</v>
      </c>
      <c r="O1006" s="22"/>
      <c r="P1006" s="22">
        <v>80.7</v>
      </c>
      <c r="Q1006" s="22" t="str">
        <f>IF(OR(L1006&lt;$Y$18,L1006&gt;$Y$19),"Outlier","Normal")</f>
        <v>Normal</v>
      </c>
      <c r="R1006" s="26" t="str">
        <f>A1006&amp;B1006&amp;C1006&amp;D1006&amp;E1006&amp;F1006&amp;G1006&amp;H1006&amp;I1006&amp;J1006&amp;K1006&amp;L1006&amp;M1006&amp;N1006&amp;O1006&amp;P1006</f>
        <v>USR-10100545780TreatmentEastMobileEmailFree111000080.7</v>
      </c>
      <c r="S1006" s="22" t="str">
        <f>IF(COUNTIF($R$2:$R$1409,R1006)=1,"OK",IF(COUNTIF($R$2:$R$1409,R1006)&gt;1,"Exact Duplicate","Review Required"))</f>
        <v>OK</v>
      </c>
      <c r="T1006" s="22" t="s">
        <v>24</v>
      </c>
      <c r="U1006" s="22" t="s">
        <v>20</v>
      </c>
      <c r="V1006" s="22"/>
    </row>
    <row r="1007" spans="1:22" ht="41.4">
      <c r="A1007" s="22" t="s">
        <v>1038</v>
      </c>
      <c r="B1007" s="25">
        <v>45763</v>
      </c>
      <c r="C1007" s="22" t="s">
        <v>723</v>
      </c>
      <c r="D1007" s="22" t="s">
        <v>32</v>
      </c>
      <c r="E1007" s="22" t="s">
        <v>19</v>
      </c>
      <c r="F1007" s="22" t="s">
        <v>39</v>
      </c>
      <c r="G1007" s="22" t="s">
        <v>30</v>
      </c>
      <c r="H1007" s="22">
        <v>1</v>
      </c>
      <c r="I1007" s="22">
        <v>0</v>
      </c>
      <c r="J1007" s="22">
        <v>0</v>
      </c>
      <c r="K1007" s="22">
        <v>0</v>
      </c>
      <c r="L1007" s="22">
        <v>0</v>
      </c>
      <c r="M1007" s="22">
        <v>0</v>
      </c>
      <c r="N1007" s="22">
        <v>0</v>
      </c>
      <c r="O1007" s="22"/>
      <c r="P1007" s="22">
        <v>51.9</v>
      </c>
      <c r="Q1007" s="22" t="str">
        <f>IF(OR(L1007&lt;$Y$18,L1007&gt;$Y$19),"Outlier","Normal")</f>
        <v>Normal</v>
      </c>
      <c r="R1007" s="26" t="str">
        <f>A1007&amp;B1007&amp;C1007&amp;D1007&amp;E1007&amp;F1007&amp;G1007&amp;H1007&amp;I1007&amp;J1007&amp;K1007&amp;L1007&amp;M1007&amp;N1007&amp;O1007&amp;P1007</f>
        <v>USR-10100645763TreatmentSouthDesktopReferralPremium100000051.9</v>
      </c>
      <c r="S1007" s="22" t="str">
        <f>IF(COUNTIF($R$2:$R$1409,R1007)=1,"OK",IF(COUNTIF($R$2:$R$1409,R1007)&gt;1,"Exact Duplicate","Review Required"))</f>
        <v>OK</v>
      </c>
      <c r="T1007" s="22" t="s">
        <v>19</v>
      </c>
      <c r="U1007" s="22" t="s">
        <v>39</v>
      </c>
      <c r="V1007" s="22"/>
    </row>
    <row r="1008" spans="1:22" ht="41.4">
      <c r="A1008" s="22" t="s">
        <v>1039</v>
      </c>
      <c r="B1008" s="25">
        <v>45777</v>
      </c>
      <c r="C1008" s="22" t="s">
        <v>723</v>
      </c>
      <c r="D1008" s="22" t="s">
        <v>18</v>
      </c>
      <c r="E1008" s="22" t="s">
        <v>24</v>
      </c>
      <c r="F1008" s="22" t="s">
        <v>29</v>
      </c>
      <c r="G1008" s="22" t="s">
        <v>30</v>
      </c>
      <c r="H1008" s="22">
        <v>1</v>
      </c>
      <c r="I1008" s="22">
        <v>0</v>
      </c>
      <c r="J1008" s="22">
        <v>0</v>
      </c>
      <c r="K1008" s="22">
        <v>0</v>
      </c>
      <c r="L1008" s="22">
        <v>0</v>
      </c>
      <c r="M1008" s="22">
        <v>0</v>
      </c>
      <c r="N1008" s="22">
        <v>0</v>
      </c>
      <c r="O1008" s="22"/>
      <c r="P1008" s="22">
        <v>68.900000000000006</v>
      </c>
      <c r="Q1008" s="22" t="str">
        <f>IF(OR(L1008&lt;$Y$18,L1008&gt;$Y$19),"Outlier","Normal")</f>
        <v>Normal</v>
      </c>
      <c r="R1008" s="26" t="str">
        <f>A1008&amp;B1008&amp;C1008&amp;D1008&amp;E1008&amp;F1008&amp;G1008&amp;H1008&amp;I1008&amp;J1008&amp;K1008&amp;L1008&amp;M1008&amp;N1008&amp;O1008&amp;P1008</f>
        <v>USR-10100745777TreatmentNorthMobilePaid SearchPremium100000068.9</v>
      </c>
      <c r="S1008" s="22" t="str">
        <f>IF(COUNTIF($R$2:$R$1409,R1008)=1,"OK",IF(COUNTIF($R$2:$R$1409,R1008)&gt;1,"Exact Duplicate","Review Required"))</f>
        <v>OK</v>
      </c>
      <c r="T1008" s="22" t="s">
        <v>24</v>
      </c>
      <c r="U1008" s="22" t="s">
        <v>29</v>
      </c>
      <c r="V1008" s="22"/>
    </row>
    <row r="1009" spans="1:22" ht="41.4">
      <c r="A1009" s="22" t="s">
        <v>1040</v>
      </c>
      <c r="B1009" s="25">
        <v>45706</v>
      </c>
      <c r="C1009" s="22" t="s">
        <v>723</v>
      </c>
      <c r="D1009" s="22" t="s">
        <v>23</v>
      </c>
      <c r="E1009" s="22" t="s">
        <v>19</v>
      </c>
      <c r="F1009" s="22" t="s">
        <v>25</v>
      </c>
      <c r="G1009" s="22" t="s">
        <v>26</v>
      </c>
      <c r="H1009" s="22">
        <v>1</v>
      </c>
      <c r="I1009" s="22">
        <v>0</v>
      </c>
      <c r="J1009" s="22">
        <v>0</v>
      </c>
      <c r="K1009" s="22">
        <v>0</v>
      </c>
      <c r="L1009" s="22">
        <v>0</v>
      </c>
      <c r="M1009" s="22">
        <v>0</v>
      </c>
      <c r="N1009" s="22">
        <v>0</v>
      </c>
      <c r="O1009" s="22"/>
      <c r="P1009" s="22">
        <v>66</v>
      </c>
      <c r="Q1009" s="22" t="str">
        <f>IF(OR(L1009&lt;$Y$18,L1009&gt;$Y$19),"Outlier","Normal")</f>
        <v>Normal</v>
      </c>
      <c r="R1009" s="26" t="str">
        <f>A1009&amp;B1009&amp;C1009&amp;D1009&amp;E1009&amp;F1009&amp;G1009&amp;H1009&amp;I1009&amp;J1009&amp;K1009&amp;L1009&amp;M1009&amp;N1009&amp;O1009&amp;P1009</f>
        <v>USR-10100845706TreatmentWestDesktopOrganicFree100000066</v>
      </c>
      <c r="S1009" s="22" t="str">
        <f>IF(COUNTIF($R$2:$R$1409,R1009)=1,"OK",IF(COUNTIF($R$2:$R$1409,R1009)&gt;1,"Exact Duplicate","Review Required"))</f>
        <v>OK</v>
      </c>
      <c r="T1009" s="22" t="s">
        <v>19</v>
      </c>
      <c r="U1009" s="22" t="s">
        <v>25</v>
      </c>
      <c r="V1009" s="22"/>
    </row>
    <row r="1010" spans="1:22" ht="41.4">
      <c r="A1010" s="22" t="s">
        <v>1041</v>
      </c>
      <c r="B1010" s="25">
        <v>45799</v>
      </c>
      <c r="C1010" s="22" t="s">
        <v>723</v>
      </c>
      <c r="D1010" s="22" t="s">
        <v>23</v>
      </c>
      <c r="E1010" s="22" t="s">
        <v>19</v>
      </c>
      <c r="F1010" s="22" t="s">
        <v>39</v>
      </c>
      <c r="G1010" s="22" t="s">
        <v>21</v>
      </c>
      <c r="H1010" s="22">
        <v>0</v>
      </c>
      <c r="I1010" s="22">
        <v>0</v>
      </c>
      <c r="J1010" s="22">
        <v>0</v>
      </c>
      <c r="K1010" s="22">
        <v>0</v>
      </c>
      <c r="L1010" s="22">
        <v>0</v>
      </c>
      <c r="M1010" s="22">
        <v>0</v>
      </c>
      <c r="N1010" s="22">
        <v>0</v>
      </c>
      <c r="O1010" s="22"/>
      <c r="P1010" s="22">
        <v>63.1</v>
      </c>
      <c r="Q1010" s="22" t="str">
        <f>IF(OR(L1010&lt;$Y$18,L1010&gt;$Y$19),"Outlier","Normal")</f>
        <v>Normal</v>
      </c>
      <c r="R1010" s="26" t="str">
        <f>A1010&amp;B1010&amp;C1010&amp;D1010&amp;E1010&amp;F1010&amp;G1010&amp;H1010&amp;I1010&amp;J1010&amp;K1010&amp;L1010&amp;M1010&amp;N1010&amp;O1010&amp;P1010</f>
        <v>USR-10100945799TreatmentWestDesktopReferralBasic000000063.1</v>
      </c>
      <c r="S1010" s="22" t="str">
        <f>IF(COUNTIF($R$2:$R$1409,R1010)=1,"OK",IF(COUNTIF($R$2:$R$1409,R1010)&gt;1,"Exact Duplicate","Review Required"))</f>
        <v>OK</v>
      </c>
      <c r="T1010" s="22" t="s">
        <v>19</v>
      </c>
      <c r="U1010" s="22" t="s">
        <v>39</v>
      </c>
      <c r="V1010" s="22"/>
    </row>
    <row r="1011" spans="1:22" ht="41.4">
      <c r="A1011" s="22" t="s">
        <v>1042</v>
      </c>
      <c r="B1011" s="25">
        <v>45798</v>
      </c>
      <c r="C1011" s="22" t="s">
        <v>723</v>
      </c>
      <c r="D1011" s="22" t="s">
        <v>32</v>
      </c>
      <c r="E1011" s="22" t="s">
        <v>19</v>
      </c>
      <c r="F1011" s="22" t="s">
        <v>25</v>
      </c>
      <c r="G1011" s="22" t="s">
        <v>26</v>
      </c>
      <c r="H1011" s="22">
        <v>0</v>
      </c>
      <c r="I1011" s="22">
        <v>0</v>
      </c>
      <c r="J1011" s="22">
        <v>0</v>
      </c>
      <c r="K1011" s="22">
        <v>0</v>
      </c>
      <c r="L1011" s="22">
        <v>0</v>
      </c>
      <c r="M1011" s="22">
        <v>0</v>
      </c>
      <c r="N1011" s="22">
        <v>0</v>
      </c>
      <c r="O1011" s="22"/>
      <c r="P1011" s="22">
        <v>56</v>
      </c>
      <c r="Q1011" s="22" t="str">
        <f>IF(OR(L1011&lt;$Y$18,L1011&gt;$Y$19),"Outlier","Normal")</f>
        <v>Normal</v>
      </c>
      <c r="R1011" s="26" t="str">
        <f>A1011&amp;B1011&amp;C1011&amp;D1011&amp;E1011&amp;F1011&amp;G1011&amp;H1011&amp;I1011&amp;J1011&amp;K1011&amp;L1011&amp;M1011&amp;N1011&amp;O1011&amp;P1011</f>
        <v>USR-10101045798TreatmentSouthDesktopOrganicFree000000056</v>
      </c>
      <c r="S1011" s="22" t="str">
        <f>IF(COUNTIF($R$2:$R$1409,R1011)=1,"OK",IF(COUNTIF($R$2:$R$1409,R1011)&gt;1,"Exact Duplicate","Review Required"))</f>
        <v>OK</v>
      </c>
      <c r="T1011" s="22" t="s">
        <v>19</v>
      </c>
      <c r="U1011" s="22" t="s">
        <v>25</v>
      </c>
      <c r="V1011" s="22"/>
    </row>
    <row r="1012" spans="1:22" ht="41.4">
      <c r="A1012" s="22" t="s">
        <v>1043</v>
      </c>
      <c r="B1012" s="25">
        <v>45757</v>
      </c>
      <c r="C1012" s="22" t="s">
        <v>723</v>
      </c>
      <c r="D1012" s="22" t="s">
        <v>28</v>
      </c>
      <c r="E1012" s="22" t="s">
        <v>19</v>
      </c>
      <c r="F1012" s="22" t="s">
        <v>25</v>
      </c>
      <c r="G1012" s="22" t="s">
        <v>26</v>
      </c>
      <c r="H1012" s="22">
        <v>1</v>
      </c>
      <c r="I1012" s="22">
        <v>0</v>
      </c>
      <c r="J1012" s="22">
        <v>0</v>
      </c>
      <c r="K1012" s="22">
        <v>0</v>
      </c>
      <c r="L1012" s="22">
        <v>0</v>
      </c>
      <c r="M1012" s="22">
        <v>1</v>
      </c>
      <c r="N1012" s="22">
        <v>0</v>
      </c>
      <c r="O1012" s="22"/>
      <c r="P1012" s="22">
        <v>65.7</v>
      </c>
      <c r="Q1012" s="22" t="str">
        <f>IF(OR(L1012&lt;$Y$18,L1012&gt;$Y$19),"Outlier","Normal")</f>
        <v>Normal</v>
      </c>
      <c r="R1012" s="26" t="str">
        <f>A1012&amp;B1012&amp;C1012&amp;D1012&amp;E1012&amp;F1012&amp;G1012&amp;H1012&amp;I1012&amp;J1012&amp;K1012&amp;L1012&amp;M1012&amp;N1012&amp;O1012&amp;P1012</f>
        <v>USR-10101145757TreatmentEastDesktopOrganicFree100001065.7</v>
      </c>
      <c r="S1012" s="22" t="str">
        <f>IF(COUNTIF($R$2:$R$1409,R1012)=1,"OK",IF(COUNTIF($R$2:$R$1409,R1012)&gt;1,"Exact Duplicate","Review Required"))</f>
        <v>OK</v>
      </c>
      <c r="T1012" s="22" t="s">
        <v>19</v>
      </c>
      <c r="U1012" s="22" t="s">
        <v>25</v>
      </c>
      <c r="V1012" s="22"/>
    </row>
    <row r="1013" spans="1:22" ht="55.2">
      <c r="A1013" s="22" t="s">
        <v>1044</v>
      </c>
      <c r="B1013" s="25">
        <v>45664</v>
      </c>
      <c r="C1013" s="22" t="s">
        <v>723</v>
      </c>
      <c r="D1013" s="22" t="s">
        <v>18</v>
      </c>
      <c r="E1013" s="22" t="s">
        <v>19</v>
      </c>
      <c r="F1013" s="22" t="s">
        <v>25</v>
      </c>
      <c r="G1013" s="22" t="s">
        <v>30</v>
      </c>
      <c r="H1013" s="22">
        <v>1</v>
      </c>
      <c r="I1013" s="22">
        <v>1</v>
      </c>
      <c r="J1013" s="22">
        <v>1</v>
      </c>
      <c r="K1013" s="22">
        <v>1</v>
      </c>
      <c r="L1013" s="22">
        <v>1938.31</v>
      </c>
      <c r="M1013" s="22">
        <v>1</v>
      </c>
      <c r="N1013" s="22">
        <v>0</v>
      </c>
      <c r="O1013" s="22">
        <v>9</v>
      </c>
      <c r="P1013" s="22">
        <v>60.9</v>
      </c>
      <c r="Q1013" s="22" t="str">
        <f>IF(OR(L1013&lt;$Y$18,L1013&gt;$Y$19),"Outlier","Normal")</f>
        <v>Normal</v>
      </c>
      <c r="R1013" s="26" t="str">
        <f>A1013&amp;B1013&amp;C1013&amp;D1013&amp;E1013&amp;F1013&amp;G1013&amp;H1013&amp;I1013&amp;J1013&amp;K1013&amp;L1013&amp;M1013&amp;N1013&amp;O1013&amp;P1013</f>
        <v>USR-10101245664TreatmentNorthDesktopOrganicPremium11111938.3110960.9</v>
      </c>
      <c r="S1013" s="22" t="str">
        <f>IF(COUNTIF($R$2:$R$1409,R1013)=1,"OK",IF(COUNTIF($R$2:$R$1409,R1013)&gt;1,"Exact Duplicate","Review Required"))</f>
        <v>OK</v>
      </c>
      <c r="T1013" s="22" t="s">
        <v>19</v>
      </c>
      <c r="U1013" s="22" t="s">
        <v>25</v>
      </c>
      <c r="V1013" s="22"/>
    </row>
    <row r="1014" spans="1:22" ht="41.4">
      <c r="A1014" s="22" t="s">
        <v>1045</v>
      </c>
      <c r="B1014" s="25">
        <v>45691</v>
      </c>
      <c r="C1014" s="22" t="s">
        <v>723</v>
      </c>
      <c r="D1014" s="22" t="s">
        <v>32</v>
      </c>
      <c r="E1014" s="22" t="s">
        <v>19</v>
      </c>
      <c r="F1014" s="22" t="s">
        <v>41</v>
      </c>
      <c r="G1014" s="22" t="s">
        <v>26</v>
      </c>
      <c r="H1014" s="22">
        <v>0</v>
      </c>
      <c r="I1014" s="22">
        <v>0</v>
      </c>
      <c r="J1014" s="22">
        <v>0</v>
      </c>
      <c r="K1014" s="22">
        <v>0</v>
      </c>
      <c r="L1014" s="22">
        <v>0</v>
      </c>
      <c r="M1014" s="22">
        <v>0</v>
      </c>
      <c r="N1014" s="22">
        <v>0</v>
      </c>
      <c r="O1014" s="22"/>
      <c r="P1014" s="22">
        <v>45.5</v>
      </c>
      <c r="Q1014" s="22" t="str">
        <f>IF(OR(L1014&lt;$Y$18,L1014&gt;$Y$19),"Outlier","Normal")</f>
        <v>Normal</v>
      </c>
      <c r="R1014" s="26" t="str">
        <f>A1014&amp;B1014&amp;C1014&amp;D1014&amp;E1014&amp;F1014&amp;G1014&amp;H1014&amp;I1014&amp;J1014&amp;K1014&amp;L1014&amp;M1014&amp;N1014&amp;O1014&amp;P1014</f>
        <v>USR-10101345691TreatmentSouthDesktopSocialFree000000045.5</v>
      </c>
      <c r="S1014" s="22" t="str">
        <f>IF(COUNTIF($R$2:$R$1409,R1014)=1,"OK",IF(COUNTIF($R$2:$R$1409,R1014)&gt;1,"Exact Duplicate","Review Required"))</f>
        <v>OK</v>
      </c>
      <c r="T1014" s="22" t="s">
        <v>19</v>
      </c>
      <c r="U1014" s="22" t="s">
        <v>41</v>
      </c>
      <c r="V1014" s="22"/>
    </row>
    <row r="1015" spans="1:22" ht="41.4">
      <c r="A1015" s="22" t="s">
        <v>1046</v>
      </c>
      <c r="B1015" s="25">
        <v>45795</v>
      </c>
      <c r="C1015" s="22" t="s">
        <v>723</v>
      </c>
      <c r="D1015" s="22" t="s">
        <v>18</v>
      </c>
      <c r="E1015" s="22" t="s">
        <v>24</v>
      </c>
      <c r="F1015" s="22" t="s">
        <v>29</v>
      </c>
      <c r="G1015" s="22" t="s">
        <v>26</v>
      </c>
      <c r="H1015" s="22">
        <v>1</v>
      </c>
      <c r="I1015" s="22">
        <v>0</v>
      </c>
      <c r="J1015" s="22">
        <v>0</v>
      </c>
      <c r="K1015" s="22">
        <v>0</v>
      </c>
      <c r="L1015" s="22">
        <v>0</v>
      </c>
      <c r="M1015" s="22">
        <v>0</v>
      </c>
      <c r="N1015" s="22">
        <v>0</v>
      </c>
      <c r="O1015" s="22"/>
      <c r="P1015" s="22">
        <v>50</v>
      </c>
      <c r="Q1015" s="22" t="str">
        <f>IF(OR(L1015&lt;$Y$18,L1015&gt;$Y$19),"Outlier","Normal")</f>
        <v>Normal</v>
      </c>
      <c r="R1015" s="26" t="str">
        <f>A1015&amp;B1015&amp;C1015&amp;D1015&amp;E1015&amp;F1015&amp;G1015&amp;H1015&amp;I1015&amp;J1015&amp;K1015&amp;L1015&amp;M1015&amp;N1015&amp;O1015&amp;P1015</f>
        <v>USR-10101445795TreatmentNorthMobilePaid SearchFree100000050</v>
      </c>
      <c r="S1015" s="22" t="str">
        <f>IF(COUNTIF($R$2:$R$1409,R1015)=1,"OK",IF(COUNTIF($R$2:$R$1409,R1015)&gt;1,"Exact Duplicate","Review Required"))</f>
        <v>OK</v>
      </c>
      <c r="T1015" s="22" t="s">
        <v>24</v>
      </c>
      <c r="U1015" s="22" t="s">
        <v>29</v>
      </c>
      <c r="V1015" s="22"/>
    </row>
    <row r="1016" spans="1:22" ht="41.4">
      <c r="A1016" s="22" t="s">
        <v>1047</v>
      </c>
      <c r="B1016" s="25">
        <v>45688</v>
      </c>
      <c r="C1016" s="22" t="s">
        <v>723</v>
      </c>
      <c r="D1016" s="22" t="s">
        <v>18</v>
      </c>
      <c r="E1016" s="22" t="s">
        <v>24</v>
      </c>
      <c r="F1016" s="22" t="s">
        <v>39</v>
      </c>
      <c r="G1016" s="22" t="s">
        <v>26</v>
      </c>
      <c r="H1016" s="22">
        <v>1</v>
      </c>
      <c r="I1016" s="22">
        <v>0</v>
      </c>
      <c r="J1016" s="22">
        <v>0</v>
      </c>
      <c r="K1016" s="22">
        <v>0</v>
      </c>
      <c r="L1016" s="22">
        <v>0</v>
      </c>
      <c r="M1016" s="22">
        <v>0</v>
      </c>
      <c r="N1016" s="22">
        <v>0</v>
      </c>
      <c r="O1016" s="22"/>
      <c r="P1016" s="22">
        <v>72.099999999999994</v>
      </c>
      <c r="Q1016" s="22" t="str">
        <f>IF(OR(L1016&lt;$Y$18,L1016&gt;$Y$19),"Outlier","Normal")</f>
        <v>Normal</v>
      </c>
      <c r="R1016" s="26" t="str">
        <f>A1016&amp;B1016&amp;C1016&amp;D1016&amp;E1016&amp;F1016&amp;G1016&amp;H1016&amp;I1016&amp;J1016&amp;K1016&amp;L1016&amp;M1016&amp;N1016&amp;O1016&amp;P1016</f>
        <v>USR-10101545688TreatmentNorthMobileReferralFree100000072.1</v>
      </c>
      <c r="S1016" s="22" t="str">
        <f>IF(COUNTIF($R$2:$R$1409,R1016)=1,"OK",IF(COUNTIF($R$2:$R$1409,R1016)&gt;1,"Exact Duplicate","Review Required"))</f>
        <v>OK</v>
      </c>
      <c r="T1016" s="22" t="s">
        <v>24</v>
      </c>
      <c r="U1016" s="22" t="s">
        <v>39</v>
      </c>
      <c r="V1016" s="22"/>
    </row>
    <row r="1017" spans="1:22" ht="41.4">
      <c r="A1017" s="22" t="s">
        <v>1048</v>
      </c>
      <c r="B1017" s="25">
        <v>45673</v>
      </c>
      <c r="C1017" s="22" t="s">
        <v>723</v>
      </c>
      <c r="D1017" s="22" t="s">
        <v>32</v>
      </c>
      <c r="E1017" s="22" t="s">
        <v>19</v>
      </c>
      <c r="F1017" s="22" t="s">
        <v>25</v>
      </c>
      <c r="G1017" s="22" t="s">
        <v>21</v>
      </c>
      <c r="H1017" s="22">
        <v>1</v>
      </c>
      <c r="I1017" s="22">
        <v>0</v>
      </c>
      <c r="J1017" s="22">
        <v>0</v>
      </c>
      <c r="K1017" s="22">
        <v>0</v>
      </c>
      <c r="L1017" s="22">
        <v>0</v>
      </c>
      <c r="M1017" s="22">
        <v>0</v>
      </c>
      <c r="N1017" s="22">
        <v>0</v>
      </c>
      <c r="O1017" s="22"/>
      <c r="P1017" s="22">
        <v>76.3</v>
      </c>
      <c r="Q1017" s="22" t="str">
        <f>IF(OR(L1017&lt;$Y$18,L1017&gt;$Y$19),"Outlier","Normal")</f>
        <v>Normal</v>
      </c>
      <c r="R1017" s="26" t="str">
        <f>A1017&amp;B1017&amp;C1017&amp;D1017&amp;E1017&amp;F1017&amp;G1017&amp;H1017&amp;I1017&amp;J1017&amp;K1017&amp;L1017&amp;M1017&amp;N1017&amp;O1017&amp;P1017</f>
        <v>USR-10101645673TreatmentSouthDesktopOrganicBasic100000076.3</v>
      </c>
      <c r="S1017" s="22" t="str">
        <f>IF(COUNTIF($R$2:$R$1409,R1017)=1,"OK",IF(COUNTIF($R$2:$R$1409,R1017)&gt;1,"Exact Duplicate","Review Required"))</f>
        <v>OK</v>
      </c>
      <c r="T1017" s="22" t="s">
        <v>19</v>
      </c>
      <c r="U1017" s="22" t="s">
        <v>25</v>
      </c>
      <c r="V1017" s="22"/>
    </row>
    <row r="1018" spans="1:22" ht="41.4">
      <c r="A1018" s="22" t="s">
        <v>1049</v>
      </c>
      <c r="B1018" s="25">
        <v>45791</v>
      </c>
      <c r="C1018" s="22" t="s">
        <v>723</v>
      </c>
      <c r="D1018" s="22" t="s">
        <v>28</v>
      </c>
      <c r="E1018" s="22" t="s">
        <v>24</v>
      </c>
      <c r="F1018" s="22" t="s">
        <v>29</v>
      </c>
      <c r="G1018" s="22" t="s">
        <v>21</v>
      </c>
      <c r="H1018" s="22">
        <v>1</v>
      </c>
      <c r="I1018" s="22">
        <v>1</v>
      </c>
      <c r="J1018" s="22">
        <v>0</v>
      </c>
      <c r="K1018" s="22">
        <v>0</v>
      </c>
      <c r="L1018" s="22">
        <v>0</v>
      </c>
      <c r="M1018" s="22">
        <v>1</v>
      </c>
      <c r="N1018" s="22">
        <v>0</v>
      </c>
      <c r="O1018" s="22"/>
      <c r="P1018" s="22">
        <v>54.8</v>
      </c>
      <c r="Q1018" s="22" t="str">
        <f>IF(OR(L1018&lt;$Y$18,L1018&gt;$Y$19),"Outlier","Normal")</f>
        <v>Normal</v>
      </c>
      <c r="R1018" s="26" t="str">
        <f>A1018&amp;B1018&amp;C1018&amp;D1018&amp;E1018&amp;F1018&amp;G1018&amp;H1018&amp;I1018&amp;J1018&amp;K1018&amp;L1018&amp;M1018&amp;N1018&amp;O1018&amp;P1018</f>
        <v>USR-10101745791TreatmentEastMobilePaid SearchBasic110001054.8</v>
      </c>
      <c r="S1018" s="22" t="str">
        <f>IF(COUNTIF($R$2:$R$1409,R1018)=1,"OK",IF(COUNTIF($R$2:$R$1409,R1018)&gt;1,"Exact Duplicate","Review Required"))</f>
        <v>OK</v>
      </c>
      <c r="T1018" s="22" t="s">
        <v>24</v>
      </c>
      <c r="U1018" s="22" t="s">
        <v>29</v>
      </c>
      <c r="V1018" s="22"/>
    </row>
    <row r="1019" spans="1:22" ht="41.4">
      <c r="A1019" s="22" t="s">
        <v>1050</v>
      </c>
      <c r="B1019" s="25">
        <v>45748</v>
      </c>
      <c r="C1019" s="22" t="s">
        <v>723</v>
      </c>
      <c r="D1019" s="22" t="s">
        <v>32</v>
      </c>
      <c r="E1019" s="22" t="s">
        <v>24</v>
      </c>
      <c r="F1019" s="22" t="s">
        <v>1482</v>
      </c>
      <c r="G1019" s="22" t="s">
        <v>21</v>
      </c>
      <c r="H1019" s="22">
        <v>1</v>
      </c>
      <c r="I1019" s="22">
        <v>0</v>
      </c>
      <c r="J1019" s="22">
        <v>0</v>
      </c>
      <c r="K1019" s="22">
        <v>0</v>
      </c>
      <c r="L1019" s="22">
        <v>0</v>
      </c>
      <c r="M1019" s="22">
        <v>0</v>
      </c>
      <c r="N1019" s="22">
        <v>0</v>
      </c>
      <c r="O1019" s="22"/>
      <c r="P1019" s="22">
        <v>63.6</v>
      </c>
      <c r="Q1019" s="22" t="str">
        <f>IF(OR(L1019&lt;$Y$18,L1019&gt;$Y$19),"Outlier","Normal")</f>
        <v>Normal</v>
      </c>
      <c r="R1019" s="26" t="str">
        <f>A1019&amp;B1019&amp;C1019&amp;D1019&amp;E1019&amp;F1019&amp;G1019&amp;H1019&amp;I1019&amp;J1019&amp;K1019&amp;L1019&amp;M1019&amp;N1019&amp;O1019&amp;P1019</f>
        <v>USR-10101845748TreatmentSouthMobileUnknownBasic100000063.6</v>
      </c>
      <c r="S1019" s="22" t="str">
        <f>IF(COUNTIF($R$2:$R$1409,R1019)=1,"OK",IF(COUNTIF($R$2:$R$1409,R1019)&gt;1,"Exact Duplicate","Review Required"))</f>
        <v>OK</v>
      </c>
      <c r="T1019" s="22" t="s">
        <v>24</v>
      </c>
      <c r="U1019" s="22"/>
      <c r="V1019" s="22"/>
    </row>
    <row r="1020" spans="1:22" ht="41.4">
      <c r="A1020" s="22" t="s">
        <v>1051</v>
      </c>
      <c r="B1020" s="25">
        <v>45770</v>
      </c>
      <c r="C1020" s="22" t="s">
        <v>723</v>
      </c>
      <c r="D1020" s="22" t="s">
        <v>32</v>
      </c>
      <c r="E1020" s="22" t="s">
        <v>24</v>
      </c>
      <c r="F1020" s="22" t="s">
        <v>25</v>
      </c>
      <c r="G1020" s="22" t="s">
        <v>26</v>
      </c>
      <c r="H1020" s="22">
        <v>1</v>
      </c>
      <c r="I1020" s="22">
        <v>0</v>
      </c>
      <c r="J1020" s="22">
        <v>0</v>
      </c>
      <c r="K1020" s="22">
        <v>0</v>
      </c>
      <c r="L1020" s="22">
        <v>0</v>
      </c>
      <c r="M1020" s="22">
        <v>0</v>
      </c>
      <c r="N1020" s="22">
        <v>0</v>
      </c>
      <c r="O1020" s="22"/>
      <c r="P1020" s="22">
        <v>68.8</v>
      </c>
      <c r="Q1020" s="22" t="str">
        <f>IF(OR(L1020&lt;$Y$18,L1020&gt;$Y$19),"Outlier","Normal")</f>
        <v>Normal</v>
      </c>
      <c r="R1020" s="26" t="str">
        <f>A1020&amp;B1020&amp;C1020&amp;D1020&amp;E1020&amp;F1020&amp;G1020&amp;H1020&amp;I1020&amp;J1020&amp;K1020&amp;L1020&amp;M1020&amp;N1020&amp;O1020&amp;P1020</f>
        <v>USR-10101945770TreatmentSouthMobileOrganicFree100000068.8</v>
      </c>
      <c r="S1020" s="22" t="str">
        <f>IF(COUNTIF($R$2:$R$1409,R1020)=1,"OK",IF(COUNTIF($R$2:$R$1409,R1020)&gt;1,"Exact Duplicate","Review Required"))</f>
        <v>OK</v>
      </c>
      <c r="T1020" s="22" t="s">
        <v>24</v>
      </c>
      <c r="U1020" s="22" t="s">
        <v>25</v>
      </c>
      <c r="V1020" s="22"/>
    </row>
    <row r="1021" spans="1:22" ht="41.4">
      <c r="A1021" s="22" t="s">
        <v>1052</v>
      </c>
      <c r="B1021" s="25">
        <v>45718</v>
      </c>
      <c r="C1021" s="22" t="s">
        <v>723</v>
      </c>
      <c r="D1021" s="22" t="s">
        <v>32</v>
      </c>
      <c r="E1021" s="22" t="s">
        <v>19</v>
      </c>
      <c r="F1021" s="22" t="s">
        <v>29</v>
      </c>
      <c r="G1021" s="22" t="s">
        <v>21</v>
      </c>
      <c r="H1021" s="22">
        <v>1</v>
      </c>
      <c r="I1021" s="22">
        <v>0</v>
      </c>
      <c r="J1021" s="22">
        <v>0</v>
      </c>
      <c r="K1021" s="22">
        <v>0</v>
      </c>
      <c r="L1021" s="22">
        <v>0</v>
      </c>
      <c r="M1021" s="22">
        <v>0</v>
      </c>
      <c r="N1021" s="22">
        <v>0</v>
      </c>
      <c r="O1021" s="22"/>
      <c r="P1021" s="22">
        <v>63.2</v>
      </c>
      <c r="Q1021" s="22" t="str">
        <f>IF(OR(L1021&lt;$Y$18,L1021&gt;$Y$19),"Outlier","Normal")</f>
        <v>Normal</v>
      </c>
      <c r="R1021" s="26" t="str">
        <f>A1021&amp;B1021&amp;C1021&amp;D1021&amp;E1021&amp;F1021&amp;G1021&amp;H1021&amp;I1021&amp;J1021&amp;K1021&amp;L1021&amp;M1021&amp;N1021&amp;O1021&amp;P1021</f>
        <v>USR-10102045718TreatmentSouthDesktopPaid SearchBasic100000063.2</v>
      </c>
      <c r="S1021" s="22" t="str">
        <f>IF(COUNTIF($R$2:$R$1409,R1021)=1,"OK",IF(COUNTIF($R$2:$R$1409,R1021)&gt;1,"Exact Duplicate","Review Required"))</f>
        <v>OK</v>
      </c>
      <c r="T1021" s="22" t="s">
        <v>19</v>
      </c>
      <c r="U1021" s="22" t="s">
        <v>29</v>
      </c>
      <c r="V1021" s="22"/>
    </row>
    <row r="1022" spans="1:22" ht="41.4">
      <c r="A1022" s="22" t="s">
        <v>1053</v>
      </c>
      <c r="B1022" s="25">
        <v>45659</v>
      </c>
      <c r="C1022" s="22" t="s">
        <v>723</v>
      </c>
      <c r="D1022" s="22" t="s">
        <v>28</v>
      </c>
      <c r="E1022" s="22" t="s">
        <v>24</v>
      </c>
      <c r="F1022" s="22" t="s">
        <v>29</v>
      </c>
      <c r="G1022" s="22" t="s">
        <v>21</v>
      </c>
      <c r="H1022" s="22">
        <v>0</v>
      </c>
      <c r="I1022" s="22">
        <v>0</v>
      </c>
      <c r="J1022" s="22">
        <v>0</v>
      </c>
      <c r="K1022" s="22">
        <v>0</v>
      </c>
      <c r="L1022" s="22">
        <v>0</v>
      </c>
      <c r="M1022" s="22">
        <v>0</v>
      </c>
      <c r="N1022" s="22">
        <v>0</v>
      </c>
      <c r="O1022" s="22"/>
      <c r="P1022" s="22">
        <v>45</v>
      </c>
      <c r="Q1022" s="22" t="str">
        <f>IF(OR(L1022&lt;$Y$18,L1022&gt;$Y$19),"Outlier","Normal")</f>
        <v>Normal</v>
      </c>
      <c r="R1022" s="26" t="str">
        <f>A1022&amp;B1022&amp;C1022&amp;D1022&amp;E1022&amp;F1022&amp;G1022&amp;H1022&amp;I1022&amp;J1022&amp;K1022&amp;L1022&amp;M1022&amp;N1022&amp;O1022&amp;P1022</f>
        <v>USR-10102145659TreatmentEastMobilePaid SearchBasic000000045</v>
      </c>
      <c r="S1022" s="22" t="str">
        <f>IF(COUNTIF($R$2:$R$1409,R1022)=1,"OK",IF(COUNTIF($R$2:$R$1409,R1022)&gt;1,"Exact Duplicate","Review Required"))</f>
        <v>OK</v>
      </c>
      <c r="T1022" s="22" t="s">
        <v>24</v>
      </c>
      <c r="U1022" s="22" t="s">
        <v>29</v>
      </c>
      <c r="V1022" s="22"/>
    </row>
    <row r="1023" spans="1:22" ht="41.4">
      <c r="A1023" s="22" t="s">
        <v>1054</v>
      </c>
      <c r="B1023" s="25">
        <v>45781</v>
      </c>
      <c r="C1023" s="22" t="s">
        <v>723</v>
      </c>
      <c r="D1023" s="22" t="s">
        <v>32</v>
      </c>
      <c r="E1023" s="22" t="s">
        <v>24</v>
      </c>
      <c r="F1023" s="22" t="s">
        <v>25</v>
      </c>
      <c r="G1023" s="22" t="s">
        <v>26</v>
      </c>
      <c r="H1023" s="22">
        <v>1</v>
      </c>
      <c r="I1023" s="22">
        <v>0</v>
      </c>
      <c r="J1023" s="22">
        <v>0</v>
      </c>
      <c r="K1023" s="22">
        <v>0</v>
      </c>
      <c r="L1023" s="22">
        <v>0</v>
      </c>
      <c r="M1023" s="22">
        <v>0</v>
      </c>
      <c r="N1023" s="22">
        <v>0</v>
      </c>
      <c r="O1023" s="22"/>
      <c r="P1023" s="22">
        <v>77.400000000000006</v>
      </c>
      <c r="Q1023" s="22" t="str">
        <f>IF(OR(L1023&lt;$Y$18,L1023&gt;$Y$19),"Outlier","Normal")</f>
        <v>Normal</v>
      </c>
      <c r="R1023" s="26" t="str">
        <f>A1023&amp;B1023&amp;C1023&amp;D1023&amp;E1023&amp;F1023&amp;G1023&amp;H1023&amp;I1023&amp;J1023&amp;K1023&amp;L1023&amp;M1023&amp;N1023&amp;O1023&amp;P1023</f>
        <v>USR-10102245781TreatmentSouthMobileOrganicFree100000077.4</v>
      </c>
      <c r="S1023" s="22" t="str">
        <f>IF(COUNTIF($R$2:$R$1409,R1023)=1,"OK",IF(COUNTIF($R$2:$R$1409,R1023)&gt;1,"Exact Duplicate","Review Required"))</f>
        <v>OK</v>
      </c>
      <c r="T1023" s="22" t="s">
        <v>24</v>
      </c>
      <c r="U1023" s="22" t="s">
        <v>25</v>
      </c>
      <c r="V1023" s="22"/>
    </row>
    <row r="1024" spans="1:22" ht="41.4">
      <c r="A1024" s="22" t="s">
        <v>1055</v>
      </c>
      <c r="B1024" s="25">
        <v>45673</v>
      </c>
      <c r="C1024" s="22" t="s">
        <v>723</v>
      </c>
      <c r="D1024" s="22" t="s">
        <v>28</v>
      </c>
      <c r="E1024" s="22" t="s">
        <v>19</v>
      </c>
      <c r="F1024" s="22" t="s">
        <v>29</v>
      </c>
      <c r="G1024" s="22" t="s">
        <v>21</v>
      </c>
      <c r="H1024" s="22">
        <v>0</v>
      </c>
      <c r="I1024" s="22">
        <v>0</v>
      </c>
      <c r="J1024" s="22">
        <v>0</v>
      </c>
      <c r="K1024" s="22">
        <v>0</v>
      </c>
      <c r="L1024" s="22">
        <v>0</v>
      </c>
      <c r="M1024" s="22">
        <v>0</v>
      </c>
      <c r="N1024" s="22">
        <v>0</v>
      </c>
      <c r="O1024" s="22"/>
      <c r="P1024" s="22">
        <v>53.1</v>
      </c>
      <c r="Q1024" s="22" t="str">
        <f>IF(OR(L1024&lt;$Y$18,L1024&gt;$Y$19),"Outlier","Normal")</f>
        <v>Normal</v>
      </c>
      <c r="R1024" s="26" t="str">
        <f>A1024&amp;B1024&amp;C1024&amp;D1024&amp;E1024&amp;F1024&amp;G1024&amp;H1024&amp;I1024&amp;J1024&amp;K1024&amp;L1024&amp;M1024&amp;N1024&amp;O1024&amp;P1024</f>
        <v>USR-10102345673TreatmentEastDesktopPaid SearchBasic000000053.1</v>
      </c>
      <c r="S1024" s="22" t="str">
        <f>IF(COUNTIF($R$2:$R$1409,R1024)=1,"OK",IF(COUNTIF($R$2:$R$1409,R1024)&gt;1,"Exact Duplicate","Review Required"))</f>
        <v>OK</v>
      </c>
      <c r="T1024" s="22" t="s">
        <v>19</v>
      </c>
      <c r="U1024" s="22" t="s">
        <v>29</v>
      </c>
      <c r="V1024" s="22"/>
    </row>
    <row r="1025" spans="1:22" ht="41.4">
      <c r="A1025" s="22" t="s">
        <v>1056</v>
      </c>
      <c r="B1025" s="25">
        <v>45699</v>
      </c>
      <c r="C1025" s="22" t="s">
        <v>723</v>
      </c>
      <c r="D1025" s="22" t="s">
        <v>23</v>
      </c>
      <c r="E1025" s="22" t="s">
        <v>34</v>
      </c>
      <c r="F1025" s="22" t="s">
        <v>29</v>
      </c>
      <c r="G1025" s="22" t="s">
        <v>30</v>
      </c>
      <c r="H1025" s="22">
        <v>0</v>
      </c>
      <c r="I1025" s="22">
        <v>0</v>
      </c>
      <c r="J1025" s="22">
        <v>0</v>
      </c>
      <c r="K1025" s="22">
        <v>0</v>
      </c>
      <c r="L1025" s="22">
        <v>0</v>
      </c>
      <c r="M1025" s="22">
        <v>0</v>
      </c>
      <c r="N1025" s="22">
        <v>0</v>
      </c>
      <c r="O1025" s="22"/>
      <c r="P1025" s="22">
        <v>74</v>
      </c>
      <c r="Q1025" s="22" t="str">
        <f>IF(OR(L1025&lt;$Y$18,L1025&gt;$Y$19),"Outlier","Normal")</f>
        <v>Normal</v>
      </c>
      <c r="R1025" s="26" t="str">
        <f>A1025&amp;B1025&amp;C1025&amp;D1025&amp;E1025&amp;F1025&amp;G1025&amp;H1025&amp;I1025&amp;J1025&amp;K1025&amp;L1025&amp;M1025&amp;N1025&amp;O1025&amp;P1025</f>
        <v>USR-10102445699TreatmentWestTabletPaid SearchPremium000000074</v>
      </c>
      <c r="S1025" s="22" t="str">
        <f>IF(COUNTIF($R$2:$R$1409,R1025)=1,"OK",IF(COUNTIF($R$2:$R$1409,R1025)&gt;1,"Exact Duplicate","Review Required"))</f>
        <v>OK</v>
      </c>
      <c r="T1025" s="22" t="s">
        <v>34</v>
      </c>
      <c r="U1025" s="22" t="s">
        <v>29</v>
      </c>
      <c r="V1025" s="22"/>
    </row>
    <row r="1026" spans="1:22" ht="41.4">
      <c r="A1026" s="22" t="s">
        <v>1057</v>
      </c>
      <c r="B1026" s="25">
        <v>45750</v>
      </c>
      <c r="C1026" s="22" t="s">
        <v>723</v>
      </c>
      <c r="D1026" s="22" t="s">
        <v>18</v>
      </c>
      <c r="E1026" s="22" t="s">
        <v>24</v>
      </c>
      <c r="F1026" s="22" t="s">
        <v>41</v>
      </c>
      <c r="G1026" s="22" t="s">
        <v>30</v>
      </c>
      <c r="H1026" s="22">
        <v>1</v>
      </c>
      <c r="I1026" s="22">
        <v>1</v>
      </c>
      <c r="J1026" s="22">
        <v>1</v>
      </c>
      <c r="K1026" s="22">
        <v>1</v>
      </c>
      <c r="L1026" s="22">
        <v>1906.23</v>
      </c>
      <c r="M1026" s="22">
        <v>0</v>
      </c>
      <c r="N1026" s="22">
        <v>0</v>
      </c>
      <c r="O1026" s="22">
        <v>4</v>
      </c>
      <c r="P1026" s="22">
        <v>84.6</v>
      </c>
      <c r="Q1026" s="22" t="str">
        <f>IF(OR(L1026&lt;$Y$18,L1026&gt;$Y$19),"Outlier","Normal")</f>
        <v>Normal</v>
      </c>
      <c r="R1026" s="26" t="str">
        <f>A1026&amp;B1026&amp;C1026&amp;D1026&amp;E1026&amp;F1026&amp;G1026&amp;H1026&amp;I1026&amp;J1026&amp;K1026&amp;L1026&amp;M1026&amp;N1026&amp;O1026&amp;P1026</f>
        <v>USR-10102545750TreatmentNorthMobileSocialPremium11111906.2300484.6</v>
      </c>
      <c r="S1026" s="22" t="str">
        <f>IF(COUNTIF($R$2:$R$1409,R1026)=1,"OK",IF(COUNTIF($R$2:$R$1409,R1026)&gt;1,"Exact Duplicate","Review Required"))</f>
        <v>OK</v>
      </c>
      <c r="T1026" s="22" t="s">
        <v>24</v>
      </c>
      <c r="U1026" s="22" t="s">
        <v>41</v>
      </c>
      <c r="V1026" s="22"/>
    </row>
    <row r="1027" spans="1:22" ht="41.4">
      <c r="A1027" s="22" t="s">
        <v>1058</v>
      </c>
      <c r="B1027" s="25">
        <v>45742</v>
      </c>
      <c r="C1027" s="22" t="s">
        <v>723</v>
      </c>
      <c r="D1027" s="22" t="s">
        <v>28</v>
      </c>
      <c r="E1027" s="22" t="s">
        <v>24</v>
      </c>
      <c r="F1027" s="22" t="s">
        <v>39</v>
      </c>
      <c r="G1027" s="22" t="s">
        <v>26</v>
      </c>
      <c r="H1027" s="22">
        <v>1</v>
      </c>
      <c r="I1027" s="22">
        <v>0</v>
      </c>
      <c r="J1027" s="22">
        <v>0</v>
      </c>
      <c r="K1027" s="22">
        <v>0</v>
      </c>
      <c r="L1027" s="22">
        <v>0</v>
      </c>
      <c r="M1027" s="22">
        <v>0</v>
      </c>
      <c r="N1027" s="22">
        <v>0</v>
      </c>
      <c r="O1027" s="22"/>
      <c r="P1027" s="22">
        <v>57</v>
      </c>
      <c r="Q1027" s="22" t="str">
        <f>IF(OR(L1027&lt;$Y$18,L1027&gt;$Y$19),"Outlier","Normal")</f>
        <v>Normal</v>
      </c>
      <c r="R1027" s="26" t="str">
        <f>A1027&amp;B1027&amp;C1027&amp;D1027&amp;E1027&amp;F1027&amp;G1027&amp;H1027&amp;I1027&amp;J1027&amp;K1027&amp;L1027&amp;M1027&amp;N1027&amp;O1027&amp;P1027</f>
        <v>USR-10102645742TreatmentEastMobileReferralFree100000057</v>
      </c>
      <c r="S1027" s="22" t="str">
        <f>IF(COUNTIF($R$2:$R$1409,R1027)=1,"OK",IF(COUNTIF($R$2:$R$1409,R1027)&gt;1,"Exact Duplicate","Review Required"))</f>
        <v>OK</v>
      </c>
      <c r="T1027" s="22" t="s">
        <v>24</v>
      </c>
      <c r="U1027" s="22" t="s">
        <v>39</v>
      </c>
      <c r="V1027" s="22"/>
    </row>
    <row r="1028" spans="1:22" ht="41.4">
      <c r="A1028" s="22" t="s">
        <v>1059</v>
      </c>
      <c r="B1028" s="25">
        <v>45793</v>
      </c>
      <c r="C1028" s="22" t="s">
        <v>723</v>
      </c>
      <c r="D1028" s="22" t="s">
        <v>32</v>
      </c>
      <c r="E1028" s="22" t="s">
        <v>24</v>
      </c>
      <c r="F1028" s="22" t="s">
        <v>20</v>
      </c>
      <c r="G1028" s="22" t="s">
        <v>30</v>
      </c>
      <c r="H1028" s="22">
        <v>0</v>
      </c>
      <c r="I1028" s="22">
        <v>0</v>
      </c>
      <c r="J1028" s="22">
        <v>0</v>
      </c>
      <c r="K1028" s="22">
        <v>0</v>
      </c>
      <c r="L1028" s="22">
        <v>0</v>
      </c>
      <c r="M1028" s="22">
        <v>0</v>
      </c>
      <c r="N1028" s="22">
        <v>0</v>
      </c>
      <c r="O1028" s="22"/>
      <c r="P1028" s="22">
        <v>46.3</v>
      </c>
      <c r="Q1028" s="22" t="str">
        <f>IF(OR(L1028&lt;$Y$18,L1028&gt;$Y$19),"Outlier","Normal")</f>
        <v>Normal</v>
      </c>
      <c r="R1028" s="26" t="str">
        <f>A1028&amp;B1028&amp;C1028&amp;D1028&amp;E1028&amp;F1028&amp;G1028&amp;H1028&amp;I1028&amp;J1028&amp;K1028&amp;L1028&amp;M1028&amp;N1028&amp;O1028&amp;P1028</f>
        <v>USR-10102745793TreatmentSouthMobileEmailPremium000000046.3</v>
      </c>
      <c r="S1028" s="22" t="str">
        <f>IF(COUNTIF($R$2:$R$1409,R1028)=1,"OK",IF(COUNTIF($R$2:$R$1409,R1028)&gt;1,"Exact Duplicate","Review Required"))</f>
        <v>OK</v>
      </c>
      <c r="T1028" s="22" t="s">
        <v>24</v>
      </c>
      <c r="U1028" s="22" t="s">
        <v>20</v>
      </c>
      <c r="V1028" s="22"/>
    </row>
    <row r="1029" spans="1:22" ht="41.4">
      <c r="A1029" s="22" t="s">
        <v>1060</v>
      </c>
      <c r="B1029" s="25">
        <v>45767</v>
      </c>
      <c r="C1029" s="22" t="s">
        <v>723</v>
      </c>
      <c r="D1029" s="22" t="s">
        <v>23</v>
      </c>
      <c r="E1029" s="22" t="s">
        <v>24</v>
      </c>
      <c r="F1029" s="22" t="s">
        <v>41</v>
      </c>
      <c r="G1029" s="22" t="s">
        <v>26</v>
      </c>
      <c r="H1029" s="22">
        <v>0</v>
      </c>
      <c r="I1029" s="22">
        <v>0</v>
      </c>
      <c r="J1029" s="22">
        <v>0</v>
      </c>
      <c r="K1029" s="22">
        <v>0</v>
      </c>
      <c r="L1029" s="22">
        <v>0</v>
      </c>
      <c r="M1029" s="22">
        <v>1</v>
      </c>
      <c r="N1029" s="22">
        <v>0</v>
      </c>
      <c r="O1029" s="22"/>
      <c r="P1029" s="22">
        <v>64.400000000000006</v>
      </c>
      <c r="Q1029" s="22" t="str">
        <f>IF(OR(L1029&lt;$Y$18,L1029&gt;$Y$19),"Outlier","Normal")</f>
        <v>Normal</v>
      </c>
      <c r="R1029" s="26" t="str">
        <f>A1029&amp;B1029&amp;C1029&amp;D1029&amp;E1029&amp;F1029&amp;G1029&amp;H1029&amp;I1029&amp;J1029&amp;K1029&amp;L1029&amp;M1029&amp;N1029&amp;O1029&amp;P1029</f>
        <v>USR-10102845767TreatmentWestMobileSocialFree000001064.4</v>
      </c>
      <c r="S1029" s="22" t="str">
        <f>IF(COUNTIF($R$2:$R$1409,R1029)=1,"OK",IF(COUNTIF($R$2:$R$1409,R1029)&gt;1,"Exact Duplicate","Review Required"))</f>
        <v>OK</v>
      </c>
      <c r="T1029" s="22" t="s">
        <v>24</v>
      </c>
      <c r="U1029" s="22" t="s">
        <v>41</v>
      </c>
      <c r="V1029" s="22"/>
    </row>
    <row r="1030" spans="1:22" ht="41.4">
      <c r="A1030" s="22" t="s">
        <v>1061</v>
      </c>
      <c r="B1030" s="25">
        <v>45762</v>
      </c>
      <c r="C1030" s="22" t="s">
        <v>723</v>
      </c>
      <c r="D1030" s="22" t="s">
        <v>23</v>
      </c>
      <c r="E1030" s="22" t="s">
        <v>24</v>
      </c>
      <c r="F1030" s="22" t="s">
        <v>29</v>
      </c>
      <c r="G1030" s="22" t="s">
        <v>26</v>
      </c>
      <c r="H1030" s="22">
        <v>1</v>
      </c>
      <c r="I1030" s="22">
        <v>0</v>
      </c>
      <c r="J1030" s="22">
        <v>0</v>
      </c>
      <c r="K1030" s="22">
        <v>0</v>
      </c>
      <c r="L1030" s="22">
        <v>0</v>
      </c>
      <c r="M1030" s="22">
        <v>2</v>
      </c>
      <c r="N1030" s="22">
        <v>0</v>
      </c>
      <c r="O1030" s="22"/>
      <c r="P1030" s="22">
        <v>61.9</v>
      </c>
      <c r="Q1030" s="22" t="str">
        <f>IF(OR(L1030&lt;$Y$18,L1030&gt;$Y$19),"Outlier","Normal")</f>
        <v>Normal</v>
      </c>
      <c r="R1030" s="26" t="str">
        <f>A1030&amp;B1030&amp;C1030&amp;D1030&amp;E1030&amp;F1030&amp;G1030&amp;H1030&amp;I1030&amp;J1030&amp;K1030&amp;L1030&amp;M1030&amp;N1030&amp;O1030&amp;P1030</f>
        <v>USR-10102945762TreatmentWestMobilePaid SearchFree100002061.9</v>
      </c>
      <c r="S1030" s="22" t="str">
        <f>IF(COUNTIF($R$2:$R$1409,R1030)=1,"OK",IF(COUNTIF($R$2:$R$1409,R1030)&gt;1,"Exact Duplicate","Review Required"))</f>
        <v>OK</v>
      </c>
      <c r="T1030" s="22" t="s">
        <v>24</v>
      </c>
      <c r="U1030" s="22" t="s">
        <v>29</v>
      </c>
      <c r="V1030" s="22"/>
    </row>
    <row r="1031" spans="1:22" ht="41.4">
      <c r="A1031" s="22" t="s">
        <v>1062</v>
      </c>
      <c r="B1031" s="25">
        <v>45681</v>
      </c>
      <c r="C1031" s="22" t="s">
        <v>723</v>
      </c>
      <c r="D1031" s="22" t="s">
        <v>18</v>
      </c>
      <c r="E1031" s="22" t="s">
        <v>24</v>
      </c>
      <c r="F1031" s="22" t="s">
        <v>25</v>
      </c>
      <c r="G1031" s="22" t="s">
        <v>30</v>
      </c>
      <c r="H1031" s="22">
        <v>1</v>
      </c>
      <c r="I1031" s="22">
        <v>1</v>
      </c>
      <c r="J1031" s="22">
        <v>1</v>
      </c>
      <c r="K1031" s="22">
        <v>0</v>
      </c>
      <c r="L1031" s="22">
        <v>0</v>
      </c>
      <c r="M1031" s="22">
        <v>0</v>
      </c>
      <c r="N1031" s="22">
        <v>0</v>
      </c>
      <c r="O1031" s="22"/>
      <c r="P1031" s="22">
        <v>93.7</v>
      </c>
      <c r="Q1031" s="22" t="str">
        <f>IF(OR(L1031&lt;$Y$18,L1031&gt;$Y$19),"Outlier","Normal")</f>
        <v>Normal</v>
      </c>
      <c r="R1031" s="26" t="str">
        <f>A1031&amp;B1031&amp;C1031&amp;D1031&amp;E1031&amp;F1031&amp;G1031&amp;H1031&amp;I1031&amp;J1031&amp;K1031&amp;L1031&amp;M1031&amp;N1031&amp;O1031&amp;P1031</f>
        <v>USR-10103045681TreatmentNorthMobileOrganicPremium111000093.7</v>
      </c>
      <c r="S1031" s="22" t="str">
        <f>IF(COUNTIF($R$2:$R$1409,R1031)=1,"OK",IF(COUNTIF($R$2:$R$1409,R1031)&gt;1,"Exact Duplicate","Review Required"))</f>
        <v>OK</v>
      </c>
      <c r="T1031" s="22" t="s">
        <v>24</v>
      </c>
      <c r="U1031" s="22" t="s">
        <v>25</v>
      </c>
      <c r="V1031" s="22"/>
    </row>
    <row r="1032" spans="1:22" ht="41.4">
      <c r="A1032" s="22" t="s">
        <v>1063</v>
      </c>
      <c r="B1032" s="25">
        <v>45758</v>
      </c>
      <c r="C1032" s="22" t="s">
        <v>723</v>
      </c>
      <c r="D1032" s="22" t="s">
        <v>32</v>
      </c>
      <c r="E1032" s="22" t="s">
        <v>24</v>
      </c>
      <c r="F1032" s="22" t="s">
        <v>39</v>
      </c>
      <c r="G1032" s="22" t="s">
        <v>21</v>
      </c>
      <c r="H1032" s="22">
        <v>0</v>
      </c>
      <c r="I1032" s="22">
        <v>0</v>
      </c>
      <c r="J1032" s="22">
        <v>0</v>
      </c>
      <c r="K1032" s="22">
        <v>0</v>
      </c>
      <c r="L1032" s="22">
        <v>0</v>
      </c>
      <c r="M1032" s="22">
        <v>0</v>
      </c>
      <c r="N1032" s="22">
        <v>0</v>
      </c>
      <c r="O1032" s="22"/>
      <c r="P1032" s="22">
        <v>61.6</v>
      </c>
      <c r="Q1032" s="22" t="str">
        <f>IF(OR(L1032&lt;$Y$18,L1032&gt;$Y$19),"Outlier","Normal")</f>
        <v>Normal</v>
      </c>
      <c r="R1032" s="26" t="str">
        <f>A1032&amp;B1032&amp;C1032&amp;D1032&amp;E1032&amp;F1032&amp;G1032&amp;H1032&amp;I1032&amp;J1032&amp;K1032&amp;L1032&amp;M1032&amp;N1032&amp;O1032&amp;P1032</f>
        <v>USR-10103145758TreatmentSouthMobileReferralBasic000000061.6</v>
      </c>
      <c r="S1032" s="22" t="str">
        <f>IF(COUNTIF($R$2:$R$1409,R1032)=1,"OK",IF(COUNTIF($R$2:$R$1409,R1032)&gt;1,"Exact Duplicate","Review Required"))</f>
        <v>OK</v>
      </c>
      <c r="T1032" s="22" t="s">
        <v>24</v>
      </c>
      <c r="U1032" s="22" t="s">
        <v>39</v>
      </c>
      <c r="V1032" s="22"/>
    </row>
    <row r="1033" spans="1:22" ht="41.4">
      <c r="A1033" s="22" t="s">
        <v>1064</v>
      </c>
      <c r="B1033" s="25">
        <v>45796</v>
      </c>
      <c r="C1033" s="22" t="s">
        <v>723</v>
      </c>
      <c r="D1033" s="22" t="s">
        <v>18</v>
      </c>
      <c r="E1033" s="22" t="s">
        <v>24</v>
      </c>
      <c r="F1033" s="22" t="s">
        <v>29</v>
      </c>
      <c r="G1033" s="22" t="s">
        <v>26</v>
      </c>
      <c r="H1033" s="22">
        <v>1</v>
      </c>
      <c r="I1033" s="22">
        <v>0</v>
      </c>
      <c r="J1033" s="22">
        <v>0</v>
      </c>
      <c r="K1033" s="22">
        <v>0</v>
      </c>
      <c r="L1033" s="22">
        <v>0</v>
      </c>
      <c r="M1033" s="22">
        <v>0</v>
      </c>
      <c r="N1033" s="22">
        <v>0</v>
      </c>
      <c r="O1033" s="22"/>
      <c r="P1033" s="22">
        <v>72.2</v>
      </c>
      <c r="Q1033" s="22" t="str">
        <f>IF(OR(L1033&lt;$Y$18,L1033&gt;$Y$19),"Outlier","Normal")</f>
        <v>Normal</v>
      </c>
      <c r="R1033" s="26" t="str">
        <f>A1033&amp;B1033&amp;C1033&amp;D1033&amp;E1033&amp;F1033&amp;G1033&amp;H1033&amp;I1033&amp;J1033&amp;K1033&amp;L1033&amp;M1033&amp;N1033&amp;O1033&amp;P1033</f>
        <v>USR-10103245796TreatmentNorthMobilePaid SearchFree100000072.2</v>
      </c>
      <c r="S1033" s="22" t="str">
        <f>IF(COUNTIF($R$2:$R$1409,R1033)=1,"OK",IF(COUNTIF($R$2:$R$1409,R1033)&gt;1,"Exact Duplicate","Review Required"))</f>
        <v>OK</v>
      </c>
      <c r="T1033" s="22" t="s">
        <v>24</v>
      </c>
      <c r="U1033" s="22" t="s">
        <v>29</v>
      </c>
      <c r="V1033" s="22"/>
    </row>
    <row r="1034" spans="1:22" ht="41.4">
      <c r="A1034" s="22" t="s">
        <v>1065</v>
      </c>
      <c r="B1034" s="25">
        <v>45671</v>
      </c>
      <c r="C1034" s="22" t="s">
        <v>723</v>
      </c>
      <c r="D1034" s="22" t="s">
        <v>18</v>
      </c>
      <c r="E1034" s="22" t="s">
        <v>24</v>
      </c>
      <c r="F1034" s="22" t="s">
        <v>25</v>
      </c>
      <c r="G1034" s="22" t="s">
        <v>21</v>
      </c>
      <c r="H1034" s="22">
        <v>0</v>
      </c>
      <c r="I1034" s="22">
        <v>0</v>
      </c>
      <c r="J1034" s="22">
        <v>0</v>
      </c>
      <c r="K1034" s="22">
        <v>0</v>
      </c>
      <c r="L1034" s="22">
        <v>0</v>
      </c>
      <c r="M1034" s="22">
        <v>0</v>
      </c>
      <c r="N1034" s="22">
        <v>0</v>
      </c>
      <c r="O1034" s="22"/>
      <c r="P1034" s="22">
        <v>69.5</v>
      </c>
      <c r="Q1034" s="22" t="str">
        <f>IF(OR(L1034&lt;$Y$18,L1034&gt;$Y$19),"Outlier","Normal")</f>
        <v>Normal</v>
      </c>
      <c r="R1034" s="26" t="str">
        <f>A1034&amp;B1034&amp;C1034&amp;D1034&amp;E1034&amp;F1034&amp;G1034&amp;H1034&amp;I1034&amp;J1034&amp;K1034&amp;L1034&amp;M1034&amp;N1034&amp;O1034&amp;P1034</f>
        <v>USR-10103345671TreatmentNorthMobileOrganicBasic000000069.5</v>
      </c>
      <c r="S1034" s="22" t="str">
        <f>IF(COUNTIF($R$2:$R$1409,R1034)=1,"OK",IF(COUNTIF($R$2:$R$1409,R1034)&gt;1,"Exact Duplicate","Review Required"))</f>
        <v>OK</v>
      </c>
      <c r="T1034" s="22" t="s">
        <v>24</v>
      </c>
      <c r="U1034" s="22" t="s">
        <v>25</v>
      </c>
      <c r="V1034" s="22"/>
    </row>
    <row r="1035" spans="1:22" ht="41.4">
      <c r="A1035" s="22" t="s">
        <v>1066</v>
      </c>
      <c r="B1035" s="25">
        <v>45716</v>
      </c>
      <c r="C1035" s="22" t="s">
        <v>723</v>
      </c>
      <c r="D1035" s="22" t="s">
        <v>28</v>
      </c>
      <c r="E1035" s="22" t="s">
        <v>19</v>
      </c>
      <c r="F1035" s="22" t="s">
        <v>25</v>
      </c>
      <c r="G1035" s="22" t="s">
        <v>21</v>
      </c>
      <c r="H1035" s="22">
        <v>0</v>
      </c>
      <c r="I1035" s="22">
        <v>0</v>
      </c>
      <c r="J1035" s="22">
        <v>0</v>
      </c>
      <c r="K1035" s="22">
        <v>0</v>
      </c>
      <c r="L1035" s="22">
        <v>0</v>
      </c>
      <c r="M1035" s="22">
        <v>0</v>
      </c>
      <c r="N1035" s="22">
        <v>0</v>
      </c>
      <c r="O1035" s="22"/>
      <c r="P1035" s="22">
        <v>59.7</v>
      </c>
      <c r="Q1035" s="22" t="str">
        <f>IF(OR(L1035&lt;$Y$18,L1035&gt;$Y$19),"Outlier","Normal")</f>
        <v>Normal</v>
      </c>
      <c r="R1035" s="26" t="str">
        <f>A1035&amp;B1035&amp;C1035&amp;D1035&amp;E1035&amp;F1035&amp;G1035&amp;H1035&amp;I1035&amp;J1035&amp;K1035&amp;L1035&amp;M1035&amp;N1035&amp;O1035&amp;P1035</f>
        <v>USR-10103445716TreatmentEastDesktopOrganicBasic000000059.7</v>
      </c>
      <c r="S1035" s="22" t="str">
        <f>IF(COUNTIF($R$2:$R$1409,R1035)=1,"OK",IF(COUNTIF($R$2:$R$1409,R1035)&gt;1,"Exact Duplicate","Review Required"))</f>
        <v>OK</v>
      </c>
      <c r="T1035" s="22" t="s">
        <v>19</v>
      </c>
      <c r="U1035" s="22" t="s">
        <v>25</v>
      </c>
      <c r="V1035" s="22"/>
    </row>
    <row r="1036" spans="1:22" ht="41.4">
      <c r="A1036" s="22" t="s">
        <v>1067</v>
      </c>
      <c r="B1036" s="25">
        <v>45795</v>
      </c>
      <c r="C1036" s="22" t="s">
        <v>723</v>
      </c>
      <c r="D1036" s="22" t="s">
        <v>28</v>
      </c>
      <c r="E1036" s="22" t="s">
        <v>34</v>
      </c>
      <c r="F1036" s="22" t="s">
        <v>29</v>
      </c>
      <c r="G1036" s="22" t="s">
        <v>21</v>
      </c>
      <c r="H1036" s="22">
        <v>1</v>
      </c>
      <c r="I1036" s="22">
        <v>0</v>
      </c>
      <c r="J1036" s="22">
        <v>0</v>
      </c>
      <c r="K1036" s="22">
        <v>0</v>
      </c>
      <c r="L1036" s="22">
        <v>0</v>
      </c>
      <c r="M1036" s="22">
        <v>0</v>
      </c>
      <c r="N1036" s="22">
        <v>0</v>
      </c>
      <c r="O1036" s="22"/>
      <c r="P1036" s="22">
        <v>73.900000000000006</v>
      </c>
      <c r="Q1036" s="22" t="str">
        <f>IF(OR(L1036&lt;$Y$18,L1036&gt;$Y$19),"Outlier","Normal")</f>
        <v>Normal</v>
      </c>
      <c r="R1036" s="26" t="str">
        <f>A1036&amp;B1036&amp;C1036&amp;D1036&amp;E1036&amp;F1036&amp;G1036&amp;H1036&amp;I1036&amp;J1036&amp;K1036&amp;L1036&amp;M1036&amp;N1036&amp;O1036&amp;P1036</f>
        <v>USR-10103545795TreatmentEastTabletPaid SearchBasic100000073.9</v>
      </c>
      <c r="S1036" s="22" t="str">
        <f>IF(COUNTIF($R$2:$R$1409,R1036)=1,"OK",IF(COUNTIF($R$2:$R$1409,R1036)&gt;1,"Exact Duplicate","Review Required"))</f>
        <v>OK</v>
      </c>
      <c r="T1036" s="22" t="s">
        <v>34</v>
      </c>
      <c r="U1036" s="22" t="s">
        <v>29</v>
      </c>
      <c r="V1036" s="22"/>
    </row>
    <row r="1037" spans="1:22" ht="41.4">
      <c r="A1037" s="22" t="s">
        <v>1068</v>
      </c>
      <c r="B1037" s="25">
        <v>45661</v>
      </c>
      <c r="C1037" s="22" t="s">
        <v>723</v>
      </c>
      <c r="D1037" s="22" t="s">
        <v>18</v>
      </c>
      <c r="E1037" s="22" t="s">
        <v>24</v>
      </c>
      <c r="F1037" s="22" t="s">
        <v>41</v>
      </c>
      <c r="G1037" s="22" t="s">
        <v>26</v>
      </c>
      <c r="H1037" s="22">
        <v>0</v>
      </c>
      <c r="I1037" s="22">
        <v>0</v>
      </c>
      <c r="J1037" s="22">
        <v>0</v>
      </c>
      <c r="K1037" s="22">
        <v>0</v>
      </c>
      <c r="L1037" s="22">
        <v>0</v>
      </c>
      <c r="M1037" s="22">
        <v>0</v>
      </c>
      <c r="N1037" s="22">
        <v>0</v>
      </c>
      <c r="O1037" s="22"/>
      <c r="P1037" s="22">
        <v>41.5</v>
      </c>
      <c r="Q1037" s="22" t="str">
        <f>IF(OR(L1037&lt;$Y$18,L1037&gt;$Y$19),"Outlier","Normal")</f>
        <v>Normal</v>
      </c>
      <c r="R1037" s="26" t="str">
        <f>A1037&amp;B1037&amp;C1037&amp;D1037&amp;E1037&amp;F1037&amp;G1037&amp;H1037&amp;I1037&amp;J1037&amp;K1037&amp;L1037&amp;M1037&amp;N1037&amp;O1037&amp;P1037</f>
        <v>USR-10103645661TreatmentNorthMobileSocialFree000000041.5</v>
      </c>
      <c r="S1037" s="22" t="str">
        <f>IF(COUNTIF($R$2:$R$1409,R1037)=1,"OK",IF(COUNTIF($R$2:$R$1409,R1037)&gt;1,"Exact Duplicate","Review Required"))</f>
        <v>OK</v>
      </c>
      <c r="T1037" s="22" t="s">
        <v>24</v>
      </c>
      <c r="U1037" s="22" t="s">
        <v>41</v>
      </c>
      <c r="V1037" s="22"/>
    </row>
    <row r="1038" spans="1:22" ht="41.4">
      <c r="A1038" s="22" t="s">
        <v>1069</v>
      </c>
      <c r="B1038" s="25">
        <v>45673</v>
      </c>
      <c r="C1038" s="22" t="s">
        <v>723</v>
      </c>
      <c r="D1038" s="22" t="s">
        <v>23</v>
      </c>
      <c r="E1038" s="22" t="s">
        <v>24</v>
      </c>
      <c r="F1038" s="22" t="s">
        <v>41</v>
      </c>
      <c r="G1038" s="22" t="s">
        <v>30</v>
      </c>
      <c r="H1038" s="22">
        <v>1</v>
      </c>
      <c r="I1038" s="22">
        <v>0</v>
      </c>
      <c r="J1038" s="22">
        <v>0</v>
      </c>
      <c r="K1038" s="22">
        <v>0</v>
      </c>
      <c r="L1038" s="22">
        <v>0</v>
      </c>
      <c r="M1038" s="22">
        <v>0</v>
      </c>
      <c r="N1038" s="22">
        <v>0</v>
      </c>
      <c r="O1038" s="22"/>
      <c r="P1038" s="22">
        <v>82.8</v>
      </c>
      <c r="Q1038" s="22" t="str">
        <f>IF(OR(L1038&lt;$Y$18,L1038&gt;$Y$19),"Outlier","Normal")</f>
        <v>Normal</v>
      </c>
      <c r="R1038" s="26" t="str">
        <f>A1038&amp;B1038&amp;C1038&amp;D1038&amp;E1038&amp;F1038&amp;G1038&amp;H1038&amp;I1038&amp;J1038&amp;K1038&amp;L1038&amp;M1038&amp;N1038&amp;O1038&amp;P1038</f>
        <v>USR-10103745673TreatmentWestMobileSocialPremium100000082.8</v>
      </c>
      <c r="S1038" s="22" t="str">
        <f>IF(COUNTIF($R$2:$R$1409,R1038)=1,"OK",IF(COUNTIF($R$2:$R$1409,R1038)&gt;1,"Exact Duplicate","Review Required"))</f>
        <v>OK</v>
      </c>
      <c r="T1038" s="22" t="s">
        <v>24</v>
      </c>
      <c r="U1038" s="22" t="s">
        <v>41</v>
      </c>
      <c r="V1038" s="22"/>
    </row>
    <row r="1039" spans="1:22" ht="41.4">
      <c r="A1039" s="22" t="s">
        <v>1070</v>
      </c>
      <c r="B1039" s="25">
        <v>45730</v>
      </c>
      <c r="C1039" s="22" t="s">
        <v>723</v>
      </c>
      <c r="D1039" s="22" t="s">
        <v>23</v>
      </c>
      <c r="E1039" s="22" t="s">
        <v>24</v>
      </c>
      <c r="F1039" s="22" t="s">
        <v>41</v>
      </c>
      <c r="G1039" s="22" t="s">
        <v>30</v>
      </c>
      <c r="H1039" s="22">
        <v>1</v>
      </c>
      <c r="I1039" s="22">
        <v>0</v>
      </c>
      <c r="J1039" s="22">
        <v>0</v>
      </c>
      <c r="K1039" s="22">
        <v>0</v>
      </c>
      <c r="L1039" s="22">
        <v>0</v>
      </c>
      <c r="M1039" s="22">
        <v>3</v>
      </c>
      <c r="N1039" s="22">
        <v>0</v>
      </c>
      <c r="O1039" s="22"/>
      <c r="P1039" s="22">
        <v>70.2</v>
      </c>
      <c r="Q1039" s="22" t="str">
        <f>IF(OR(L1039&lt;$Y$18,L1039&gt;$Y$19),"Outlier","Normal")</f>
        <v>Normal</v>
      </c>
      <c r="R1039" s="26" t="str">
        <f>A1039&amp;B1039&amp;C1039&amp;D1039&amp;E1039&amp;F1039&amp;G1039&amp;H1039&amp;I1039&amp;J1039&amp;K1039&amp;L1039&amp;M1039&amp;N1039&amp;O1039&amp;P1039</f>
        <v>USR-10103845730TreatmentWestMobileSocialPremium100003070.2</v>
      </c>
      <c r="S1039" s="22" t="str">
        <f>IF(COUNTIF($R$2:$R$1409,R1039)=1,"OK",IF(COUNTIF($R$2:$R$1409,R1039)&gt;1,"Exact Duplicate","Review Required"))</f>
        <v>OK</v>
      </c>
      <c r="T1039" s="22" t="s">
        <v>24</v>
      </c>
      <c r="U1039" s="22" t="s">
        <v>41</v>
      </c>
      <c r="V1039" s="22"/>
    </row>
    <row r="1040" spans="1:22" ht="41.4">
      <c r="A1040" s="22" t="s">
        <v>1071</v>
      </c>
      <c r="B1040" s="25">
        <v>45680</v>
      </c>
      <c r="C1040" s="22" t="s">
        <v>723</v>
      </c>
      <c r="D1040" s="22" t="s">
        <v>28</v>
      </c>
      <c r="E1040" s="22" t="s">
        <v>24</v>
      </c>
      <c r="F1040" s="22" t="s">
        <v>29</v>
      </c>
      <c r="G1040" s="22" t="s">
        <v>21</v>
      </c>
      <c r="H1040" s="22">
        <v>1</v>
      </c>
      <c r="I1040" s="22">
        <v>0</v>
      </c>
      <c r="J1040" s="22">
        <v>0</v>
      </c>
      <c r="K1040" s="22">
        <v>0</v>
      </c>
      <c r="L1040" s="22">
        <v>0</v>
      </c>
      <c r="M1040" s="22">
        <v>1</v>
      </c>
      <c r="N1040" s="22">
        <v>0</v>
      </c>
      <c r="O1040" s="22"/>
      <c r="P1040" s="22">
        <v>69.400000000000006</v>
      </c>
      <c r="Q1040" s="22" t="str">
        <f>IF(OR(L1040&lt;$Y$18,L1040&gt;$Y$19),"Outlier","Normal")</f>
        <v>Normal</v>
      </c>
      <c r="R1040" s="26" t="str">
        <f>A1040&amp;B1040&amp;C1040&amp;D1040&amp;E1040&amp;F1040&amp;G1040&amp;H1040&amp;I1040&amp;J1040&amp;K1040&amp;L1040&amp;M1040&amp;N1040&amp;O1040&amp;P1040</f>
        <v>USR-10103945680TreatmentEastMobilePaid SearchBasic100001069.4</v>
      </c>
      <c r="S1040" s="22" t="str">
        <f>IF(COUNTIF($R$2:$R$1409,R1040)=1,"OK",IF(COUNTIF($R$2:$R$1409,R1040)&gt;1,"Exact Duplicate","Review Required"))</f>
        <v>OK</v>
      </c>
      <c r="T1040" s="22" t="s">
        <v>24</v>
      </c>
      <c r="U1040" s="22" t="s">
        <v>29</v>
      </c>
      <c r="V1040" s="22"/>
    </row>
    <row r="1041" spans="1:22" ht="41.4">
      <c r="A1041" s="22" t="s">
        <v>1072</v>
      </c>
      <c r="B1041" s="25">
        <v>45691</v>
      </c>
      <c r="C1041" s="22" t="s">
        <v>723</v>
      </c>
      <c r="D1041" s="22" t="s">
        <v>18</v>
      </c>
      <c r="E1041" s="22" t="s">
        <v>19</v>
      </c>
      <c r="F1041" s="22" t="s">
        <v>25</v>
      </c>
      <c r="G1041" s="22" t="s">
        <v>21</v>
      </c>
      <c r="H1041" s="22">
        <v>1</v>
      </c>
      <c r="I1041" s="22">
        <v>0</v>
      </c>
      <c r="J1041" s="22">
        <v>0</v>
      </c>
      <c r="K1041" s="22">
        <v>0</v>
      </c>
      <c r="L1041" s="22">
        <v>0</v>
      </c>
      <c r="M1041" s="22">
        <v>0</v>
      </c>
      <c r="N1041" s="22">
        <v>0</v>
      </c>
      <c r="O1041" s="22"/>
      <c r="P1041" s="22">
        <v>60.4</v>
      </c>
      <c r="Q1041" s="22" t="str">
        <f>IF(OR(L1041&lt;$Y$18,L1041&gt;$Y$19),"Outlier","Normal")</f>
        <v>Normal</v>
      </c>
      <c r="R1041" s="26" t="str">
        <f>A1041&amp;B1041&amp;C1041&amp;D1041&amp;E1041&amp;F1041&amp;G1041&amp;H1041&amp;I1041&amp;J1041&amp;K1041&amp;L1041&amp;M1041&amp;N1041&amp;O1041&amp;P1041</f>
        <v>USR-10104045691TreatmentNorthDesktopOrganicBasic100000060.4</v>
      </c>
      <c r="S1041" s="22" t="str">
        <f>IF(COUNTIF($R$2:$R$1409,R1041)=1,"OK",IF(COUNTIF($R$2:$R$1409,R1041)&gt;1,"Exact Duplicate","Review Required"))</f>
        <v>OK</v>
      </c>
      <c r="T1041" s="22" t="s">
        <v>19</v>
      </c>
      <c r="U1041" s="22" t="s">
        <v>25</v>
      </c>
      <c r="V1041" s="22"/>
    </row>
    <row r="1042" spans="1:22" ht="41.4">
      <c r="A1042" s="22" t="s">
        <v>1073</v>
      </c>
      <c r="B1042" s="25">
        <v>45793</v>
      </c>
      <c r="C1042" s="22" t="s">
        <v>723</v>
      </c>
      <c r="D1042" s="22" t="s">
        <v>28</v>
      </c>
      <c r="E1042" s="22" t="s">
        <v>24</v>
      </c>
      <c r="F1042" s="22" t="s">
        <v>39</v>
      </c>
      <c r="G1042" s="22" t="s">
        <v>26</v>
      </c>
      <c r="H1042" s="22">
        <v>1</v>
      </c>
      <c r="I1042" s="22">
        <v>0</v>
      </c>
      <c r="J1042" s="22">
        <v>0</v>
      </c>
      <c r="K1042" s="22">
        <v>0</v>
      </c>
      <c r="L1042" s="22">
        <v>0</v>
      </c>
      <c r="M1042" s="22">
        <v>0</v>
      </c>
      <c r="N1042" s="22">
        <v>0</v>
      </c>
      <c r="O1042" s="22"/>
      <c r="P1042" s="22">
        <v>45.7</v>
      </c>
      <c r="Q1042" s="22" t="str">
        <f>IF(OR(L1042&lt;$Y$18,L1042&gt;$Y$19),"Outlier","Normal")</f>
        <v>Normal</v>
      </c>
      <c r="R1042" s="26" t="str">
        <f>A1042&amp;B1042&amp;C1042&amp;D1042&amp;E1042&amp;F1042&amp;G1042&amp;H1042&amp;I1042&amp;J1042&amp;K1042&amp;L1042&amp;M1042&amp;N1042&amp;O1042&amp;P1042</f>
        <v>USR-10104145793TreatmentEastMobileReferralFree100000045.7</v>
      </c>
      <c r="S1042" s="22" t="str">
        <f>IF(COUNTIF($R$2:$R$1409,R1042)=1,"OK",IF(COUNTIF($R$2:$R$1409,R1042)&gt;1,"Exact Duplicate","Review Required"))</f>
        <v>OK</v>
      </c>
      <c r="T1042" s="22" t="s">
        <v>24</v>
      </c>
      <c r="U1042" s="22" t="s">
        <v>39</v>
      </c>
      <c r="V1042" s="22"/>
    </row>
    <row r="1043" spans="1:22" ht="41.4">
      <c r="A1043" s="22" t="s">
        <v>1074</v>
      </c>
      <c r="B1043" s="25">
        <v>45668</v>
      </c>
      <c r="C1043" s="22" t="s">
        <v>723</v>
      </c>
      <c r="D1043" s="22" t="s">
        <v>23</v>
      </c>
      <c r="E1043" s="22" t="s">
        <v>24</v>
      </c>
      <c r="F1043" s="22" t="s">
        <v>25</v>
      </c>
      <c r="G1043" s="22" t="s">
        <v>21</v>
      </c>
      <c r="H1043" s="22">
        <v>0</v>
      </c>
      <c r="I1043" s="22">
        <v>0</v>
      </c>
      <c r="J1043" s="22">
        <v>0</v>
      </c>
      <c r="K1043" s="22">
        <v>0</v>
      </c>
      <c r="L1043" s="22">
        <v>0</v>
      </c>
      <c r="M1043" s="22">
        <v>1</v>
      </c>
      <c r="N1043" s="22">
        <v>0</v>
      </c>
      <c r="O1043" s="22"/>
      <c r="P1043" s="22">
        <v>42.2</v>
      </c>
      <c r="Q1043" s="22" t="str">
        <f>IF(OR(L1043&lt;$Y$18,L1043&gt;$Y$19),"Outlier","Normal")</f>
        <v>Normal</v>
      </c>
      <c r="R1043" s="26" t="str">
        <f>A1043&amp;B1043&amp;C1043&amp;D1043&amp;E1043&amp;F1043&amp;G1043&amp;H1043&amp;I1043&amp;J1043&amp;K1043&amp;L1043&amp;M1043&amp;N1043&amp;O1043&amp;P1043</f>
        <v>USR-10104245668TreatmentWestMobileOrganicBasic000001042.2</v>
      </c>
      <c r="S1043" s="22" t="str">
        <f>IF(COUNTIF($R$2:$R$1409,R1043)=1,"OK",IF(COUNTIF($R$2:$R$1409,R1043)&gt;1,"Exact Duplicate","Review Required"))</f>
        <v>OK</v>
      </c>
      <c r="T1043" s="22" t="s">
        <v>24</v>
      </c>
      <c r="U1043" s="22" t="s">
        <v>25</v>
      </c>
      <c r="V1043" s="22"/>
    </row>
    <row r="1044" spans="1:22" ht="41.4">
      <c r="A1044" s="22" t="s">
        <v>1075</v>
      </c>
      <c r="B1044" s="25">
        <v>45802</v>
      </c>
      <c r="C1044" s="22" t="s">
        <v>723</v>
      </c>
      <c r="D1044" s="22" t="s">
        <v>18</v>
      </c>
      <c r="E1044" s="22" t="s">
        <v>19</v>
      </c>
      <c r="F1044" s="22" t="s">
        <v>25</v>
      </c>
      <c r="G1044" s="22" t="s">
        <v>26</v>
      </c>
      <c r="H1044" s="22">
        <v>0</v>
      </c>
      <c r="I1044" s="22">
        <v>0</v>
      </c>
      <c r="J1044" s="22">
        <v>0</v>
      </c>
      <c r="K1044" s="22">
        <v>0</v>
      </c>
      <c r="L1044" s="22">
        <v>0</v>
      </c>
      <c r="M1044" s="22">
        <v>2</v>
      </c>
      <c r="N1044" s="22">
        <v>0</v>
      </c>
      <c r="O1044" s="22"/>
      <c r="P1044" s="22">
        <v>61.9</v>
      </c>
      <c r="Q1044" s="22" t="str">
        <f>IF(OR(L1044&lt;$Y$18,L1044&gt;$Y$19),"Outlier","Normal")</f>
        <v>Normal</v>
      </c>
      <c r="R1044" s="26" t="str">
        <f>A1044&amp;B1044&amp;C1044&amp;D1044&amp;E1044&amp;F1044&amp;G1044&amp;H1044&amp;I1044&amp;J1044&amp;K1044&amp;L1044&amp;M1044&amp;N1044&amp;O1044&amp;P1044</f>
        <v>USR-10104345802TreatmentNorthDesktopOrganicFree000002061.9</v>
      </c>
      <c r="S1044" s="22" t="str">
        <f>IF(COUNTIF($R$2:$R$1409,R1044)=1,"OK",IF(COUNTIF($R$2:$R$1409,R1044)&gt;1,"Exact Duplicate","Review Required"))</f>
        <v>OK</v>
      </c>
      <c r="T1044" s="22" t="s">
        <v>19</v>
      </c>
      <c r="U1044" s="22" t="s">
        <v>25</v>
      </c>
      <c r="V1044" s="22"/>
    </row>
    <row r="1045" spans="1:22" ht="41.4">
      <c r="A1045" s="22" t="s">
        <v>1076</v>
      </c>
      <c r="B1045" s="25">
        <v>45785</v>
      </c>
      <c r="C1045" s="22" t="s">
        <v>723</v>
      </c>
      <c r="D1045" s="22" t="s">
        <v>28</v>
      </c>
      <c r="E1045" s="22" t="s">
        <v>24</v>
      </c>
      <c r="F1045" s="22" t="s">
        <v>29</v>
      </c>
      <c r="G1045" s="22" t="s">
        <v>30</v>
      </c>
      <c r="H1045" s="22">
        <v>0</v>
      </c>
      <c r="I1045" s="22">
        <v>0</v>
      </c>
      <c r="J1045" s="22">
        <v>0</v>
      </c>
      <c r="K1045" s="22">
        <v>0</v>
      </c>
      <c r="L1045" s="22">
        <v>0</v>
      </c>
      <c r="M1045" s="22">
        <v>0</v>
      </c>
      <c r="N1045" s="22">
        <v>0</v>
      </c>
      <c r="O1045" s="22"/>
      <c r="P1045" s="22">
        <v>44.9</v>
      </c>
      <c r="Q1045" s="22" t="str">
        <f>IF(OR(L1045&lt;$Y$18,L1045&gt;$Y$19),"Outlier","Normal")</f>
        <v>Normal</v>
      </c>
      <c r="R1045" s="26" t="str">
        <f>A1045&amp;B1045&amp;C1045&amp;D1045&amp;E1045&amp;F1045&amp;G1045&amp;H1045&amp;I1045&amp;J1045&amp;K1045&amp;L1045&amp;M1045&amp;N1045&amp;O1045&amp;P1045</f>
        <v>USR-10104445785TreatmentEastMobilePaid SearchPremium000000044.9</v>
      </c>
      <c r="S1045" s="22" t="str">
        <f>IF(COUNTIF($R$2:$R$1409,R1045)=1,"OK",IF(COUNTIF($R$2:$R$1409,R1045)&gt;1,"Exact Duplicate","Review Required"))</f>
        <v>OK</v>
      </c>
      <c r="T1045" s="22" t="s">
        <v>24</v>
      </c>
      <c r="U1045" s="22" t="s">
        <v>29</v>
      </c>
      <c r="V1045" s="22"/>
    </row>
    <row r="1046" spans="1:22" ht="41.4">
      <c r="A1046" s="22" t="s">
        <v>1077</v>
      </c>
      <c r="B1046" s="25">
        <v>45714</v>
      </c>
      <c r="C1046" s="22" t="s">
        <v>723</v>
      </c>
      <c r="D1046" s="22" t="s">
        <v>28</v>
      </c>
      <c r="E1046" s="22" t="s">
        <v>19</v>
      </c>
      <c r="F1046" s="22" t="s">
        <v>1482</v>
      </c>
      <c r="G1046" s="22" t="s">
        <v>21</v>
      </c>
      <c r="H1046" s="22">
        <v>1</v>
      </c>
      <c r="I1046" s="22">
        <v>0</v>
      </c>
      <c r="J1046" s="22">
        <v>0</v>
      </c>
      <c r="K1046" s="22">
        <v>0</v>
      </c>
      <c r="L1046" s="22">
        <v>0</v>
      </c>
      <c r="M1046" s="22">
        <v>0</v>
      </c>
      <c r="N1046" s="22">
        <v>0</v>
      </c>
      <c r="O1046" s="22"/>
      <c r="P1046" s="22">
        <v>68</v>
      </c>
      <c r="Q1046" s="22" t="str">
        <f>IF(OR(L1046&lt;$Y$18,L1046&gt;$Y$19),"Outlier","Normal")</f>
        <v>Normal</v>
      </c>
      <c r="R1046" s="26" t="str">
        <f>A1046&amp;B1046&amp;C1046&amp;D1046&amp;E1046&amp;F1046&amp;G1046&amp;H1046&amp;I1046&amp;J1046&amp;K1046&amp;L1046&amp;M1046&amp;N1046&amp;O1046&amp;P1046</f>
        <v>USR-10104545714TreatmentEastDesktopUnknownBasic100000068</v>
      </c>
      <c r="S1046" s="22" t="str">
        <f>IF(COUNTIF($R$2:$R$1409,R1046)=1,"OK",IF(COUNTIF($R$2:$R$1409,R1046)&gt;1,"Exact Duplicate","Review Required"))</f>
        <v>OK</v>
      </c>
      <c r="T1046" s="22" t="s">
        <v>19</v>
      </c>
      <c r="U1046" s="22"/>
      <c r="V1046" s="22"/>
    </row>
    <row r="1047" spans="1:22" ht="41.4">
      <c r="A1047" s="22" t="s">
        <v>1078</v>
      </c>
      <c r="B1047" s="25">
        <v>45746</v>
      </c>
      <c r="C1047" s="22" t="s">
        <v>723</v>
      </c>
      <c r="D1047" s="22" t="s">
        <v>18</v>
      </c>
      <c r="E1047" s="22" t="s">
        <v>24</v>
      </c>
      <c r="F1047" s="22" t="s">
        <v>29</v>
      </c>
      <c r="G1047" s="22" t="s">
        <v>26</v>
      </c>
      <c r="H1047" s="22">
        <v>1</v>
      </c>
      <c r="I1047" s="22">
        <v>0</v>
      </c>
      <c r="J1047" s="22">
        <v>0</v>
      </c>
      <c r="K1047" s="22">
        <v>0</v>
      </c>
      <c r="L1047" s="22">
        <v>0</v>
      </c>
      <c r="M1047" s="22">
        <v>0</v>
      </c>
      <c r="N1047" s="22">
        <v>0</v>
      </c>
      <c r="O1047" s="22"/>
      <c r="P1047" s="22">
        <v>61</v>
      </c>
      <c r="Q1047" s="22" t="str">
        <f>IF(OR(L1047&lt;$Y$18,L1047&gt;$Y$19),"Outlier","Normal")</f>
        <v>Normal</v>
      </c>
      <c r="R1047" s="26" t="str">
        <f>A1047&amp;B1047&amp;C1047&amp;D1047&amp;E1047&amp;F1047&amp;G1047&amp;H1047&amp;I1047&amp;J1047&amp;K1047&amp;L1047&amp;M1047&amp;N1047&amp;O1047&amp;P1047</f>
        <v>USR-10104645746TreatmentNorthMobilePaid SearchFree100000061</v>
      </c>
      <c r="S1047" s="22" t="str">
        <f>IF(COUNTIF($R$2:$R$1409,R1047)=1,"OK",IF(COUNTIF($R$2:$R$1409,R1047)&gt;1,"Exact Duplicate","Review Required"))</f>
        <v>OK</v>
      </c>
      <c r="T1047" s="22" t="s">
        <v>24</v>
      </c>
      <c r="U1047" s="22" t="s">
        <v>29</v>
      </c>
      <c r="V1047" s="22"/>
    </row>
    <row r="1048" spans="1:22" ht="41.4">
      <c r="A1048" s="22" t="s">
        <v>1079</v>
      </c>
      <c r="B1048" s="25">
        <v>45760</v>
      </c>
      <c r="C1048" s="22" t="s">
        <v>723</v>
      </c>
      <c r="D1048" s="22" t="s">
        <v>23</v>
      </c>
      <c r="E1048" s="22" t="s">
        <v>24</v>
      </c>
      <c r="F1048" s="22" t="s">
        <v>25</v>
      </c>
      <c r="G1048" s="22" t="s">
        <v>21</v>
      </c>
      <c r="H1048" s="22">
        <v>1</v>
      </c>
      <c r="I1048" s="22">
        <v>0</v>
      </c>
      <c r="J1048" s="22">
        <v>0</v>
      </c>
      <c r="K1048" s="22">
        <v>0</v>
      </c>
      <c r="L1048" s="22">
        <v>0</v>
      </c>
      <c r="M1048" s="22">
        <v>0</v>
      </c>
      <c r="N1048" s="22">
        <v>0</v>
      </c>
      <c r="O1048" s="22"/>
      <c r="P1048" s="22">
        <v>55</v>
      </c>
      <c r="Q1048" s="22" t="str">
        <f>IF(OR(L1048&lt;$Y$18,L1048&gt;$Y$19),"Outlier","Normal")</f>
        <v>Normal</v>
      </c>
      <c r="R1048" s="26" t="str">
        <f>A1048&amp;B1048&amp;C1048&amp;D1048&amp;E1048&amp;F1048&amp;G1048&amp;H1048&amp;I1048&amp;J1048&amp;K1048&amp;L1048&amp;M1048&amp;N1048&amp;O1048&amp;P1048</f>
        <v>USR-10104745760TreatmentWestMobileOrganicBasic100000055</v>
      </c>
      <c r="S1048" s="22" t="str">
        <f>IF(COUNTIF($R$2:$R$1409,R1048)=1,"OK",IF(COUNTIF($R$2:$R$1409,R1048)&gt;1,"Exact Duplicate","Review Required"))</f>
        <v>OK</v>
      </c>
      <c r="T1048" s="22" t="s">
        <v>24</v>
      </c>
      <c r="U1048" s="22" t="s">
        <v>25</v>
      </c>
      <c r="V1048" s="22"/>
    </row>
    <row r="1049" spans="1:22" ht="41.4">
      <c r="A1049" s="22" t="s">
        <v>1080</v>
      </c>
      <c r="B1049" s="25">
        <v>45708</v>
      </c>
      <c r="C1049" s="22" t="s">
        <v>723</v>
      </c>
      <c r="D1049" s="22" t="s">
        <v>28</v>
      </c>
      <c r="E1049" s="22" t="s">
        <v>1482</v>
      </c>
      <c r="F1049" s="22" t="s">
        <v>29</v>
      </c>
      <c r="G1049" s="22" t="s">
        <v>21</v>
      </c>
      <c r="H1049" s="22">
        <v>1</v>
      </c>
      <c r="I1049" s="22">
        <v>0</v>
      </c>
      <c r="J1049" s="22">
        <v>0</v>
      </c>
      <c r="K1049" s="22">
        <v>0</v>
      </c>
      <c r="L1049" s="22">
        <v>0</v>
      </c>
      <c r="M1049" s="22">
        <v>0</v>
      </c>
      <c r="N1049" s="22">
        <v>0</v>
      </c>
      <c r="O1049" s="22"/>
      <c r="P1049" s="22">
        <v>63.1</v>
      </c>
      <c r="Q1049" s="22" t="str">
        <f>IF(OR(L1049&lt;$Y$18,L1049&gt;$Y$19),"Outlier","Normal")</f>
        <v>Normal</v>
      </c>
      <c r="R1049" s="26" t="str">
        <f>A1049&amp;B1049&amp;C1049&amp;D1049&amp;E1049&amp;F1049&amp;G1049&amp;H1049&amp;I1049&amp;J1049&amp;K1049&amp;L1049&amp;M1049&amp;N1049&amp;O1049&amp;P1049</f>
        <v>USR-10104845708TreatmentEastUnknownPaid SearchBasic100000063.1</v>
      </c>
      <c r="S1049" s="22" t="str">
        <f>IF(COUNTIF($R$2:$R$1409,R1049)=1,"OK",IF(COUNTIF($R$2:$R$1409,R1049)&gt;1,"Exact Duplicate","Review Required"))</f>
        <v>OK</v>
      </c>
      <c r="T1049" s="22"/>
      <c r="U1049" s="22" t="s">
        <v>29</v>
      </c>
      <c r="V1049" s="22"/>
    </row>
    <row r="1050" spans="1:22" ht="41.4">
      <c r="A1050" s="22" t="s">
        <v>1081</v>
      </c>
      <c r="B1050" s="25">
        <v>45766</v>
      </c>
      <c r="C1050" s="22" t="s">
        <v>723</v>
      </c>
      <c r="D1050" s="22" t="s">
        <v>23</v>
      </c>
      <c r="E1050" s="22" t="s">
        <v>19</v>
      </c>
      <c r="F1050" s="22" t="s">
        <v>41</v>
      </c>
      <c r="G1050" s="22" t="s">
        <v>26</v>
      </c>
      <c r="H1050" s="22">
        <v>1</v>
      </c>
      <c r="I1050" s="22">
        <v>0</v>
      </c>
      <c r="J1050" s="22">
        <v>0</v>
      </c>
      <c r="K1050" s="22">
        <v>0</v>
      </c>
      <c r="L1050" s="22">
        <v>0</v>
      </c>
      <c r="M1050" s="22">
        <v>0</v>
      </c>
      <c r="N1050" s="22">
        <v>0</v>
      </c>
      <c r="O1050" s="22"/>
      <c r="P1050" s="22">
        <v>75.8</v>
      </c>
      <c r="Q1050" s="22" t="str">
        <f>IF(OR(L1050&lt;$Y$18,L1050&gt;$Y$19),"Outlier","Normal")</f>
        <v>Normal</v>
      </c>
      <c r="R1050" s="26" t="str">
        <f>A1050&amp;B1050&amp;C1050&amp;D1050&amp;E1050&amp;F1050&amp;G1050&amp;H1050&amp;I1050&amp;J1050&amp;K1050&amp;L1050&amp;M1050&amp;N1050&amp;O1050&amp;P1050</f>
        <v>USR-10104945766TreatmentWestDesktopSocialFree100000075.8</v>
      </c>
      <c r="S1050" s="22" t="str">
        <f>IF(COUNTIF($R$2:$R$1409,R1050)=1,"OK",IF(COUNTIF($R$2:$R$1409,R1050)&gt;1,"Exact Duplicate","Review Required"))</f>
        <v>OK</v>
      </c>
      <c r="T1050" s="22" t="s">
        <v>19</v>
      </c>
      <c r="U1050" s="22" t="s">
        <v>41</v>
      </c>
      <c r="V1050" s="22"/>
    </row>
    <row r="1051" spans="1:22" ht="41.4">
      <c r="A1051" s="22" t="s">
        <v>1082</v>
      </c>
      <c r="B1051" s="25">
        <v>45738</v>
      </c>
      <c r="C1051" s="22" t="s">
        <v>723</v>
      </c>
      <c r="D1051" s="22" t="s">
        <v>32</v>
      </c>
      <c r="E1051" s="22" t="s">
        <v>24</v>
      </c>
      <c r="F1051" s="22" t="s">
        <v>29</v>
      </c>
      <c r="G1051" s="22" t="s">
        <v>26</v>
      </c>
      <c r="H1051" s="22">
        <v>1</v>
      </c>
      <c r="I1051" s="22">
        <v>1</v>
      </c>
      <c r="J1051" s="22">
        <v>0</v>
      </c>
      <c r="K1051" s="22">
        <v>0</v>
      </c>
      <c r="L1051" s="22">
        <v>0</v>
      </c>
      <c r="M1051" s="22">
        <v>1</v>
      </c>
      <c r="N1051" s="22">
        <v>0</v>
      </c>
      <c r="O1051" s="22"/>
      <c r="P1051" s="22">
        <v>43.8</v>
      </c>
      <c r="Q1051" s="22" t="str">
        <f>IF(OR(L1051&lt;$Y$18,L1051&gt;$Y$19),"Outlier","Normal")</f>
        <v>Normal</v>
      </c>
      <c r="R1051" s="26" t="str">
        <f>A1051&amp;B1051&amp;C1051&amp;D1051&amp;E1051&amp;F1051&amp;G1051&amp;H1051&amp;I1051&amp;J1051&amp;K1051&amp;L1051&amp;M1051&amp;N1051&amp;O1051&amp;P1051</f>
        <v>USR-10105045738TreatmentSouthMobilePaid SearchFree110001043.8</v>
      </c>
      <c r="S1051" s="22" t="str">
        <f>IF(COUNTIF($R$2:$R$1409,R1051)=1,"OK",IF(COUNTIF($R$2:$R$1409,R1051)&gt;1,"Exact Duplicate","Review Required"))</f>
        <v>OK</v>
      </c>
      <c r="T1051" s="22" t="s">
        <v>24</v>
      </c>
      <c r="U1051" s="22" t="s">
        <v>29</v>
      </c>
      <c r="V1051" s="22"/>
    </row>
    <row r="1052" spans="1:22" ht="41.4">
      <c r="A1052" s="22" t="s">
        <v>1083</v>
      </c>
      <c r="B1052" s="25">
        <v>45716</v>
      </c>
      <c r="C1052" s="22" t="s">
        <v>723</v>
      </c>
      <c r="D1052" s="22" t="s">
        <v>18</v>
      </c>
      <c r="E1052" s="22" t="s">
        <v>24</v>
      </c>
      <c r="F1052" s="22" t="s">
        <v>20</v>
      </c>
      <c r="G1052" s="22" t="s">
        <v>21</v>
      </c>
      <c r="H1052" s="22">
        <v>1</v>
      </c>
      <c r="I1052" s="22">
        <v>1</v>
      </c>
      <c r="J1052" s="22">
        <v>0</v>
      </c>
      <c r="K1052" s="22">
        <v>0</v>
      </c>
      <c r="L1052" s="22">
        <v>0</v>
      </c>
      <c r="M1052" s="22">
        <v>0</v>
      </c>
      <c r="N1052" s="22">
        <v>0</v>
      </c>
      <c r="O1052" s="22"/>
      <c r="P1052" s="22">
        <v>46.8</v>
      </c>
      <c r="Q1052" s="22" t="str">
        <f>IF(OR(L1052&lt;$Y$18,L1052&gt;$Y$19),"Outlier","Normal")</f>
        <v>Normal</v>
      </c>
      <c r="R1052" s="26" t="str">
        <f>A1052&amp;B1052&amp;C1052&amp;D1052&amp;E1052&amp;F1052&amp;G1052&amp;H1052&amp;I1052&amp;J1052&amp;K1052&amp;L1052&amp;M1052&amp;N1052&amp;O1052&amp;P1052</f>
        <v>USR-10105145716TreatmentNorthMobileEmailBasic110000046.8</v>
      </c>
      <c r="S1052" s="22" t="str">
        <f>IF(COUNTIF($R$2:$R$1409,R1052)=1,"OK",IF(COUNTIF($R$2:$R$1409,R1052)&gt;1,"Exact Duplicate","Review Required"))</f>
        <v>OK</v>
      </c>
      <c r="T1052" s="22" t="s">
        <v>24</v>
      </c>
      <c r="U1052" s="22" t="s">
        <v>20</v>
      </c>
      <c r="V1052" s="22"/>
    </row>
    <row r="1053" spans="1:22" ht="41.4">
      <c r="A1053" s="22" t="s">
        <v>1084</v>
      </c>
      <c r="B1053" s="25">
        <v>45801</v>
      </c>
      <c r="C1053" s="22" t="s">
        <v>723</v>
      </c>
      <c r="D1053" s="22" t="s">
        <v>28</v>
      </c>
      <c r="E1053" s="22" t="s">
        <v>24</v>
      </c>
      <c r="F1053" s="22" t="s">
        <v>41</v>
      </c>
      <c r="G1053" s="22" t="s">
        <v>26</v>
      </c>
      <c r="H1053" s="22">
        <v>1</v>
      </c>
      <c r="I1053" s="22">
        <v>1</v>
      </c>
      <c r="J1053" s="22">
        <v>1</v>
      </c>
      <c r="K1053" s="22">
        <v>0</v>
      </c>
      <c r="L1053" s="22">
        <v>0</v>
      </c>
      <c r="M1053" s="22">
        <v>0</v>
      </c>
      <c r="N1053" s="22">
        <v>0</v>
      </c>
      <c r="O1053" s="22"/>
      <c r="P1053" s="22">
        <v>97.4</v>
      </c>
      <c r="Q1053" s="22" t="str">
        <f>IF(OR(L1053&lt;$Y$18,L1053&gt;$Y$19),"Outlier","Normal")</f>
        <v>Normal</v>
      </c>
      <c r="R1053" s="26" t="str">
        <f>A1053&amp;B1053&amp;C1053&amp;D1053&amp;E1053&amp;F1053&amp;G1053&amp;H1053&amp;I1053&amp;J1053&amp;K1053&amp;L1053&amp;M1053&amp;N1053&amp;O1053&amp;P1053</f>
        <v>USR-10105245801TreatmentEastMobileSocialFree111000097.4</v>
      </c>
      <c r="S1053" s="22" t="str">
        <f>IF(COUNTIF($R$2:$R$1409,R1053)=1,"OK",IF(COUNTIF($R$2:$R$1409,R1053)&gt;1,"Exact Duplicate","Review Required"))</f>
        <v>OK</v>
      </c>
      <c r="T1053" s="22" t="s">
        <v>24</v>
      </c>
      <c r="U1053" s="22" t="s">
        <v>41</v>
      </c>
      <c r="V1053" s="22"/>
    </row>
    <row r="1054" spans="1:22" ht="41.4">
      <c r="A1054" s="22" t="s">
        <v>1085</v>
      </c>
      <c r="B1054" s="25">
        <v>45691</v>
      </c>
      <c r="C1054" s="22" t="s">
        <v>723</v>
      </c>
      <c r="D1054" s="22" t="s">
        <v>18</v>
      </c>
      <c r="E1054" s="22" t="s">
        <v>19</v>
      </c>
      <c r="F1054" s="22" t="s">
        <v>20</v>
      </c>
      <c r="G1054" s="22" t="s">
        <v>26</v>
      </c>
      <c r="H1054" s="22">
        <v>1</v>
      </c>
      <c r="I1054" s="22">
        <v>1</v>
      </c>
      <c r="J1054" s="22">
        <v>1</v>
      </c>
      <c r="K1054" s="22">
        <v>1</v>
      </c>
      <c r="L1054" s="22">
        <v>268.95999999999998</v>
      </c>
      <c r="M1054" s="22">
        <v>0</v>
      </c>
      <c r="N1054" s="22">
        <v>0</v>
      </c>
      <c r="O1054" s="22">
        <v>14</v>
      </c>
      <c r="P1054" s="22">
        <v>81</v>
      </c>
      <c r="Q1054" s="22" t="str">
        <f>IF(OR(L1054&lt;$Y$18,L1054&gt;$Y$19),"Outlier","Normal")</f>
        <v>Normal</v>
      </c>
      <c r="R1054" s="26" t="str">
        <f>A1054&amp;B1054&amp;C1054&amp;D1054&amp;E1054&amp;F1054&amp;G1054&amp;H1054&amp;I1054&amp;J1054&amp;K1054&amp;L1054&amp;M1054&amp;N1054&amp;O1054&amp;P1054</f>
        <v>USR-10105345691TreatmentNorthDesktopEmailFree1111268.96001481</v>
      </c>
      <c r="S1054" s="22" t="str">
        <f>IF(COUNTIF($R$2:$R$1409,R1054)=1,"OK",IF(COUNTIF($R$2:$R$1409,R1054)&gt;1,"Exact Duplicate","Review Required"))</f>
        <v>OK</v>
      </c>
      <c r="T1054" s="22" t="s">
        <v>19</v>
      </c>
      <c r="U1054" s="22" t="s">
        <v>20</v>
      </c>
      <c r="V1054" s="22"/>
    </row>
    <row r="1055" spans="1:22" ht="41.4">
      <c r="A1055" s="22" t="s">
        <v>1086</v>
      </c>
      <c r="B1055" s="25">
        <v>45684</v>
      </c>
      <c r="C1055" s="22" t="s">
        <v>723</v>
      </c>
      <c r="D1055" s="22" t="s">
        <v>32</v>
      </c>
      <c r="E1055" s="22" t="s">
        <v>24</v>
      </c>
      <c r="F1055" s="22" t="s">
        <v>25</v>
      </c>
      <c r="G1055" s="22" t="s">
        <v>26</v>
      </c>
      <c r="H1055" s="22">
        <v>1</v>
      </c>
      <c r="I1055" s="22">
        <v>0</v>
      </c>
      <c r="J1055" s="22">
        <v>0</v>
      </c>
      <c r="K1055" s="22">
        <v>0</v>
      </c>
      <c r="L1055" s="22">
        <v>0</v>
      </c>
      <c r="M1055" s="22">
        <v>1</v>
      </c>
      <c r="N1055" s="22">
        <v>0</v>
      </c>
      <c r="O1055" s="22"/>
      <c r="P1055" s="22">
        <v>58.9</v>
      </c>
      <c r="Q1055" s="22" t="str">
        <f>IF(OR(L1055&lt;$Y$18,L1055&gt;$Y$19),"Outlier","Normal")</f>
        <v>Normal</v>
      </c>
      <c r="R1055" s="26" t="str">
        <f>A1055&amp;B1055&amp;C1055&amp;D1055&amp;E1055&amp;F1055&amp;G1055&amp;H1055&amp;I1055&amp;J1055&amp;K1055&amp;L1055&amp;M1055&amp;N1055&amp;O1055&amp;P1055</f>
        <v>USR-10105445684TreatmentSouthMobileOrganicFree100001058.9</v>
      </c>
      <c r="S1055" s="22" t="str">
        <f>IF(COUNTIF($R$2:$R$1409,R1055)=1,"OK",IF(COUNTIF($R$2:$R$1409,R1055)&gt;1,"Exact Duplicate","Review Required"))</f>
        <v>OK</v>
      </c>
      <c r="T1055" s="22" t="s">
        <v>24</v>
      </c>
      <c r="U1055" s="22" t="s">
        <v>25</v>
      </c>
      <c r="V1055" s="22"/>
    </row>
    <row r="1056" spans="1:22" ht="41.4">
      <c r="A1056" s="22" t="s">
        <v>1087</v>
      </c>
      <c r="B1056" s="25">
        <v>45764</v>
      </c>
      <c r="C1056" s="22" t="s">
        <v>723</v>
      </c>
      <c r="D1056" s="22" t="s">
        <v>28</v>
      </c>
      <c r="E1056" s="22" t="s">
        <v>24</v>
      </c>
      <c r="F1056" s="22" t="s">
        <v>25</v>
      </c>
      <c r="G1056" s="22" t="s">
        <v>26</v>
      </c>
      <c r="H1056" s="22">
        <v>1</v>
      </c>
      <c r="I1056" s="22">
        <v>0</v>
      </c>
      <c r="J1056" s="22">
        <v>0</v>
      </c>
      <c r="K1056" s="22">
        <v>0</v>
      </c>
      <c r="L1056" s="22">
        <v>0</v>
      </c>
      <c r="M1056" s="22">
        <v>0</v>
      </c>
      <c r="N1056" s="22">
        <v>0</v>
      </c>
      <c r="O1056" s="22"/>
      <c r="P1056" s="22">
        <v>51.9</v>
      </c>
      <c r="Q1056" s="22" t="str">
        <f>IF(OR(L1056&lt;$Y$18,L1056&gt;$Y$19),"Outlier","Normal")</f>
        <v>Normal</v>
      </c>
      <c r="R1056" s="26" t="str">
        <f>A1056&amp;B1056&amp;C1056&amp;D1056&amp;E1056&amp;F1056&amp;G1056&amp;H1056&amp;I1056&amp;J1056&amp;K1056&amp;L1056&amp;M1056&amp;N1056&amp;O1056&amp;P1056</f>
        <v>USR-10105545764TreatmentEastMobileOrganicFree100000051.9</v>
      </c>
      <c r="S1056" s="22" t="str">
        <f>IF(COUNTIF($R$2:$R$1409,R1056)=1,"OK",IF(COUNTIF($R$2:$R$1409,R1056)&gt;1,"Exact Duplicate","Review Required"))</f>
        <v>OK</v>
      </c>
      <c r="T1056" s="22" t="s">
        <v>24</v>
      </c>
      <c r="U1056" s="22" t="s">
        <v>25</v>
      </c>
      <c r="V1056" s="22"/>
    </row>
    <row r="1057" spans="1:22" ht="41.4">
      <c r="A1057" s="22" t="s">
        <v>1088</v>
      </c>
      <c r="B1057" s="25">
        <v>45694</v>
      </c>
      <c r="C1057" s="22" t="s">
        <v>723</v>
      </c>
      <c r="D1057" s="22" t="s">
        <v>23</v>
      </c>
      <c r="E1057" s="22" t="s">
        <v>24</v>
      </c>
      <c r="F1057" s="22" t="s">
        <v>41</v>
      </c>
      <c r="G1057" s="22" t="s">
        <v>26</v>
      </c>
      <c r="H1057" s="22">
        <v>1</v>
      </c>
      <c r="I1057" s="22">
        <v>1</v>
      </c>
      <c r="J1057" s="22">
        <v>0</v>
      </c>
      <c r="K1057" s="22">
        <v>0</v>
      </c>
      <c r="L1057" s="22">
        <v>0</v>
      </c>
      <c r="M1057" s="22">
        <v>0</v>
      </c>
      <c r="N1057" s="22">
        <v>0</v>
      </c>
      <c r="O1057" s="22"/>
      <c r="P1057" s="22">
        <v>61.7</v>
      </c>
      <c r="Q1057" s="22" t="str">
        <f>IF(OR(L1057&lt;$Y$18,L1057&gt;$Y$19),"Outlier","Normal")</f>
        <v>Normal</v>
      </c>
      <c r="R1057" s="26" t="str">
        <f>A1057&amp;B1057&amp;C1057&amp;D1057&amp;E1057&amp;F1057&amp;G1057&amp;H1057&amp;I1057&amp;J1057&amp;K1057&amp;L1057&amp;M1057&amp;N1057&amp;O1057&amp;P1057</f>
        <v>USR-10105645694TreatmentWestMobileSocialFree110000061.7</v>
      </c>
      <c r="S1057" s="22" t="str">
        <f>IF(COUNTIF($R$2:$R$1409,R1057)=1,"OK",IF(COUNTIF($R$2:$R$1409,R1057)&gt;1,"Exact Duplicate","Review Required"))</f>
        <v>OK</v>
      </c>
      <c r="T1057" s="22" t="s">
        <v>24</v>
      </c>
      <c r="U1057" s="22" t="s">
        <v>41</v>
      </c>
      <c r="V1057" s="22"/>
    </row>
    <row r="1058" spans="1:22" ht="41.4">
      <c r="A1058" s="22" t="s">
        <v>1089</v>
      </c>
      <c r="B1058" s="25">
        <v>45767</v>
      </c>
      <c r="C1058" s="22" t="s">
        <v>723</v>
      </c>
      <c r="D1058" s="22" t="s">
        <v>32</v>
      </c>
      <c r="E1058" s="22" t="s">
        <v>24</v>
      </c>
      <c r="F1058" s="22" t="s">
        <v>29</v>
      </c>
      <c r="G1058" s="22" t="s">
        <v>26</v>
      </c>
      <c r="H1058" s="22">
        <v>1</v>
      </c>
      <c r="I1058" s="22">
        <v>0</v>
      </c>
      <c r="J1058" s="22">
        <v>0</v>
      </c>
      <c r="K1058" s="22">
        <v>0</v>
      </c>
      <c r="L1058" s="22">
        <v>0</v>
      </c>
      <c r="M1058" s="22">
        <v>0</v>
      </c>
      <c r="N1058" s="22">
        <v>0</v>
      </c>
      <c r="O1058" s="22"/>
      <c r="P1058" s="22">
        <v>44.7</v>
      </c>
      <c r="Q1058" s="22" t="str">
        <f>IF(OR(L1058&lt;$Y$18,L1058&gt;$Y$19),"Outlier","Normal")</f>
        <v>Normal</v>
      </c>
      <c r="R1058" s="26" t="str">
        <f>A1058&amp;B1058&amp;C1058&amp;D1058&amp;E1058&amp;F1058&amp;G1058&amp;H1058&amp;I1058&amp;J1058&amp;K1058&amp;L1058&amp;M1058&amp;N1058&amp;O1058&amp;P1058</f>
        <v>USR-10105745767TreatmentSouthMobilePaid SearchFree100000044.7</v>
      </c>
      <c r="S1058" s="22" t="str">
        <f>IF(COUNTIF($R$2:$R$1409,R1058)=1,"OK",IF(COUNTIF($R$2:$R$1409,R1058)&gt;1,"Exact Duplicate","Review Required"))</f>
        <v>OK</v>
      </c>
      <c r="T1058" s="22" t="s">
        <v>24</v>
      </c>
      <c r="U1058" s="22" t="s">
        <v>29</v>
      </c>
      <c r="V1058" s="22"/>
    </row>
    <row r="1059" spans="1:22" ht="41.4">
      <c r="A1059" s="22" t="s">
        <v>1090</v>
      </c>
      <c r="B1059" s="25">
        <v>45783</v>
      </c>
      <c r="C1059" s="22" t="s">
        <v>723</v>
      </c>
      <c r="D1059" s="22" t="s">
        <v>18</v>
      </c>
      <c r="E1059" s="22" t="s">
        <v>24</v>
      </c>
      <c r="F1059" s="22" t="s">
        <v>29</v>
      </c>
      <c r="G1059" s="22" t="s">
        <v>21</v>
      </c>
      <c r="H1059" s="22">
        <v>0</v>
      </c>
      <c r="I1059" s="22">
        <v>0</v>
      </c>
      <c r="J1059" s="22">
        <v>0</v>
      </c>
      <c r="K1059" s="22">
        <v>0</v>
      </c>
      <c r="L1059" s="22">
        <v>0</v>
      </c>
      <c r="M1059" s="22">
        <v>0</v>
      </c>
      <c r="N1059" s="22">
        <v>0</v>
      </c>
      <c r="O1059" s="22"/>
      <c r="P1059" s="22">
        <v>63.2</v>
      </c>
      <c r="Q1059" s="22" t="str">
        <f>IF(OR(L1059&lt;$Y$18,L1059&gt;$Y$19),"Outlier","Normal")</f>
        <v>Normal</v>
      </c>
      <c r="R1059" s="26" t="str">
        <f>A1059&amp;B1059&amp;C1059&amp;D1059&amp;E1059&amp;F1059&amp;G1059&amp;H1059&amp;I1059&amp;J1059&amp;K1059&amp;L1059&amp;M1059&amp;N1059&amp;O1059&amp;P1059</f>
        <v>USR-10105845783TreatmentNorthMobilePaid SearchBasic000000063.2</v>
      </c>
      <c r="S1059" s="22" t="str">
        <f>IF(COUNTIF($R$2:$R$1409,R1059)=1,"OK",IF(COUNTIF($R$2:$R$1409,R1059)&gt;1,"Exact Duplicate","Review Required"))</f>
        <v>OK</v>
      </c>
      <c r="T1059" s="22" t="s">
        <v>24</v>
      </c>
      <c r="U1059" s="22" t="s">
        <v>29</v>
      </c>
      <c r="V1059" s="22"/>
    </row>
    <row r="1060" spans="1:22" ht="41.4">
      <c r="A1060" s="22" t="s">
        <v>1091</v>
      </c>
      <c r="B1060" s="25">
        <v>45793</v>
      </c>
      <c r="C1060" s="22" t="s">
        <v>723</v>
      </c>
      <c r="D1060" s="22" t="s">
        <v>32</v>
      </c>
      <c r="E1060" s="22" t="s">
        <v>24</v>
      </c>
      <c r="F1060" s="22" t="s">
        <v>25</v>
      </c>
      <c r="G1060" s="22" t="s">
        <v>26</v>
      </c>
      <c r="H1060" s="22">
        <v>1</v>
      </c>
      <c r="I1060" s="22">
        <v>0</v>
      </c>
      <c r="J1060" s="22">
        <v>0</v>
      </c>
      <c r="K1060" s="22">
        <v>0</v>
      </c>
      <c r="L1060" s="22">
        <v>0</v>
      </c>
      <c r="M1060" s="22">
        <v>0</v>
      </c>
      <c r="N1060" s="22">
        <v>0</v>
      </c>
      <c r="O1060" s="22"/>
      <c r="P1060" s="22">
        <v>70.3</v>
      </c>
      <c r="Q1060" s="22" t="str">
        <f>IF(OR(L1060&lt;$Y$18,L1060&gt;$Y$19),"Outlier","Normal")</f>
        <v>Normal</v>
      </c>
      <c r="R1060" s="26" t="str">
        <f>A1060&amp;B1060&amp;C1060&amp;D1060&amp;E1060&amp;F1060&amp;G1060&amp;H1060&amp;I1060&amp;J1060&amp;K1060&amp;L1060&amp;M1060&amp;N1060&amp;O1060&amp;P1060</f>
        <v>USR-10105945793TreatmentSouthMobileOrganicFree100000070.3</v>
      </c>
      <c r="S1060" s="22" t="str">
        <f>IF(COUNTIF($R$2:$R$1409,R1060)=1,"OK",IF(COUNTIF($R$2:$R$1409,R1060)&gt;1,"Exact Duplicate","Review Required"))</f>
        <v>OK</v>
      </c>
      <c r="T1060" s="22" t="s">
        <v>24</v>
      </c>
      <c r="U1060" s="22" t="s">
        <v>25</v>
      </c>
      <c r="V1060" s="22"/>
    </row>
    <row r="1061" spans="1:22" ht="41.4">
      <c r="A1061" s="22" t="s">
        <v>1092</v>
      </c>
      <c r="B1061" s="25">
        <v>45718</v>
      </c>
      <c r="C1061" s="22" t="s">
        <v>723</v>
      </c>
      <c r="D1061" s="22" t="s">
        <v>32</v>
      </c>
      <c r="E1061" s="22" t="s">
        <v>24</v>
      </c>
      <c r="F1061" s="22" t="s">
        <v>29</v>
      </c>
      <c r="G1061" s="22" t="s">
        <v>30</v>
      </c>
      <c r="H1061" s="22">
        <v>1</v>
      </c>
      <c r="I1061" s="22">
        <v>1</v>
      </c>
      <c r="J1061" s="22">
        <v>0</v>
      </c>
      <c r="K1061" s="22">
        <v>0</v>
      </c>
      <c r="L1061" s="22">
        <v>0</v>
      </c>
      <c r="M1061" s="22">
        <v>1</v>
      </c>
      <c r="N1061" s="22">
        <v>0</v>
      </c>
      <c r="O1061" s="22"/>
      <c r="P1061" s="22">
        <v>83.1</v>
      </c>
      <c r="Q1061" s="22" t="str">
        <f>IF(OR(L1061&lt;$Y$18,L1061&gt;$Y$19),"Outlier","Normal")</f>
        <v>Normal</v>
      </c>
      <c r="R1061" s="26" t="str">
        <f>A1061&amp;B1061&amp;C1061&amp;D1061&amp;E1061&amp;F1061&amp;G1061&amp;H1061&amp;I1061&amp;J1061&amp;K1061&amp;L1061&amp;M1061&amp;N1061&amp;O1061&amp;P1061</f>
        <v>USR-10106045718TreatmentSouthMobilePaid SearchPremium110001083.1</v>
      </c>
      <c r="S1061" s="22" t="str">
        <f>IF(COUNTIF($R$2:$R$1409,R1061)=1,"OK",IF(COUNTIF($R$2:$R$1409,R1061)&gt;1,"Exact Duplicate","Review Required"))</f>
        <v>OK</v>
      </c>
      <c r="T1061" s="22" t="s">
        <v>24</v>
      </c>
      <c r="U1061" s="22" t="s">
        <v>29</v>
      </c>
      <c r="V1061" s="22"/>
    </row>
    <row r="1062" spans="1:22" ht="41.4">
      <c r="A1062" s="22" t="s">
        <v>1093</v>
      </c>
      <c r="B1062" s="25">
        <v>45756</v>
      </c>
      <c r="C1062" s="22" t="s">
        <v>723</v>
      </c>
      <c r="D1062" s="22" t="s">
        <v>23</v>
      </c>
      <c r="E1062" s="22" t="s">
        <v>24</v>
      </c>
      <c r="F1062" s="22" t="s">
        <v>41</v>
      </c>
      <c r="G1062" s="22" t="s">
        <v>26</v>
      </c>
      <c r="H1062" s="22">
        <v>0</v>
      </c>
      <c r="I1062" s="22">
        <v>0</v>
      </c>
      <c r="J1062" s="22">
        <v>0</v>
      </c>
      <c r="K1062" s="22">
        <v>0</v>
      </c>
      <c r="L1062" s="22">
        <v>0</v>
      </c>
      <c r="M1062" s="22">
        <v>0</v>
      </c>
      <c r="N1062" s="22">
        <v>0</v>
      </c>
      <c r="O1062" s="22"/>
      <c r="P1062" s="22">
        <v>50.3</v>
      </c>
      <c r="Q1062" s="22" t="str">
        <f>IF(OR(L1062&lt;$Y$18,L1062&gt;$Y$19),"Outlier","Normal")</f>
        <v>Normal</v>
      </c>
      <c r="R1062" s="26" t="str">
        <f>A1062&amp;B1062&amp;C1062&amp;D1062&amp;E1062&amp;F1062&amp;G1062&amp;H1062&amp;I1062&amp;J1062&amp;K1062&amp;L1062&amp;M1062&amp;N1062&amp;O1062&amp;P1062</f>
        <v>USR-10106145756TreatmentWestMobileSocialFree000000050.3</v>
      </c>
      <c r="S1062" s="22" t="str">
        <f>IF(COUNTIF($R$2:$R$1409,R1062)=1,"OK",IF(COUNTIF($R$2:$R$1409,R1062)&gt;1,"Exact Duplicate","Review Required"))</f>
        <v>OK</v>
      </c>
      <c r="T1062" s="22" t="s">
        <v>24</v>
      </c>
      <c r="U1062" s="22" t="s">
        <v>41</v>
      </c>
      <c r="V1062" s="22"/>
    </row>
    <row r="1063" spans="1:22" ht="55.2">
      <c r="A1063" s="22" t="s">
        <v>1094</v>
      </c>
      <c r="B1063" s="25">
        <v>45683</v>
      </c>
      <c r="C1063" s="22" t="s">
        <v>723</v>
      </c>
      <c r="D1063" s="22" t="s">
        <v>28</v>
      </c>
      <c r="E1063" s="22" t="s">
        <v>24</v>
      </c>
      <c r="F1063" s="22" t="s">
        <v>29</v>
      </c>
      <c r="G1063" s="22" t="s">
        <v>26</v>
      </c>
      <c r="H1063" s="22">
        <v>1</v>
      </c>
      <c r="I1063" s="22">
        <v>1</v>
      </c>
      <c r="J1063" s="22">
        <v>1</v>
      </c>
      <c r="K1063" s="22">
        <v>1</v>
      </c>
      <c r="L1063" s="22">
        <v>437.09</v>
      </c>
      <c r="M1063" s="22">
        <v>2</v>
      </c>
      <c r="N1063" s="22">
        <v>1</v>
      </c>
      <c r="O1063" s="22">
        <v>1</v>
      </c>
      <c r="P1063" s="22">
        <v>58.2</v>
      </c>
      <c r="Q1063" s="22" t="str">
        <f>IF(OR(L1063&lt;$Y$18,L1063&gt;$Y$19),"Outlier","Normal")</f>
        <v>Normal</v>
      </c>
      <c r="R1063" s="26" t="str">
        <f>A1063&amp;B1063&amp;C1063&amp;D1063&amp;E1063&amp;F1063&amp;G1063&amp;H1063&amp;I1063&amp;J1063&amp;K1063&amp;L1063&amp;M1063&amp;N1063&amp;O1063&amp;P1063</f>
        <v>USR-10106245683TreatmentEastMobilePaid SearchFree1111437.0921158.2</v>
      </c>
      <c r="S1063" s="22" t="str">
        <f>IF(COUNTIF($R$2:$R$1409,R1063)=1,"OK",IF(COUNTIF($R$2:$R$1409,R1063)&gt;1,"Exact Duplicate","Review Required"))</f>
        <v>OK</v>
      </c>
      <c r="T1063" s="22" t="s">
        <v>24</v>
      </c>
      <c r="U1063" s="22" t="s">
        <v>29</v>
      </c>
      <c r="V1063" s="22"/>
    </row>
    <row r="1064" spans="1:22" ht="41.4">
      <c r="A1064" s="22" t="s">
        <v>1095</v>
      </c>
      <c r="B1064" s="25">
        <v>45713</v>
      </c>
      <c r="C1064" s="22" t="s">
        <v>723</v>
      </c>
      <c r="D1064" s="22" t="s">
        <v>32</v>
      </c>
      <c r="E1064" s="22" t="s">
        <v>24</v>
      </c>
      <c r="F1064" s="22" t="s">
        <v>29</v>
      </c>
      <c r="G1064" s="22" t="s">
        <v>21</v>
      </c>
      <c r="H1064" s="22">
        <v>1</v>
      </c>
      <c r="I1064" s="22">
        <v>1</v>
      </c>
      <c r="J1064" s="22">
        <v>1</v>
      </c>
      <c r="K1064" s="22">
        <v>0</v>
      </c>
      <c r="L1064" s="22">
        <v>0</v>
      </c>
      <c r="M1064" s="22">
        <v>0</v>
      </c>
      <c r="N1064" s="22">
        <v>0</v>
      </c>
      <c r="O1064" s="22"/>
      <c r="P1064" s="22">
        <v>53.2</v>
      </c>
      <c r="Q1064" s="22" t="str">
        <f>IF(OR(L1064&lt;$Y$18,L1064&gt;$Y$19),"Outlier","Normal")</f>
        <v>Normal</v>
      </c>
      <c r="R1064" s="26" t="str">
        <f>A1064&amp;B1064&amp;C1064&amp;D1064&amp;E1064&amp;F1064&amp;G1064&amp;H1064&amp;I1064&amp;J1064&amp;K1064&amp;L1064&amp;M1064&amp;N1064&amp;O1064&amp;P1064</f>
        <v>USR-10106345713TreatmentSouthMobilePaid SearchBasic111000053.2</v>
      </c>
      <c r="S1064" s="22" t="str">
        <f>IF(COUNTIF($R$2:$R$1409,R1064)=1,"OK",IF(COUNTIF($R$2:$R$1409,R1064)&gt;1,"Exact Duplicate","Review Required"))</f>
        <v>OK</v>
      </c>
      <c r="T1064" s="22" t="s">
        <v>24</v>
      </c>
      <c r="U1064" s="22" t="s">
        <v>29</v>
      </c>
      <c r="V1064" s="22"/>
    </row>
    <row r="1065" spans="1:22" ht="41.4">
      <c r="A1065" s="22" t="s">
        <v>1096</v>
      </c>
      <c r="B1065" s="25">
        <v>45664</v>
      </c>
      <c r="C1065" s="22" t="s">
        <v>723</v>
      </c>
      <c r="D1065" s="22" t="s">
        <v>28</v>
      </c>
      <c r="E1065" s="22" t="s">
        <v>24</v>
      </c>
      <c r="F1065" s="22" t="s">
        <v>25</v>
      </c>
      <c r="G1065" s="22" t="s">
        <v>30</v>
      </c>
      <c r="H1065" s="22">
        <v>0</v>
      </c>
      <c r="I1065" s="22">
        <v>0</v>
      </c>
      <c r="J1065" s="22">
        <v>0</v>
      </c>
      <c r="K1065" s="22">
        <v>0</v>
      </c>
      <c r="L1065" s="22">
        <v>0</v>
      </c>
      <c r="M1065" s="22">
        <v>0</v>
      </c>
      <c r="N1065" s="22">
        <v>0</v>
      </c>
      <c r="O1065" s="22"/>
      <c r="P1065" s="22">
        <v>36.4</v>
      </c>
      <c r="Q1065" s="22" t="str">
        <f>IF(OR(L1065&lt;$Y$18,L1065&gt;$Y$19),"Outlier","Normal")</f>
        <v>Normal</v>
      </c>
      <c r="R1065" s="26" t="str">
        <f>A1065&amp;B1065&amp;C1065&amp;D1065&amp;E1065&amp;F1065&amp;G1065&amp;H1065&amp;I1065&amp;J1065&amp;K1065&amp;L1065&amp;M1065&amp;N1065&amp;O1065&amp;P1065</f>
        <v>USR-10106445664TreatmentEastMobileOrganicPremium000000036.4</v>
      </c>
      <c r="S1065" s="22" t="str">
        <f>IF(COUNTIF($R$2:$R$1409,R1065)=1,"OK",IF(COUNTIF($R$2:$R$1409,R1065)&gt;1,"Exact Duplicate","Review Required"))</f>
        <v>OK</v>
      </c>
      <c r="T1065" s="22" t="s">
        <v>24</v>
      </c>
      <c r="U1065" s="22" t="s">
        <v>25</v>
      </c>
      <c r="V1065" s="22"/>
    </row>
    <row r="1066" spans="1:22" ht="41.4">
      <c r="A1066" s="22" t="s">
        <v>1097</v>
      </c>
      <c r="B1066" s="25">
        <v>45724</v>
      </c>
      <c r="C1066" s="22" t="s">
        <v>723</v>
      </c>
      <c r="D1066" s="22" t="s">
        <v>32</v>
      </c>
      <c r="E1066" s="22" t="s">
        <v>24</v>
      </c>
      <c r="F1066" s="22" t="s">
        <v>41</v>
      </c>
      <c r="G1066" s="22" t="s">
        <v>21</v>
      </c>
      <c r="H1066" s="22">
        <v>1</v>
      </c>
      <c r="I1066" s="22">
        <v>1</v>
      </c>
      <c r="J1066" s="22">
        <v>1</v>
      </c>
      <c r="K1066" s="22">
        <v>0</v>
      </c>
      <c r="L1066" s="22">
        <v>0</v>
      </c>
      <c r="M1066" s="22">
        <v>0</v>
      </c>
      <c r="N1066" s="22">
        <v>0</v>
      </c>
      <c r="O1066" s="22"/>
      <c r="P1066" s="22">
        <v>72.7</v>
      </c>
      <c r="Q1066" s="22" t="str">
        <f>IF(OR(L1066&lt;$Y$18,L1066&gt;$Y$19),"Outlier","Normal")</f>
        <v>Normal</v>
      </c>
      <c r="R1066" s="26" t="str">
        <f>A1066&amp;B1066&amp;C1066&amp;D1066&amp;E1066&amp;F1066&amp;G1066&amp;H1066&amp;I1066&amp;J1066&amp;K1066&amp;L1066&amp;M1066&amp;N1066&amp;O1066&amp;P1066</f>
        <v>USR-10106545724TreatmentSouthMobileSocialBasic111000072.7</v>
      </c>
      <c r="S1066" s="22" t="str">
        <f>IF(COUNTIF($R$2:$R$1409,R1066)=1,"OK",IF(COUNTIF($R$2:$R$1409,R1066)&gt;1,"Exact Duplicate","Review Required"))</f>
        <v>OK</v>
      </c>
      <c r="T1066" s="22" t="s">
        <v>24</v>
      </c>
      <c r="U1066" s="22" t="s">
        <v>41</v>
      </c>
      <c r="V1066" s="22"/>
    </row>
    <row r="1067" spans="1:22" ht="41.4">
      <c r="A1067" s="22" t="s">
        <v>1098</v>
      </c>
      <c r="B1067" s="25">
        <v>45799</v>
      </c>
      <c r="C1067" s="22" t="s">
        <v>723</v>
      </c>
      <c r="D1067" s="22" t="s">
        <v>28</v>
      </c>
      <c r="E1067" s="22" t="s">
        <v>24</v>
      </c>
      <c r="F1067" s="22" t="s">
        <v>39</v>
      </c>
      <c r="G1067" s="22" t="s">
        <v>26</v>
      </c>
      <c r="H1067" s="22">
        <v>1</v>
      </c>
      <c r="I1067" s="22">
        <v>0</v>
      </c>
      <c r="J1067" s="22">
        <v>0</v>
      </c>
      <c r="K1067" s="22">
        <v>0</v>
      </c>
      <c r="L1067" s="22">
        <v>0</v>
      </c>
      <c r="M1067" s="22">
        <v>1</v>
      </c>
      <c r="N1067" s="22">
        <v>0</v>
      </c>
      <c r="O1067" s="22"/>
      <c r="P1067" s="22">
        <v>86.7</v>
      </c>
      <c r="Q1067" s="22" t="str">
        <f>IF(OR(L1067&lt;$Y$18,L1067&gt;$Y$19),"Outlier","Normal")</f>
        <v>Normal</v>
      </c>
      <c r="R1067" s="26" t="str">
        <f>A1067&amp;B1067&amp;C1067&amp;D1067&amp;E1067&amp;F1067&amp;G1067&amp;H1067&amp;I1067&amp;J1067&amp;K1067&amp;L1067&amp;M1067&amp;N1067&amp;O1067&amp;P1067</f>
        <v>USR-10106645799TreatmentEastMobileReferralFree100001086.7</v>
      </c>
      <c r="S1067" s="22" t="str">
        <f>IF(COUNTIF($R$2:$R$1409,R1067)=1,"OK",IF(COUNTIF($R$2:$R$1409,R1067)&gt;1,"Exact Duplicate","Review Required"))</f>
        <v>OK</v>
      </c>
      <c r="T1067" s="22" t="s">
        <v>24</v>
      </c>
      <c r="U1067" s="22" t="s">
        <v>39</v>
      </c>
      <c r="V1067" s="22"/>
    </row>
    <row r="1068" spans="1:22" ht="41.4">
      <c r="A1068" s="22" t="s">
        <v>1099</v>
      </c>
      <c r="B1068" s="25">
        <v>45765</v>
      </c>
      <c r="C1068" s="22" t="s">
        <v>723</v>
      </c>
      <c r="D1068" s="22" t="s">
        <v>28</v>
      </c>
      <c r="E1068" s="22" t="s">
        <v>24</v>
      </c>
      <c r="F1068" s="22" t="s">
        <v>29</v>
      </c>
      <c r="G1068" s="22" t="s">
        <v>30</v>
      </c>
      <c r="H1068" s="22">
        <v>1</v>
      </c>
      <c r="I1068" s="22">
        <v>0</v>
      </c>
      <c r="J1068" s="22">
        <v>0</v>
      </c>
      <c r="K1068" s="22">
        <v>0</v>
      </c>
      <c r="L1068" s="22">
        <v>0</v>
      </c>
      <c r="M1068" s="22">
        <v>0</v>
      </c>
      <c r="N1068" s="22">
        <v>0</v>
      </c>
      <c r="O1068" s="22"/>
      <c r="P1068" s="22">
        <v>48.2</v>
      </c>
      <c r="Q1068" s="22" t="str">
        <f>IF(OR(L1068&lt;$Y$18,L1068&gt;$Y$19),"Outlier","Normal")</f>
        <v>Normal</v>
      </c>
      <c r="R1068" s="26" t="str">
        <f>A1068&amp;B1068&amp;C1068&amp;D1068&amp;E1068&amp;F1068&amp;G1068&amp;H1068&amp;I1068&amp;J1068&amp;K1068&amp;L1068&amp;M1068&amp;N1068&amp;O1068&amp;P1068</f>
        <v>USR-10106745765TreatmentEastMobilePaid SearchPremium100000048.2</v>
      </c>
      <c r="S1068" s="22" t="str">
        <f>IF(COUNTIF($R$2:$R$1409,R1068)=1,"OK",IF(COUNTIF($R$2:$R$1409,R1068)&gt;1,"Exact Duplicate","Review Required"))</f>
        <v>OK</v>
      </c>
      <c r="T1068" s="22" t="s">
        <v>24</v>
      </c>
      <c r="U1068" s="22" t="s">
        <v>29</v>
      </c>
      <c r="V1068" s="22"/>
    </row>
    <row r="1069" spans="1:22" ht="41.4">
      <c r="A1069" s="22" t="s">
        <v>1100</v>
      </c>
      <c r="B1069" s="25">
        <v>45712</v>
      </c>
      <c r="C1069" s="22" t="s">
        <v>723</v>
      </c>
      <c r="D1069" s="22" t="s">
        <v>23</v>
      </c>
      <c r="E1069" s="22" t="s">
        <v>24</v>
      </c>
      <c r="F1069" s="22" t="s">
        <v>39</v>
      </c>
      <c r="G1069" s="22" t="s">
        <v>21</v>
      </c>
      <c r="H1069" s="22">
        <v>0</v>
      </c>
      <c r="I1069" s="22">
        <v>0</v>
      </c>
      <c r="J1069" s="22">
        <v>0</v>
      </c>
      <c r="K1069" s="22">
        <v>0</v>
      </c>
      <c r="L1069" s="22">
        <v>0</v>
      </c>
      <c r="M1069" s="22">
        <v>1</v>
      </c>
      <c r="N1069" s="22">
        <v>0</v>
      </c>
      <c r="O1069" s="22"/>
      <c r="P1069" s="22">
        <v>57.6</v>
      </c>
      <c r="Q1069" s="22" t="str">
        <f>IF(OR(L1069&lt;$Y$18,L1069&gt;$Y$19),"Outlier","Normal")</f>
        <v>Normal</v>
      </c>
      <c r="R1069" s="26" t="str">
        <f>A1069&amp;B1069&amp;C1069&amp;D1069&amp;E1069&amp;F1069&amp;G1069&amp;H1069&amp;I1069&amp;J1069&amp;K1069&amp;L1069&amp;M1069&amp;N1069&amp;O1069&amp;P1069</f>
        <v>USR-10106845712TreatmentWestMobileReferralBasic000001057.6</v>
      </c>
      <c r="S1069" s="22" t="str">
        <f>IF(COUNTIF($R$2:$R$1409,R1069)=1,"OK",IF(COUNTIF($R$2:$R$1409,R1069)&gt;1,"Exact Duplicate","Review Required"))</f>
        <v>OK</v>
      </c>
      <c r="T1069" s="22" t="s">
        <v>24</v>
      </c>
      <c r="U1069" s="22" t="s">
        <v>39</v>
      </c>
      <c r="V1069" s="22"/>
    </row>
    <row r="1070" spans="1:22" ht="41.4">
      <c r="A1070" s="22" t="s">
        <v>1101</v>
      </c>
      <c r="B1070" s="25">
        <v>45699</v>
      </c>
      <c r="C1070" s="22" t="s">
        <v>723</v>
      </c>
      <c r="D1070" s="22" t="s">
        <v>18</v>
      </c>
      <c r="E1070" s="22" t="s">
        <v>24</v>
      </c>
      <c r="F1070" s="22" t="s">
        <v>25</v>
      </c>
      <c r="G1070" s="22" t="s">
        <v>26</v>
      </c>
      <c r="H1070" s="22">
        <v>1</v>
      </c>
      <c r="I1070" s="22">
        <v>1</v>
      </c>
      <c r="J1070" s="22">
        <v>1</v>
      </c>
      <c r="K1070" s="22">
        <v>0</v>
      </c>
      <c r="L1070" s="22">
        <v>0</v>
      </c>
      <c r="M1070" s="22">
        <v>0</v>
      </c>
      <c r="N1070" s="22">
        <v>0</v>
      </c>
      <c r="O1070" s="22"/>
      <c r="P1070" s="22">
        <v>75.7</v>
      </c>
      <c r="Q1070" s="22" t="str">
        <f>IF(OR(L1070&lt;$Y$18,L1070&gt;$Y$19),"Outlier","Normal")</f>
        <v>Normal</v>
      </c>
      <c r="R1070" s="26" t="str">
        <f>A1070&amp;B1070&amp;C1070&amp;D1070&amp;E1070&amp;F1070&amp;G1070&amp;H1070&amp;I1070&amp;J1070&amp;K1070&amp;L1070&amp;M1070&amp;N1070&amp;O1070&amp;P1070</f>
        <v>USR-10106945699TreatmentNorthMobileOrganicFree111000075.7</v>
      </c>
      <c r="S1070" s="22" t="str">
        <f>IF(COUNTIF($R$2:$R$1409,R1070)=1,"OK",IF(COUNTIF($R$2:$R$1409,R1070)&gt;1,"Exact Duplicate","Review Required"))</f>
        <v>OK</v>
      </c>
      <c r="T1070" s="22" t="s">
        <v>24</v>
      </c>
      <c r="U1070" s="22" t="s">
        <v>25</v>
      </c>
      <c r="V1070" s="22"/>
    </row>
    <row r="1071" spans="1:22" ht="41.4">
      <c r="A1071" s="22" t="s">
        <v>1102</v>
      </c>
      <c r="B1071" s="25">
        <v>45727</v>
      </c>
      <c r="C1071" s="22" t="s">
        <v>723</v>
      </c>
      <c r="D1071" s="22" t="s">
        <v>23</v>
      </c>
      <c r="E1071" s="22" t="s">
        <v>19</v>
      </c>
      <c r="F1071" s="22" t="s">
        <v>29</v>
      </c>
      <c r="G1071" s="22" t="s">
        <v>26</v>
      </c>
      <c r="H1071" s="22">
        <v>1</v>
      </c>
      <c r="I1071" s="22">
        <v>0</v>
      </c>
      <c r="J1071" s="22">
        <v>0</v>
      </c>
      <c r="K1071" s="22">
        <v>0</v>
      </c>
      <c r="L1071" s="22">
        <v>0</v>
      </c>
      <c r="M1071" s="22">
        <v>2</v>
      </c>
      <c r="N1071" s="22">
        <v>0</v>
      </c>
      <c r="O1071" s="22"/>
      <c r="P1071" s="22">
        <v>48.6</v>
      </c>
      <c r="Q1071" s="22" t="str">
        <f>IF(OR(L1071&lt;$Y$18,L1071&gt;$Y$19),"Outlier","Normal")</f>
        <v>Normal</v>
      </c>
      <c r="R1071" s="26" t="str">
        <f>A1071&amp;B1071&amp;C1071&amp;D1071&amp;E1071&amp;F1071&amp;G1071&amp;H1071&amp;I1071&amp;J1071&amp;K1071&amp;L1071&amp;M1071&amp;N1071&amp;O1071&amp;P1071</f>
        <v>USR-10107045727TreatmentWestDesktopPaid SearchFree100002048.6</v>
      </c>
      <c r="S1071" s="22" t="str">
        <f>IF(COUNTIF($R$2:$R$1409,R1071)=1,"OK",IF(COUNTIF($R$2:$R$1409,R1071)&gt;1,"Exact Duplicate","Review Required"))</f>
        <v>OK</v>
      </c>
      <c r="T1071" s="22" t="s">
        <v>19</v>
      </c>
      <c r="U1071" s="22" t="s">
        <v>29</v>
      </c>
      <c r="V1071" s="22"/>
    </row>
    <row r="1072" spans="1:22" ht="41.4">
      <c r="A1072" s="22" t="s">
        <v>1103</v>
      </c>
      <c r="B1072" s="25">
        <v>45758</v>
      </c>
      <c r="C1072" s="22" t="s">
        <v>723</v>
      </c>
      <c r="D1072" s="22" t="s">
        <v>28</v>
      </c>
      <c r="E1072" s="22" t="s">
        <v>34</v>
      </c>
      <c r="F1072" s="22" t="s">
        <v>39</v>
      </c>
      <c r="G1072" s="22" t="s">
        <v>26</v>
      </c>
      <c r="H1072" s="22">
        <v>1</v>
      </c>
      <c r="I1072" s="22">
        <v>1</v>
      </c>
      <c r="J1072" s="22">
        <v>1</v>
      </c>
      <c r="K1072" s="22">
        <v>0</v>
      </c>
      <c r="L1072" s="22">
        <v>0</v>
      </c>
      <c r="M1072" s="22">
        <v>0</v>
      </c>
      <c r="N1072" s="22">
        <v>0</v>
      </c>
      <c r="O1072" s="22"/>
      <c r="P1072" s="22">
        <v>72</v>
      </c>
      <c r="Q1072" s="22" t="str">
        <f>IF(OR(L1072&lt;$Y$18,L1072&gt;$Y$19),"Outlier","Normal")</f>
        <v>Normal</v>
      </c>
      <c r="R1072" s="26" t="str">
        <f>A1072&amp;B1072&amp;C1072&amp;D1072&amp;E1072&amp;F1072&amp;G1072&amp;H1072&amp;I1072&amp;J1072&amp;K1072&amp;L1072&amp;M1072&amp;N1072&amp;O1072&amp;P1072</f>
        <v>USR-10107145758TreatmentEastTabletReferralFree111000072</v>
      </c>
      <c r="S1072" s="22" t="str">
        <f>IF(COUNTIF($R$2:$R$1409,R1072)=1,"OK",IF(COUNTIF($R$2:$R$1409,R1072)&gt;1,"Exact Duplicate","Review Required"))</f>
        <v>OK</v>
      </c>
      <c r="T1072" s="22" t="s">
        <v>34</v>
      </c>
      <c r="U1072" s="22" t="s">
        <v>39</v>
      </c>
      <c r="V1072" s="22"/>
    </row>
    <row r="1073" spans="1:22" ht="41.4">
      <c r="A1073" s="22" t="s">
        <v>1104</v>
      </c>
      <c r="B1073" s="25">
        <v>45727</v>
      </c>
      <c r="C1073" s="22" t="s">
        <v>723</v>
      </c>
      <c r="D1073" s="22" t="s">
        <v>18</v>
      </c>
      <c r="E1073" s="22" t="s">
        <v>24</v>
      </c>
      <c r="F1073" s="22" t="s">
        <v>25</v>
      </c>
      <c r="G1073" s="22" t="s">
        <v>26</v>
      </c>
      <c r="H1073" s="22">
        <v>0</v>
      </c>
      <c r="I1073" s="22">
        <v>0</v>
      </c>
      <c r="J1073" s="22">
        <v>0</v>
      </c>
      <c r="K1073" s="22">
        <v>0</v>
      </c>
      <c r="L1073" s="22">
        <v>0</v>
      </c>
      <c r="M1073" s="22">
        <v>0</v>
      </c>
      <c r="N1073" s="22">
        <v>0</v>
      </c>
      <c r="O1073" s="22"/>
      <c r="P1073" s="22">
        <v>72.2</v>
      </c>
      <c r="Q1073" s="22" t="str">
        <f>IF(OR(L1073&lt;$Y$18,L1073&gt;$Y$19),"Outlier","Normal")</f>
        <v>Normal</v>
      </c>
      <c r="R1073" s="26" t="str">
        <f>A1073&amp;B1073&amp;C1073&amp;D1073&amp;E1073&amp;F1073&amp;G1073&amp;H1073&amp;I1073&amp;J1073&amp;K1073&amp;L1073&amp;M1073&amp;N1073&amp;O1073&amp;P1073</f>
        <v>USR-10107245727TreatmentNorthMobileOrganicFree000000072.2</v>
      </c>
      <c r="S1073" s="22" t="str">
        <f>IF(COUNTIF($R$2:$R$1409,R1073)=1,"OK",IF(COUNTIF($R$2:$R$1409,R1073)&gt;1,"Exact Duplicate","Review Required"))</f>
        <v>OK</v>
      </c>
      <c r="T1073" s="22" t="s">
        <v>24</v>
      </c>
      <c r="U1073" s="22" t="s">
        <v>25</v>
      </c>
      <c r="V1073" s="22"/>
    </row>
    <row r="1074" spans="1:22" ht="41.4">
      <c r="A1074" s="22" t="s">
        <v>1105</v>
      </c>
      <c r="B1074" s="25">
        <v>45799</v>
      </c>
      <c r="C1074" s="22" t="s">
        <v>723</v>
      </c>
      <c r="D1074" s="22" t="s">
        <v>28</v>
      </c>
      <c r="E1074" s="22" t="s">
        <v>24</v>
      </c>
      <c r="F1074" s="22" t="s">
        <v>39</v>
      </c>
      <c r="G1074" s="22" t="s">
        <v>26</v>
      </c>
      <c r="H1074" s="22">
        <v>1</v>
      </c>
      <c r="I1074" s="22">
        <v>0</v>
      </c>
      <c r="J1074" s="22">
        <v>0</v>
      </c>
      <c r="K1074" s="22">
        <v>0</v>
      </c>
      <c r="L1074" s="22">
        <v>0</v>
      </c>
      <c r="M1074" s="22">
        <v>1</v>
      </c>
      <c r="N1074" s="22">
        <v>0</v>
      </c>
      <c r="O1074" s="22"/>
      <c r="P1074" s="22"/>
      <c r="Q1074" s="22" t="str">
        <f>IF(OR(L1074&lt;$Y$18,L1074&gt;$Y$19),"Outlier","Normal")</f>
        <v>Normal</v>
      </c>
      <c r="R1074" s="26" t="str">
        <f>A1074&amp;B1074&amp;C1074&amp;D1074&amp;E1074&amp;F1074&amp;G1074&amp;H1074&amp;I1074&amp;J1074&amp;K1074&amp;L1074&amp;M1074&amp;N1074&amp;O1074&amp;P1074</f>
        <v>USR-10107345799TreatmentEastMobileReferralFree1000010</v>
      </c>
      <c r="S1074" s="22" t="str">
        <f>IF(COUNTIF($R$2:$R$1409,R1074)=1,"OK",IF(COUNTIF($R$2:$R$1409,R1074)&gt;1,"Exact Duplicate","Review Required"))</f>
        <v>OK</v>
      </c>
      <c r="T1074" s="22" t="s">
        <v>24</v>
      </c>
      <c r="U1074" s="22" t="s">
        <v>39</v>
      </c>
      <c r="V1074" s="22"/>
    </row>
    <row r="1075" spans="1:22" ht="41.4">
      <c r="A1075" s="22" t="s">
        <v>1106</v>
      </c>
      <c r="B1075" s="25">
        <v>45710</v>
      </c>
      <c r="C1075" s="22" t="s">
        <v>723</v>
      </c>
      <c r="D1075" s="22" t="s">
        <v>32</v>
      </c>
      <c r="E1075" s="22" t="s">
        <v>19</v>
      </c>
      <c r="F1075" s="22" t="s">
        <v>25</v>
      </c>
      <c r="G1075" s="22" t="s">
        <v>26</v>
      </c>
      <c r="H1075" s="22">
        <v>1</v>
      </c>
      <c r="I1075" s="22">
        <v>1</v>
      </c>
      <c r="J1075" s="22">
        <v>1</v>
      </c>
      <c r="K1075" s="22">
        <v>1</v>
      </c>
      <c r="L1075" s="22">
        <v>331.53</v>
      </c>
      <c r="M1075" s="22">
        <v>2</v>
      </c>
      <c r="N1075" s="22">
        <v>0</v>
      </c>
      <c r="O1075" s="22">
        <v>4</v>
      </c>
      <c r="P1075" s="22">
        <v>56.8</v>
      </c>
      <c r="Q1075" s="22" t="str">
        <f>IF(OR(L1075&lt;$Y$18,L1075&gt;$Y$19),"Outlier","Normal")</f>
        <v>Normal</v>
      </c>
      <c r="R1075" s="26" t="str">
        <f>A1075&amp;B1075&amp;C1075&amp;D1075&amp;E1075&amp;F1075&amp;G1075&amp;H1075&amp;I1075&amp;J1075&amp;K1075&amp;L1075&amp;M1075&amp;N1075&amp;O1075&amp;P1075</f>
        <v>USR-10107445710TreatmentSouthDesktopOrganicFree1111331.5320456.8</v>
      </c>
      <c r="S1075" s="22" t="str">
        <f>IF(COUNTIF($R$2:$R$1409,R1075)=1,"OK",IF(COUNTIF($R$2:$R$1409,R1075)&gt;1,"Exact Duplicate","Review Required"))</f>
        <v>OK</v>
      </c>
      <c r="T1075" s="22" t="s">
        <v>19</v>
      </c>
      <c r="U1075" s="22" t="s">
        <v>25</v>
      </c>
      <c r="V1075" s="22"/>
    </row>
    <row r="1076" spans="1:22" ht="41.4">
      <c r="A1076" s="22" t="s">
        <v>1107</v>
      </c>
      <c r="B1076" s="25">
        <v>45670</v>
      </c>
      <c r="C1076" s="22" t="s">
        <v>723</v>
      </c>
      <c r="D1076" s="22" t="s">
        <v>28</v>
      </c>
      <c r="E1076" s="22" t="s">
        <v>24</v>
      </c>
      <c r="F1076" s="22" t="s">
        <v>29</v>
      </c>
      <c r="G1076" s="22" t="s">
        <v>21</v>
      </c>
      <c r="H1076" s="22">
        <v>1</v>
      </c>
      <c r="I1076" s="22">
        <v>0</v>
      </c>
      <c r="J1076" s="22">
        <v>0</v>
      </c>
      <c r="K1076" s="22">
        <v>0</v>
      </c>
      <c r="L1076" s="22">
        <v>0</v>
      </c>
      <c r="M1076" s="22">
        <v>0</v>
      </c>
      <c r="N1076" s="22">
        <v>0</v>
      </c>
      <c r="O1076" s="22"/>
      <c r="P1076" s="22">
        <v>62.5</v>
      </c>
      <c r="Q1076" s="22" t="str">
        <f>IF(OR(L1076&lt;$Y$18,L1076&gt;$Y$19),"Outlier","Normal")</f>
        <v>Normal</v>
      </c>
      <c r="R1076" s="26" t="str">
        <f>A1076&amp;B1076&amp;C1076&amp;D1076&amp;E1076&amp;F1076&amp;G1076&amp;H1076&amp;I1076&amp;J1076&amp;K1076&amp;L1076&amp;M1076&amp;N1076&amp;O1076&amp;P1076</f>
        <v>USR-10107545670TreatmentEastMobilePaid SearchBasic100000062.5</v>
      </c>
      <c r="S1076" s="22" t="str">
        <f>IF(COUNTIF($R$2:$R$1409,R1076)=1,"OK",IF(COUNTIF($R$2:$R$1409,R1076)&gt;1,"Exact Duplicate","Review Required"))</f>
        <v>OK</v>
      </c>
      <c r="T1076" s="22" t="s">
        <v>24</v>
      </c>
      <c r="U1076" s="22" t="s">
        <v>29</v>
      </c>
      <c r="V1076" s="22"/>
    </row>
    <row r="1077" spans="1:22" ht="41.4">
      <c r="A1077" s="22" t="s">
        <v>1108</v>
      </c>
      <c r="B1077" s="25">
        <v>45796</v>
      </c>
      <c r="C1077" s="22" t="s">
        <v>723</v>
      </c>
      <c r="D1077" s="22" t="s">
        <v>32</v>
      </c>
      <c r="E1077" s="22" t="s">
        <v>24</v>
      </c>
      <c r="F1077" s="22" t="s">
        <v>25</v>
      </c>
      <c r="G1077" s="22" t="s">
        <v>26</v>
      </c>
      <c r="H1077" s="22">
        <v>1</v>
      </c>
      <c r="I1077" s="22">
        <v>0</v>
      </c>
      <c r="J1077" s="22">
        <v>0</v>
      </c>
      <c r="K1077" s="22">
        <v>0</v>
      </c>
      <c r="L1077" s="22">
        <v>0</v>
      </c>
      <c r="M1077" s="22">
        <v>0</v>
      </c>
      <c r="N1077" s="22">
        <v>0</v>
      </c>
      <c r="O1077" s="22"/>
      <c r="P1077" s="22">
        <v>63.4</v>
      </c>
      <c r="Q1077" s="22" t="str">
        <f>IF(OR(L1077&lt;$Y$18,L1077&gt;$Y$19),"Outlier","Normal")</f>
        <v>Normal</v>
      </c>
      <c r="R1077" s="26" t="str">
        <f>A1077&amp;B1077&amp;C1077&amp;D1077&amp;E1077&amp;F1077&amp;G1077&amp;H1077&amp;I1077&amp;J1077&amp;K1077&amp;L1077&amp;M1077&amp;N1077&amp;O1077&amp;P1077</f>
        <v>USR-10107645796TreatmentSouthMobileOrganicFree100000063.4</v>
      </c>
      <c r="S1077" s="22" t="str">
        <f>IF(COUNTIF($R$2:$R$1409,R1077)=1,"OK",IF(COUNTIF($R$2:$R$1409,R1077)&gt;1,"Exact Duplicate","Review Required"))</f>
        <v>OK</v>
      </c>
      <c r="T1077" s="22" t="s">
        <v>24</v>
      </c>
      <c r="U1077" s="22" t="s">
        <v>25</v>
      </c>
      <c r="V1077" s="22"/>
    </row>
    <row r="1078" spans="1:22" ht="41.4">
      <c r="A1078" s="22" t="s">
        <v>1109</v>
      </c>
      <c r="B1078" s="25">
        <v>45724</v>
      </c>
      <c r="C1078" s="22" t="s">
        <v>723</v>
      </c>
      <c r="D1078" s="22" t="s">
        <v>18</v>
      </c>
      <c r="E1078" s="22" t="s">
        <v>34</v>
      </c>
      <c r="F1078" s="22" t="s">
        <v>25</v>
      </c>
      <c r="G1078" s="22" t="s">
        <v>21</v>
      </c>
      <c r="H1078" s="22">
        <v>1</v>
      </c>
      <c r="I1078" s="22">
        <v>1</v>
      </c>
      <c r="J1078" s="22">
        <v>1</v>
      </c>
      <c r="K1078" s="22">
        <v>1</v>
      </c>
      <c r="L1078" s="22">
        <v>774.78</v>
      </c>
      <c r="M1078" s="22">
        <v>0</v>
      </c>
      <c r="N1078" s="22">
        <v>0</v>
      </c>
      <c r="O1078" s="22">
        <v>3</v>
      </c>
      <c r="P1078" s="22">
        <v>46.8</v>
      </c>
      <c r="Q1078" s="22" t="str">
        <f>IF(OR(L1078&lt;$Y$18,L1078&gt;$Y$19),"Outlier","Normal")</f>
        <v>Normal</v>
      </c>
      <c r="R1078" s="26" t="str">
        <f>A1078&amp;B1078&amp;C1078&amp;D1078&amp;E1078&amp;F1078&amp;G1078&amp;H1078&amp;I1078&amp;J1078&amp;K1078&amp;L1078&amp;M1078&amp;N1078&amp;O1078&amp;P1078</f>
        <v>USR-10107745724TreatmentNorthTabletOrganicBasic1111774.7800346.8</v>
      </c>
      <c r="S1078" s="22" t="str">
        <f>IF(COUNTIF($R$2:$R$1409,R1078)=1,"OK",IF(COUNTIF($R$2:$R$1409,R1078)&gt;1,"Exact Duplicate","Review Required"))</f>
        <v>OK</v>
      </c>
      <c r="T1078" s="22" t="s">
        <v>34</v>
      </c>
      <c r="U1078" s="22" t="s">
        <v>25</v>
      </c>
      <c r="V1078" s="22"/>
    </row>
    <row r="1079" spans="1:22" ht="41.4">
      <c r="A1079" s="22" t="s">
        <v>1110</v>
      </c>
      <c r="B1079" s="25">
        <v>45767</v>
      </c>
      <c r="C1079" s="22" t="s">
        <v>723</v>
      </c>
      <c r="D1079" s="22" t="s">
        <v>32</v>
      </c>
      <c r="E1079" s="22" t="s">
        <v>24</v>
      </c>
      <c r="F1079" s="22" t="s">
        <v>25</v>
      </c>
      <c r="G1079" s="22" t="s">
        <v>26</v>
      </c>
      <c r="H1079" s="22">
        <v>1</v>
      </c>
      <c r="I1079" s="22">
        <v>1</v>
      </c>
      <c r="J1079" s="22">
        <v>1</v>
      </c>
      <c r="K1079" s="22">
        <v>1</v>
      </c>
      <c r="L1079" s="22">
        <v>422.02</v>
      </c>
      <c r="M1079" s="22">
        <v>0</v>
      </c>
      <c r="N1079" s="22">
        <v>0</v>
      </c>
      <c r="O1079" s="22">
        <v>8</v>
      </c>
      <c r="P1079" s="22">
        <v>86.5</v>
      </c>
      <c r="Q1079" s="22" t="str">
        <f>IF(OR(L1079&lt;$Y$18,L1079&gt;$Y$19),"Outlier","Normal")</f>
        <v>Normal</v>
      </c>
      <c r="R1079" s="26" t="str">
        <f>A1079&amp;B1079&amp;C1079&amp;D1079&amp;E1079&amp;F1079&amp;G1079&amp;H1079&amp;I1079&amp;J1079&amp;K1079&amp;L1079&amp;M1079&amp;N1079&amp;O1079&amp;P1079</f>
        <v>USR-10107845767TreatmentSouthMobileOrganicFree1111422.0200886.5</v>
      </c>
      <c r="S1079" s="22" t="str">
        <f>IF(COUNTIF($R$2:$R$1409,R1079)=1,"OK",IF(COUNTIF($R$2:$R$1409,R1079)&gt;1,"Exact Duplicate","Review Required"))</f>
        <v>OK</v>
      </c>
      <c r="T1079" s="22" t="s">
        <v>24</v>
      </c>
      <c r="U1079" s="22" t="s">
        <v>25</v>
      </c>
      <c r="V1079" s="22"/>
    </row>
    <row r="1080" spans="1:22" ht="41.4">
      <c r="A1080" s="22" t="s">
        <v>1111</v>
      </c>
      <c r="B1080" s="25">
        <v>45785</v>
      </c>
      <c r="C1080" s="22" t="s">
        <v>723</v>
      </c>
      <c r="D1080" s="22" t="s">
        <v>23</v>
      </c>
      <c r="E1080" s="22" t="s">
        <v>24</v>
      </c>
      <c r="F1080" s="22" t="s">
        <v>20</v>
      </c>
      <c r="G1080" s="22" t="s">
        <v>21</v>
      </c>
      <c r="H1080" s="22">
        <v>0</v>
      </c>
      <c r="I1080" s="22">
        <v>0</v>
      </c>
      <c r="J1080" s="22">
        <v>0</v>
      </c>
      <c r="K1080" s="22">
        <v>0</v>
      </c>
      <c r="L1080" s="22">
        <v>0</v>
      </c>
      <c r="M1080" s="22">
        <v>1</v>
      </c>
      <c r="N1080" s="22">
        <v>0</v>
      </c>
      <c r="O1080" s="22"/>
      <c r="P1080" s="22">
        <v>75.099999999999994</v>
      </c>
      <c r="Q1080" s="22" t="str">
        <f>IF(OR(L1080&lt;$Y$18,L1080&gt;$Y$19),"Outlier","Normal")</f>
        <v>Normal</v>
      </c>
      <c r="R1080" s="26" t="str">
        <f>A1080&amp;B1080&amp;C1080&amp;D1080&amp;E1080&amp;F1080&amp;G1080&amp;H1080&amp;I1080&amp;J1080&amp;K1080&amp;L1080&amp;M1080&amp;N1080&amp;O1080&amp;P1080</f>
        <v>USR-10107945785TreatmentWestMobileEmailBasic000001075.1</v>
      </c>
      <c r="S1080" s="22" t="str">
        <f>IF(COUNTIF($R$2:$R$1409,R1080)=1,"OK",IF(COUNTIF($R$2:$R$1409,R1080)&gt;1,"Exact Duplicate","Review Required"))</f>
        <v>OK</v>
      </c>
      <c r="T1080" s="22" t="s">
        <v>24</v>
      </c>
      <c r="U1080" s="22" t="s">
        <v>20</v>
      </c>
      <c r="V1080" s="22"/>
    </row>
    <row r="1081" spans="1:22" ht="41.4">
      <c r="A1081" s="22" t="s">
        <v>1112</v>
      </c>
      <c r="B1081" s="25">
        <v>45787</v>
      </c>
      <c r="C1081" s="22" t="s">
        <v>723</v>
      </c>
      <c r="D1081" s="22" t="s">
        <v>32</v>
      </c>
      <c r="E1081" s="22" t="s">
        <v>24</v>
      </c>
      <c r="F1081" s="22" t="s">
        <v>25</v>
      </c>
      <c r="G1081" s="22" t="s">
        <v>21</v>
      </c>
      <c r="H1081" s="22">
        <v>1</v>
      </c>
      <c r="I1081" s="22">
        <v>0</v>
      </c>
      <c r="J1081" s="22">
        <v>0</v>
      </c>
      <c r="K1081" s="22">
        <v>0</v>
      </c>
      <c r="L1081" s="22">
        <v>0</v>
      </c>
      <c r="M1081" s="22">
        <v>0</v>
      </c>
      <c r="N1081" s="22">
        <v>0</v>
      </c>
      <c r="O1081" s="22"/>
      <c r="P1081" s="22">
        <v>64.5</v>
      </c>
      <c r="Q1081" s="22" t="str">
        <f>IF(OR(L1081&lt;$Y$18,L1081&gt;$Y$19),"Outlier","Normal")</f>
        <v>Normal</v>
      </c>
      <c r="R1081" s="26" t="str">
        <f>A1081&amp;B1081&amp;C1081&amp;D1081&amp;E1081&amp;F1081&amp;G1081&amp;H1081&amp;I1081&amp;J1081&amp;K1081&amp;L1081&amp;M1081&amp;N1081&amp;O1081&amp;P1081</f>
        <v>USR-10108045787TreatmentSouthMobileOrganicBasic100000064.5</v>
      </c>
      <c r="S1081" s="22" t="str">
        <f>IF(COUNTIF($R$2:$R$1409,R1081)=1,"OK",IF(COUNTIF($R$2:$R$1409,R1081)&gt;1,"Exact Duplicate","Review Required"))</f>
        <v>OK</v>
      </c>
      <c r="T1081" s="22" t="s">
        <v>24</v>
      </c>
      <c r="U1081" s="22" t="s">
        <v>25</v>
      </c>
      <c r="V1081" s="22"/>
    </row>
    <row r="1082" spans="1:22" ht="41.4">
      <c r="A1082" s="22" t="s">
        <v>1113</v>
      </c>
      <c r="B1082" s="25">
        <v>45744</v>
      </c>
      <c r="C1082" s="22" t="s">
        <v>723</v>
      </c>
      <c r="D1082" s="22" t="s">
        <v>28</v>
      </c>
      <c r="E1082" s="22" t="s">
        <v>24</v>
      </c>
      <c r="F1082" s="22" t="s">
        <v>25</v>
      </c>
      <c r="G1082" s="22" t="s">
        <v>26</v>
      </c>
      <c r="H1082" s="22">
        <v>1</v>
      </c>
      <c r="I1082" s="22">
        <v>0</v>
      </c>
      <c r="J1082" s="22">
        <v>0</v>
      </c>
      <c r="K1082" s="22">
        <v>0</v>
      </c>
      <c r="L1082" s="22">
        <v>0</v>
      </c>
      <c r="M1082" s="22">
        <v>0</v>
      </c>
      <c r="N1082" s="22">
        <v>0</v>
      </c>
      <c r="O1082" s="22"/>
      <c r="P1082" s="22">
        <v>54.2</v>
      </c>
      <c r="Q1082" s="22" t="str">
        <f>IF(OR(L1082&lt;$Y$18,L1082&gt;$Y$19),"Outlier","Normal")</f>
        <v>Normal</v>
      </c>
      <c r="R1082" s="26" t="str">
        <f>A1082&amp;B1082&amp;C1082&amp;D1082&amp;E1082&amp;F1082&amp;G1082&amp;H1082&amp;I1082&amp;J1082&amp;K1082&amp;L1082&amp;M1082&amp;N1082&amp;O1082&amp;P1082</f>
        <v>USR-10108145744TreatmentEastMobileOrganicFree100000054.2</v>
      </c>
      <c r="S1082" s="22" t="str">
        <f>IF(COUNTIF($R$2:$R$1409,R1082)=1,"OK",IF(COUNTIF($R$2:$R$1409,R1082)&gt;1,"Exact Duplicate","Review Required"))</f>
        <v>OK</v>
      </c>
      <c r="T1082" s="22" t="s">
        <v>24</v>
      </c>
      <c r="U1082" s="22" t="s">
        <v>25</v>
      </c>
      <c r="V1082" s="22"/>
    </row>
    <row r="1083" spans="1:22" ht="41.4">
      <c r="A1083" s="22" t="s">
        <v>1114</v>
      </c>
      <c r="B1083" s="25">
        <v>45777</v>
      </c>
      <c r="C1083" s="22" t="s">
        <v>723</v>
      </c>
      <c r="D1083" s="22" t="s">
        <v>28</v>
      </c>
      <c r="E1083" s="22" t="s">
        <v>24</v>
      </c>
      <c r="F1083" s="22" t="s">
        <v>29</v>
      </c>
      <c r="G1083" s="22" t="s">
        <v>30</v>
      </c>
      <c r="H1083" s="22">
        <v>1</v>
      </c>
      <c r="I1083" s="22">
        <v>1</v>
      </c>
      <c r="J1083" s="22">
        <v>1</v>
      </c>
      <c r="K1083" s="22">
        <v>0</v>
      </c>
      <c r="L1083" s="22">
        <v>0</v>
      </c>
      <c r="M1083" s="22">
        <v>0</v>
      </c>
      <c r="N1083" s="22">
        <v>0</v>
      </c>
      <c r="O1083" s="22"/>
      <c r="P1083" s="22">
        <v>84.1</v>
      </c>
      <c r="Q1083" s="22" t="str">
        <f>IF(OR(L1083&lt;$Y$18,L1083&gt;$Y$19),"Outlier","Normal")</f>
        <v>Normal</v>
      </c>
      <c r="R1083" s="26" t="str">
        <f>A1083&amp;B1083&amp;C1083&amp;D1083&amp;E1083&amp;F1083&amp;G1083&amp;H1083&amp;I1083&amp;J1083&amp;K1083&amp;L1083&amp;M1083&amp;N1083&amp;O1083&amp;P1083</f>
        <v>USR-10108245777TreatmentEastMobilePaid SearchPremium111000084.1</v>
      </c>
      <c r="S1083" s="22" t="str">
        <f>IF(COUNTIF($R$2:$R$1409,R1083)=1,"OK",IF(COUNTIF($R$2:$R$1409,R1083)&gt;1,"Exact Duplicate","Review Required"))</f>
        <v>OK</v>
      </c>
      <c r="T1083" s="22" t="s">
        <v>24</v>
      </c>
      <c r="U1083" s="22" t="s">
        <v>29</v>
      </c>
      <c r="V1083" s="22"/>
    </row>
    <row r="1084" spans="1:22" ht="41.4">
      <c r="A1084" s="22" t="s">
        <v>1115</v>
      </c>
      <c r="B1084" s="25">
        <v>45696</v>
      </c>
      <c r="C1084" s="22" t="s">
        <v>723</v>
      </c>
      <c r="D1084" s="22" t="s">
        <v>18</v>
      </c>
      <c r="E1084" s="22" t="s">
        <v>24</v>
      </c>
      <c r="F1084" s="22" t="s">
        <v>25</v>
      </c>
      <c r="G1084" s="22" t="s">
        <v>21</v>
      </c>
      <c r="H1084" s="22">
        <v>0</v>
      </c>
      <c r="I1084" s="22">
        <v>0</v>
      </c>
      <c r="J1084" s="22">
        <v>0</v>
      </c>
      <c r="K1084" s="22">
        <v>0</v>
      </c>
      <c r="L1084" s="22">
        <v>0</v>
      </c>
      <c r="M1084" s="22">
        <v>1</v>
      </c>
      <c r="N1084" s="22">
        <v>0</v>
      </c>
      <c r="O1084" s="22"/>
      <c r="P1084" s="22">
        <v>49.1</v>
      </c>
      <c r="Q1084" s="22" t="str">
        <f>IF(OR(L1084&lt;$Y$18,L1084&gt;$Y$19),"Outlier","Normal")</f>
        <v>Normal</v>
      </c>
      <c r="R1084" s="26" t="str">
        <f>A1084&amp;B1084&amp;C1084&amp;D1084&amp;E1084&amp;F1084&amp;G1084&amp;H1084&amp;I1084&amp;J1084&amp;K1084&amp;L1084&amp;M1084&amp;N1084&amp;O1084&amp;P1084</f>
        <v>USR-10108345696TreatmentNorthMobileOrganicBasic000001049.1</v>
      </c>
      <c r="S1084" s="22" t="str">
        <f>IF(COUNTIF($R$2:$R$1409,R1084)=1,"OK",IF(COUNTIF($R$2:$R$1409,R1084)&gt;1,"Exact Duplicate","Review Required"))</f>
        <v>OK</v>
      </c>
      <c r="T1084" s="22" t="s">
        <v>24</v>
      </c>
      <c r="U1084" s="22" t="s">
        <v>25</v>
      </c>
      <c r="V1084" s="22"/>
    </row>
    <row r="1085" spans="1:22" ht="41.4">
      <c r="A1085" s="22" t="s">
        <v>1116</v>
      </c>
      <c r="B1085" s="25">
        <v>45723</v>
      </c>
      <c r="C1085" s="22" t="s">
        <v>723</v>
      </c>
      <c r="D1085" s="22" t="s">
        <v>32</v>
      </c>
      <c r="E1085" s="22" t="s">
        <v>24</v>
      </c>
      <c r="F1085" s="22" t="s">
        <v>39</v>
      </c>
      <c r="G1085" s="22" t="s">
        <v>30</v>
      </c>
      <c r="H1085" s="22">
        <v>0</v>
      </c>
      <c r="I1085" s="22">
        <v>0</v>
      </c>
      <c r="J1085" s="22">
        <v>0</v>
      </c>
      <c r="K1085" s="22">
        <v>0</v>
      </c>
      <c r="L1085" s="22">
        <v>0</v>
      </c>
      <c r="M1085" s="22">
        <v>0</v>
      </c>
      <c r="N1085" s="22">
        <v>0</v>
      </c>
      <c r="O1085" s="22"/>
      <c r="P1085" s="22">
        <v>92.7</v>
      </c>
      <c r="Q1085" s="22" t="str">
        <f>IF(OR(L1085&lt;$Y$18,L1085&gt;$Y$19),"Outlier","Normal")</f>
        <v>Normal</v>
      </c>
      <c r="R1085" s="26" t="str">
        <f>A1085&amp;B1085&amp;C1085&amp;D1085&amp;E1085&amp;F1085&amp;G1085&amp;H1085&amp;I1085&amp;J1085&amp;K1085&amp;L1085&amp;M1085&amp;N1085&amp;O1085&amp;P1085</f>
        <v>USR-10108445723TreatmentSouthMobileReferralPremium000000092.7</v>
      </c>
      <c r="S1085" s="22" t="str">
        <f>IF(COUNTIF($R$2:$R$1409,R1085)=1,"OK",IF(COUNTIF($R$2:$R$1409,R1085)&gt;1,"Exact Duplicate","Review Required"))</f>
        <v>OK</v>
      </c>
      <c r="T1085" s="22" t="s">
        <v>24</v>
      </c>
      <c r="U1085" s="22" t="s">
        <v>39</v>
      </c>
      <c r="V1085" s="22"/>
    </row>
    <row r="1086" spans="1:22" ht="41.4">
      <c r="A1086" s="22" t="s">
        <v>1117</v>
      </c>
      <c r="B1086" s="25">
        <v>45798</v>
      </c>
      <c r="C1086" s="22" t="s">
        <v>723</v>
      </c>
      <c r="D1086" s="22" t="s">
        <v>32</v>
      </c>
      <c r="E1086" s="22" t="s">
        <v>24</v>
      </c>
      <c r="F1086" s="22" t="s">
        <v>41</v>
      </c>
      <c r="G1086" s="22" t="s">
        <v>21</v>
      </c>
      <c r="H1086" s="22">
        <v>1</v>
      </c>
      <c r="I1086" s="22">
        <v>1</v>
      </c>
      <c r="J1086" s="22">
        <v>1</v>
      </c>
      <c r="K1086" s="22">
        <v>0</v>
      </c>
      <c r="L1086" s="22">
        <v>0</v>
      </c>
      <c r="M1086" s="22">
        <v>1</v>
      </c>
      <c r="N1086" s="22">
        <v>0</v>
      </c>
      <c r="O1086" s="22"/>
      <c r="P1086" s="22">
        <v>58.7</v>
      </c>
      <c r="Q1086" s="22" t="str">
        <f>IF(OR(L1086&lt;$Y$18,L1086&gt;$Y$19),"Outlier","Normal")</f>
        <v>Normal</v>
      </c>
      <c r="R1086" s="26" t="str">
        <f>A1086&amp;B1086&amp;C1086&amp;D1086&amp;E1086&amp;F1086&amp;G1086&amp;H1086&amp;I1086&amp;J1086&amp;K1086&amp;L1086&amp;M1086&amp;N1086&amp;O1086&amp;P1086</f>
        <v>USR-10108545798TreatmentSouthMobileSocialBasic111001058.7</v>
      </c>
      <c r="S1086" s="22" t="str">
        <f>IF(COUNTIF($R$2:$R$1409,R1086)=1,"OK",IF(COUNTIF($R$2:$R$1409,R1086)&gt;1,"Exact Duplicate","Review Required"))</f>
        <v>OK</v>
      </c>
      <c r="T1086" s="22" t="s">
        <v>24</v>
      </c>
      <c r="U1086" s="22" t="s">
        <v>41</v>
      </c>
      <c r="V1086" s="22"/>
    </row>
    <row r="1087" spans="1:22" ht="41.4">
      <c r="A1087" s="22" t="s">
        <v>1118</v>
      </c>
      <c r="B1087" s="25">
        <v>45759</v>
      </c>
      <c r="C1087" s="22" t="s">
        <v>723</v>
      </c>
      <c r="D1087" s="22" t="s">
        <v>32</v>
      </c>
      <c r="E1087" s="22" t="s">
        <v>24</v>
      </c>
      <c r="F1087" s="22" t="s">
        <v>41</v>
      </c>
      <c r="G1087" s="22" t="s">
        <v>26</v>
      </c>
      <c r="H1087" s="22">
        <v>1</v>
      </c>
      <c r="I1087" s="22">
        <v>1</v>
      </c>
      <c r="J1087" s="22">
        <v>1</v>
      </c>
      <c r="K1087" s="22">
        <v>0</v>
      </c>
      <c r="L1087" s="22">
        <v>0</v>
      </c>
      <c r="M1087" s="22">
        <v>0</v>
      </c>
      <c r="N1087" s="22">
        <v>0</v>
      </c>
      <c r="O1087" s="22"/>
      <c r="P1087" s="22">
        <v>59.3</v>
      </c>
      <c r="Q1087" s="22" t="str">
        <f>IF(OR(L1087&lt;$Y$18,L1087&gt;$Y$19),"Outlier","Normal")</f>
        <v>Normal</v>
      </c>
      <c r="R1087" s="26" t="str">
        <f>A1087&amp;B1087&amp;C1087&amp;D1087&amp;E1087&amp;F1087&amp;G1087&amp;H1087&amp;I1087&amp;J1087&amp;K1087&amp;L1087&amp;M1087&amp;N1087&amp;O1087&amp;P1087</f>
        <v>USR-10108645759TreatmentSouthMobileSocialFree111000059.3</v>
      </c>
      <c r="S1087" s="22" t="str">
        <f>IF(COUNTIF($R$2:$R$1409,R1087)=1,"OK",IF(COUNTIF($R$2:$R$1409,R1087)&gt;1,"Exact Duplicate","Review Required"))</f>
        <v>OK</v>
      </c>
      <c r="T1087" s="22" t="s">
        <v>24</v>
      </c>
      <c r="U1087" s="22" t="s">
        <v>41</v>
      </c>
      <c r="V1087" s="22"/>
    </row>
    <row r="1088" spans="1:22" ht="41.4">
      <c r="A1088" s="22" t="s">
        <v>1119</v>
      </c>
      <c r="B1088" s="25">
        <v>45690</v>
      </c>
      <c r="C1088" s="22" t="s">
        <v>723</v>
      </c>
      <c r="D1088" s="22" t="s">
        <v>32</v>
      </c>
      <c r="E1088" s="22" t="s">
        <v>24</v>
      </c>
      <c r="F1088" s="22" t="s">
        <v>29</v>
      </c>
      <c r="G1088" s="22" t="s">
        <v>26</v>
      </c>
      <c r="H1088" s="22">
        <v>1</v>
      </c>
      <c r="I1088" s="22">
        <v>0</v>
      </c>
      <c r="J1088" s="22">
        <v>0</v>
      </c>
      <c r="K1088" s="22">
        <v>0</v>
      </c>
      <c r="L1088" s="22">
        <v>0</v>
      </c>
      <c r="M1088" s="22">
        <v>0</v>
      </c>
      <c r="N1088" s="22">
        <v>0</v>
      </c>
      <c r="O1088" s="22"/>
      <c r="P1088" s="22">
        <v>62</v>
      </c>
      <c r="Q1088" s="22" t="str">
        <f>IF(OR(L1088&lt;$Y$18,L1088&gt;$Y$19),"Outlier","Normal")</f>
        <v>Normal</v>
      </c>
      <c r="R1088" s="26" t="str">
        <f>A1088&amp;B1088&amp;C1088&amp;D1088&amp;E1088&amp;F1088&amp;G1088&amp;H1088&amp;I1088&amp;J1088&amp;K1088&amp;L1088&amp;M1088&amp;N1088&amp;O1088&amp;P1088</f>
        <v>USR-10108745690TreatmentSouthMobilePaid SearchFree100000062</v>
      </c>
      <c r="S1088" s="22" t="str">
        <f>IF(COUNTIF($R$2:$R$1409,R1088)=1,"OK",IF(COUNTIF($R$2:$R$1409,R1088)&gt;1,"Exact Duplicate","Review Required"))</f>
        <v>OK</v>
      </c>
      <c r="T1088" s="22" t="s">
        <v>24</v>
      </c>
      <c r="U1088" s="22" t="s">
        <v>29</v>
      </c>
      <c r="V1088" s="22"/>
    </row>
    <row r="1089" spans="1:22" ht="41.4">
      <c r="A1089" s="22" t="s">
        <v>1120</v>
      </c>
      <c r="B1089" s="25">
        <v>45769</v>
      </c>
      <c r="C1089" s="22" t="s">
        <v>723</v>
      </c>
      <c r="D1089" s="22" t="s">
        <v>18</v>
      </c>
      <c r="E1089" s="22" t="s">
        <v>34</v>
      </c>
      <c r="F1089" s="22" t="s">
        <v>39</v>
      </c>
      <c r="G1089" s="22" t="s">
        <v>26</v>
      </c>
      <c r="H1089" s="22">
        <v>1</v>
      </c>
      <c r="I1089" s="22">
        <v>1</v>
      </c>
      <c r="J1089" s="22">
        <v>1</v>
      </c>
      <c r="K1089" s="22">
        <v>0</v>
      </c>
      <c r="L1089" s="22">
        <v>0</v>
      </c>
      <c r="M1089" s="22">
        <v>1</v>
      </c>
      <c r="N1089" s="22">
        <v>0</v>
      </c>
      <c r="O1089" s="22"/>
      <c r="P1089" s="22">
        <v>60.3</v>
      </c>
      <c r="Q1089" s="22" t="str">
        <f>IF(OR(L1089&lt;$Y$18,L1089&gt;$Y$19),"Outlier","Normal")</f>
        <v>Normal</v>
      </c>
      <c r="R1089" s="26" t="str">
        <f>A1089&amp;B1089&amp;C1089&amp;D1089&amp;E1089&amp;F1089&amp;G1089&amp;H1089&amp;I1089&amp;J1089&amp;K1089&amp;L1089&amp;M1089&amp;N1089&amp;O1089&amp;P1089</f>
        <v>USR-10108845769TreatmentNorthTabletReferralFree111001060.3</v>
      </c>
      <c r="S1089" s="22" t="str">
        <f>IF(COUNTIF($R$2:$R$1409,R1089)=1,"OK",IF(COUNTIF($R$2:$R$1409,R1089)&gt;1,"Exact Duplicate","Review Required"))</f>
        <v>OK</v>
      </c>
      <c r="T1089" s="22" t="s">
        <v>34</v>
      </c>
      <c r="U1089" s="22" t="s">
        <v>39</v>
      </c>
      <c r="V1089" s="22"/>
    </row>
    <row r="1090" spans="1:22" ht="41.4">
      <c r="A1090" s="22" t="s">
        <v>1121</v>
      </c>
      <c r="B1090" s="25">
        <v>45696</v>
      </c>
      <c r="C1090" s="22" t="s">
        <v>723</v>
      </c>
      <c r="D1090" s="22" t="s">
        <v>18</v>
      </c>
      <c r="E1090" s="22" t="s">
        <v>24</v>
      </c>
      <c r="F1090" s="22" t="s">
        <v>41</v>
      </c>
      <c r="G1090" s="22" t="s">
        <v>21</v>
      </c>
      <c r="H1090" s="22">
        <v>1</v>
      </c>
      <c r="I1090" s="22">
        <v>0</v>
      </c>
      <c r="J1090" s="22">
        <v>0</v>
      </c>
      <c r="K1090" s="22">
        <v>0</v>
      </c>
      <c r="L1090" s="22">
        <v>0</v>
      </c>
      <c r="M1090" s="22">
        <v>0</v>
      </c>
      <c r="N1090" s="22">
        <v>0</v>
      </c>
      <c r="O1090" s="22"/>
      <c r="P1090" s="22">
        <v>70.5</v>
      </c>
      <c r="Q1090" s="22" t="str">
        <f>IF(OR(L1090&lt;$Y$18,L1090&gt;$Y$19),"Outlier","Normal")</f>
        <v>Normal</v>
      </c>
      <c r="R1090" s="26" t="str">
        <f>A1090&amp;B1090&amp;C1090&amp;D1090&amp;E1090&amp;F1090&amp;G1090&amp;H1090&amp;I1090&amp;J1090&amp;K1090&amp;L1090&amp;M1090&amp;N1090&amp;O1090&amp;P1090</f>
        <v>USR-10108945696TreatmentNorthMobileSocialBasic100000070.5</v>
      </c>
      <c r="S1090" s="22" t="str">
        <f>IF(COUNTIF($R$2:$R$1409,R1090)=1,"OK",IF(COUNTIF($R$2:$R$1409,R1090)&gt;1,"Exact Duplicate","Review Required"))</f>
        <v>OK</v>
      </c>
      <c r="T1090" s="22" t="s">
        <v>24</v>
      </c>
      <c r="U1090" s="22" t="s">
        <v>41</v>
      </c>
      <c r="V1090" s="22"/>
    </row>
    <row r="1091" spans="1:22" ht="41.4">
      <c r="A1091" s="22" t="s">
        <v>1122</v>
      </c>
      <c r="B1091" s="25">
        <v>45681</v>
      </c>
      <c r="C1091" s="22" t="s">
        <v>723</v>
      </c>
      <c r="D1091" s="22" t="s">
        <v>32</v>
      </c>
      <c r="E1091" s="22" t="s">
        <v>19</v>
      </c>
      <c r="F1091" s="22" t="s">
        <v>20</v>
      </c>
      <c r="G1091" s="22" t="s">
        <v>26</v>
      </c>
      <c r="H1091" s="22">
        <v>1</v>
      </c>
      <c r="I1091" s="22">
        <v>0</v>
      </c>
      <c r="J1091" s="22">
        <v>0</v>
      </c>
      <c r="K1091" s="22">
        <v>0</v>
      </c>
      <c r="L1091" s="22">
        <v>0</v>
      </c>
      <c r="M1091" s="22">
        <v>0</v>
      </c>
      <c r="N1091" s="22">
        <v>0</v>
      </c>
      <c r="O1091" s="22"/>
      <c r="P1091" s="22">
        <v>36.799999999999997</v>
      </c>
      <c r="Q1091" s="22" t="str">
        <f>IF(OR(L1091&lt;$Y$18,L1091&gt;$Y$19),"Outlier","Normal")</f>
        <v>Normal</v>
      </c>
      <c r="R1091" s="26" t="str">
        <f>A1091&amp;B1091&amp;C1091&amp;D1091&amp;E1091&amp;F1091&amp;G1091&amp;H1091&amp;I1091&amp;J1091&amp;K1091&amp;L1091&amp;M1091&amp;N1091&amp;O1091&amp;P1091</f>
        <v>USR-10109045681TreatmentSouthDesktopEmailFree100000036.8</v>
      </c>
      <c r="S1091" s="22" t="str">
        <f>IF(COUNTIF($R$2:$R$1409,R1091)=1,"OK",IF(COUNTIF($R$2:$R$1409,R1091)&gt;1,"Exact Duplicate","Review Required"))</f>
        <v>OK</v>
      </c>
      <c r="T1091" s="22" t="s">
        <v>19</v>
      </c>
      <c r="U1091" s="22" t="s">
        <v>20</v>
      </c>
      <c r="V1091" s="22"/>
    </row>
    <row r="1092" spans="1:22" ht="41.4">
      <c r="A1092" s="22" t="s">
        <v>1123</v>
      </c>
      <c r="B1092" s="25">
        <v>45789</v>
      </c>
      <c r="C1092" s="22" t="s">
        <v>723</v>
      </c>
      <c r="D1092" s="22" t="s">
        <v>32</v>
      </c>
      <c r="E1092" s="22" t="s">
        <v>24</v>
      </c>
      <c r="F1092" s="22" t="s">
        <v>29</v>
      </c>
      <c r="G1092" s="22" t="s">
        <v>21</v>
      </c>
      <c r="H1092" s="22">
        <v>0</v>
      </c>
      <c r="I1092" s="22">
        <v>0</v>
      </c>
      <c r="J1092" s="22">
        <v>0</v>
      </c>
      <c r="K1092" s="22">
        <v>0</v>
      </c>
      <c r="L1092" s="22">
        <v>0</v>
      </c>
      <c r="M1092" s="22">
        <v>1</v>
      </c>
      <c r="N1092" s="22">
        <v>0</v>
      </c>
      <c r="O1092" s="22"/>
      <c r="P1092" s="22">
        <v>73.2</v>
      </c>
      <c r="Q1092" s="22" t="str">
        <f>IF(OR(L1092&lt;$Y$18,L1092&gt;$Y$19),"Outlier","Normal")</f>
        <v>Normal</v>
      </c>
      <c r="R1092" s="26" t="str">
        <f>A1092&amp;B1092&amp;C1092&amp;D1092&amp;E1092&amp;F1092&amp;G1092&amp;H1092&amp;I1092&amp;J1092&amp;K1092&amp;L1092&amp;M1092&amp;N1092&amp;O1092&amp;P1092</f>
        <v>USR-10109145789TreatmentSouthMobilePaid SearchBasic000001073.2</v>
      </c>
      <c r="S1092" s="22" t="str">
        <f>IF(COUNTIF($R$2:$R$1409,R1092)=1,"OK",IF(COUNTIF($R$2:$R$1409,R1092)&gt;1,"Exact Duplicate","Review Required"))</f>
        <v>OK</v>
      </c>
      <c r="T1092" s="22" t="s">
        <v>24</v>
      </c>
      <c r="U1092" s="22" t="s">
        <v>29</v>
      </c>
      <c r="V1092" s="22"/>
    </row>
    <row r="1093" spans="1:22" ht="41.4">
      <c r="A1093" s="22" t="s">
        <v>1124</v>
      </c>
      <c r="B1093" s="25">
        <v>45746</v>
      </c>
      <c r="C1093" s="22" t="s">
        <v>723</v>
      </c>
      <c r="D1093" s="22" t="s">
        <v>18</v>
      </c>
      <c r="E1093" s="22" t="s">
        <v>24</v>
      </c>
      <c r="F1093" s="22" t="s">
        <v>25</v>
      </c>
      <c r="G1093" s="22" t="s">
        <v>21</v>
      </c>
      <c r="H1093" s="22">
        <v>0</v>
      </c>
      <c r="I1093" s="22">
        <v>0</v>
      </c>
      <c r="J1093" s="22">
        <v>0</v>
      </c>
      <c r="K1093" s="22">
        <v>0</v>
      </c>
      <c r="L1093" s="22">
        <v>0</v>
      </c>
      <c r="M1093" s="22">
        <v>0</v>
      </c>
      <c r="N1093" s="22">
        <v>0</v>
      </c>
      <c r="O1093" s="22"/>
      <c r="P1093" s="22">
        <v>70.099999999999994</v>
      </c>
      <c r="Q1093" s="22" t="str">
        <f>IF(OR(L1093&lt;$Y$18,L1093&gt;$Y$19),"Outlier","Normal")</f>
        <v>Normal</v>
      </c>
      <c r="R1093" s="26" t="str">
        <f>A1093&amp;B1093&amp;C1093&amp;D1093&amp;E1093&amp;F1093&amp;G1093&amp;H1093&amp;I1093&amp;J1093&amp;K1093&amp;L1093&amp;M1093&amp;N1093&amp;O1093&amp;P1093</f>
        <v>USR-10109245746TreatmentNorthMobileOrganicBasic000000070.1</v>
      </c>
      <c r="S1093" s="22" t="str">
        <f>IF(COUNTIF($R$2:$R$1409,R1093)=1,"OK",IF(COUNTIF($R$2:$R$1409,R1093)&gt;1,"Exact Duplicate","Review Required"))</f>
        <v>OK</v>
      </c>
      <c r="T1093" s="22" t="s">
        <v>24</v>
      </c>
      <c r="U1093" s="22" t="s">
        <v>25</v>
      </c>
      <c r="V1093" s="22"/>
    </row>
    <row r="1094" spans="1:22" ht="41.4">
      <c r="A1094" s="22" t="s">
        <v>1125</v>
      </c>
      <c r="B1094" s="25">
        <v>45659</v>
      </c>
      <c r="C1094" s="22" t="s">
        <v>723</v>
      </c>
      <c r="D1094" s="22" t="s">
        <v>32</v>
      </c>
      <c r="E1094" s="22" t="s">
        <v>19</v>
      </c>
      <c r="F1094" s="22" t="s">
        <v>29</v>
      </c>
      <c r="G1094" s="22" t="s">
        <v>21</v>
      </c>
      <c r="H1094" s="22">
        <v>1</v>
      </c>
      <c r="I1094" s="22">
        <v>0</v>
      </c>
      <c r="J1094" s="22">
        <v>0</v>
      </c>
      <c r="K1094" s="22">
        <v>0</v>
      </c>
      <c r="L1094" s="22">
        <v>0</v>
      </c>
      <c r="M1094" s="22">
        <v>0</v>
      </c>
      <c r="N1094" s="22">
        <v>0</v>
      </c>
      <c r="O1094" s="22"/>
      <c r="P1094" s="22">
        <v>76.400000000000006</v>
      </c>
      <c r="Q1094" s="22" t="str">
        <f>IF(OR(L1094&lt;$Y$18,L1094&gt;$Y$19),"Outlier","Normal")</f>
        <v>Normal</v>
      </c>
      <c r="R1094" s="26" t="str">
        <f>A1094&amp;B1094&amp;C1094&amp;D1094&amp;E1094&amp;F1094&amp;G1094&amp;H1094&amp;I1094&amp;J1094&amp;K1094&amp;L1094&amp;M1094&amp;N1094&amp;O1094&amp;P1094</f>
        <v>USR-10109345659TreatmentSouthDesktopPaid SearchBasic100000076.4</v>
      </c>
      <c r="S1094" s="22" t="str">
        <f>IF(COUNTIF($R$2:$R$1409,R1094)=1,"OK",IF(COUNTIF($R$2:$R$1409,R1094)&gt;1,"Exact Duplicate","Review Required"))</f>
        <v>OK</v>
      </c>
      <c r="T1094" s="22" t="s">
        <v>19</v>
      </c>
      <c r="U1094" s="22" t="s">
        <v>29</v>
      </c>
      <c r="V1094" s="22"/>
    </row>
    <row r="1095" spans="1:22" ht="41.4">
      <c r="A1095" s="22" t="s">
        <v>1126</v>
      </c>
      <c r="B1095" s="25">
        <v>45737</v>
      </c>
      <c r="C1095" s="22" t="s">
        <v>723</v>
      </c>
      <c r="D1095" s="22" t="s">
        <v>32</v>
      </c>
      <c r="E1095" s="22" t="s">
        <v>34</v>
      </c>
      <c r="F1095" s="22" t="s">
        <v>20</v>
      </c>
      <c r="G1095" s="22" t="s">
        <v>21</v>
      </c>
      <c r="H1095" s="22">
        <v>0</v>
      </c>
      <c r="I1095" s="22">
        <v>0</v>
      </c>
      <c r="J1095" s="22">
        <v>0</v>
      </c>
      <c r="K1095" s="22">
        <v>0</v>
      </c>
      <c r="L1095" s="22">
        <v>0</v>
      </c>
      <c r="M1095" s="22">
        <v>0</v>
      </c>
      <c r="N1095" s="22">
        <v>0</v>
      </c>
      <c r="O1095" s="22"/>
      <c r="P1095" s="22">
        <v>46.4</v>
      </c>
      <c r="Q1095" s="22" t="str">
        <f>IF(OR(L1095&lt;$Y$18,L1095&gt;$Y$19),"Outlier","Normal")</f>
        <v>Normal</v>
      </c>
      <c r="R1095" s="26" t="str">
        <f>A1095&amp;B1095&amp;C1095&amp;D1095&amp;E1095&amp;F1095&amp;G1095&amp;H1095&amp;I1095&amp;J1095&amp;K1095&amp;L1095&amp;M1095&amp;N1095&amp;O1095&amp;P1095</f>
        <v>USR-10109445737TreatmentSouthTabletEmailBasic000000046.4</v>
      </c>
      <c r="S1095" s="22" t="str">
        <f>IF(COUNTIF($R$2:$R$1409,R1095)=1,"OK",IF(COUNTIF($R$2:$R$1409,R1095)&gt;1,"Exact Duplicate","Review Required"))</f>
        <v>OK</v>
      </c>
      <c r="T1095" s="22" t="s">
        <v>34</v>
      </c>
      <c r="U1095" s="22" t="s">
        <v>20</v>
      </c>
      <c r="V1095" s="22"/>
    </row>
    <row r="1096" spans="1:22" ht="41.4">
      <c r="A1096" s="22" t="s">
        <v>1127</v>
      </c>
      <c r="B1096" s="25">
        <v>45682</v>
      </c>
      <c r="C1096" s="22" t="s">
        <v>723</v>
      </c>
      <c r="D1096" s="22" t="s">
        <v>23</v>
      </c>
      <c r="E1096" s="22" t="s">
        <v>24</v>
      </c>
      <c r="F1096" s="22" t="s">
        <v>25</v>
      </c>
      <c r="G1096" s="22" t="s">
        <v>26</v>
      </c>
      <c r="H1096" s="22">
        <v>1</v>
      </c>
      <c r="I1096" s="22">
        <v>1</v>
      </c>
      <c r="J1096" s="22">
        <v>1</v>
      </c>
      <c r="K1096" s="22">
        <v>0</v>
      </c>
      <c r="L1096" s="22">
        <v>0</v>
      </c>
      <c r="M1096" s="22">
        <v>1</v>
      </c>
      <c r="N1096" s="22">
        <v>0</v>
      </c>
      <c r="O1096" s="22"/>
      <c r="P1096" s="22">
        <v>81.3</v>
      </c>
      <c r="Q1096" s="22" t="str">
        <f>IF(OR(L1096&lt;$Y$18,L1096&gt;$Y$19),"Outlier","Normal")</f>
        <v>Normal</v>
      </c>
      <c r="R1096" s="26" t="str">
        <f>A1096&amp;B1096&amp;C1096&amp;D1096&amp;E1096&amp;F1096&amp;G1096&amp;H1096&amp;I1096&amp;J1096&amp;K1096&amp;L1096&amp;M1096&amp;N1096&amp;O1096&amp;P1096</f>
        <v>USR-10109545682TreatmentWestMobileOrganicFree111001081.3</v>
      </c>
      <c r="S1096" s="22" t="str">
        <f>IF(COUNTIF($R$2:$R$1409,R1096)=1,"OK",IF(COUNTIF($R$2:$R$1409,R1096)&gt;1,"Exact Duplicate","Review Required"))</f>
        <v>OK</v>
      </c>
      <c r="T1096" s="22" t="s">
        <v>24</v>
      </c>
      <c r="U1096" s="22" t="s">
        <v>25</v>
      </c>
      <c r="V1096" s="22"/>
    </row>
    <row r="1097" spans="1:22" ht="41.4">
      <c r="A1097" s="22" t="s">
        <v>1128</v>
      </c>
      <c r="B1097" s="25">
        <v>45669</v>
      </c>
      <c r="C1097" s="22" t="s">
        <v>723</v>
      </c>
      <c r="D1097" s="22" t="s">
        <v>32</v>
      </c>
      <c r="E1097" s="22" t="s">
        <v>34</v>
      </c>
      <c r="F1097" s="22" t="s">
        <v>41</v>
      </c>
      <c r="G1097" s="22" t="s">
        <v>26</v>
      </c>
      <c r="H1097" s="22">
        <v>1</v>
      </c>
      <c r="I1097" s="22">
        <v>1</v>
      </c>
      <c r="J1097" s="22">
        <v>1</v>
      </c>
      <c r="K1097" s="22">
        <v>0</v>
      </c>
      <c r="L1097" s="22">
        <v>0</v>
      </c>
      <c r="M1097" s="22">
        <v>0</v>
      </c>
      <c r="N1097" s="22">
        <v>0</v>
      </c>
      <c r="O1097" s="22"/>
      <c r="P1097" s="22">
        <v>55.3</v>
      </c>
      <c r="Q1097" s="22" t="str">
        <f>IF(OR(L1097&lt;$Y$18,L1097&gt;$Y$19),"Outlier","Normal")</f>
        <v>Normal</v>
      </c>
      <c r="R1097" s="26" t="str">
        <f>A1097&amp;B1097&amp;C1097&amp;D1097&amp;E1097&amp;F1097&amp;G1097&amp;H1097&amp;I1097&amp;J1097&amp;K1097&amp;L1097&amp;M1097&amp;N1097&amp;O1097&amp;P1097</f>
        <v>USR-10109645669TreatmentSouthTabletSocialFree111000055.3</v>
      </c>
      <c r="S1097" s="22" t="str">
        <f>IF(COUNTIF($R$2:$R$1409,R1097)=1,"OK",IF(COUNTIF($R$2:$R$1409,R1097)&gt;1,"Exact Duplicate","Review Required"))</f>
        <v>OK</v>
      </c>
      <c r="T1097" s="22" t="s">
        <v>34</v>
      </c>
      <c r="U1097" s="22" t="s">
        <v>41</v>
      </c>
      <c r="V1097" s="22"/>
    </row>
    <row r="1098" spans="1:22" ht="41.4">
      <c r="A1098" s="22" t="s">
        <v>1129</v>
      </c>
      <c r="B1098" s="25">
        <v>45734</v>
      </c>
      <c r="C1098" s="22" t="s">
        <v>723</v>
      </c>
      <c r="D1098" s="22" t="s">
        <v>28</v>
      </c>
      <c r="E1098" s="22" t="s">
        <v>19</v>
      </c>
      <c r="F1098" s="22" t="s">
        <v>39</v>
      </c>
      <c r="G1098" s="22" t="s">
        <v>26</v>
      </c>
      <c r="H1098" s="22">
        <v>1</v>
      </c>
      <c r="I1098" s="22">
        <v>0</v>
      </c>
      <c r="J1098" s="22">
        <v>0</v>
      </c>
      <c r="K1098" s="22">
        <v>0</v>
      </c>
      <c r="L1098" s="22">
        <v>0</v>
      </c>
      <c r="M1098" s="22">
        <v>0</v>
      </c>
      <c r="N1098" s="22">
        <v>0</v>
      </c>
      <c r="O1098" s="22"/>
      <c r="P1098" s="22">
        <v>44.7</v>
      </c>
      <c r="Q1098" s="22" t="str">
        <f>IF(OR(L1098&lt;$Y$18,L1098&gt;$Y$19),"Outlier","Normal")</f>
        <v>Normal</v>
      </c>
      <c r="R1098" s="26" t="str">
        <f>A1098&amp;B1098&amp;C1098&amp;D1098&amp;E1098&amp;F1098&amp;G1098&amp;H1098&amp;I1098&amp;J1098&amp;K1098&amp;L1098&amp;M1098&amp;N1098&amp;O1098&amp;P1098</f>
        <v>USR-10109745734TreatmentEastDesktopReferralFree100000044.7</v>
      </c>
      <c r="S1098" s="22" t="str">
        <f>IF(COUNTIF($R$2:$R$1409,R1098)=1,"OK",IF(COUNTIF($R$2:$R$1409,R1098)&gt;1,"Exact Duplicate","Review Required"))</f>
        <v>OK</v>
      </c>
      <c r="T1098" s="22" t="s">
        <v>19</v>
      </c>
      <c r="U1098" s="22" t="s">
        <v>39</v>
      </c>
      <c r="V1098" s="22"/>
    </row>
    <row r="1099" spans="1:22" ht="41.4">
      <c r="A1099" s="22" t="s">
        <v>1130</v>
      </c>
      <c r="B1099" s="25">
        <v>45742</v>
      </c>
      <c r="C1099" s="22" t="s">
        <v>723</v>
      </c>
      <c r="D1099" s="22" t="s">
        <v>28</v>
      </c>
      <c r="E1099" s="22" t="s">
        <v>24</v>
      </c>
      <c r="F1099" s="22" t="s">
        <v>29</v>
      </c>
      <c r="G1099" s="22" t="s">
        <v>21</v>
      </c>
      <c r="H1099" s="22">
        <v>1</v>
      </c>
      <c r="I1099" s="22">
        <v>0</v>
      </c>
      <c r="J1099" s="22">
        <v>0</v>
      </c>
      <c r="K1099" s="22">
        <v>0</v>
      </c>
      <c r="L1099" s="22">
        <v>0</v>
      </c>
      <c r="M1099" s="22">
        <v>0</v>
      </c>
      <c r="N1099" s="22">
        <v>0</v>
      </c>
      <c r="O1099" s="22"/>
      <c r="P1099" s="22">
        <v>67.2</v>
      </c>
      <c r="Q1099" s="22" t="str">
        <f>IF(OR(L1099&lt;$Y$18,L1099&gt;$Y$19),"Outlier","Normal")</f>
        <v>Normal</v>
      </c>
      <c r="R1099" s="26" t="str">
        <f>A1099&amp;B1099&amp;C1099&amp;D1099&amp;E1099&amp;F1099&amp;G1099&amp;H1099&amp;I1099&amp;J1099&amp;K1099&amp;L1099&amp;M1099&amp;N1099&amp;O1099&amp;P1099</f>
        <v>USR-10109845742TreatmentEastMobilePaid SearchBasic100000067.2</v>
      </c>
      <c r="S1099" s="22" t="str">
        <f>IF(COUNTIF($R$2:$R$1409,R1099)=1,"OK",IF(COUNTIF($R$2:$R$1409,R1099)&gt;1,"Exact Duplicate","Review Required"))</f>
        <v>OK</v>
      </c>
      <c r="T1099" s="22" t="s">
        <v>24</v>
      </c>
      <c r="U1099" s="22" t="s">
        <v>29</v>
      </c>
      <c r="V1099" s="22"/>
    </row>
    <row r="1100" spans="1:22" ht="41.4">
      <c r="A1100" s="22" t="s">
        <v>1131</v>
      </c>
      <c r="B1100" s="25">
        <v>45766</v>
      </c>
      <c r="C1100" s="22" t="s">
        <v>723</v>
      </c>
      <c r="D1100" s="22" t="s">
        <v>18</v>
      </c>
      <c r="E1100" s="22" t="s">
        <v>24</v>
      </c>
      <c r="F1100" s="22" t="s">
        <v>29</v>
      </c>
      <c r="G1100" s="22" t="s">
        <v>21</v>
      </c>
      <c r="H1100" s="22">
        <v>1</v>
      </c>
      <c r="I1100" s="22">
        <v>0</v>
      </c>
      <c r="J1100" s="22">
        <v>0</v>
      </c>
      <c r="K1100" s="22">
        <v>0</v>
      </c>
      <c r="L1100" s="22">
        <v>0</v>
      </c>
      <c r="M1100" s="22">
        <v>0</v>
      </c>
      <c r="N1100" s="22">
        <v>0</v>
      </c>
      <c r="O1100" s="22"/>
      <c r="P1100" s="22"/>
      <c r="Q1100" s="22" t="str">
        <f>IF(OR(L1100&lt;$Y$18,L1100&gt;$Y$19),"Outlier","Normal")</f>
        <v>Normal</v>
      </c>
      <c r="R1100" s="26" t="str">
        <f>A1100&amp;B1100&amp;C1100&amp;D1100&amp;E1100&amp;F1100&amp;G1100&amp;H1100&amp;I1100&amp;J1100&amp;K1100&amp;L1100&amp;M1100&amp;N1100&amp;O1100&amp;P1100</f>
        <v>USR-10109945766TreatmentNorthMobilePaid SearchBasic1000000</v>
      </c>
      <c r="S1100" s="22" t="str">
        <f>IF(COUNTIF($R$2:$R$1409,R1100)=1,"OK",IF(COUNTIF($R$2:$R$1409,R1100)&gt;1,"Exact Duplicate","Review Required"))</f>
        <v>OK</v>
      </c>
      <c r="T1100" s="22" t="s">
        <v>24</v>
      </c>
      <c r="U1100" s="22" t="s">
        <v>29</v>
      </c>
      <c r="V1100" s="22"/>
    </row>
    <row r="1101" spans="1:22" ht="41.4">
      <c r="A1101" s="22" t="s">
        <v>1132</v>
      </c>
      <c r="B1101" s="25">
        <v>45764</v>
      </c>
      <c r="C1101" s="22" t="s">
        <v>723</v>
      </c>
      <c r="D1101" s="22" t="s">
        <v>28</v>
      </c>
      <c r="E1101" s="22" t="s">
        <v>24</v>
      </c>
      <c r="F1101" s="22" t="s">
        <v>25</v>
      </c>
      <c r="G1101" s="22" t="s">
        <v>30</v>
      </c>
      <c r="H1101" s="22">
        <v>1</v>
      </c>
      <c r="I1101" s="22">
        <v>1</v>
      </c>
      <c r="J1101" s="22">
        <v>1</v>
      </c>
      <c r="K1101" s="22">
        <v>0</v>
      </c>
      <c r="L1101" s="22">
        <v>0</v>
      </c>
      <c r="M1101" s="22">
        <v>1</v>
      </c>
      <c r="N1101" s="22">
        <v>0</v>
      </c>
      <c r="O1101" s="22"/>
      <c r="P1101" s="22">
        <v>70.8</v>
      </c>
      <c r="Q1101" s="22" t="str">
        <f>IF(OR(L1101&lt;$Y$18,L1101&gt;$Y$19),"Outlier","Normal")</f>
        <v>Normal</v>
      </c>
      <c r="R1101" s="26" t="str">
        <f>A1101&amp;B1101&amp;C1101&amp;D1101&amp;E1101&amp;F1101&amp;G1101&amp;H1101&amp;I1101&amp;J1101&amp;K1101&amp;L1101&amp;M1101&amp;N1101&amp;O1101&amp;P1101</f>
        <v>USR-10110045764TreatmentEastMobileOrganicPremium111001070.8</v>
      </c>
      <c r="S1101" s="22" t="str">
        <f>IF(COUNTIF($R$2:$R$1409,R1101)=1,"OK",IF(COUNTIF($R$2:$R$1409,R1101)&gt;1,"Exact Duplicate","Review Required"))</f>
        <v>OK</v>
      </c>
      <c r="T1101" s="22" t="s">
        <v>24</v>
      </c>
      <c r="U1101" s="22" t="s">
        <v>25</v>
      </c>
      <c r="V1101" s="22"/>
    </row>
    <row r="1102" spans="1:22" ht="41.4">
      <c r="A1102" s="22" t="s">
        <v>1133</v>
      </c>
      <c r="B1102" s="25">
        <v>45803</v>
      </c>
      <c r="C1102" s="22" t="s">
        <v>723</v>
      </c>
      <c r="D1102" s="22" t="s">
        <v>32</v>
      </c>
      <c r="E1102" s="22" t="s">
        <v>24</v>
      </c>
      <c r="F1102" s="22" t="s">
        <v>29</v>
      </c>
      <c r="G1102" s="22" t="s">
        <v>26</v>
      </c>
      <c r="H1102" s="22">
        <v>1</v>
      </c>
      <c r="I1102" s="22">
        <v>0</v>
      </c>
      <c r="J1102" s="22">
        <v>0</v>
      </c>
      <c r="K1102" s="22">
        <v>0</v>
      </c>
      <c r="L1102" s="22">
        <v>0</v>
      </c>
      <c r="M1102" s="22">
        <v>0</v>
      </c>
      <c r="N1102" s="22">
        <v>0</v>
      </c>
      <c r="O1102" s="22"/>
      <c r="P1102" s="22">
        <v>71.3</v>
      </c>
      <c r="Q1102" s="22" t="str">
        <f>IF(OR(L1102&lt;$Y$18,L1102&gt;$Y$19),"Outlier","Normal")</f>
        <v>Normal</v>
      </c>
      <c r="R1102" s="26" t="str">
        <f>A1102&amp;B1102&amp;C1102&amp;D1102&amp;E1102&amp;F1102&amp;G1102&amp;H1102&amp;I1102&amp;J1102&amp;K1102&amp;L1102&amp;M1102&amp;N1102&amp;O1102&amp;P1102</f>
        <v>USR-10110145803TreatmentSouthMobilePaid SearchFree100000071.3</v>
      </c>
      <c r="S1102" s="22" t="str">
        <f>IF(COUNTIF($R$2:$R$1409,R1102)=1,"OK",IF(COUNTIF($R$2:$R$1409,R1102)&gt;1,"Exact Duplicate","Review Required"))</f>
        <v>OK</v>
      </c>
      <c r="T1102" s="22" t="s">
        <v>24</v>
      </c>
      <c r="U1102" s="22" t="s">
        <v>29</v>
      </c>
      <c r="V1102" s="22"/>
    </row>
    <row r="1103" spans="1:22" ht="41.4">
      <c r="A1103" s="22" t="s">
        <v>1134</v>
      </c>
      <c r="B1103" s="25">
        <v>45761</v>
      </c>
      <c r="C1103" s="22" t="s">
        <v>723</v>
      </c>
      <c r="D1103" s="22" t="s">
        <v>18</v>
      </c>
      <c r="E1103" s="22" t="s">
        <v>24</v>
      </c>
      <c r="F1103" s="22" t="s">
        <v>41</v>
      </c>
      <c r="G1103" s="22" t="s">
        <v>30</v>
      </c>
      <c r="H1103" s="22">
        <v>1</v>
      </c>
      <c r="I1103" s="22">
        <v>1</v>
      </c>
      <c r="J1103" s="22">
        <v>1</v>
      </c>
      <c r="K1103" s="22">
        <v>0</v>
      </c>
      <c r="L1103" s="22">
        <v>0</v>
      </c>
      <c r="M1103" s="22">
        <v>0</v>
      </c>
      <c r="N1103" s="22">
        <v>0</v>
      </c>
      <c r="O1103" s="22"/>
      <c r="P1103" s="22">
        <v>69.400000000000006</v>
      </c>
      <c r="Q1103" s="22" t="str">
        <f>IF(OR(L1103&lt;$Y$18,L1103&gt;$Y$19),"Outlier","Normal")</f>
        <v>Normal</v>
      </c>
      <c r="R1103" s="26" t="str">
        <f>A1103&amp;B1103&amp;C1103&amp;D1103&amp;E1103&amp;F1103&amp;G1103&amp;H1103&amp;I1103&amp;J1103&amp;K1103&amp;L1103&amp;M1103&amp;N1103&amp;O1103&amp;P1103</f>
        <v>USR-10110245761TreatmentNorthMobileSocialPremium111000069.4</v>
      </c>
      <c r="S1103" s="22" t="str">
        <f>IF(COUNTIF($R$2:$R$1409,R1103)=1,"OK",IF(COUNTIF($R$2:$R$1409,R1103)&gt;1,"Exact Duplicate","Review Required"))</f>
        <v>OK</v>
      </c>
      <c r="T1103" s="22" t="s">
        <v>24</v>
      </c>
      <c r="U1103" s="22" t="s">
        <v>41</v>
      </c>
      <c r="V1103" s="22"/>
    </row>
    <row r="1104" spans="1:22" ht="41.4">
      <c r="A1104" s="22" t="s">
        <v>1135</v>
      </c>
      <c r="B1104" s="25">
        <v>45680</v>
      </c>
      <c r="C1104" s="22" t="s">
        <v>723</v>
      </c>
      <c r="D1104" s="22" t="s">
        <v>32</v>
      </c>
      <c r="E1104" s="22" t="s">
        <v>24</v>
      </c>
      <c r="F1104" s="22" t="s">
        <v>25</v>
      </c>
      <c r="G1104" s="22" t="s">
        <v>21</v>
      </c>
      <c r="H1104" s="22">
        <v>1</v>
      </c>
      <c r="I1104" s="22">
        <v>1</v>
      </c>
      <c r="J1104" s="22">
        <v>0</v>
      </c>
      <c r="K1104" s="22">
        <v>0</v>
      </c>
      <c r="L1104" s="22">
        <v>0</v>
      </c>
      <c r="M1104" s="22">
        <v>0</v>
      </c>
      <c r="N1104" s="22">
        <v>0</v>
      </c>
      <c r="O1104" s="22"/>
      <c r="P1104" s="22">
        <v>58.9</v>
      </c>
      <c r="Q1104" s="22" t="str">
        <f>IF(OR(L1104&lt;$Y$18,L1104&gt;$Y$19),"Outlier","Normal")</f>
        <v>Normal</v>
      </c>
      <c r="R1104" s="26" t="str">
        <f>A1104&amp;B1104&amp;C1104&amp;D1104&amp;E1104&amp;F1104&amp;G1104&amp;H1104&amp;I1104&amp;J1104&amp;K1104&amp;L1104&amp;M1104&amp;N1104&amp;O1104&amp;P1104</f>
        <v>USR-10110345680TreatmentSouthMobileOrganicBasic110000058.9</v>
      </c>
      <c r="S1104" s="22" t="str">
        <f>IF(COUNTIF($R$2:$R$1409,R1104)=1,"OK",IF(COUNTIF($R$2:$R$1409,R1104)&gt;1,"Exact Duplicate","Review Required"))</f>
        <v>OK</v>
      </c>
      <c r="T1104" s="22" t="s">
        <v>24</v>
      </c>
      <c r="U1104" s="22" t="s">
        <v>25</v>
      </c>
      <c r="V1104" s="22"/>
    </row>
    <row r="1105" spans="1:22" ht="41.4">
      <c r="A1105" s="22" t="s">
        <v>1136</v>
      </c>
      <c r="B1105" s="25">
        <v>45663</v>
      </c>
      <c r="C1105" s="22" t="s">
        <v>723</v>
      </c>
      <c r="D1105" s="22" t="s">
        <v>28</v>
      </c>
      <c r="E1105" s="22" t="s">
        <v>24</v>
      </c>
      <c r="F1105" s="22" t="s">
        <v>39</v>
      </c>
      <c r="G1105" s="22" t="s">
        <v>26</v>
      </c>
      <c r="H1105" s="22">
        <v>0</v>
      </c>
      <c r="I1105" s="22">
        <v>0</v>
      </c>
      <c r="J1105" s="22">
        <v>0</v>
      </c>
      <c r="K1105" s="22">
        <v>0</v>
      </c>
      <c r="L1105" s="22">
        <v>0</v>
      </c>
      <c r="M1105" s="22">
        <v>0</v>
      </c>
      <c r="N1105" s="22">
        <v>0</v>
      </c>
      <c r="O1105" s="22"/>
      <c r="P1105" s="22">
        <v>70.7</v>
      </c>
      <c r="Q1105" s="22" t="str">
        <f>IF(OR(L1105&lt;$Y$18,L1105&gt;$Y$19),"Outlier","Normal")</f>
        <v>Normal</v>
      </c>
      <c r="R1105" s="26" t="str">
        <f>A1105&amp;B1105&amp;C1105&amp;D1105&amp;E1105&amp;F1105&amp;G1105&amp;H1105&amp;I1105&amp;J1105&amp;K1105&amp;L1105&amp;M1105&amp;N1105&amp;O1105&amp;P1105</f>
        <v>USR-10110445663TreatmentEastMobileReferralFree000000070.7</v>
      </c>
      <c r="S1105" s="22" t="str">
        <f>IF(COUNTIF($R$2:$R$1409,R1105)=1,"OK",IF(COUNTIF($R$2:$R$1409,R1105)&gt;1,"Exact Duplicate","Review Required"))</f>
        <v>OK</v>
      </c>
      <c r="T1105" s="22" t="s">
        <v>24</v>
      </c>
      <c r="U1105" s="22" t="s">
        <v>39</v>
      </c>
      <c r="V1105" s="22"/>
    </row>
    <row r="1106" spans="1:22" ht="41.4">
      <c r="A1106" s="22" t="s">
        <v>1137</v>
      </c>
      <c r="B1106" s="25">
        <v>45808</v>
      </c>
      <c r="C1106" s="22" t="s">
        <v>723</v>
      </c>
      <c r="D1106" s="22" t="s">
        <v>23</v>
      </c>
      <c r="E1106" s="22" t="s">
        <v>24</v>
      </c>
      <c r="F1106" s="22" t="s">
        <v>20</v>
      </c>
      <c r="G1106" s="22" t="s">
        <v>21</v>
      </c>
      <c r="H1106" s="22">
        <v>1</v>
      </c>
      <c r="I1106" s="22">
        <v>0</v>
      </c>
      <c r="J1106" s="22">
        <v>0</v>
      </c>
      <c r="K1106" s="22">
        <v>0</v>
      </c>
      <c r="L1106" s="22">
        <v>0</v>
      </c>
      <c r="M1106" s="22">
        <v>0</v>
      </c>
      <c r="N1106" s="22">
        <v>0</v>
      </c>
      <c r="O1106" s="22"/>
      <c r="P1106" s="22">
        <v>60.5</v>
      </c>
      <c r="Q1106" s="22" t="str">
        <f>IF(OR(L1106&lt;$Y$18,L1106&gt;$Y$19),"Outlier","Normal")</f>
        <v>Normal</v>
      </c>
      <c r="R1106" s="26" t="str">
        <f>A1106&amp;B1106&amp;C1106&amp;D1106&amp;E1106&amp;F1106&amp;G1106&amp;H1106&amp;I1106&amp;J1106&amp;K1106&amp;L1106&amp;M1106&amp;N1106&amp;O1106&amp;P1106</f>
        <v>USR-10110545808TreatmentWestMobileEmailBasic100000060.5</v>
      </c>
      <c r="S1106" s="22" t="str">
        <f>IF(COUNTIF($R$2:$R$1409,R1106)=1,"OK",IF(COUNTIF($R$2:$R$1409,R1106)&gt;1,"Exact Duplicate","Review Required"))</f>
        <v>OK</v>
      </c>
      <c r="T1106" s="22" t="s">
        <v>24</v>
      </c>
      <c r="U1106" s="22" t="s">
        <v>20</v>
      </c>
      <c r="V1106" s="22"/>
    </row>
    <row r="1107" spans="1:22" ht="41.4">
      <c r="A1107" s="22" t="s">
        <v>1138</v>
      </c>
      <c r="B1107" s="25">
        <v>45796</v>
      </c>
      <c r="C1107" s="22" t="s">
        <v>723</v>
      </c>
      <c r="D1107" s="22" t="s">
        <v>18</v>
      </c>
      <c r="E1107" s="22" t="s">
        <v>24</v>
      </c>
      <c r="F1107" s="22" t="s">
        <v>25</v>
      </c>
      <c r="G1107" s="22" t="s">
        <v>21</v>
      </c>
      <c r="H1107" s="22">
        <v>1</v>
      </c>
      <c r="I1107" s="22">
        <v>1</v>
      </c>
      <c r="J1107" s="22">
        <v>1</v>
      </c>
      <c r="K1107" s="22">
        <v>0</v>
      </c>
      <c r="L1107" s="22">
        <v>0</v>
      </c>
      <c r="M1107" s="22">
        <v>0</v>
      </c>
      <c r="N1107" s="22">
        <v>0</v>
      </c>
      <c r="O1107" s="22"/>
      <c r="P1107" s="22">
        <v>77.3</v>
      </c>
      <c r="Q1107" s="22" t="str">
        <f>IF(OR(L1107&lt;$Y$18,L1107&gt;$Y$19),"Outlier","Normal")</f>
        <v>Normal</v>
      </c>
      <c r="R1107" s="26" t="str">
        <f>A1107&amp;B1107&amp;C1107&amp;D1107&amp;E1107&amp;F1107&amp;G1107&amp;H1107&amp;I1107&amp;J1107&amp;K1107&amp;L1107&amp;M1107&amp;N1107&amp;O1107&amp;P1107</f>
        <v>USR-10110645796TreatmentNorthMobileOrganicBasic111000077.3</v>
      </c>
      <c r="S1107" s="22" t="str">
        <f>IF(COUNTIF($R$2:$R$1409,R1107)=1,"OK",IF(COUNTIF($R$2:$R$1409,R1107)&gt;1,"Exact Duplicate","Review Required"))</f>
        <v>OK</v>
      </c>
      <c r="T1107" s="22" t="s">
        <v>24</v>
      </c>
      <c r="U1107" s="22" t="s">
        <v>25</v>
      </c>
      <c r="V1107" s="22"/>
    </row>
    <row r="1108" spans="1:22" ht="41.4">
      <c r="A1108" s="22" t="s">
        <v>1139</v>
      </c>
      <c r="B1108" s="25">
        <v>45713</v>
      </c>
      <c r="C1108" s="22" t="s">
        <v>723</v>
      </c>
      <c r="D1108" s="22" t="s">
        <v>18</v>
      </c>
      <c r="E1108" s="22" t="s">
        <v>24</v>
      </c>
      <c r="F1108" s="22" t="s">
        <v>25</v>
      </c>
      <c r="G1108" s="22" t="s">
        <v>26</v>
      </c>
      <c r="H1108" s="22">
        <v>0</v>
      </c>
      <c r="I1108" s="22">
        <v>0</v>
      </c>
      <c r="J1108" s="22">
        <v>0</v>
      </c>
      <c r="K1108" s="22">
        <v>0</v>
      </c>
      <c r="L1108" s="22">
        <v>0</v>
      </c>
      <c r="M1108" s="22">
        <v>1</v>
      </c>
      <c r="N1108" s="22">
        <v>0</v>
      </c>
      <c r="O1108" s="22"/>
      <c r="P1108" s="22">
        <v>39.5</v>
      </c>
      <c r="Q1108" s="22" t="str">
        <f>IF(OR(L1108&lt;$Y$18,L1108&gt;$Y$19),"Outlier","Normal")</f>
        <v>Normal</v>
      </c>
      <c r="R1108" s="26" t="str">
        <f>A1108&amp;B1108&amp;C1108&amp;D1108&amp;E1108&amp;F1108&amp;G1108&amp;H1108&amp;I1108&amp;J1108&amp;K1108&amp;L1108&amp;M1108&amp;N1108&amp;O1108&amp;P1108</f>
        <v>USR-10110745713TreatmentNorthMobileOrganicFree000001039.5</v>
      </c>
      <c r="S1108" s="22" t="str">
        <f>IF(COUNTIF($R$2:$R$1409,R1108)=1,"OK",IF(COUNTIF($R$2:$R$1409,R1108)&gt;1,"Exact Duplicate","Review Required"))</f>
        <v>OK</v>
      </c>
      <c r="T1108" s="22" t="s">
        <v>24</v>
      </c>
      <c r="U1108" s="22" t="s">
        <v>25</v>
      </c>
      <c r="V1108" s="22"/>
    </row>
    <row r="1109" spans="1:22" ht="41.4">
      <c r="A1109" s="22" t="s">
        <v>1140</v>
      </c>
      <c r="B1109" s="25">
        <v>45667</v>
      </c>
      <c r="C1109" s="22" t="s">
        <v>723</v>
      </c>
      <c r="D1109" s="22" t="s">
        <v>32</v>
      </c>
      <c r="E1109" s="22" t="s">
        <v>34</v>
      </c>
      <c r="F1109" s="22" t="s">
        <v>25</v>
      </c>
      <c r="G1109" s="22" t="s">
        <v>21</v>
      </c>
      <c r="H1109" s="22">
        <v>1</v>
      </c>
      <c r="I1109" s="22">
        <v>0</v>
      </c>
      <c r="J1109" s="22">
        <v>0</v>
      </c>
      <c r="K1109" s="22">
        <v>0</v>
      </c>
      <c r="L1109" s="22">
        <v>0</v>
      </c>
      <c r="M1109" s="22">
        <v>0</v>
      </c>
      <c r="N1109" s="22">
        <v>0</v>
      </c>
      <c r="O1109" s="22"/>
      <c r="P1109" s="22">
        <v>68.099999999999994</v>
      </c>
      <c r="Q1109" s="22" t="str">
        <f>IF(OR(L1109&lt;$Y$18,L1109&gt;$Y$19),"Outlier","Normal")</f>
        <v>Normal</v>
      </c>
      <c r="R1109" s="26" t="str">
        <f>A1109&amp;B1109&amp;C1109&amp;D1109&amp;E1109&amp;F1109&amp;G1109&amp;H1109&amp;I1109&amp;J1109&amp;K1109&amp;L1109&amp;M1109&amp;N1109&amp;O1109&amp;P1109</f>
        <v>USR-10110845667TreatmentSouthTabletOrganicBasic100000068.1</v>
      </c>
      <c r="S1109" s="22" t="str">
        <f>IF(COUNTIF($R$2:$R$1409,R1109)=1,"OK",IF(COUNTIF($R$2:$R$1409,R1109)&gt;1,"Exact Duplicate","Review Required"))</f>
        <v>OK</v>
      </c>
      <c r="T1109" s="22" t="s">
        <v>34</v>
      </c>
      <c r="U1109" s="22" t="s">
        <v>25</v>
      </c>
      <c r="V1109" s="22"/>
    </row>
    <row r="1110" spans="1:22" ht="41.4">
      <c r="A1110" s="22" t="s">
        <v>1141</v>
      </c>
      <c r="B1110" s="25">
        <v>45790</v>
      </c>
      <c r="C1110" s="22" t="s">
        <v>723</v>
      </c>
      <c r="D1110" s="22" t="s">
        <v>18</v>
      </c>
      <c r="E1110" s="22" t="s">
        <v>34</v>
      </c>
      <c r="F1110" s="22" t="s">
        <v>29</v>
      </c>
      <c r="G1110" s="22" t="s">
        <v>26</v>
      </c>
      <c r="H1110" s="22">
        <v>0</v>
      </c>
      <c r="I1110" s="22">
        <v>0</v>
      </c>
      <c r="J1110" s="22">
        <v>0</v>
      </c>
      <c r="K1110" s="22">
        <v>0</v>
      </c>
      <c r="L1110" s="22">
        <v>0</v>
      </c>
      <c r="M1110" s="22">
        <v>0</v>
      </c>
      <c r="N1110" s="22">
        <v>0</v>
      </c>
      <c r="O1110" s="22"/>
      <c r="P1110" s="22">
        <v>80.3</v>
      </c>
      <c r="Q1110" s="22" t="str">
        <f>IF(OR(L1110&lt;$Y$18,L1110&gt;$Y$19),"Outlier","Normal")</f>
        <v>Normal</v>
      </c>
      <c r="R1110" s="26" t="str">
        <f>A1110&amp;B1110&amp;C1110&amp;D1110&amp;E1110&amp;F1110&amp;G1110&amp;H1110&amp;I1110&amp;J1110&amp;K1110&amp;L1110&amp;M1110&amp;N1110&amp;O1110&amp;P1110</f>
        <v>USR-10110945790TreatmentNorthTabletPaid SearchFree000000080.3</v>
      </c>
      <c r="S1110" s="22" t="str">
        <f>IF(COUNTIF($R$2:$R$1409,R1110)=1,"OK",IF(COUNTIF($R$2:$R$1409,R1110)&gt;1,"Exact Duplicate","Review Required"))</f>
        <v>OK</v>
      </c>
      <c r="T1110" s="22" t="s">
        <v>34</v>
      </c>
      <c r="U1110" s="22" t="s">
        <v>29</v>
      </c>
      <c r="V1110" s="22"/>
    </row>
    <row r="1111" spans="1:22" ht="41.4">
      <c r="A1111" s="22" t="s">
        <v>1142</v>
      </c>
      <c r="B1111" s="25">
        <v>45774</v>
      </c>
      <c r="C1111" s="22" t="s">
        <v>723</v>
      </c>
      <c r="D1111" s="22" t="s">
        <v>23</v>
      </c>
      <c r="E1111" s="22" t="s">
        <v>19</v>
      </c>
      <c r="F1111" s="22" t="s">
        <v>25</v>
      </c>
      <c r="G1111" s="22" t="s">
        <v>30</v>
      </c>
      <c r="H1111" s="22">
        <v>1</v>
      </c>
      <c r="I1111" s="22">
        <v>0</v>
      </c>
      <c r="J1111" s="22">
        <v>0</v>
      </c>
      <c r="K1111" s="22">
        <v>0</v>
      </c>
      <c r="L1111" s="22">
        <v>0</v>
      </c>
      <c r="M1111" s="22">
        <v>0</v>
      </c>
      <c r="N1111" s="22">
        <v>0</v>
      </c>
      <c r="O1111" s="22"/>
      <c r="P1111" s="22">
        <v>77.7</v>
      </c>
      <c r="Q1111" s="22" t="str">
        <f>IF(OR(L1111&lt;$Y$18,L1111&gt;$Y$19),"Outlier","Normal")</f>
        <v>Normal</v>
      </c>
      <c r="R1111" s="26" t="str">
        <f>A1111&amp;B1111&amp;C1111&amp;D1111&amp;E1111&amp;F1111&amp;G1111&amp;H1111&amp;I1111&amp;J1111&amp;K1111&amp;L1111&amp;M1111&amp;N1111&amp;O1111&amp;P1111</f>
        <v>USR-10111045774TreatmentWestDesktopOrganicPremium100000077.7</v>
      </c>
      <c r="S1111" s="22" t="str">
        <f>IF(COUNTIF($R$2:$R$1409,R1111)=1,"OK",IF(COUNTIF($R$2:$R$1409,R1111)&gt;1,"Exact Duplicate","Review Required"))</f>
        <v>OK</v>
      </c>
      <c r="T1111" s="22" t="s">
        <v>19</v>
      </c>
      <c r="U1111" s="22" t="s">
        <v>25</v>
      </c>
      <c r="V1111" s="22"/>
    </row>
    <row r="1112" spans="1:22" ht="41.4">
      <c r="A1112" s="22" t="s">
        <v>1143</v>
      </c>
      <c r="B1112" s="25">
        <v>45750</v>
      </c>
      <c r="C1112" s="22" t="s">
        <v>723</v>
      </c>
      <c r="D1112" s="22" t="s">
        <v>32</v>
      </c>
      <c r="E1112" s="22" t="s">
        <v>24</v>
      </c>
      <c r="F1112" s="22" t="s">
        <v>25</v>
      </c>
      <c r="G1112" s="22" t="s">
        <v>26</v>
      </c>
      <c r="H1112" s="22">
        <v>1</v>
      </c>
      <c r="I1112" s="22">
        <v>0</v>
      </c>
      <c r="J1112" s="22">
        <v>0</v>
      </c>
      <c r="K1112" s="22">
        <v>0</v>
      </c>
      <c r="L1112" s="22">
        <v>0</v>
      </c>
      <c r="M1112" s="22">
        <v>1</v>
      </c>
      <c r="N1112" s="22">
        <v>0</v>
      </c>
      <c r="O1112" s="22"/>
      <c r="P1112" s="22">
        <v>66.2</v>
      </c>
      <c r="Q1112" s="22" t="str">
        <f>IF(OR(L1112&lt;$Y$18,L1112&gt;$Y$19),"Outlier","Normal")</f>
        <v>Normal</v>
      </c>
      <c r="R1112" s="26" t="str">
        <f>A1112&amp;B1112&amp;C1112&amp;D1112&amp;E1112&amp;F1112&amp;G1112&amp;H1112&amp;I1112&amp;J1112&amp;K1112&amp;L1112&amp;M1112&amp;N1112&amp;O1112&amp;P1112</f>
        <v>USR-10111145750TreatmentSouthMobileOrganicFree100001066.2</v>
      </c>
      <c r="S1112" s="22" t="str">
        <f>IF(COUNTIF($R$2:$R$1409,R1112)=1,"OK",IF(COUNTIF($R$2:$R$1409,R1112)&gt;1,"Exact Duplicate","Review Required"))</f>
        <v>OK</v>
      </c>
      <c r="T1112" s="22" t="s">
        <v>24</v>
      </c>
      <c r="U1112" s="22" t="s">
        <v>25</v>
      </c>
      <c r="V1112" s="22"/>
    </row>
    <row r="1113" spans="1:22" ht="41.4">
      <c r="A1113" s="22" t="s">
        <v>1144</v>
      </c>
      <c r="B1113" s="25">
        <v>45742</v>
      </c>
      <c r="C1113" s="22" t="s">
        <v>723</v>
      </c>
      <c r="D1113" s="22" t="s">
        <v>32</v>
      </c>
      <c r="E1113" s="22" t="s">
        <v>24</v>
      </c>
      <c r="F1113" s="22" t="s">
        <v>25</v>
      </c>
      <c r="G1113" s="22" t="s">
        <v>26</v>
      </c>
      <c r="H1113" s="22">
        <v>1</v>
      </c>
      <c r="I1113" s="22">
        <v>1</v>
      </c>
      <c r="J1113" s="22">
        <v>1</v>
      </c>
      <c r="K1113" s="22">
        <v>0</v>
      </c>
      <c r="L1113" s="22">
        <v>0</v>
      </c>
      <c r="M1113" s="22">
        <v>1</v>
      </c>
      <c r="N1113" s="22">
        <v>0</v>
      </c>
      <c r="O1113" s="22"/>
      <c r="P1113" s="22">
        <v>43.9</v>
      </c>
      <c r="Q1113" s="22" t="str">
        <f>IF(OR(L1113&lt;$Y$18,L1113&gt;$Y$19),"Outlier","Normal")</f>
        <v>Normal</v>
      </c>
      <c r="R1113" s="26" t="str">
        <f>A1113&amp;B1113&amp;C1113&amp;D1113&amp;E1113&amp;F1113&amp;G1113&amp;H1113&amp;I1113&amp;J1113&amp;K1113&amp;L1113&amp;M1113&amp;N1113&amp;O1113&amp;P1113</f>
        <v>USR-10111245742TreatmentSouthMobileOrganicFree111001043.9</v>
      </c>
      <c r="S1113" s="22" t="str">
        <f>IF(COUNTIF($R$2:$R$1409,R1113)=1,"OK",IF(COUNTIF($R$2:$R$1409,R1113)&gt;1,"Exact Duplicate","Review Required"))</f>
        <v>OK</v>
      </c>
      <c r="T1113" s="22" t="s">
        <v>24</v>
      </c>
      <c r="U1113" s="22" t="s">
        <v>25</v>
      </c>
      <c r="V1113" s="22"/>
    </row>
    <row r="1114" spans="1:22" ht="41.4">
      <c r="A1114" s="22" t="s">
        <v>1145</v>
      </c>
      <c r="B1114" s="25">
        <v>45688</v>
      </c>
      <c r="C1114" s="22" t="s">
        <v>723</v>
      </c>
      <c r="D1114" s="22" t="s">
        <v>32</v>
      </c>
      <c r="E1114" s="22" t="s">
        <v>24</v>
      </c>
      <c r="F1114" s="22" t="s">
        <v>25</v>
      </c>
      <c r="G1114" s="22" t="s">
        <v>21</v>
      </c>
      <c r="H1114" s="22">
        <v>1</v>
      </c>
      <c r="I1114" s="22">
        <v>1</v>
      </c>
      <c r="J1114" s="22">
        <v>1</v>
      </c>
      <c r="K1114" s="22">
        <v>0</v>
      </c>
      <c r="L1114" s="22">
        <v>0</v>
      </c>
      <c r="M1114" s="22">
        <v>2</v>
      </c>
      <c r="N1114" s="22">
        <v>0</v>
      </c>
      <c r="O1114" s="22"/>
      <c r="P1114" s="22">
        <v>59.1</v>
      </c>
      <c r="Q1114" s="22" t="str">
        <f>IF(OR(L1114&lt;$Y$18,L1114&gt;$Y$19),"Outlier","Normal")</f>
        <v>Normal</v>
      </c>
      <c r="R1114" s="26" t="str">
        <f>A1114&amp;B1114&amp;C1114&amp;D1114&amp;E1114&amp;F1114&amp;G1114&amp;H1114&amp;I1114&amp;J1114&amp;K1114&amp;L1114&amp;M1114&amp;N1114&amp;O1114&amp;P1114</f>
        <v>USR-10111345688TreatmentSouthMobileOrganicBasic111002059.1</v>
      </c>
      <c r="S1114" s="22" t="str">
        <f>IF(COUNTIF($R$2:$R$1409,R1114)=1,"OK",IF(COUNTIF($R$2:$R$1409,R1114)&gt;1,"Exact Duplicate","Review Required"))</f>
        <v>OK</v>
      </c>
      <c r="T1114" s="22" t="s">
        <v>24</v>
      </c>
      <c r="U1114" s="22" t="s">
        <v>25</v>
      </c>
      <c r="V1114" s="22"/>
    </row>
    <row r="1115" spans="1:22" ht="41.4">
      <c r="A1115" s="22" t="s">
        <v>1146</v>
      </c>
      <c r="B1115" s="25">
        <v>45682</v>
      </c>
      <c r="C1115" s="22" t="s">
        <v>723</v>
      </c>
      <c r="D1115" s="22" t="s">
        <v>32</v>
      </c>
      <c r="E1115" s="22" t="s">
        <v>24</v>
      </c>
      <c r="F1115" s="22" t="s">
        <v>41</v>
      </c>
      <c r="G1115" s="22" t="s">
        <v>26</v>
      </c>
      <c r="H1115" s="22">
        <v>1</v>
      </c>
      <c r="I1115" s="22">
        <v>1</v>
      </c>
      <c r="J1115" s="22">
        <v>1</v>
      </c>
      <c r="K1115" s="22">
        <v>1</v>
      </c>
      <c r="L1115" s="22">
        <v>416.94</v>
      </c>
      <c r="M1115" s="22">
        <v>1</v>
      </c>
      <c r="N1115" s="22">
        <v>0</v>
      </c>
      <c r="O1115" s="22">
        <v>11</v>
      </c>
      <c r="P1115" s="22">
        <v>67</v>
      </c>
      <c r="Q1115" s="22" t="str">
        <f>IF(OR(L1115&lt;$Y$18,L1115&gt;$Y$19),"Outlier","Normal")</f>
        <v>Normal</v>
      </c>
      <c r="R1115" s="26" t="str">
        <f>A1115&amp;B1115&amp;C1115&amp;D1115&amp;E1115&amp;F1115&amp;G1115&amp;H1115&amp;I1115&amp;J1115&amp;K1115&amp;L1115&amp;M1115&amp;N1115&amp;O1115&amp;P1115</f>
        <v>USR-10111445682TreatmentSouthMobileSocialFree1111416.94101167</v>
      </c>
      <c r="S1115" s="22" t="str">
        <f>IF(COUNTIF($R$2:$R$1409,R1115)=1,"OK",IF(COUNTIF($R$2:$R$1409,R1115)&gt;1,"Exact Duplicate","Review Required"))</f>
        <v>OK</v>
      </c>
      <c r="T1115" s="22" t="s">
        <v>24</v>
      </c>
      <c r="U1115" s="22" t="s">
        <v>41</v>
      </c>
      <c r="V1115" s="22"/>
    </row>
    <row r="1116" spans="1:22" ht="41.4">
      <c r="A1116" s="22" t="s">
        <v>1147</v>
      </c>
      <c r="B1116" s="25">
        <v>45694</v>
      </c>
      <c r="C1116" s="22" t="s">
        <v>723</v>
      </c>
      <c r="D1116" s="22" t="s">
        <v>23</v>
      </c>
      <c r="E1116" s="22" t="s">
        <v>24</v>
      </c>
      <c r="F1116" s="22" t="s">
        <v>39</v>
      </c>
      <c r="G1116" s="22" t="s">
        <v>21</v>
      </c>
      <c r="H1116" s="22">
        <v>1</v>
      </c>
      <c r="I1116" s="22">
        <v>0</v>
      </c>
      <c r="J1116" s="22">
        <v>0</v>
      </c>
      <c r="K1116" s="22">
        <v>0</v>
      </c>
      <c r="L1116" s="22">
        <v>0</v>
      </c>
      <c r="M1116" s="22">
        <v>0</v>
      </c>
      <c r="N1116" s="22">
        <v>0</v>
      </c>
      <c r="O1116" s="22"/>
      <c r="P1116" s="22">
        <v>47.9</v>
      </c>
      <c r="Q1116" s="22" t="str">
        <f>IF(OR(L1116&lt;$Y$18,L1116&gt;$Y$19),"Outlier","Normal")</f>
        <v>Normal</v>
      </c>
      <c r="R1116" s="26" t="str">
        <f>A1116&amp;B1116&amp;C1116&amp;D1116&amp;E1116&amp;F1116&amp;G1116&amp;H1116&amp;I1116&amp;J1116&amp;K1116&amp;L1116&amp;M1116&amp;N1116&amp;O1116&amp;P1116</f>
        <v>USR-10111545694TreatmentWestMobileReferralBasic100000047.9</v>
      </c>
      <c r="S1116" s="22" t="str">
        <f>IF(COUNTIF($R$2:$R$1409,R1116)=1,"OK",IF(COUNTIF($R$2:$R$1409,R1116)&gt;1,"Exact Duplicate","Review Required"))</f>
        <v>OK</v>
      </c>
      <c r="T1116" s="22" t="s">
        <v>24</v>
      </c>
      <c r="U1116" s="22" t="s">
        <v>39</v>
      </c>
      <c r="V1116" s="22"/>
    </row>
    <row r="1117" spans="1:22" ht="41.4">
      <c r="A1117" s="22" t="s">
        <v>1148</v>
      </c>
      <c r="B1117" s="25">
        <v>45726</v>
      </c>
      <c r="C1117" s="22" t="s">
        <v>723</v>
      </c>
      <c r="D1117" s="22" t="s">
        <v>28</v>
      </c>
      <c r="E1117" s="22" t="s">
        <v>24</v>
      </c>
      <c r="F1117" s="22" t="s">
        <v>29</v>
      </c>
      <c r="G1117" s="22" t="s">
        <v>26</v>
      </c>
      <c r="H1117" s="22">
        <v>1</v>
      </c>
      <c r="I1117" s="22">
        <v>1</v>
      </c>
      <c r="J1117" s="22">
        <v>0</v>
      </c>
      <c r="K1117" s="22">
        <v>0</v>
      </c>
      <c r="L1117" s="22">
        <v>0</v>
      </c>
      <c r="M1117" s="22">
        <v>0</v>
      </c>
      <c r="N1117" s="22">
        <v>0</v>
      </c>
      <c r="O1117" s="22"/>
      <c r="P1117" s="22">
        <v>41.5</v>
      </c>
      <c r="Q1117" s="22" t="str">
        <f>IF(OR(L1117&lt;$Y$18,L1117&gt;$Y$19),"Outlier","Normal")</f>
        <v>Normal</v>
      </c>
      <c r="R1117" s="26" t="str">
        <f>A1117&amp;B1117&amp;C1117&amp;D1117&amp;E1117&amp;F1117&amp;G1117&amp;H1117&amp;I1117&amp;J1117&amp;K1117&amp;L1117&amp;M1117&amp;N1117&amp;O1117&amp;P1117</f>
        <v>USR-10111645726TreatmentEastMobilePaid SearchFree110000041.5</v>
      </c>
      <c r="S1117" s="22" t="str">
        <f>IF(COUNTIF($R$2:$R$1409,R1117)=1,"OK",IF(COUNTIF($R$2:$R$1409,R1117)&gt;1,"Exact Duplicate","Review Required"))</f>
        <v>OK</v>
      </c>
      <c r="T1117" s="22" t="s">
        <v>24</v>
      </c>
      <c r="U1117" s="22" t="s">
        <v>29</v>
      </c>
      <c r="V1117" s="22"/>
    </row>
    <row r="1118" spans="1:22" ht="41.4">
      <c r="A1118" s="22" t="s">
        <v>1149</v>
      </c>
      <c r="B1118" s="25">
        <v>45683</v>
      </c>
      <c r="C1118" s="22" t="s">
        <v>723</v>
      </c>
      <c r="D1118" s="22" t="s">
        <v>23</v>
      </c>
      <c r="E1118" s="22" t="s">
        <v>24</v>
      </c>
      <c r="F1118" s="22" t="s">
        <v>25</v>
      </c>
      <c r="G1118" s="22" t="s">
        <v>21</v>
      </c>
      <c r="H1118" s="22">
        <v>1</v>
      </c>
      <c r="I1118" s="22">
        <v>1</v>
      </c>
      <c r="J1118" s="22">
        <v>1</v>
      </c>
      <c r="K1118" s="22">
        <v>0</v>
      </c>
      <c r="L1118" s="22">
        <v>0</v>
      </c>
      <c r="M1118" s="22">
        <v>3</v>
      </c>
      <c r="N1118" s="22">
        <v>0</v>
      </c>
      <c r="O1118" s="22"/>
      <c r="P1118" s="22">
        <v>30.6</v>
      </c>
      <c r="Q1118" s="22" t="str">
        <f>IF(OR(L1118&lt;$Y$18,L1118&gt;$Y$19),"Outlier","Normal")</f>
        <v>Normal</v>
      </c>
      <c r="R1118" s="26" t="str">
        <f>A1118&amp;B1118&amp;C1118&amp;D1118&amp;E1118&amp;F1118&amp;G1118&amp;H1118&amp;I1118&amp;J1118&amp;K1118&amp;L1118&amp;M1118&amp;N1118&amp;O1118&amp;P1118</f>
        <v>USR-10111745683TreatmentWestMobileOrganicBasic111003030.6</v>
      </c>
      <c r="S1118" s="22" t="str">
        <f>IF(COUNTIF($R$2:$R$1409,R1118)=1,"OK",IF(COUNTIF($R$2:$R$1409,R1118)&gt;1,"Exact Duplicate","Review Required"))</f>
        <v>OK</v>
      </c>
      <c r="T1118" s="22" t="s">
        <v>24</v>
      </c>
      <c r="U1118" s="22" t="s">
        <v>25</v>
      </c>
      <c r="V1118" s="22"/>
    </row>
    <row r="1119" spans="1:22" ht="41.4">
      <c r="A1119" s="22" t="s">
        <v>1150</v>
      </c>
      <c r="B1119" s="25">
        <v>45658</v>
      </c>
      <c r="C1119" s="22" t="s">
        <v>723</v>
      </c>
      <c r="D1119" s="22" t="s">
        <v>28</v>
      </c>
      <c r="E1119" s="22" t="s">
        <v>24</v>
      </c>
      <c r="F1119" s="22" t="s">
        <v>29</v>
      </c>
      <c r="G1119" s="22" t="s">
        <v>26</v>
      </c>
      <c r="H1119" s="22">
        <v>1</v>
      </c>
      <c r="I1119" s="22">
        <v>1</v>
      </c>
      <c r="J1119" s="22">
        <v>0</v>
      </c>
      <c r="K1119" s="22">
        <v>0</v>
      </c>
      <c r="L1119" s="22">
        <v>0</v>
      </c>
      <c r="M1119" s="22">
        <v>0</v>
      </c>
      <c r="N1119" s="22">
        <v>0</v>
      </c>
      <c r="O1119" s="22"/>
      <c r="P1119" s="22">
        <v>91.5</v>
      </c>
      <c r="Q1119" s="22" t="str">
        <f>IF(OR(L1119&lt;$Y$18,L1119&gt;$Y$19),"Outlier","Normal")</f>
        <v>Normal</v>
      </c>
      <c r="R1119" s="26" t="str">
        <f>A1119&amp;B1119&amp;C1119&amp;D1119&amp;E1119&amp;F1119&amp;G1119&amp;H1119&amp;I1119&amp;J1119&amp;K1119&amp;L1119&amp;M1119&amp;N1119&amp;O1119&amp;P1119</f>
        <v>USR-10111845658TreatmentEastMobilePaid SearchFree110000091.5</v>
      </c>
      <c r="S1119" s="22" t="str">
        <f>IF(COUNTIF($R$2:$R$1409,R1119)=1,"OK",IF(COUNTIF($R$2:$R$1409,R1119)&gt;1,"Exact Duplicate","Review Required"))</f>
        <v>OK</v>
      </c>
      <c r="T1119" s="22" t="s">
        <v>24</v>
      </c>
      <c r="U1119" s="22" t="s">
        <v>29</v>
      </c>
      <c r="V1119" s="22"/>
    </row>
    <row r="1120" spans="1:22" ht="41.4">
      <c r="A1120" s="22" t="s">
        <v>1151</v>
      </c>
      <c r="B1120" s="25">
        <v>45775</v>
      </c>
      <c r="C1120" s="22" t="s">
        <v>723</v>
      </c>
      <c r="D1120" s="22" t="s">
        <v>18</v>
      </c>
      <c r="E1120" s="22" t="s">
        <v>19</v>
      </c>
      <c r="F1120" s="22" t="s">
        <v>41</v>
      </c>
      <c r="G1120" s="22" t="s">
        <v>21</v>
      </c>
      <c r="H1120" s="22">
        <v>1</v>
      </c>
      <c r="I1120" s="22">
        <v>0</v>
      </c>
      <c r="J1120" s="22">
        <v>0</v>
      </c>
      <c r="K1120" s="22">
        <v>0</v>
      </c>
      <c r="L1120" s="22">
        <v>0</v>
      </c>
      <c r="M1120" s="22">
        <v>0</v>
      </c>
      <c r="N1120" s="22">
        <v>0</v>
      </c>
      <c r="O1120" s="22"/>
      <c r="P1120" s="22">
        <v>80.8</v>
      </c>
      <c r="Q1120" s="22" t="str">
        <f>IF(OR(L1120&lt;$Y$18,L1120&gt;$Y$19),"Outlier","Normal")</f>
        <v>Normal</v>
      </c>
      <c r="R1120" s="26" t="str">
        <f>A1120&amp;B1120&amp;C1120&amp;D1120&amp;E1120&amp;F1120&amp;G1120&amp;H1120&amp;I1120&amp;J1120&amp;K1120&amp;L1120&amp;M1120&amp;N1120&amp;O1120&amp;P1120</f>
        <v>USR-10111945775TreatmentNorthDesktopSocialBasic100000080.8</v>
      </c>
      <c r="S1120" s="22" t="str">
        <f>IF(COUNTIF($R$2:$R$1409,R1120)=1,"OK",IF(COUNTIF($R$2:$R$1409,R1120)&gt;1,"Exact Duplicate","Review Required"))</f>
        <v>OK</v>
      </c>
      <c r="T1120" s="22" t="s">
        <v>19</v>
      </c>
      <c r="U1120" s="22" t="s">
        <v>41</v>
      </c>
      <c r="V1120" s="22"/>
    </row>
    <row r="1121" spans="1:22" ht="41.4">
      <c r="A1121" s="22" t="s">
        <v>1152</v>
      </c>
      <c r="B1121" s="25">
        <v>45751</v>
      </c>
      <c r="C1121" s="22" t="s">
        <v>723</v>
      </c>
      <c r="D1121" s="22" t="s">
        <v>18</v>
      </c>
      <c r="E1121" s="22" t="s">
        <v>24</v>
      </c>
      <c r="F1121" s="22" t="s">
        <v>25</v>
      </c>
      <c r="G1121" s="22" t="s">
        <v>30</v>
      </c>
      <c r="H1121" s="22">
        <v>1</v>
      </c>
      <c r="I1121" s="22">
        <v>0</v>
      </c>
      <c r="J1121" s="22">
        <v>0</v>
      </c>
      <c r="K1121" s="22">
        <v>0</v>
      </c>
      <c r="L1121" s="22">
        <v>0</v>
      </c>
      <c r="M1121" s="22">
        <v>0</v>
      </c>
      <c r="N1121" s="22">
        <v>0</v>
      </c>
      <c r="O1121" s="22"/>
      <c r="P1121" s="22">
        <v>68.099999999999994</v>
      </c>
      <c r="Q1121" s="22" t="str">
        <f>IF(OR(L1121&lt;$Y$18,L1121&gt;$Y$19),"Outlier","Normal")</f>
        <v>Normal</v>
      </c>
      <c r="R1121" s="26" t="str">
        <f>A1121&amp;B1121&amp;C1121&amp;D1121&amp;E1121&amp;F1121&amp;G1121&amp;H1121&amp;I1121&amp;J1121&amp;K1121&amp;L1121&amp;M1121&amp;N1121&amp;O1121&amp;P1121</f>
        <v>USR-10112045751TreatmentNorthMobileOrganicPremium100000068.1</v>
      </c>
      <c r="S1121" s="22" t="str">
        <f>IF(COUNTIF($R$2:$R$1409,R1121)=1,"OK",IF(COUNTIF($R$2:$R$1409,R1121)&gt;1,"Exact Duplicate","Review Required"))</f>
        <v>OK</v>
      </c>
      <c r="T1121" s="22" t="s">
        <v>24</v>
      </c>
      <c r="U1121" s="22" t="s">
        <v>25</v>
      </c>
      <c r="V1121" s="22"/>
    </row>
    <row r="1122" spans="1:22" ht="41.4">
      <c r="A1122" s="22" t="s">
        <v>1153</v>
      </c>
      <c r="B1122" s="25">
        <v>45718</v>
      </c>
      <c r="C1122" s="22" t="s">
        <v>723</v>
      </c>
      <c r="D1122" s="22" t="s">
        <v>28</v>
      </c>
      <c r="E1122" s="22" t="s">
        <v>24</v>
      </c>
      <c r="F1122" s="22" t="s">
        <v>29</v>
      </c>
      <c r="G1122" s="22" t="s">
        <v>26</v>
      </c>
      <c r="H1122" s="22">
        <v>1</v>
      </c>
      <c r="I1122" s="22">
        <v>0</v>
      </c>
      <c r="J1122" s="22">
        <v>0</v>
      </c>
      <c r="K1122" s="22">
        <v>0</v>
      </c>
      <c r="L1122" s="22">
        <v>0</v>
      </c>
      <c r="M1122" s="22">
        <v>0</v>
      </c>
      <c r="N1122" s="22">
        <v>0</v>
      </c>
      <c r="O1122" s="22"/>
      <c r="P1122" s="22">
        <v>80.3</v>
      </c>
      <c r="Q1122" s="22" t="str">
        <f>IF(OR(L1122&lt;$Y$18,L1122&gt;$Y$19),"Outlier","Normal")</f>
        <v>Normal</v>
      </c>
      <c r="R1122" s="26" t="str">
        <f>A1122&amp;B1122&amp;C1122&amp;D1122&amp;E1122&amp;F1122&amp;G1122&amp;H1122&amp;I1122&amp;J1122&amp;K1122&amp;L1122&amp;M1122&amp;N1122&amp;O1122&amp;P1122</f>
        <v>USR-10112145718TreatmentEastMobilePaid SearchFree100000080.3</v>
      </c>
      <c r="S1122" s="22" t="str">
        <f>IF(COUNTIF($R$2:$R$1409,R1122)=1,"OK",IF(COUNTIF($R$2:$R$1409,R1122)&gt;1,"Exact Duplicate","Review Required"))</f>
        <v>OK</v>
      </c>
      <c r="T1122" s="22" t="s">
        <v>24</v>
      </c>
      <c r="U1122" s="22" t="s">
        <v>29</v>
      </c>
      <c r="V1122" s="22"/>
    </row>
    <row r="1123" spans="1:22" ht="41.4">
      <c r="A1123" s="22" t="s">
        <v>1154</v>
      </c>
      <c r="B1123" s="25">
        <v>45735</v>
      </c>
      <c r="C1123" s="22" t="s">
        <v>723</v>
      </c>
      <c r="D1123" s="22" t="s">
        <v>32</v>
      </c>
      <c r="E1123" s="22" t="s">
        <v>34</v>
      </c>
      <c r="F1123" s="22" t="s">
        <v>25</v>
      </c>
      <c r="G1123" s="22" t="s">
        <v>21</v>
      </c>
      <c r="H1123" s="22">
        <v>1</v>
      </c>
      <c r="I1123" s="22">
        <v>0</v>
      </c>
      <c r="J1123" s="22">
        <v>0</v>
      </c>
      <c r="K1123" s="22">
        <v>0</v>
      </c>
      <c r="L1123" s="22">
        <v>0</v>
      </c>
      <c r="M1123" s="22">
        <v>0</v>
      </c>
      <c r="N1123" s="22">
        <v>0</v>
      </c>
      <c r="O1123" s="22"/>
      <c r="P1123" s="22">
        <v>44.4</v>
      </c>
      <c r="Q1123" s="22" t="str">
        <f>IF(OR(L1123&lt;$Y$18,L1123&gt;$Y$19),"Outlier","Normal")</f>
        <v>Normal</v>
      </c>
      <c r="R1123" s="26" t="str">
        <f>A1123&amp;B1123&amp;C1123&amp;D1123&amp;E1123&amp;F1123&amp;G1123&amp;H1123&amp;I1123&amp;J1123&amp;K1123&amp;L1123&amp;M1123&amp;N1123&amp;O1123&amp;P1123</f>
        <v>USR-10112245735TreatmentSouthTabletOrganicBasic100000044.4</v>
      </c>
      <c r="S1123" s="22" t="str">
        <f>IF(COUNTIF($R$2:$R$1409,R1123)=1,"OK",IF(COUNTIF($R$2:$R$1409,R1123)&gt;1,"Exact Duplicate","Review Required"))</f>
        <v>OK</v>
      </c>
      <c r="T1123" s="22" t="s">
        <v>34</v>
      </c>
      <c r="U1123" s="22" t="s">
        <v>25</v>
      </c>
      <c r="V1123" s="22"/>
    </row>
    <row r="1124" spans="1:22" ht="41.4">
      <c r="A1124" s="22" t="s">
        <v>1155</v>
      </c>
      <c r="B1124" s="25">
        <v>45677</v>
      </c>
      <c r="C1124" s="22" t="s">
        <v>723</v>
      </c>
      <c r="D1124" s="22" t="s">
        <v>32</v>
      </c>
      <c r="E1124" s="22" t="s">
        <v>19</v>
      </c>
      <c r="F1124" s="22" t="s">
        <v>25</v>
      </c>
      <c r="G1124" s="22" t="s">
        <v>21</v>
      </c>
      <c r="H1124" s="22">
        <v>0</v>
      </c>
      <c r="I1124" s="22">
        <v>0</v>
      </c>
      <c r="J1124" s="22">
        <v>0</v>
      </c>
      <c r="K1124" s="22">
        <v>0</v>
      </c>
      <c r="L1124" s="22">
        <v>0</v>
      </c>
      <c r="M1124" s="22">
        <v>0</v>
      </c>
      <c r="N1124" s="22">
        <v>0</v>
      </c>
      <c r="O1124" s="22"/>
      <c r="P1124" s="22">
        <v>51.9</v>
      </c>
      <c r="Q1124" s="22" t="str">
        <f>IF(OR(L1124&lt;$Y$18,L1124&gt;$Y$19),"Outlier","Normal")</f>
        <v>Normal</v>
      </c>
      <c r="R1124" s="26" t="str">
        <f>A1124&amp;B1124&amp;C1124&amp;D1124&amp;E1124&amp;F1124&amp;G1124&amp;H1124&amp;I1124&amp;J1124&amp;K1124&amp;L1124&amp;M1124&amp;N1124&amp;O1124&amp;P1124</f>
        <v>USR-10112345677TreatmentSouthDesktopOrganicBasic000000051.9</v>
      </c>
      <c r="S1124" s="22" t="str">
        <f>IF(COUNTIF($R$2:$R$1409,R1124)=1,"OK",IF(COUNTIF($R$2:$R$1409,R1124)&gt;1,"Exact Duplicate","Review Required"))</f>
        <v>OK</v>
      </c>
      <c r="T1124" s="22" t="s">
        <v>19</v>
      </c>
      <c r="U1124" s="22" t="s">
        <v>25</v>
      </c>
      <c r="V1124" s="22"/>
    </row>
    <row r="1125" spans="1:22" ht="41.4">
      <c r="A1125" s="22" t="s">
        <v>1156</v>
      </c>
      <c r="B1125" s="25">
        <v>45750</v>
      </c>
      <c r="C1125" s="22" t="s">
        <v>723</v>
      </c>
      <c r="D1125" s="22" t="s">
        <v>28</v>
      </c>
      <c r="E1125" s="22" t="s">
        <v>24</v>
      </c>
      <c r="F1125" s="22" t="s">
        <v>29</v>
      </c>
      <c r="G1125" s="22" t="s">
        <v>26</v>
      </c>
      <c r="H1125" s="22">
        <v>1</v>
      </c>
      <c r="I1125" s="22">
        <v>1</v>
      </c>
      <c r="J1125" s="22">
        <v>0</v>
      </c>
      <c r="K1125" s="22">
        <v>0</v>
      </c>
      <c r="L1125" s="22">
        <v>0</v>
      </c>
      <c r="M1125" s="22">
        <v>0</v>
      </c>
      <c r="N1125" s="22">
        <v>0</v>
      </c>
      <c r="O1125" s="22"/>
      <c r="P1125" s="22">
        <v>49.8</v>
      </c>
      <c r="Q1125" s="22" t="str">
        <f>IF(OR(L1125&lt;$Y$18,L1125&gt;$Y$19),"Outlier","Normal")</f>
        <v>Normal</v>
      </c>
      <c r="R1125" s="26" t="str">
        <f>A1125&amp;B1125&amp;C1125&amp;D1125&amp;E1125&amp;F1125&amp;G1125&amp;H1125&amp;I1125&amp;J1125&amp;K1125&amp;L1125&amp;M1125&amp;N1125&amp;O1125&amp;P1125</f>
        <v>USR-10112445750TreatmentEastMobilePaid SearchFree110000049.8</v>
      </c>
      <c r="S1125" s="22" t="str">
        <f>IF(COUNTIF($R$2:$R$1409,R1125)=1,"OK",IF(COUNTIF($R$2:$R$1409,R1125)&gt;1,"Exact Duplicate","Review Required"))</f>
        <v>OK</v>
      </c>
      <c r="T1125" s="22" t="s">
        <v>24</v>
      </c>
      <c r="U1125" s="22" t="s">
        <v>29</v>
      </c>
      <c r="V1125" s="22"/>
    </row>
    <row r="1126" spans="1:22" ht="41.4">
      <c r="A1126" s="22" t="s">
        <v>1157</v>
      </c>
      <c r="B1126" s="25">
        <v>45668</v>
      </c>
      <c r="C1126" s="22" t="s">
        <v>723</v>
      </c>
      <c r="D1126" s="22" t="s">
        <v>28</v>
      </c>
      <c r="E1126" s="22" t="s">
        <v>19</v>
      </c>
      <c r="F1126" s="22" t="s">
        <v>41</v>
      </c>
      <c r="G1126" s="22" t="s">
        <v>26</v>
      </c>
      <c r="H1126" s="22">
        <v>1</v>
      </c>
      <c r="I1126" s="22">
        <v>1</v>
      </c>
      <c r="J1126" s="22">
        <v>1</v>
      </c>
      <c r="K1126" s="22">
        <v>0</v>
      </c>
      <c r="L1126" s="22">
        <v>0</v>
      </c>
      <c r="M1126" s="22">
        <v>3</v>
      </c>
      <c r="N1126" s="22">
        <v>0</v>
      </c>
      <c r="O1126" s="22"/>
      <c r="P1126" s="22">
        <v>62.1</v>
      </c>
      <c r="Q1126" s="22" t="str">
        <f>IF(OR(L1126&lt;$Y$18,L1126&gt;$Y$19),"Outlier","Normal")</f>
        <v>Normal</v>
      </c>
      <c r="R1126" s="26" t="str">
        <f>A1126&amp;B1126&amp;C1126&amp;D1126&amp;E1126&amp;F1126&amp;G1126&amp;H1126&amp;I1126&amp;J1126&amp;K1126&amp;L1126&amp;M1126&amp;N1126&amp;O1126&amp;P1126</f>
        <v>USR-10112545668TreatmentEastDesktopSocialFree111003062.1</v>
      </c>
      <c r="S1126" s="22" t="str">
        <f>IF(COUNTIF($R$2:$R$1409,R1126)=1,"OK",IF(COUNTIF($R$2:$R$1409,R1126)&gt;1,"Exact Duplicate","Review Required"))</f>
        <v>OK</v>
      </c>
      <c r="T1126" s="22" t="s">
        <v>19</v>
      </c>
      <c r="U1126" s="22" t="s">
        <v>41</v>
      </c>
      <c r="V1126" s="22"/>
    </row>
    <row r="1127" spans="1:22" ht="41.4">
      <c r="A1127" s="22" t="s">
        <v>1158</v>
      </c>
      <c r="B1127" s="25">
        <v>45690</v>
      </c>
      <c r="C1127" s="22" t="s">
        <v>723</v>
      </c>
      <c r="D1127" s="22" t="s">
        <v>23</v>
      </c>
      <c r="E1127" s="22" t="s">
        <v>19</v>
      </c>
      <c r="F1127" s="22" t="s">
        <v>41</v>
      </c>
      <c r="G1127" s="22" t="s">
        <v>21</v>
      </c>
      <c r="H1127" s="22">
        <v>1</v>
      </c>
      <c r="I1127" s="22">
        <v>0</v>
      </c>
      <c r="J1127" s="22">
        <v>0</v>
      </c>
      <c r="K1127" s="22">
        <v>0</v>
      </c>
      <c r="L1127" s="22">
        <v>0</v>
      </c>
      <c r="M1127" s="22">
        <v>0</v>
      </c>
      <c r="N1127" s="22">
        <v>0</v>
      </c>
      <c r="O1127" s="22"/>
      <c r="P1127" s="22">
        <v>91.3</v>
      </c>
      <c r="Q1127" s="22" t="str">
        <f>IF(OR(L1127&lt;$Y$18,L1127&gt;$Y$19),"Outlier","Normal")</f>
        <v>Normal</v>
      </c>
      <c r="R1127" s="26" t="str">
        <f>A1127&amp;B1127&amp;C1127&amp;D1127&amp;E1127&amp;F1127&amp;G1127&amp;H1127&amp;I1127&amp;J1127&amp;K1127&amp;L1127&amp;M1127&amp;N1127&amp;O1127&amp;P1127</f>
        <v>USR-10112645690TreatmentWestDesktopSocialBasic100000091.3</v>
      </c>
      <c r="S1127" s="22" t="str">
        <f>IF(COUNTIF($R$2:$R$1409,R1127)=1,"OK",IF(COUNTIF($R$2:$R$1409,R1127)&gt;1,"Exact Duplicate","Review Required"))</f>
        <v>OK</v>
      </c>
      <c r="T1127" s="22" t="s">
        <v>19</v>
      </c>
      <c r="U1127" s="22" t="s">
        <v>41</v>
      </c>
      <c r="V1127" s="22"/>
    </row>
    <row r="1128" spans="1:22" ht="41.4">
      <c r="A1128" s="22" t="s">
        <v>1159</v>
      </c>
      <c r="B1128" s="25">
        <v>45748</v>
      </c>
      <c r="C1128" s="22" t="s">
        <v>723</v>
      </c>
      <c r="D1128" s="22" t="s">
        <v>32</v>
      </c>
      <c r="E1128" s="22" t="s">
        <v>24</v>
      </c>
      <c r="F1128" s="22" t="s">
        <v>25</v>
      </c>
      <c r="G1128" s="22" t="s">
        <v>21</v>
      </c>
      <c r="H1128" s="22">
        <v>1</v>
      </c>
      <c r="I1128" s="22">
        <v>0</v>
      </c>
      <c r="J1128" s="22">
        <v>0</v>
      </c>
      <c r="K1128" s="22">
        <v>0</v>
      </c>
      <c r="L1128" s="22">
        <v>0</v>
      </c>
      <c r="M1128" s="22">
        <v>0</v>
      </c>
      <c r="N1128" s="22">
        <v>0</v>
      </c>
      <c r="O1128" s="22"/>
      <c r="P1128" s="22">
        <v>66.400000000000006</v>
      </c>
      <c r="Q1128" s="22" t="str">
        <f>IF(OR(L1128&lt;$Y$18,L1128&gt;$Y$19),"Outlier","Normal")</f>
        <v>Normal</v>
      </c>
      <c r="R1128" s="26" t="str">
        <f>A1128&amp;B1128&amp;C1128&amp;D1128&amp;E1128&amp;F1128&amp;G1128&amp;H1128&amp;I1128&amp;J1128&amp;K1128&amp;L1128&amp;M1128&amp;N1128&amp;O1128&amp;P1128</f>
        <v>USR-10112745748TreatmentSouthMobileOrganicBasic100000066.4</v>
      </c>
      <c r="S1128" s="22" t="str">
        <f>IF(COUNTIF($R$2:$R$1409,R1128)=1,"OK",IF(COUNTIF($R$2:$R$1409,R1128)&gt;1,"Exact Duplicate","Review Required"))</f>
        <v>OK</v>
      </c>
      <c r="T1128" s="22" t="s">
        <v>24</v>
      </c>
      <c r="U1128" s="22" t="s">
        <v>25</v>
      </c>
      <c r="V1128" s="22"/>
    </row>
    <row r="1129" spans="1:22" ht="41.4">
      <c r="A1129" s="22" t="s">
        <v>1160</v>
      </c>
      <c r="B1129" s="25">
        <v>45799</v>
      </c>
      <c r="C1129" s="22" t="s">
        <v>723</v>
      </c>
      <c r="D1129" s="22" t="s">
        <v>28</v>
      </c>
      <c r="E1129" s="22" t="s">
        <v>24</v>
      </c>
      <c r="F1129" s="22" t="s">
        <v>25</v>
      </c>
      <c r="G1129" s="22" t="s">
        <v>21</v>
      </c>
      <c r="H1129" s="22">
        <v>1</v>
      </c>
      <c r="I1129" s="22">
        <v>0</v>
      </c>
      <c r="J1129" s="22">
        <v>0</v>
      </c>
      <c r="K1129" s="22">
        <v>0</v>
      </c>
      <c r="L1129" s="22">
        <v>0</v>
      </c>
      <c r="M1129" s="22">
        <v>0</v>
      </c>
      <c r="N1129" s="22">
        <v>0</v>
      </c>
      <c r="O1129" s="22"/>
      <c r="P1129" s="22">
        <v>41.5</v>
      </c>
      <c r="Q1129" s="22" t="str">
        <f>IF(OR(L1129&lt;$Y$18,L1129&gt;$Y$19),"Outlier","Normal")</f>
        <v>Normal</v>
      </c>
      <c r="R1129" s="26" t="str">
        <f>A1129&amp;B1129&amp;C1129&amp;D1129&amp;E1129&amp;F1129&amp;G1129&amp;H1129&amp;I1129&amp;J1129&amp;K1129&amp;L1129&amp;M1129&amp;N1129&amp;O1129&amp;P1129</f>
        <v>USR-10112845799TreatmentEastMobileOrganicBasic100000041.5</v>
      </c>
      <c r="S1129" s="22" t="str">
        <f>IF(COUNTIF($R$2:$R$1409,R1129)=1,"OK",IF(COUNTIF($R$2:$R$1409,R1129)&gt;1,"Exact Duplicate","Review Required"))</f>
        <v>OK</v>
      </c>
      <c r="T1129" s="22" t="s">
        <v>24</v>
      </c>
      <c r="U1129" s="22" t="s">
        <v>25</v>
      </c>
      <c r="V1129" s="22"/>
    </row>
    <row r="1130" spans="1:22" ht="41.4">
      <c r="A1130" s="22" t="s">
        <v>1161</v>
      </c>
      <c r="B1130" s="25">
        <v>45708</v>
      </c>
      <c r="C1130" s="22" t="s">
        <v>723</v>
      </c>
      <c r="D1130" s="22" t="s">
        <v>23</v>
      </c>
      <c r="E1130" s="22" t="s">
        <v>24</v>
      </c>
      <c r="F1130" s="22" t="s">
        <v>25</v>
      </c>
      <c r="G1130" s="22" t="s">
        <v>21</v>
      </c>
      <c r="H1130" s="22">
        <v>0</v>
      </c>
      <c r="I1130" s="22">
        <v>0</v>
      </c>
      <c r="J1130" s="22">
        <v>0</v>
      </c>
      <c r="K1130" s="22">
        <v>0</v>
      </c>
      <c r="L1130" s="22">
        <v>0</v>
      </c>
      <c r="M1130" s="22">
        <v>0</v>
      </c>
      <c r="N1130" s="22">
        <v>0</v>
      </c>
      <c r="O1130" s="22"/>
      <c r="P1130" s="22">
        <v>77.099999999999994</v>
      </c>
      <c r="Q1130" s="22" t="str">
        <f>IF(OR(L1130&lt;$Y$18,L1130&gt;$Y$19),"Outlier","Normal")</f>
        <v>Normal</v>
      </c>
      <c r="R1130" s="26" t="str">
        <f>A1130&amp;B1130&amp;C1130&amp;D1130&amp;E1130&amp;F1130&amp;G1130&amp;H1130&amp;I1130&amp;J1130&amp;K1130&amp;L1130&amp;M1130&amp;N1130&amp;O1130&amp;P1130</f>
        <v>USR-10112945708TreatmentWestMobileOrganicBasic000000077.1</v>
      </c>
      <c r="S1130" s="22" t="str">
        <f>IF(COUNTIF($R$2:$R$1409,R1130)=1,"OK",IF(COUNTIF($R$2:$R$1409,R1130)&gt;1,"Exact Duplicate","Review Required"))</f>
        <v>OK</v>
      </c>
      <c r="T1130" s="22" t="s">
        <v>24</v>
      </c>
      <c r="U1130" s="22" t="s">
        <v>25</v>
      </c>
      <c r="V1130" s="22"/>
    </row>
    <row r="1131" spans="1:22" ht="41.4">
      <c r="A1131" s="22" t="s">
        <v>1162</v>
      </c>
      <c r="B1131" s="25">
        <v>45737</v>
      </c>
      <c r="C1131" s="22" t="s">
        <v>723</v>
      </c>
      <c r="D1131" s="22" t="s">
        <v>23</v>
      </c>
      <c r="E1131" s="22" t="s">
        <v>24</v>
      </c>
      <c r="F1131" s="22" t="s">
        <v>25</v>
      </c>
      <c r="G1131" s="22" t="s">
        <v>26</v>
      </c>
      <c r="H1131" s="22">
        <v>1</v>
      </c>
      <c r="I1131" s="22">
        <v>0</v>
      </c>
      <c r="J1131" s="22">
        <v>0</v>
      </c>
      <c r="K1131" s="22">
        <v>0</v>
      </c>
      <c r="L1131" s="22">
        <v>0</v>
      </c>
      <c r="M1131" s="22">
        <v>0</v>
      </c>
      <c r="N1131" s="22">
        <v>0</v>
      </c>
      <c r="O1131" s="22"/>
      <c r="P1131" s="22">
        <v>63.2</v>
      </c>
      <c r="Q1131" s="22" t="str">
        <f>IF(OR(L1131&lt;$Y$18,L1131&gt;$Y$19),"Outlier","Normal")</f>
        <v>Normal</v>
      </c>
      <c r="R1131" s="26" t="str">
        <f>A1131&amp;B1131&amp;C1131&amp;D1131&amp;E1131&amp;F1131&amp;G1131&amp;H1131&amp;I1131&amp;J1131&amp;K1131&amp;L1131&amp;M1131&amp;N1131&amp;O1131&amp;P1131</f>
        <v>USR-10113045737TreatmentWestMobileOrganicFree100000063.2</v>
      </c>
      <c r="S1131" s="22" t="str">
        <f>IF(COUNTIF($R$2:$R$1409,R1131)=1,"OK",IF(COUNTIF($R$2:$R$1409,R1131)&gt;1,"Exact Duplicate","Review Required"))</f>
        <v>OK</v>
      </c>
      <c r="T1131" s="22" t="s">
        <v>24</v>
      </c>
      <c r="U1131" s="22" t="s">
        <v>25</v>
      </c>
      <c r="V1131" s="22"/>
    </row>
    <row r="1132" spans="1:22" ht="41.4">
      <c r="A1132" s="22" t="s">
        <v>1163</v>
      </c>
      <c r="B1132" s="25">
        <v>45778</v>
      </c>
      <c r="C1132" s="22" t="s">
        <v>723</v>
      </c>
      <c r="D1132" s="22" t="s">
        <v>23</v>
      </c>
      <c r="E1132" s="22" t="s">
        <v>19</v>
      </c>
      <c r="F1132" s="22" t="s">
        <v>39</v>
      </c>
      <c r="G1132" s="22" t="s">
        <v>26</v>
      </c>
      <c r="H1132" s="22">
        <v>1</v>
      </c>
      <c r="I1132" s="22">
        <v>1</v>
      </c>
      <c r="J1132" s="22">
        <v>1</v>
      </c>
      <c r="K1132" s="22">
        <v>0</v>
      </c>
      <c r="L1132" s="22">
        <v>0</v>
      </c>
      <c r="M1132" s="22">
        <v>3</v>
      </c>
      <c r="N1132" s="22">
        <v>0</v>
      </c>
      <c r="O1132" s="22"/>
      <c r="P1132" s="22">
        <v>75.7</v>
      </c>
      <c r="Q1132" s="22" t="str">
        <f>IF(OR(L1132&lt;$Y$18,L1132&gt;$Y$19),"Outlier","Normal")</f>
        <v>Normal</v>
      </c>
      <c r="R1132" s="26" t="str">
        <f>A1132&amp;B1132&amp;C1132&amp;D1132&amp;E1132&amp;F1132&amp;G1132&amp;H1132&amp;I1132&amp;J1132&amp;K1132&amp;L1132&amp;M1132&amp;N1132&amp;O1132&amp;P1132</f>
        <v>USR-10113145778TreatmentWestDesktopReferralFree111003075.7</v>
      </c>
      <c r="S1132" s="22" t="str">
        <f>IF(COUNTIF($R$2:$R$1409,R1132)=1,"OK",IF(COUNTIF($R$2:$R$1409,R1132)&gt;1,"Exact Duplicate","Review Required"))</f>
        <v>OK</v>
      </c>
      <c r="T1132" s="22" t="s">
        <v>19</v>
      </c>
      <c r="U1132" s="22" t="s">
        <v>39</v>
      </c>
      <c r="V1132" s="22"/>
    </row>
    <row r="1133" spans="1:22" ht="41.4">
      <c r="A1133" s="22" t="s">
        <v>1164</v>
      </c>
      <c r="B1133" s="25">
        <v>45663</v>
      </c>
      <c r="C1133" s="22" t="s">
        <v>723</v>
      </c>
      <c r="D1133" s="22" t="s">
        <v>23</v>
      </c>
      <c r="E1133" s="22" t="s">
        <v>24</v>
      </c>
      <c r="F1133" s="22" t="s">
        <v>29</v>
      </c>
      <c r="G1133" s="22" t="s">
        <v>21</v>
      </c>
      <c r="H1133" s="22">
        <v>0</v>
      </c>
      <c r="I1133" s="22">
        <v>0</v>
      </c>
      <c r="J1133" s="22">
        <v>0</v>
      </c>
      <c r="K1133" s="22">
        <v>0</v>
      </c>
      <c r="L1133" s="22">
        <v>0</v>
      </c>
      <c r="M1133" s="22">
        <v>0</v>
      </c>
      <c r="N1133" s="22">
        <v>0</v>
      </c>
      <c r="O1133" s="22"/>
      <c r="P1133" s="22">
        <v>62.9</v>
      </c>
      <c r="Q1133" s="22" t="str">
        <f>IF(OR(L1133&lt;$Y$18,L1133&gt;$Y$19),"Outlier","Normal")</f>
        <v>Normal</v>
      </c>
      <c r="R1133" s="26" t="str">
        <f>A1133&amp;B1133&amp;C1133&amp;D1133&amp;E1133&amp;F1133&amp;G1133&amp;H1133&amp;I1133&amp;J1133&amp;K1133&amp;L1133&amp;M1133&amp;N1133&amp;O1133&amp;P1133</f>
        <v>USR-10113245663TreatmentWestMobilePaid SearchBasic000000062.9</v>
      </c>
      <c r="S1133" s="22" t="str">
        <f>IF(COUNTIF($R$2:$R$1409,R1133)=1,"OK",IF(COUNTIF($R$2:$R$1409,R1133)&gt;1,"Exact Duplicate","Review Required"))</f>
        <v>OK</v>
      </c>
      <c r="T1133" s="22" t="s">
        <v>24</v>
      </c>
      <c r="U1133" s="22" t="s">
        <v>29</v>
      </c>
      <c r="V1133" s="22"/>
    </row>
    <row r="1134" spans="1:22" ht="55.2">
      <c r="A1134" s="22" t="s">
        <v>1165</v>
      </c>
      <c r="B1134" s="25">
        <v>45759</v>
      </c>
      <c r="C1134" s="22" t="s">
        <v>723</v>
      </c>
      <c r="D1134" s="22" t="s">
        <v>18</v>
      </c>
      <c r="E1134" s="22" t="s">
        <v>19</v>
      </c>
      <c r="F1134" s="22" t="s">
        <v>29</v>
      </c>
      <c r="G1134" s="22" t="s">
        <v>30</v>
      </c>
      <c r="H1134" s="22">
        <v>1</v>
      </c>
      <c r="I1134" s="22">
        <v>0</v>
      </c>
      <c r="J1134" s="22">
        <v>0</v>
      </c>
      <c r="K1134" s="22">
        <v>0</v>
      </c>
      <c r="L1134" s="22">
        <v>0</v>
      </c>
      <c r="M1134" s="22">
        <v>3</v>
      </c>
      <c r="N1134" s="22">
        <v>0</v>
      </c>
      <c r="O1134" s="22"/>
      <c r="P1134" s="22">
        <v>64.599999999999994</v>
      </c>
      <c r="Q1134" s="22" t="str">
        <f>IF(OR(L1134&lt;$Y$18,L1134&gt;$Y$19),"Outlier","Normal")</f>
        <v>Normal</v>
      </c>
      <c r="R1134" s="26" t="str">
        <f>A1134&amp;B1134&amp;C1134&amp;D1134&amp;E1134&amp;F1134&amp;G1134&amp;H1134&amp;I1134&amp;J1134&amp;K1134&amp;L1134&amp;M1134&amp;N1134&amp;O1134&amp;P1134</f>
        <v>USR-10113345759TreatmentNorthDesktopPaid SearchPremium100003064.6</v>
      </c>
      <c r="S1134" s="22" t="str">
        <f>IF(COUNTIF($R$2:$R$1409,R1134)=1,"OK",IF(COUNTIF($R$2:$R$1409,R1134)&gt;1,"Exact Duplicate","Review Required"))</f>
        <v>OK</v>
      </c>
      <c r="T1134" s="22" t="s">
        <v>19</v>
      </c>
      <c r="U1134" s="22" t="s">
        <v>29</v>
      </c>
      <c r="V1134" s="22"/>
    </row>
    <row r="1135" spans="1:22" ht="41.4">
      <c r="A1135" s="22" t="s">
        <v>1166</v>
      </c>
      <c r="B1135" s="25">
        <v>45765</v>
      </c>
      <c r="C1135" s="22" t="s">
        <v>723</v>
      </c>
      <c r="D1135" s="22" t="s">
        <v>18</v>
      </c>
      <c r="E1135" s="22" t="s">
        <v>24</v>
      </c>
      <c r="F1135" s="22" t="s">
        <v>1482</v>
      </c>
      <c r="G1135" s="22" t="s">
        <v>21</v>
      </c>
      <c r="H1135" s="22">
        <v>1</v>
      </c>
      <c r="I1135" s="22">
        <v>0</v>
      </c>
      <c r="J1135" s="22">
        <v>0</v>
      </c>
      <c r="K1135" s="22">
        <v>0</v>
      </c>
      <c r="L1135" s="22">
        <v>0</v>
      </c>
      <c r="M1135" s="22">
        <v>0</v>
      </c>
      <c r="N1135" s="22">
        <v>0</v>
      </c>
      <c r="O1135" s="22"/>
      <c r="P1135" s="22">
        <v>76.599999999999994</v>
      </c>
      <c r="Q1135" s="22" t="str">
        <f>IF(OR(L1135&lt;$Y$18,L1135&gt;$Y$19),"Outlier","Normal")</f>
        <v>Normal</v>
      </c>
      <c r="R1135" s="26" t="str">
        <f>A1135&amp;B1135&amp;C1135&amp;D1135&amp;E1135&amp;F1135&amp;G1135&amp;H1135&amp;I1135&amp;J1135&amp;K1135&amp;L1135&amp;M1135&amp;N1135&amp;O1135&amp;P1135</f>
        <v>USR-10113445765TreatmentNorthMobileUnknownBasic100000076.6</v>
      </c>
      <c r="S1135" s="22" t="str">
        <f>IF(COUNTIF($R$2:$R$1409,R1135)=1,"OK",IF(COUNTIF($R$2:$R$1409,R1135)&gt;1,"Exact Duplicate","Review Required"))</f>
        <v>OK</v>
      </c>
      <c r="T1135" s="22" t="s">
        <v>24</v>
      </c>
      <c r="U1135" s="22"/>
      <c r="V1135" s="22"/>
    </row>
    <row r="1136" spans="1:22" ht="41.4">
      <c r="A1136" s="22" t="s">
        <v>1167</v>
      </c>
      <c r="B1136" s="25">
        <v>45740</v>
      </c>
      <c r="C1136" s="22" t="s">
        <v>723</v>
      </c>
      <c r="D1136" s="22" t="s">
        <v>28</v>
      </c>
      <c r="E1136" s="22" t="s">
        <v>24</v>
      </c>
      <c r="F1136" s="22" t="s">
        <v>41</v>
      </c>
      <c r="G1136" s="22" t="s">
        <v>21</v>
      </c>
      <c r="H1136" s="22">
        <v>1</v>
      </c>
      <c r="I1136" s="22">
        <v>0</v>
      </c>
      <c r="J1136" s="22">
        <v>0</v>
      </c>
      <c r="K1136" s="22">
        <v>0</v>
      </c>
      <c r="L1136" s="22">
        <v>0</v>
      </c>
      <c r="M1136" s="22">
        <v>0</v>
      </c>
      <c r="N1136" s="22">
        <v>0</v>
      </c>
      <c r="O1136" s="22"/>
      <c r="P1136" s="22">
        <v>74.8</v>
      </c>
      <c r="Q1136" s="22" t="str">
        <f>IF(OR(L1136&lt;$Y$18,L1136&gt;$Y$19),"Outlier","Normal")</f>
        <v>Normal</v>
      </c>
      <c r="R1136" s="26" t="str">
        <f>A1136&amp;B1136&amp;C1136&amp;D1136&amp;E1136&amp;F1136&amp;G1136&amp;H1136&amp;I1136&amp;J1136&amp;K1136&amp;L1136&amp;M1136&amp;N1136&amp;O1136&amp;P1136</f>
        <v>USR-10113545740TreatmentEastMobileSocialBasic100000074.8</v>
      </c>
      <c r="S1136" s="22" t="str">
        <f>IF(COUNTIF($R$2:$R$1409,R1136)=1,"OK",IF(COUNTIF($R$2:$R$1409,R1136)&gt;1,"Exact Duplicate","Review Required"))</f>
        <v>OK</v>
      </c>
      <c r="T1136" s="22" t="s">
        <v>24</v>
      </c>
      <c r="U1136" s="22" t="s">
        <v>41</v>
      </c>
      <c r="V1136" s="22"/>
    </row>
    <row r="1137" spans="1:22" ht="41.4">
      <c r="A1137" s="22" t="s">
        <v>1168</v>
      </c>
      <c r="B1137" s="25">
        <v>45734</v>
      </c>
      <c r="C1137" s="22" t="s">
        <v>723</v>
      </c>
      <c r="D1137" s="22" t="s">
        <v>28</v>
      </c>
      <c r="E1137" s="22" t="s">
        <v>19</v>
      </c>
      <c r="F1137" s="22" t="s">
        <v>20</v>
      </c>
      <c r="G1137" s="22" t="s">
        <v>30</v>
      </c>
      <c r="H1137" s="22">
        <v>1</v>
      </c>
      <c r="I1137" s="22">
        <v>0</v>
      </c>
      <c r="J1137" s="22">
        <v>0</v>
      </c>
      <c r="K1137" s="22">
        <v>0</v>
      </c>
      <c r="L1137" s="22">
        <v>0</v>
      </c>
      <c r="M1137" s="22">
        <v>2</v>
      </c>
      <c r="N1137" s="22">
        <v>0</v>
      </c>
      <c r="O1137" s="22"/>
      <c r="P1137" s="22">
        <v>38.1</v>
      </c>
      <c r="Q1137" s="22" t="str">
        <f>IF(OR(L1137&lt;$Y$18,L1137&gt;$Y$19),"Outlier","Normal")</f>
        <v>Normal</v>
      </c>
      <c r="R1137" s="26" t="str">
        <f>A1137&amp;B1137&amp;C1137&amp;D1137&amp;E1137&amp;F1137&amp;G1137&amp;H1137&amp;I1137&amp;J1137&amp;K1137&amp;L1137&amp;M1137&amp;N1137&amp;O1137&amp;P1137</f>
        <v>USR-10113645734TreatmentEastDesktopEmailPremium100002038.1</v>
      </c>
      <c r="S1137" s="22" t="str">
        <f>IF(COUNTIF($R$2:$R$1409,R1137)=1,"OK",IF(COUNTIF($R$2:$R$1409,R1137)&gt;1,"Exact Duplicate","Review Required"))</f>
        <v>OK</v>
      </c>
      <c r="T1137" s="22" t="s">
        <v>19</v>
      </c>
      <c r="U1137" s="22" t="s">
        <v>20</v>
      </c>
      <c r="V1137" s="22"/>
    </row>
    <row r="1138" spans="1:22" ht="41.4">
      <c r="A1138" s="22" t="s">
        <v>1169</v>
      </c>
      <c r="B1138" s="25">
        <v>45777</v>
      </c>
      <c r="C1138" s="22" t="s">
        <v>723</v>
      </c>
      <c r="D1138" s="22" t="s">
        <v>32</v>
      </c>
      <c r="E1138" s="22" t="s">
        <v>34</v>
      </c>
      <c r="F1138" s="22" t="s">
        <v>29</v>
      </c>
      <c r="G1138" s="22" t="s">
        <v>21</v>
      </c>
      <c r="H1138" s="22">
        <v>1</v>
      </c>
      <c r="I1138" s="22">
        <v>1</v>
      </c>
      <c r="J1138" s="22">
        <v>0</v>
      </c>
      <c r="K1138" s="22">
        <v>0</v>
      </c>
      <c r="L1138" s="22">
        <v>0</v>
      </c>
      <c r="M1138" s="22">
        <v>0</v>
      </c>
      <c r="N1138" s="22">
        <v>0</v>
      </c>
      <c r="O1138" s="22"/>
      <c r="P1138" s="22">
        <v>60.2</v>
      </c>
      <c r="Q1138" s="22" t="str">
        <f>IF(OR(L1138&lt;$Y$18,L1138&gt;$Y$19),"Outlier","Normal")</f>
        <v>Normal</v>
      </c>
      <c r="R1138" s="26" t="str">
        <f>A1138&amp;B1138&amp;C1138&amp;D1138&amp;E1138&amp;F1138&amp;G1138&amp;H1138&amp;I1138&amp;J1138&amp;K1138&amp;L1138&amp;M1138&amp;N1138&amp;O1138&amp;P1138</f>
        <v>USR-10113745777TreatmentSouthTabletPaid SearchBasic110000060.2</v>
      </c>
      <c r="S1138" s="22" t="str">
        <f>IF(COUNTIF($R$2:$R$1409,R1138)=1,"OK",IF(COUNTIF($R$2:$R$1409,R1138)&gt;1,"Exact Duplicate","Review Required"))</f>
        <v>OK</v>
      </c>
      <c r="T1138" s="22" t="s">
        <v>34</v>
      </c>
      <c r="U1138" s="22" t="s">
        <v>29</v>
      </c>
      <c r="V1138" s="22"/>
    </row>
    <row r="1139" spans="1:22" ht="41.4">
      <c r="A1139" s="22" t="s">
        <v>1170</v>
      </c>
      <c r="B1139" s="25">
        <v>45682</v>
      </c>
      <c r="C1139" s="22" t="s">
        <v>723</v>
      </c>
      <c r="D1139" s="22" t="s">
        <v>23</v>
      </c>
      <c r="E1139" s="22" t="s">
        <v>24</v>
      </c>
      <c r="F1139" s="22" t="s">
        <v>20</v>
      </c>
      <c r="G1139" s="22" t="s">
        <v>26</v>
      </c>
      <c r="H1139" s="22">
        <v>1</v>
      </c>
      <c r="I1139" s="22">
        <v>1</v>
      </c>
      <c r="J1139" s="22">
        <v>0</v>
      </c>
      <c r="K1139" s="22">
        <v>0</v>
      </c>
      <c r="L1139" s="22">
        <v>0</v>
      </c>
      <c r="M1139" s="22">
        <v>0</v>
      </c>
      <c r="N1139" s="22">
        <v>0</v>
      </c>
      <c r="O1139" s="22"/>
      <c r="P1139" s="22">
        <v>73.5</v>
      </c>
      <c r="Q1139" s="22" t="str">
        <f>IF(OR(L1139&lt;$Y$18,L1139&gt;$Y$19),"Outlier","Normal")</f>
        <v>Normal</v>
      </c>
      <c r="R1139" s="26" t="str">
        <f>A1139&amp;B1139&amp;C1139&amp;D1139&amp;E1139&amp;F1139&amp;G1139&amp;H1139&amp;I1139&amp;J1139&amp;K1139&amp;L1139&amp;M1139&amp;N1139&amp;O1139&amp;P1139</f>
        <v>USR-10113845682TreatmentWestMobileEmailFree110000073.5</v>
      </c>
      <c r="S1139" s="22" t="str">
        <f>IF(COUNTIF($R$2:$R$1409,R1139)=1,"OK",IF(COUNTIF($R$2:$R$1409,R1139)&gt;1,"Exact Duplicate","Review Required"))</f>
        <v>OK</v>
      </c>
      <c r="T1139" s="22" t="s">
        <v>24</v>
      </c>
      <c r="U1139" s="22" t="s">
        <v>20</v>
      </c>
      <c r="V1139" s="22"/>
    </row>
    <row r="1140" spans="1:22" ht="41.4">
      <c r="A1140" s="22" t="s">
        <v>1171</v>
      </c>
      <c r="B1140" s="25">
        <v>45757</v>
      </c>
      <c r="C1140" s="22" t="s">
        <v>723</v>
      </c>
      <c r="D1140" s="22" t="s">
        <v>32</v>
      </c>
      <c r="E1140" s="22" t="s">
        <v>24</v>
      </c>
      <c r="F1140" s="22" t="s">
        <v>25</v>
      </c>
      <c r="G1140" s="22" t="s">
        <v>26</v>
      </c>
      <c r="H1140" s="22">
        <v>1</v>
      </c>
      <c r="I1140" s="22">
        <v>0</v>
      </c>
      <c r="J1140" s="22">
        <v>0</v>
      </c>
      <c r="K1140" s="22">
        <v>0</v>
      </c>
      <c r="L1140" s="22">
        <v>0</v>
      </c>
      <c r="M1140" s="22">
        <v>0</v>
      </c>
      <c r="N1140" s="22">
        <v>0</v>
      </c>
      <c r="O1140" s="22"/>
      <c r="P1140" s="22">
        <v>70.900000000000006</v>
      </c>
      <c r="Q1140" s="22" t="str">
        <f>IF(OR(L1140&lt;$Y$18,L1140&gt;$Y$19),"Outlier","Normal")</f>
        <v>Normal</v>
      </c>
      <c r="R1140" s="26" t="str">
        <f>A1140&amp;B1140&amp;C1140&amp;D1140&amp;E1140&amp;F1140&amp;G1140&amp;H1140&amp;I1140&amp;J1140&amp;K1140&amp;L1140&amp;M1140&amp;N1140&amp;O1140&amp;P1140</f>
        <v>USR-10113945757TreatmentSouthMobileOrganicFree100000070.9</v>
      </c>
      <c r="S1140" s="22" t="str">
        <f>IF(COUNTIF($R$2:$R$1409,R1140)=1,"OK",IF(COUNTIF($R$2:$R$1409,R1140)&gt;1,"Exact Duplicate","Review Required"))</f>
        <v>OK</v>
      </c>
      <c r="T1140" s="22" t="s">
        <v>24</v>
      </c>
      <c r="U1140" s="22" t="s">
        <v>25</v>
      </c>
      <c r="V1140" s="22"/>
    </row>
    <row r="1141" spans="1:22" ht="41.4">
      <c r="A1141" s="22" t="s">
        <v>1172</v>
      </c>
      <c r="B1141" s="25">
        <v>45667</v>
      </c>
      <c r="C1141" s="22" t="s">
        <v>723</v>
      </c>
      <c r="D1141" s="22" t="s">
        <v>23</v>
      </c>
      <c r="E1141" s="22" t="s">
        <v>24</v>
      </c>
      <c r="F1141" s="22" t="s">
        <v>41</v>
      </c>
      <c r="G1141" s="22" t="s">
        <v>26</v>
      </c>
      <c r="H1141" s="22">
        <v>1</v>
      </c>
      <c r="I1141" s="22">
        <v>0</v>
      </c>
      <c r="J1141" s="22">
        <v>0</v>
      </c>
      <c r="K1141" s="22">
        <v>0</v>
      </c>
      <c r="L1141" s="22">
        <v>0</v>
      </c>
      <c r="M1141" s="22">
        <v>0</v>
      </c>
      <c r="N1141" s="22">
        <v>0</v>
      </c>
      <c r="O1141" s="22"/>
      <c r="P1141" s="22">
        <v>63.7</v>
      </c>
      <c r="Q1141" s="22" t="str">
        <f>IF(OR(L1141&lt;$Y$18,L1141&gt;$Y$19),"Outlier","Normal")</f>
        <v>Normal</v>
      </c>
      <c r="R1141" s="26" t="str">
        <f>A1141&amp;B1141&amp;C1141&amp;D1141&amp;E1141&amp;F1141&amp;G1141&amp;H1141&amp;I1141&amp;J1141&amp;K1141&amp;L1141&amp;M1141&amp;N1141&amp;O1141&amp;P1141</f>
        <v>USR-10114045667TreatmentWestMobileSocialFree100000063.7</v>
      </c>
      <c r="S1141" s="22" t="str">
        <f>IF(COUNTIF($R$2:$R$1409,R1141)=1,"OK",IF(COUNTIF($R$2:$R$1409,R1141)&gt;1,"Exact Duplicate","Review Required"))</f>
        <v>OK</v>
      </c>
      <c r="T1141" s="22" t="s">
        <v>24</v>
      </c>
      <c r="U1141" s="22" t="s">
        <v>41</v>
      </c>
      <c r="V1141" s="22"/>
    </row>
    <row r="1142" spans="1:22" ht="41.4">
      <c r="A1142" s="22" t="s">
        <v>1173</v>
      </c>
      <c r="B1142" s="25">
        <v>45699</v>
      </c>
      <c r="C1142" s="22" t="s">
        <v>723</v>
      </c>
      <c r="D1142" s="22" t="s">
        <v>32</v>
      </c>
      <c r="E1142" s="22" t="s">
        <v>24</v>
      </c>
      <c r="F1142" s="22" t="s">
        <v>29</v>
      </c>
      <c r="G1142" s="22" t="s">
        <v>26</v>
      </c>
      <c r="H1142" s="22">
        <v>1</v>
      </c>
      <c r="I1142" s="22">
        <v>0</v>
      </c>
      <c r="J1142" s="22">
        <v>0</v>
      </c>
      <c r="K1142" s="22">
        <v>0</v>
      </c>
      <c r="L1142" s="22">
        <v>0</v>
      </c>
      <c r="M1142" s="22">
        <v>0</v>
      </c>
      <c r="N1142" s="22">
        <v>0</v>
      </c>
      <c r="O1142" s="22"/>
      <c r="P1142" s="22">
        <v>86.5</v>
      </c>
      <c r="Q1142" s="22" t="str">
        <f>IF(OR(L1142&lt;$Y$18,L1142&gt;$Y$19),"Outlier","Normal")</f>
        <v>Normal</v>
      </c>
      <c r="R1142" s="26" t="str">
        <f>A1142&amp;B1142&amp;C1142&amp;D1142&amp;E1142&amp;F1142&amp;G1142&amp;H1142&amp;I1142&amp;J1142&amp;K1142&amp;L1142&amp;M1142&amp;N1142&amp;O1142&amp;P1142</f>
        <v>USR-10114145699TreatmentSouthMobilePaid SearchFree100000086.5</v>
      </c>
      <c r="S1142" s="22" t="str">
        <f>IF(COUNTIF($R$2:$R$1409,R1142)=1,"OK",IF(COUNTIF($R$2:$R$1409,R1142)&gt;1,"Exact Duplicate","Review Required"))</f>
        <v>OK</v>
      </c>
      <c r="T1142" s="22" t="s">
        <v>24</v>
      </c>
      <c r="U1142" s="22" t="s">
        <v>29</v>
      </c>
      <c r="V1142" s="22"/>
    </row>
    <row r="1143" spans="1:22" ht="41.4">
      <c r="A1143" s="22" t="s">
        <v>1174</v>
      </c>
      <c r="B1143" s="25">
        <v>45778</v>
      </c>
      <c r="C1143" s="22" t="s">
        <v>723</v>
      </c>
      <c r="D1143" s="22" t="s">
        <v>28</v>
      </c>
      <c r="E1143" s="22" t="s">
        <v>24</v>
      </c>
      <c r="F1143" s="22" t="s">
        <v>41</v>
      </c>
      <c r="G1143" s="22" t="s">
        <v>21</v>
      </c>
      <c r="H1143" s="22">
        <v>1</v>
      </c>
      <c r="I1143" s="22">
        <v>1</v>
      </c>
      <c r="J1143" s="22">
        <v>1</v>
      </c>
      <c r="K1143" s="22">
        <v>1</v>
      </c>
      <c r="L1143" s="22">
        <v>921.72</v>
      </c>
      <c r="M1143" s="22">
        <v>3</v>
      </c>
      <c r="N1143" s="22">
        <v>0</v>
      </c>
      <c r="O1143" s="22">
        <v>7</v>
      </c>
      <c r="P1143" s="22">
        <v>74.599999999999994</v>
      </c>
      <c r="Q1143" s="22" t="str">
        <f>IF(OR(L1143&lt;$Y$18,L1143&gt;$Y$19),"Outlier","Normal")</f>
        <v>Normal</v>
      </c>
      <c r="R1143" s="26" t="str">
        <f>A1143&amp;B1143&amp;C1143&amp;D1143&amp;E1143&amp;F1143&amp;G1143&amp;H1143&amp;I1143&amp;J1143&amp;K1143&amp;L1143&amp;M1143&amp;N1143&amp;O1143&amp;P1143</f>
        <v>USR-10114245778TreatmentEastMobileSocialBasic1111921.7230774.6</v>
      </c>
      <c r="S1143" s="22" t="str">
        <f>IF(COUNTIF($R$2:$R$1409,R1143)=1,"OK",IF(COUNTIF($R$2:$R$1409,R1143)&gt;1,"Exact Duplicate","Review Required"))</f>
        <v>OK</v>
      </c>
      <c r="T1143" s="22" t="s">
        <v>24</v>
      </c>
      <c r="U1143" s="22" t="s">
        <v>41</v>
      </c>
      <c r="V1143" s="22"/>
    </row>
    <row r="1144" spans="1:22" ht="41.4">
      <c r="A1144" s="22" t="s">
        <v>1175</v>
      </c>
      <c r="B1144" s="25">
        <v>45675</v>
      </c>
      <c r="C1144" s="22" t="s">
        <v>723</v>
      </c>
      <c r="D1144" s="22" t="s">
        <v>28</v>
      </c>
      <c r="E1144" s="22" t="s">
        <v>24</v>
      </c>
      <c r="F1144" s="22" t="s">
        <v>25</v>
      </c>
      <c r="G1144" s="22" t="s">
        <v>26</v>
      </c>
      <c r="H1144" s="22">
        <v>1</v>
      </c>
      <c r="I1144" s="22">
        <v>0</v>
      </c>
      <c r="J1144" s="22">
        <v>0</v>
      </c>
      <c r="K1144" s="22">
        <v>0</v>
      </c>
      <c r="L1144" s="22">
        <v>0</v>
      </c>
      <c r="M1144" s="22">
        <v>0</v>
      </c>
      <c r="N1144" s="22">
        <v>0</v>
      </c>
      <c r="O1144" s="22"/>
      <c r="P1144" s="22">
        <v>46.6</v>
      </c>
      <c r="Q1144" s="22" t="str">
        <f>IF(OR(L1144&lt;$Y$18,L1144&gt;$Y$19),"Outlier","Normal")</f>
        <v>Normal</v>
      </c>
      <c r="R1144" s="26" t="str">
        <f>A1144&amp;B1144&amp;C1144&amp;D1144&amp;E1144&amp;F1144&amp;G1144&amp;H1144&amp;I1144&amp;J1144&amp;K1144&amp;L1144&amp;M1144&amp;N1144&amp;O1144&amp;P1144</f>
        <v>USR-10114345675TreatmentEastMobileOrganicFree100000046.6</v>
      </c>
      <c r="S1144" s="22" t="str">
        <f>IF(COUNTIF($R$2:$R$1409,R1144)=1,"OK",IF(COUNTIF($R$2:$R$1409,R1144)&gt;1,"Exact Duplicate","Review Required"))</f>
        <v>OK</v>
      </c>
      <c r="T1144" s="22" t="s">
        <v>24</v>
      </c>
      <c r="U1144" s="22" t="s">
        <v>25</v>
      </c>
      <c r="V1144" s="22"/>
    </row>
    <row r="1145" spans="1:22" ht="41.4">
      <c r="A1145" s="22" t="s">
        <v>1176</v>
      </c>
      <c r="B1145" s="25">
        <v>45659</v>
      </c>
      <c r="C1145" s="22" t="s">
        <v>723</v>
      </c>
      <c r="D1145" s="22" t="s">
        <v>18</v>
      </c>
      <c r="E1145" s="22" t="s">
        <v>24</v>
      </c>
      <c r="F1145" s="22" t="s">
        <v>29</v>
      </c>
      <c r="G1145" s="22" t="s">
        <v>26</v>
      </c>
      <c r="H1145" s="22">
        <v>0</v>
      </c>
      <c r="I1145" s="22">
        <v>0</v>
      </c>
      <c r="J1145" s="22">
        <v>0</v>
      </c>
      <c r="K1145" s="22">
        <v>0</v>
      </c>
      <c r="L1145" s="22">
        <v>0</v>
      </c>
      <c r="M1145" s="22">
        <v>0</v>
      </c>
      <c r="N1145" s="22">
        <v>0</v>
      </c>
      <c r="O1145" s="22"/>
      <c r="P1145" s="22">
        <v>61.2</v>
      </c>
      <c r="Q1145" s="22" t="str">
        <f>IF(OR(L1145&lt;$Y$18,L1145&gt;$Y$19),"Outlier","Normal")</f>
        <v>Normal</v>
      </c>
      <c r="R1145" s="26" t="str">
        <f>A1145&amp;B1145&amp;C1145&amp;D1145&amp;E1145&amp;F1145&amp;G1145&amp;H1145&amp;I1145&amp;J1145&amp;K1145&amp;L1145&amp;M1145&amp;N1145&amp;O1145&amp;P1145</f>
        <v>USR-10114445659TreatmentNorthMobilePaid SearchFree000000061.2</v>
      </c>
      <c r="S1145" s="22" t="str">
        <f>IF(COUNTIF($R$2:$R$1409,R1145)=1,"OK",IF(COUNTIF($R$2:$R$1409,R1145)&gt;1,"Exact Duplicate","Review Required"))</f>
        <v>OK</v>
      </c>
      <c r="T1145" s="22" t="s">
        <v>24</v>
      </c>
      <c r="U1145" s="22" t="s">
        <v>29</v>
      </c>
      <c r="V1145" s="22"/>
    </row>
    <row r="1146" spans="1:22" ht="41.4">
      <c r="A1146" s="22" t="s">
        <v>1177</v>
      </c>
      <c r="B1146" s="25">
        <v>45788</v>
      </c>
      <c r="C1146" s="22" t="s">
        <v>723</v>
      </c>
      <c r="D1146" s="22" t="s">
        <v>23</v>
      </c>
      <c r="E1146" s="22" t="s">
        <v>24</v>
      </c>
      <c r="F1146" s="22" t="s">
        <v>25</v>
      </c>
      <c r="G1146" s="22" t="s">
        <v>26</v>
      </c>
      <c r="H1146" s="22">
        <v>1</v>
      </c>
      <c r="I1146" s="22">
        <v>1</v>
      </c>
      <c r="J1146" s="22">
        <v>1</v>
      </c>
      <c r="K1146" s="22">
        <v>1</v>
      </c>
      <c r="L1146" s="22">
        <v>290.39</v>
      </c>
      <c r="M1146" s="22">
        <v>0</v>
      </c>
      <c r="N1146" s="22">
        <v>0</v>
      </c>
      <c r="O1146" s="22">
        <v>4</v>
      </c>
      <c r="P1146" s="22">
        <v>54.4</v>
      </c>
      <c r="Q1146" s="22" t="str">
        <f>IF(OR(L1146&lt;$Y$18,L1146&gt;$Y$19),"Outlier","Normal")</f>
        <v>Normal</v>
      </c>
      <c r="R1146" s="26" t="str">
        <f>A1146&amp;B1146&amp;C1146&amp;D1146&amp;E1146&amp;F1146&amp;G1146&amp;H1146&amp;I1146&amp;J1146&amp;K1146&amp;L1146&amp;M1146&amp;N1146&amp;O1146&amp;P1146</f>
        <v>USR-10114545788TreatmentWestMobileOrganicFree1111290.3900454.4</v>
      </c>
      <c r="S1146" s="22" t="str">
        <f>IF(COUNTIF($R$2:$R$1409,R1146)=1,"OK",IF(COUNTIF($R$2:$R$1409,R1146)&gt;1,"Exact Duplicate","Review Required"))</f>
        <v>OK</v>
      </c>
      <c r="T1146" s="22" t="s">
        <v>24</v>
      </c>
      <c r="U1146" s="22" t="s">
        <v>25</v>
      </c>
      <c r="V1146" s="22"/>
    </row>
    <row r="1147" spans="1:22" ht="41.4">
      <c r="A1147" s="22" t="s">
        <v>1178</v>
      </c>
      <c r="B1147" s="25">
        <v>45738</v>
      </c>
      <c r="C1147" s="22" t="s">
        <v>723</v>
      </c>
      <c r="D1147" s="22" t="s">
        <v>18</v>
      </c>
      <c r="E1147" s="22" t="s">
        <v>24</v>
      </c>
      <c r="F1147" s="22" t="s">
        <v>39</v>
      </c>
      <c r="G1147" s="22" t="s">
        <v>26</v>
      </c>
      <c r="H1147" s="22">
        <v>1</v>
      </c>
      <c r="I1147" s="22">
        <v>1</v>
      </c>
      <c r="J1147" s="22">
        <v>1</v>
      </c>
      <c r="K1147" s="22">
        <v>0</v>
      </c>
      <c r="L1147" s="22">
        <v>0</v>
      </c>
      <c r="M1147" s="22">
        <v>0</v>
      </c>
      <c r="N1147" s="22">
        <v>0</v>
      </c>
      <c r="O1147" s="22"/>
      <c r="P1147" s="22">
        <v>72</v>
      </c>
      <c r="Q1147" s="22" t="str">
        <f>IF(OR(L1147&lt;$Y$18,L1147&gt;$Y$19),"Outlier","Normal")</f>
        <v>Normal</v>
      </c>
      <c r="R1147" s="26" t="str">
        <f>A1147&amp;B1147&amp;C1147&amp;D1147&amp;E1147&amp;F1147&amp;G1147&amp;H1147&amp;I1147&amp;J1147&amp;K1147&amp;L1147&amp;M1147&amp;N1147&amp;O1147&amp;P1147</f>
        <v>USR-10114645738TreatmentNorthMobileReferralFree111000072</v>
      </c>
      <c r="S1147" s="22" t="str">
        <f>IF(COUNTIF($R$2:$R$1409,R1147)=1,"OK",IF(COUNTIF($R$2:$R$1409,R1147)&gt;1,"Exact Duplicate","Review Required"))</f>
        <v>OK</v>
      </c>
      <c r="T1147" s="22" t="s">
        <v>24</v>
      </c>
      <c r="U1147" s="22" t="s">
        <v>39</v>
      </c>
      <c r="V1147" s="22"/>
    </row>
    <row r="1148" spans="1:22" ht="55.2">
      <c r="A1148" s="22" t="s">
        <v>1179</v>
      </c>
      <c r="B1148" s="25">
        <v>45779</v>
      </c>
      <c r="C1148" s="22" t="s">
        <v>723</v>
      </c>
      <c r="D1148" s="22" t="s">
        <v>32</v>
      </c>
      <c r="E1148" s="22" t="s">
        <v>24</v>
      </c>
      <c r="F1148" s="22" t="s">
        <v>41</v>
      </c>
      <c r="G1148" s="22" t="s">
        <v>30</v>
      </c>
      <c r="H1148" s="22">
        <v>1</v>
      </c>
      <c r="I1148" s="22">
        <v>1</v>
      </c>
      <c r="J1148" s="22">
        <v>1</v>
      </c>
      <c r="K1148" s="22">
        <v>1</v>
      </c>
      <c r="L1148" s="22">
        <v>1858.85</v>
      </c>
      <c r="M1148" s="22">
        <v>0</v>
      </c>
      <c r="N1148" s="22">
        <v>0</v>
      </c>
      <c r="O1148" s="22">
        <v>8</v>
      </c>
      <c r="P1148" s="22">
        <v>88.6</v>
      </c>
      <c r="Q1148" s="22" t="str">
        <f>IF(OR(L1148&lt;$Y$18,L1148&gt;$Y$19),"Outlier","Normal")</f>
        <v>Normal</v>
      </c>
      <c r="R1148" s="26" t="str">
        <f>A1148&amp;B1148&amp;C1148&amp;D1148&amp;E1148&amp;F1148&amp;G1148&amp;H1148&amp;I1148&amp;J1148&amp;K1148&amp;L1148&amp;M1148&amp;N1148&amp;O1148&amp;P1148</f>
        <v>USR-10114745779TreatmentSouthMobileSocialPremium11111858.8500888.6</v>
      </c>
      <c r="S1148" s="22" t="str">
        <f>IF(COUNTIF($R$2:$R$1409,R1148)=1,"OK",IF(COUNTIF($R$2:$R$1409,R1148)&gt;1,"Exact Duplicate","Review Required"))</f>
        <v>OK</v>
      </c>
      <c r="T1148" s="22" t="s">
        <v>24</v>
      </c>
      <c r="U1148" s="22" t="s">
        <v>41</v>
      </c>
      <c r="V1148" s="22"/>
    </row>
    <row r="1149" spans="1:22" ht="41.4">
      <c r="A1149" s="22" t="s">
        <v>1180</v>
      </c>
      <c r="B1149" s="25">
        <v>45803</v>
      </c>
      <c r="C1149" s="22" t="s">
        <v>723</v>
      </c>
      <c r="D1149" s="22" t="s">
        <v>28</v>
      </c>
      <c r="E1149" s="22" t="s">
        <v>19</v>
      </c>
      <c r="F1149" s="22" t="s">
        <v>1482</v>
      </c>
      <c r="G1149" s="22" t="s">
        <v>21</v>
      </c>
      <c r="H1149" s="22">
        <v>1</v>
      </c>
      <c r="I1149" s="22">
        <v>0</v>
      </c>
      <c r="J1149" s="22">
        <v>0</v>
      </c>
      <c r="K1149" s="22">
        <v>0</v>
      </c>
      <c r="L1149" s="22">
        <v>0</v>
      </c>
      <c r="M1149" s="22">
        <v>0</v>
      </c>
      <c r="N1149" s="22">
        <v>0</v>
      </c>
      <c r="O1149" s="22"/>
      <c r="P1149" s="22">
        <v>77.599999999999994</v>
      </c>
      <c r="Q1149" s="22" t="str">
        <f>IF(OR(L1149&lt;$Y$18,L1149&gt;$Y$19),"Outlier","Normal")</f>
        <v>Normal</v>
      </c>
      <c r="R1149" s="26" t="str">
        <f>A1149&amp;B1149&amp;C1149&amp;D1149&amp;E1149&amp;F1149&amp;G1149&amp;H1149&amp;I1149&amp;J1149&amp;K1149&amp;L1149&amp;M1149&amp;N1149&amp;O1149&amp;P1149</f>
        <v>USR-10114845803TreatmentEastDesktopUnknownBasic100000077.6</v>
      </c>
      <c r="S1149" s="22" t="str">
        <f>IF(COUNTIF($R$2:$R$1409,R1149)=1,"OK",IF(COUNTIF($R$2:$R$1409,R1149)&gt;1,"Exact Duplicate","Review Required"))</f>
        <v>OK</v>
      </c>
      <c r="T1149" s="22" t="s">
        <v>19</v>
      </c>
      <c r="U1149" s="22"/>
      <c r="V1149" s="22"/>
    </row>
    <row r="1150" spans="1:22" ht="41.4">
      <c r="A1150" s="22" t="s">
        <v>1181</v>
      </c>
      <c r="B1150" s="25">
        <v>45729</v>
      </c>
      <c r="C1150" s="22" t="s">
        <v>723</v>
      </c>
      <c r="D1150" s="22" t="s">
        <v>32</v>
      </c>
      <c r="E1150" s="22" t="s">
        <v>24</v>
      </c>
      <c r="F1150" s="22" t="s">
        <v>25</v>
      </c>
      <c r="G1150" s="22" t="s">
        <v>21</v>
      </c>
      <c r="H1150" s="22">
        <v>1</v>
      </c>
      <c r="I1150" s="22">
        <v>0</v>
      </c>
      <c r="J1150" s="22">
        <v>0</v>
      </c>
      <c r="K1150" s="22">
        <v>0</v>
      </c>
      <c r="L1150" s="22">
        <v>0</v>
      </c>
      <c r="M1150" s="22">
        <v>1</v>
      </c>
      <c r="N1150" s="22">
        <v>0</v>
      </c>
      <c r="O1150" s="22"/>
      <c r="P1150" s="22">
        <v>44.3</v>
      </c>
      <c r="Q1150" s="22" t="str">
        <f>IF(OR(L1150&lt;$Y$18,L1150&gt;$Y$19),"Outlier","Normal")</f>
        <v>Normal</v>
      </c>
      <c r="R1150" s="26" t="str">
        <f>A1150&amp;B1150&amp;C1150&amp;D1150&amp;E1150&amp;F1150&amp;G1150&amp;H1150&amp;I1150&amp;J1150&amp;K1150&amp;L1150&amp;M1150&amp;N1150&amp;O1150&amp;P1150</f>
        <v>USR-10114945729TreatmentSouthMobileOrganicBasic100001044.3</v>
      </c>
      <c r="S1150" s="22" t="str">
        <f>IF(COUNTIF($R$2:$R$1409,R1150)=1,"OK",IF(COUNTIF($R$2:$R$1409,R1150)&gt;1,"Exact Duplicate","Review Required"))</f>
        <v>OK</v>
      </c>
      <c r="T1150" s="22" t="s">
        <v>24</v>
      </c>
      <c r="U1150" s="22" t="s">
        <v>25</v>
      </c>
      <c r="V1150" s="22"/>
    </row>
    <row r="1151" spans="1:22" ht="41.4">
      <c r="A1151" s="22" t="s">
        <v>1182</v>
      </c>
      <c r="B1151" s="25">
        <v>45794</v>
      </c>
      <c r="C1151" s="22" t="s">
        <v>723</v>
      </c>
      <c r="D1151" s="22" t="s">
        <v>32</v>
      </c>
      <c r="E1151" s="22" t="s">
        <v>19</v>
      </c>
      <c r="F1151" s="22" t="s">
        <v>29</v>
      </c>
      <c r="G1151" s="22" t="s">
        <v>26</v>
      </c>
      <c r="H1151" s="22">
        <v>1</v>
      </c>
      <c r="I1151" s="22">
        <v>1</v>
      </c>
      <c r="J1151" s="22">
        <v>0</v>
      </c>
      <c r="K1151" s="22">
        <v>0</v>
      </c>
      <c r="L1151" s="22">
        <v>0</v>
      </c>
      <c r="M1151" s="22">
        <v>0</v>
      </c>
      <c r="N1151" s="22">
        <v>0</v>
      </c>
      <c r="O1151" s="22"/>
      <c r="P1151" s="22">
        <v>49</v>
      </c>
      <c r="Q1151" s="22" t="str">
        <f>IF(OR(L1151&lt;$Y$18,L1151&gt;$Y$19),"Outlier","Normal")</f>
        <v>Normal</v>
      </c>
      <c r="R1151" s="26" t="str">
        <f>A1151&amp;B1151&amp;C1151&amp;D1151&amp;E1151&amp;F1151&amp;G1151&amp;H1151&amp;I1151&amp;J1151&amp;K1151&amp;L1151&amp;M1151&amp;N1151&amp;O1151&amp;P1151</f>
        <v>USR-10115045794TreatmentSouthDesktopPaid SearchFree110000049</v>
      </c>
      <c r="S1151" s="22" t="str">
        <f>IF(COUNTIF($R$2:$R$1409,R1151)=1,"OK",IF(COUNTIF($R$2:$R$1409,R1151)&gt;1,"Exact Duplicate","Review Required"))</f>
        <v>OK</v>
      </c>
      <c r="T1151" s="22" t="s">
        <v>19</v>
      </c>
      <c r="U1151" s="22" t="s">
        <v>29</v>
      </c>
      <c r="V1151" s="22"/>
    </row>
    <row r="1152" spans="1:22" ht="41.4">
      <c r="A1152" s="22" t="s">
        <v>1183</v>
      </c>
      <c r="B1152" s="25">
        <v>45729</v>
      </c>
      <c r="C1152" s="22" t="s">
        <v>723</v>
      </c>
      <c r="D1152" s="22" t="s">
        <v>18</v>
      </c>
      <c r="E1152" s="22" t="s">
        <v>19</v>
      </c>
      <c r="F1152" s="22" t="s">
        <v>39</v>
      </c>
      <c r="G1152" s="22" t="s">
        <v>30</v>
      </c>
      <c r="H1152" s="22">
        <v>1</v>
      </c>
      <c r="I1152" s="22">
        <v>0</v>
      </c>
      <c r="J1152" s="22">
        <v>0</v>
      </c>
      <c r="K1152" s="22">
        <v>0</v>
      </c>
      <c r="L1152" s="22">
        <v>0</v>
      </c>
      <c r="M1152" s="22">
        <v>0</v>
      </c>
      <c r="N1152" s="22">
        <v>0</v>
      </c>
      <c r="O1152" s="22"/>
      <c r="P1152" s="22">
        <v>53.9</v>
      </c>
      <c r="Q1152" s="22" t="str">
        <f>IF(OR(L1152&lt;$Y$18,L1152&gt;$Y$19),"Outlier","Normal")</f>
        <v>Normal</v>
      </c>
      <c r="R1152" s="26" t="str">
        <f>A1152&amp;B1152&amp;C1152&amp;D1152&amp;E1152&amp;F1152&amp;G1152&amp;H1152&amp;I1152&amp;J1152&amp;K1152&amp;L1152&amp;M1152&amp;N1152&amp;O1152&amp;P1152</f>
        <v>USR-10115145729TreatmentNorthDesktopReferralPremium100000053.9</v>
      </c>
      <c r="S1152" s="22" t="str">
        <f>IF(COUNTIF($R$2:$R$1409,R1152)=1,"OK",IF(COUNTIF($R$2:$R$1409,R1152)&gt;1,"Exact Duplicate","Review Required"))</f>
        <v>OK</v>
      </c>
      <c r="T1152" s="22" t="s">
        <v>19</v>
      </c>
      <c r="U1152" s="22" t="s">
        <v>39</v>
      </c>
      <c r="V1152" s="22"/>
    </row>
    <row r="1153" spans="1:22" ht="41.4">
      <c r="A1153" s="22" t="s">
        <v>1184</v>
      </c>
      <c r="B1153" s="25">
        <v>45699</v>
      </c>
      <c r="C1153" s="22" t="s">
        <v>723</v>
      </c>
      <c r="D1153" s="22" t="s">
        <v>28</v>
      </c>
      <c r="E1153" s="22" t="s">
        <v>19</v>
      </c>
      <c r="F1153" s="22" t="s">
        <v>25</v>
      </c>
      <c r="G1153" s="22" t="s">
        <v>21</v>
      </c>
      <c r="H1153" s="22">
        <v>1</v>
      </c>
      <c r="I1153" s="22">
        <v>0</v>
      </c>
      <c r="J1153" s="22">
        <v>0</v>
      </c>
      <c r="K1153" s="22">
        <v>0</v>
      </c>
      <c r="L1153" s="22">
        <v>0</v>
      </c>
      <c r="M1153" s="22">
        <v>1</v>
      </c>
      <c r="N1153" s="22">
        <v>0</v>
      </c>
      <c r="O1153" s="22"/>
      <c r="P1153" s="22">
        <v>69</v>
      </c>
      <c r="Q1153" s="22" t="str">
        <f>IF(OR(L1153&lt;$Y$18,L1153&gt;$Y$19),"Outlier","Normal")</f>
        <v>Normal</v>
      </c>
      <c r="R1153" s="26" t="str">
        <f>A1153&amp;B1153&amp;C1153&amp;D1153&amp;E1153&amp;F1153&amp;G1153&amp;H1153&amp;I1153&amp;J1153&amp;K1153&amp;L1153&amp;M1153&amp;N1153&amp;O1153&amp;P1153</f>
        <v>USR-10115245699TreatmentEastDesktopOrganicBasic100001069</v>
      </c>
      <c r="S1153" s="22" t="str">
        <f>IF(COUNTIF($R$2:$R$1409,R1153)=1,"OK",IF(COUNTIF($R$2:$R$1409,R1153)&gt;1,"Exact Duplicate","Review Required"))</f>
        <v>OK</v>
      </c>
      <c r="T1153" s="22" t="s">
        <v>19</v>
      </c>
      <c r="U1153" s="22" t="s">
        <v>25</v>
      </c>
      <c r="V1153" s="22"/>
    </row>
    <row r="1154" spans="1:22" ht="41.4">
      <c r="A1154" s="22" t="s">
        <v>1185</v>
      </c>
      <c r="B1154" s="25">
        <v>45717</v>
      </c>
      <c r="C1154" s="22" t="s">
        <v>723</v>
      </c>
      <c r="D1154" s="22" t="s">
        <v>23</v>
      </c>
      <c r="E1154" s="22" t="s">
        <v>24</v>
      </c>
      <c r="F1154" s="22" t="s">
        <v>41</v>
      </c>
      <c r="G1154" s="22" t="s">
        <v>26</v>
      </c>
      <c r="H1154" s="22">
        <v>0</v>
      </c>
      <c r="I1154" s="22">
        <v>0</v>
      </c>
      <c r="J1154" s="22">
        <v>0</v>
      </c>
      <c r="K1154" s="22">
        <v>0</v>
      </c>
      <c r="L1154" s="22">
        <v>0</v>
      </c>
      <c r="M1154" s="22">
        <v>0</v>
      </c>
      <c r="N1154" s="22">
        <v>0</v>
      </c>
      <c r="O1154" s="22"/>
      <c r="P1154" s="22">
        <v>37.4</v>
      </c>
      <c r="Q1154" s="22" t="str">
        <f>IF(OR(L1154&lt;$Y$18,L1154&gt;$Y$19),"Outlier","Normal")</f>
        <v>Normal</v>
      </c>
      <c r="R1154" s="26" t="str">
        <f>A1154&amp;B1154&amp;C1154&amp;D1154&amp;E1154&amp;F1154&amp;G1154&amp;H1154&amp;I1154&amp;J1154&amp;K1154&amp;L1154&amp;M1154&amp;N1154&amp;O1154&amp;P1154</f>
        <v>USR-10115345717TreatmentWestMobileSocialFree000000037.4</v>
      </c>
      <c r="S1154" s="22" t="str">
        <f>IF(COUNTIF($R$2:$R$1409,R1154)=1,"OK",IF(COUNTIF($R$2:$R$1409,R1154)&gt;1,"Exact Duplicate","Review Required"))</f>
        <v>OK</v>
      </c>
      <c r="T1154" s="22" t="s">
        <v>24</v>
      </c>
      <c r="U1154" s="22" t="s">
        <v>41</v>
      </c>
      <c r="V1154" s="22"/>
    </row>
    <row r="1155" spans="1:22" ht="41.4">
      <c r="A1155" s="22" t="s">
        <v>1186</v>
      </c>
      <c r="B1155" s="25">
        <v>45762</v>
      </c>
      <c r="C1155" s="22" t="s">
        <v>723</v>
      </c>
      <c r="D1155" s="22" t="s">
        <v>23</v>
      </c>
      <c r="E1155" s="22" t="s">
        <v>24</v>
      </c>
      <c r="F1155" s="22" t="s">
        <v>25</v>
      </c>
      <c r="G1155" s="22" t="s">
        <v>21</v>
      </c>
      <c r="H1155" s="22">
        <v>0</v>
      </c>
      <c r="I1155" s="22">
        <v>0</v>
      </c>
      <c r="J1155" s="22">
        <v>0</v>
      </c>
      <c r="K1155" s="22">
        <v>0</v>
      </c>
      <c r="L1155" s="22">
        <v>0</v>
      </c>
      <c r="M1155" s="22">
        <v>0</v>
      </c>
      <c r="N1155" s="22">
        <v>0</v>
      </c>
      <c r="O1155" s="22"/>
      <c r="P1155" s="22">
        <v>59</v>
      </c>
      <c r="Q1155" s="22" t="str">
        <f>IF(OR(L1155&lt;$Y$18,L1155&gt;$Y$19),"Outlier","Normal")</f>
        <v>Normal</v>
      </c>
      <c r="R1155" s="26" t="str">
        <f>A1155&amp;B1155&amp;C1155&amp;D1155&amp;E1155&amp;F1155&amp;G1155&amp;H1155&amp;I1155&amp;J1155&amp;K1155&amp;L1155&amp;M1155&amp;N1155&amp;O1155&amp;P1155</f>
        <v>USR-10115445762TreatmentWestMobileOrganicBasic000000059</v>
      </c>
      <c r="S1155" s="22" t="str">
        <f>IF(COUNTIF($R$2:$R$1409,R1155)=1,"OK",IF(COUNTIF($R$2:$R$1409,R1155)&gt;1,"Exact Duplicate","Review Required"))</f>
        <v>OK</v>
      </c>
      <c r="T1155" s="22" t="s">
        <v>24</v>
      </c>
      <c r="U1155" s="22" t="s">
        <v>25</v>
      </c>
      <c r="V1155" s="22"/>
    </row>
    <row r="1156" spans="1:22" ht="41.4">
      <c r="A1156" s="22" t="s">
        <v>1187</v>
      </c>
      <c r="B1156" s="25">
        <v>45690</v>
      </c>
      <c r="C1156" s="22" t="s">
        <v>723</v>
      </c>
      <c r="D1156" s="22" t="s">
        <v>28</v>
      </c>
      <c r="E1156" s="22" t="s">
        <v>24</v>
      </c>
      <c r="F1156" s="22" t="s">
        <v>25</v>
      </c>
      <c r="G1156" s="22" t="s">
        <v>30</v>
      </c>
      <c r="H1156" s="22">
        <v>1</v>
      </c>
      <c r="I1156" s="22">
        <v>0</v>
      </c>
      <c r="J1156" s="22">
        <v>0</v>
      </c>
      <c r="K1156" s="22">
        <v>0</v>
      </c>
      <c r="L1156" s="22">
        <v>0</v>
      </c>
      <c r="M1156" s="22">
        <v>0</v>
      </c>
      <c r="N1156" s="22">
        <v>0</v>
      </c>
      <c r="O1156" s="22"/>
      <c r="P1156" s="22">
        <v>60.8</v>
      </c>
      <c r="Q1156" s="22" t="str">
        <f>IF(OR(L1156&lt;$Y$18,L1156&gt;$Y$19),"Outlier","Normal")</f>
        <v>Normal</v>
      </c>
      <c r="R1156" s="26" t="str">
        <f>A1156&amp;B1156&amp;C1156&amp;D1156&amp;E1156&amp;F1156&amp;G1156&amp;H1156&amp;I1156&amp;J1156&amp;K1156&amp;L1156&amp;M1156&amp;N1156&amp;O1156&amp;P1156</f>
        <v>USR-10115545690TreatmentEastMobileOrganicPremium100000060.8</v>
      </c>
      <c r="S1156" s="22" t="str">
        <f>IF(COUNTIF($R$2:$R$1409,R1156)=1,"OK",IF(COUNTIF($R$2:$R$1409,R1156)&gt;1,"Exact Duplicate","Review Required"))</f>
        <v>OK</v>
      </c>
      <c r="T1156" s="22" t="s">
        <v>24</v>
      </c>
      <c r="U1156" s="22" t="s">
        <v>25</v>
      </c>
      <c r="V1156" s="22"/>
    </row>
    <row r="1157" spans="1:22" ht="41.4">
      <c r="A1157" s="22" t="s">
        <v>1188</v>
      </c>
      <c r="B1157" s="25">
        <v>45796</v>
      </c>
      <c r="C1157" s="22" t="s">
        <v>723</v>
      </c>
      <c r="D1157" s="22" t="s">
        <v>32</v>
      </c>
      <c r="E1157" s="22" t="s">
        <v>24</v>
      </c>
      <c r="F1157" s="22" t="s">
        <v>20</v>
      </c>
      <c r="G1157" s="22" t="s">
        <v>26</v>
      </c>
      <c r="H1157" s="22">
        <v>1</v>
      </c>
      <c r="I1157" s="22">
        <v>0</v>
      </c>
      <c r="J1157" s="22">
        <v>0</v>
      </c>
      <c r="K1157" s="22">
        <v>0</v>
      </c>
      <c r="L1157" s="22">
        <v>0</v>
      </c>
      <c r="M1157" s="22">
        <v>0</v>
      </c>
      <c r="N1157" s="22">
        <v>0</v>
      </c>
      <c r="O1157" s="22"/>
      <c r="P1157" s="22">
        <v>57.5</v>
      </c>
      <c r="Q1157" s="22" t="str">
        <f>IF(OR(L1157&lt;$Y$18,L1157&gt;$Y$19),"Outlier","Normal")</f>
        <v>Normal</v>
      </c>
      <c r="R1157" s="26" t="str">
        <f>A1157&amp;B1157&amp;C1157&amp;D1157&amp;E1157&amp;F1157&amp;G1157&amp;H1157&amp;I1157&amp;J1157&amp;K1157&amp;L1157&amp;M1157&amp;N1157&amp;O1157&amp;P1157</f>
        <v>USR-10115645796TreatmentSouthMobileEmailFree100000057.5</v>
      </c>
      <c r="S1157" s="22" t="str">
        <f>IF(COUNTIF($R$2:$R$1409,R1157)=1,"OK",IF(COUNTIF($R$2:$R$1409,R1157)&gt;1,"Exact Duplicate","Review Required"))</f>
        <v>OK</v>
      </c>
      <c r="T1157" s="22" t="s">
        <v>24</v>
      </c>
      <c r="U1157" s="22" t="s">
        <v>20</v>
      </c>
      <c r="V1157" s="22"/>
    </row>
    <row r="1158" spans="1:22" ht="41.4">
      <c r="A1158" s="22" t="s">
        <v>1189</v>
      </c>
      <c r="B1158" s="25">
        <v>45662</v>
      </c>
      <c r="C1158" s="22" t="s">
        <v>723</v>
      </c>
      <c r="D1158" s="22" t="s">
        <v>23</v>
      </c>
      <c r="E1158" s="22" t="s">
        <v>24</v>
      </c>
      <c r="F1158" s="22" t="s">
        <v>39</v>
      </c>
      <c r="G1158" s="22" t="s">
        <v>26</v>
      </c>
      <c r="H1158" s="22">
        <v>0</v>
      </c>
      <c r="I1158" s="22">
        <v>0</v>
      </c>
      <c r="J1158" s="22">
        <v>0</v>
      </c>
      <c r="K1158" s="22">
        <v>0</v>
      </c>
      <c r="L1158" s="22">
        <v>0</v>
      </c>
      <c r="M1158" s="22">
        <v>0</v>
      </c>
      <c r="N1158" s="22">
        <v>0</v>
      </c>
      <c r="O1158" s="22"/>
      <c r="P1158" s="22">
        <v>84.2</v>
      </c>
      <c r="Q1158" s="22" t="str">
        <f>IF(OR(L1158&lt;$Y$18,L1158&gt;$Y$19),"Outlier","Normal")</f>
        <v>Normal</v>
      </c>
      <c r="R1158" s="26" t="str">
        <f>A1158&amp;B1158&amp;C1158&amp;D1158&amp;E1158&amp;F1158&amp;G1158&amp;H1158&amp;I1158&amp;J1158&amp;K1158&amp;L1158&amp;M1158&amp;N1158&amp;O1158&amp;P1158</f>
        <v>USR-10115745662TreatmentWestMobileReferralFree000000084.2</v>
      </c>
      <c r="S1158" s="22" t="str">
        <f>IF(COUNTIF($R$2:$R$1409,R1158)=1,"OK",IF(COUNTIF($R$2:$R$1409,R1158)&gt;1,"Exact Duplicate","Review Required"))</f>
        <v>OK</v>
      </c>
      <c r="T1158" s="22" t="s">
        <v>24</v>
      </c>
      <c r="U1158" s="22" t="s">
        <v>39</v>
      </c>
      <c r="V1158" s="22"/>
    </row>
    <row r="1159" spans="1:22" ht="41.4">
      <c r="A1159" s="22" t="s">
        <v>1190</v>
      </c>
      <c r="B1159" s="25">
        <v>45724</v>
      </c>
      <c r="C1159" s="22" t="s">
        <v>723</v>
      </c>
      <c r="D1159" s="22" t="s">
        <v>32</v>
      </c>
      <c r="E1159" s="22" t="s">
        <v>24</v>
      </c>
      <c r="F1159" s="22" t="s">
        <v>29</v>
      </c>
      <c r="G1159" s="22" t="s">
        <v>26</v>
      </c>
      <c r="H1159" s="22">
        <v>1</v>
      </c>
      <c r="I1159" s="22">
        <v>1</v>
      </c>
      <c r="J1159" s="22">
        <v>0</v>
      </c>
      <c r="K1159" s="22">
        <v>0</v>
      </c>
      <c r="L1159" s="22">
        <v>0</v>
      </c>
      <c r="M1159" s="22">
        <v>0</v>
      </c>
      <c r="N1159" s="22">
        <v>0</v>
      </c>
      <c r="O1159" s="22"/>
      <c r="P1159" s="22">
        <v>27.4</v>
      </c>
      <c r="Q1159" s="22" t="str">
        <f>IF(OR(L1159&lt;$Y$18,L1159&gt;$Y$19),"Outlier","Normal")</f>
        <v>Normal</v>
      </c>
      <c r="R1159" s="26" t="str">
        <f>A1159&amp;B1159&amp;C1159&amp;D1159&amp;E1159&amp;F1159&amp;G1159&amp;H1159&amp;I1159&amp;J1159&amp;K1159&amp;L1159&amp;M1159&amp;N1159&amp;O1159&amp;P1159</f>
        <v>USR-10115845724TreatmentSouthMobilePaid SearchFree110000027.4</v>
      </c>
      <c r="S1159" s="22" t="str">
        <f>IF(COUNTIF($R$2:$R$1409,R1159)=1,"OK",IF(COUNTIF($R$2:$R$1409,R1159)&gt;1,"Exact Duplicate","Review Required"))</f>
        <v>OK</v>
      </c>
      <c r="T1159" s="22" t="s">
        <v>24</v>
      </c>
      <c r="U1159" s="22" t="s">
        <v>29</v>
      </c>
      <c r="V1159" s="22"/>
    </row>
    <row r="1160" spans="1:22" ht="41.4">
      <c r="A1160" s="22" t="s">
        <v>1191</v>
      </c>
      <c r="B1160" s="25">
        <v>45728</v>
      </c>
      <c r="C1160" s="22" t="s">
        <v>723</v>
      </c>
      <c r="D1160" s="22" t="s">
        <v>23</v>
      </c>
      <c r="E1160" s="22" t="s">
        <v>24</v>
      </c>
      <c r="F1160" s="22" t="s">
        <v>20</v>
      </c>
      <c r="G1160" s="22" t="s">
        <v>21</v>
      </c>
      <c r="H1160" s="22">
        <v>1</v>
      </c>
      <c r="I1160" s="22">
        <v>0</v>
      </c>
      <c r="J1160" s="22">
        <v>0</v>
      </c>
      <c r="K1160" s="22">
        <v>0</v>
      </c>
      <c r="L1160" s="22">
        <v>0</v>
      </c>
      <c r="M1160" s="22">
        <v>1</v>
      </c>
      <c r="N1160" s="22">
        <v>0</v>
      </c>
      <c r="O1160" s="22"/>
      <c r="P1160" s="22">
        <v>67.599999999999994</v>
      </c>
      <c r="Q1160" s="22" t="str">
        <f>IF(OR(L1160&lt;$Y$18,L1160&gt;$Y$19),"Outlier","Normal")</f>
        <v>Normal</v>
      </c>
      <c r="R1160" s="26" t="str">
        <f>A1160&amp;B1160&amp;C1160&amp;D1160&amp;E1160&amp;F1160&amp;G1160&amp;H1160&amp;I1160&amp;J1160&amp;K1160&amp;L1160&amp;M1160&amp;N1160&amp;O1160&amp;P1160</f>
        <v>USR-10115945728TreatmentWestMobileEmailBasic100001067.6</v>
      </c>
      <c r="S1160" s="22" t="str">
        <f>IF(COUNTIF($R$2:$R$1409,R1160)=1,"OK",IF(COUNTIF($R$2:$R$1409,R1160)&gt;1,"Exact Duplicate","Review Required"))</f>
        <v>OK</v>
      </c>
      <c r="T1160" s="22" t="s">
        <v>24</v>
      </c>
      <c r="U1160" s="22" t="s">
        <v>20</v>
      </c>
      <c r="V1160" s="22"/>
    </row>
    <row r="1161" spans="1:22" ht="41.4">
      <c r="A1161" s="22" t="s">
        <v>1192</v>
      </c>
      <c r="B1161" s="25">
        <v>45681</v>
      </c>
      <c r="C1161" s="22" t="s">
        <v>723</v>
      </c>
      <c r="D1161" s="22" t="s">
        <v>23</v>
      </c>
      <c r="E1161" s="22" t="s">
        <v>24</v>
      </c>
      <c r="F1161" s="22" t="s">
        <v>25</v>
      </c>
      <c r="G1161" s="22" t="s">
        <v>26</v>
      </c>
      <c r="H1161" s="22">
        <v>0</v>
      </c>
      <c r="I1161" s="22">
        <v>0</v>
      </c>
      <c r="J1161" s="22">
        <v>0</v>
      </c>
      <c r="K1161" s="22">
        <v>0</v>
      </c>
      <c r="L1161" s="22">
        <v>0</v>
      </c>
      <c r="M1161" s="22">
        <v>0</v>
      </c>
      <c r="N1161" s="22">
        <v>0</v>
      </c>
      <c r="O1161" s="22"/>
      <c r="P1161" s="22">
        <v>68.400000000000006</v>
      </c>
      <c r="Q1161" s="22" t="str">
        <f>IF(OR(L1161&lt;$Y$18,L1161&gt;$Y$19),"Outlier","Normal")</f>
        <v>Normal</v>
      </c>
      <c r="R1161" s="26" t="str">
        <f>A1161&amp;B1161&amp;C1161&amp;D1161&amp;E1161&amp;F1161&amp;G1161&amp;H1161&amp;I1161&amp;J1161&amp;K1161&amp;L1161&amp;M1161&amp;N1161&amp;O1161&amp;P1161</f>
        <v>USR-10116045681TreatmentWestMobileOrganicFree000000068.4</v>
      </c>
      <c r="S1161" s="22" t="str">
        <f>IF(COUNTIF($R$2:$R$1409,R1161)=1,"OK",IF(COUNTIF($R$2:$R$1409,R1161)&gt;1,"Exact Duplicate","Review Required"))</f>
        <v>OK</v>
      </c>
      <c r="T1161" s="22" t="s">
        <v>24</v>
      </c>
      <c r="U1161" s="22" t="s">
        <v>25</v>
      </c>
      <c r="V1161" s="22"/>
    </row>
    <row r="1162" spans="1:22" ht="41.4">
      <c r="A1162" s="22" t="s">
        <v>1193</v>
      </c>
      <c r="B1162" s="25">
        <v>45799</v>
      </c>
      <c r="C1162" s="22" t="s">
        <v>723</v>
      </c>
      <c r="D1162" s="22" t="s">
        <v>32</v>
      </c>
      <c r="E1162" s="22" t="s">
        <v>24</v>
      </c>
      <c r="F1162" s="22" t="s">
        <v>29</v>
      </c>
      <c r="G1162" s="22" t="s">
        <v>21</v>
      </c>
      <c r="H1162" s="22">
        <v>1</v>
      </c>
      <c r="I1162" s="22">
        <v>1</v>
      </c>
      <c r="J1162" s="22">
        <v>1</v>
      </c>
      <c r="K1162" s="22">
        <v>0</v>
      </c>
      <c r="L1162" s="22">
        <v>0</v>
      </c>
      <c r="M1162" s="22">
        <v>0</v>
      </c>
      <c r="N1162" s="22">
        <v>0</v>
      </c>
      <c r="O1162" s="22"/>
      <c r="P1162" s="22">
        <v>66.5</v>
      </c>
      <c r="Q1162" s="22" t="str">
        <f>IF(OR(L1162&lt;$Y$18,L1162&gt;$Y$19),"Outlier","Normal")</f>
        <v>Normal</v>
      </c>
      <c r="R1162" s="26" t="str">
        <f>A1162&amp;B1162&amp;C1162&amp;D1162&amp;E1162&amp;F1162&amp;G1162&amp;H1162&amp;I1162&amp;J1162&amp;K1162&amp;L1162&amp;M1162&amp;N1162&amp;O1162&amp;P1162</f>
        <v>USR-10116145799TreatmentSouthMobilePaid SearchBasic111000066.5</v>
      </c>
      <c r="S1162" s="22" t="str">
        <f>IF(COUNTIF($R$2:$R$1409,R1162)=1,"OK",IF(COUNTIF($R$2:$R$1409,R1162)&gt;1,"Exact Duplicate","Review Required"))</f>
        <v>OK</v>
      </c>
      <c r="T1162" s="22" t="s">
        <v>24</v>
      </c>
      <c r="U1162" s="22" t="s">
        <v>29</v>
      </c>
      <c r="V1162" s="22"/>
    </row>
    <row r="1163" spans="1:22" ht="41.4">
      <c r="A1163" s="22" t="s">
        <v>1194</v>
      </c>
      <c r="B1163" s="25">
        <v>45743</v>
      </c>
      <c r="C1163" s="22" t="s">
        <v>723</v>
      </c>
      <c r="D1163" s="22" t="s">
        <v>32</v>
      </c>
      <c r="E1163" s="22" t="s">
        <v>24</v>
      </c>
      <c r="F1163" s="22" t="s">
        <v>29</v>
      </c>
      <c r="G1163" s="22" t="s">
        <v>26</v>
      </c>
      <c r="H1163" s="22">
        <v>1</v>
      </c>
      <c r="I1163" s="22">
        <v>0</v>
      </c>
      <c r="J1163" s="22">
        <v>0</v>
      </c>
      <c r="K1163" s="22">
        <v>0</v>
      </c>
      <c r="L1163" s="22">
        <v>0</v>
      </c>
      <c r="M1163" s="22">
        <v>0</v>
      </c>
      <c r="N1163" s="22">
        <v>0</v>
      </c>
      <c r="O1163" s="22"/>
      <c r="P1163" s="22">
        <v>38.200000000000003</v>
      </c>
      <c r="Q1163" s="22" t="str">
        <f>IF(OR(L1163&lt;$Y$18,L1163&gt;$Y$19),"Outlier","Normal")</f>
        <v>Normal</v>
      </c>
      <c r="R1163" s="26" t="str">
        <f>A1163&amp;B1163&amp;C1163&amp;D1163&amp;E1163&amp;F1163&amp;G1163&amp;H1163&amp;I1163&amp;J1163&amp;K1163&amp;L1163&amp;M1163&amp;N1163&amp;O1163&amp;P1163</f>
        <v>USR-10116245743TreatmentSouthMobilePaid SearchFree100000038.2</v>
      </c>
      <c r="S1163" s="22" t="str">
        <f>IF(COUNTIF($R$2:$R$1409,R1163)=1,"OK",IF(COUNTIF($R$2:$R$1409,R1163)&gt;1,"Exact Duplicate","Review Required"))</f>
        <v>OK</v>
      </c>
      <c r="T1163" s="22" t="s">
        <v>24</v>
      </c>
      <c r="U1163" s="22" t="s">
        <v>29</v>
      </c>
      <c r="V1163" s="22"/>
    </row>
    <row r="1164" spans="1:22" ht="41.4">
      <c r="A1164" s="22" t="s">
        <v>1195</v>
      </c>
      <c r="B1164" s="25">
        <v>45659</v>
      </c>
      <c r="C1164" s="22" t="s">
        <v>723</v>
      </c>
      <c r="D1164" s="22" t="s">
        <v>23</v>
      </c>
      <c r="E1164" s="22" t="s">
        <v>24</v>
      </c>
      <c r="F1164" s="22" t="s">
        <v>41</v>
      </c>
      <c r="G1164" s="22" t="s">
        <v>26</v>
      </c>
      <c r="H1164" s="22">
        <v>0</v>
      </c>
      <c r="I1164" s="22">
        <v>0</v>
      </c>
      <c r="J1164" s="22">
        <v>0</v>
      </c>
      <c r="K1164" s="22">
        <v>0</v>
      </c>
      <c r="L1164" s="22">
        <v>0</v>
      </c>
      <c r="M1164" s="22">
        <v>1</v>
      </c>
      <c r="N1164" s="22">
        <v>0</v>
      </c>
      <c r="O1164" s="22"/>
      <c r="P1164" s="22">
        <v>66.7</v>
      </c>
      <c r="Q1164" s="22" t="str">
        <f>IF(OR(L1164&lt;$Y$18,L1164&gt;$Y$19),"Outlier","Normal")</f>
        <v>Normal</v>
      </c>
      <c r="R1164" s="26" t="str">
        <f>A1164&amp;B1164&amp;C1164&amp;D1164&amp;E1164&amp;F1164&amp;G1164&amp;H1164&amp;I1164&amp;J1164&amp;K1164&amp;L1164&amp;M1164&amp;N1164&amp;O1164&amp;P1164</f>
        <v>USR-10116345659TreatmentWestMobileSocialFree000001066.7</v>
      </c>
      <c r="S1164" s="22" t="str">
        <f>IF(COUNTIF($R$2:$R$1409,R1164)=1,"OK",IF(COUNTIF($R$2:$R$1409,R1164)&gt;1,"Exact Duplicate","Review Required"))</f>
        <v>OK</v>
      </c>
      <c r="T1164" s="22" t="s">
        <v>24</v>
      </c>
      <c r="U1164" s="22" t="s">
        <v>41</v>
      </c>
      <c r="V1164" s="22"/>
    </row>
    <row r="1165" spans="1:22" ht="41.4">
      <c r="A1165" s="22" t="s">
        <v>1196</v>
      </c>
      <c r="B1165" s="25">
        <v>45712</v>
      </c>
      <c r="C1165" s="22" t="s">
        <v>723</v>
      </c>
      <c r="D1165" s="22" t="s">
        <v>18</v>
      </c>
      <c r="E1165" s="22" t="s">
        <v>24</v>
      </c>
      <c r="F1165" s="22" t="s">
        <v>29</v>
      </c>
      <c r="G1165" s="22" t="s">
        <v>26</v>
      </c>
      <c r="H1165" s="22">
        <v>0</v>
      </c>
      <c r="I1165" s="22">
        <v>0</v>
      </c>
      <c r="J1165" s="22">
        <v>0</v>
      </c>
      <c r="K1165" s="22">
        <v>0</v>
      </c>
      <c r="L1165" s="22">
        <v>0</v>
      </c>
      <c r="M1165" s="22">
        <v>1</v>
      </c>
      <c r="N1165" s="22">
        <v>0</v>
      </c>
      <c r="O1165" s="22"/>
      <c r="P1165" s="22">
        <v>73.7</v>
      </c>
      <c r="Q1165" s="22" t="str">
        <f>IF(OR(L1165&lt;$Y$18,L1165&gt;$Y$19),"Outlier","Normal")</f>
        <v>Normal</v>
      </c>
      <c r="R1165" s="26" t="str">
        <f>A1165&amp;B1165&amp;C1165&amp;D1165&amp;E1165&amp;F1165&amp;G1165&amp;H1165&amp;I1165&amp;J1165&amp;K1165&amp;L1165&amp;M1165&amp;N1165&amp;O1165&amp;P1165</f>
        <v>USR-10116445712TreatmentNorthMobilePaid SearchFree000001073.7</v>
      </c>
      <c r="S1165" s="22" t="str">
        <f>IF(COUNTIF($R$2:$R$1409,R1165)=1,"OK",IF(COUNTIF($R$2:$R$1409,R1165)&gt;1,"Exact Duplicate","Review Required"))</f>
        <v>OK</v>
      </c>
      <c r="T1165" s="22" t="s">
        <v>24</v>
      </c>
      <c r="U1165" s="22" t="s">
        <v>29</v>
      </c>
      <c r="V1165" s="22"/>
    </row>
    <row r="1166" spans="1:22" ht="41.4">
      <c r="A1166" s="22" t="s">
        <v>1197</v>
      </c>
      <c r="B1166" s="25">
        <v>45717</v>
      </c>
      <c r="C1166" s="22" t="s">
        <v>723</v>
      </c>
      <c r="D1166" s="22" t="s">
        <v>23</v>
      </c>
      <c r="E1166" s="22" t="s">
        <v>19</v>
      </c>
      <c r="F1166" s="22" t="s">
        <v>25</v>
      </c>
      <c r="G1166" s="22" t="s">
        <v>21</v>
      </c>
      <c r="H1166" s="22">
        <v>1</v>
      </c>
      <c r="I1166" s="22">
        <v>1</v>
      </c>
      <c r="J1166" s="22">
        <v>1</v>
      </c>
      <c r="K1166" s="22">
        <v>0</v>
      </c>
      <c r="L1166" s="22">
        <v>0</v>
      </c>
      <c r="M1166" s="22">
        <v>0</v>
      </c>
      <c r="N1166" s="22">
        <v>0</v>
      </c>
      <c r="O1166" s="22"/>
      <c r="P1166" s="22">
        <v>63.9</v>
      </c>
      <c r="Q1166" s="22" t="str">
        <f>IF(OR(L1166&lt;$Y$18,L1166&gt;$Y$19),"Outlier","Normal")</f>
        <v>Normal</v>
      </c>
      <c r="R1166" s="26" t="str">
        <f>A1166&amp;B1166&amp;C1166&amp;D1166&amp;E1166&amp;F1166&amp;G1166&amp;H1166&amp;I1166&amp;J1166&amp;K1166&amp;L1166&amp;M1166&amp;N1166&amp;O1166&amp;P1166</f>
        <v>USR-10116545717TreatmentWestDesktopOrganicBasic111000063.9</v>
      </c>
      <c r="S1166" s="22" t="str">
        <f>IF(COUNTIF($R$2:$R$1409,R1166)=1,"OK",IF(COUNTIF($R$2:$R$1409,R1166)&gt;1,"Exact Duplicate","Review Required"))</f>
        <v>OK</v>
      </c>
      <c r="T1166" s="22" t="s">
        <v>19</v>
      </c>
      <c r="U1166" s="22" t="s">
        <v>25</v>
      </c>
      <c r="V1166" s="22"/>
    </row>
    <row r="1167" spans="1:22" ht="41.4">
      <c r="A1167" s="22" t="s">
        <v>1198</v>
      </c>
      <c r="B1167" s="25">
        <v>45742</v>
      </c>
      <c r="C1167" s="22" t="s">
        <v>723</v>
      </c>
      <c r="D1167" s="22" t="s">
        <v>32</v>
      </c>
      <c r="E1167" s="22" t="s">
        <v>34</v>
      </c>
      <c r="F1167" s="22" t="s">
        <v>25</v>
      </c>
      <c r="G1167" s="22" t="s">
        <v>21</v>
      </c>
      <c r="H1167" s="22">
        <v>1</v>
      </c>
      <c r="I1167" s="22">
        <v>0</v>
      </c>
      <c r="J1167" s="22">
        <v>0</v>
      </c>
      <c r="K1167" s="22">
        <v>0</v>
      </c>
      <c r="L1167" s="22">
        <v>0</v>
      </c>
      <c r="M1167" s="22">
        <v>1</v>
      </c>
      <c r="N1167" s="22">
        <v>0</v>
      </c>
      <c r="O1167" s="22"/>
      <c r="P1167" s="22">
        <v>82.6</v>
      </c>
      <c r="Q1167" s="22" t="str">
        <f>IF(OR(L1167&lt;$Y$18,L1167&gt;$Y$19),"Outlier","Normal")</f>
        <v>Normal</v>
      </c>
      <c r="R1167" s="26" t="str">
        <f>A1167&amp;B1167&amp;C1167&amp;D1167&amp;E1167&amp;F1167&amp;G1167&amp;H1167&amp;I1167&amp;J1167&amp;K1167&amp;L1167&amp;M1167&amp;N1167&amp;O1167&amp;P1167</f>
        <v>USR-10116645742TreatmentSouthTabletOrganicBasic100001082.6</v>
      </c>
      <c r="S1167" s="22" t="str">
        <f>IF(COUNTIF($R$2:$R$1409,R1167)=1,"OK",IF(COUNTIF($R$2:$R$1409,R1167)&gt;1,"Exact Duplicate","Review Required"))</f>
        <v>OK</v>
      </c>
      <c r="T1167" s="22" t="s">
        <v>34</v>
      </c>
      <c r="U1167" s="22" t="s">
        <v>25</v>
      </c>
      <c r="V1167" s="22"/>
    </row>
    <row r="1168" spans="1:22" ht="41.4">
      <c r="A1168" s="22" t="s">
        <v>1199</v>
      </c>
      <c r="B1168" s="25">
        <v>45802</v>
      </c>
      <c r="C1168" s="22" t="s">
        <v>723</v>
      </c>
      <c r="D1168" s="22" t="s">
        <v>28</v>
      </c>
      <c r="E1168" s="22" t="s">
        <v>24</v>
      </c>
      <c r="F1168" s="22" t="s">
        <v>29</v>
      </c>
      <c r="G1168" s="22" t="s">
        <v>26</v>
      </c>
      <c r="H1168" s="22">
        <v>0</v>
      </c>
      <c r="I1168" s="22">
        <v>0</v>
      </c>
      <c r="J1168" s="22">
        <v>0</v>
      </c>
      <c r="K1168" s="22">
        <v>0</v>
      </c>
      <c r="L1168" s="22">
        <v>0</v>
      </c>
      <c r="M1168" s="22">
        <v>1</v>
      </c>
      <c r="N1168" s="22">
        <v>0</v>
      </c>
      <c r="O1168" s="22"/>
      <c r="P1168" s="22">
        <v>58.3</v>
      </c>
      <c r="Q1168" s="22" t="str">
        <f>IF(OR(L1168&lt;$Y$18,L1168&gt;$Y$19),"Outlier","Normal")</f>
        <v>Normal</v>
      </c>
      <c r="R1168" s="26" t="str">
        <f>A1168&amp;B1168&amp;C1168&amp;D1168&amp;E1168&amp;F1168&amp;G1168&amp;H1168&amp;I1168&amp;J1168&amp;K1168&amp;L1168&amp;M1168&amp;N1168&amp;O1168&amp;P1168</f>
        <v>USR-10116745802TreatmentEastMobilePaid SearchFree000001058.3</v>
      </c>
      <c r="S1168" s="22" t="str">
        <f>IF(COUNTIF($R$2:$R$1409,R1168)=1,"OK",IF(COUNTIF($R$2:$R$1409,R1168)&gt;1,"Exact Duplicate","Review Required"))</f>
        <v>OK</v>
      </c>
      <c r="T1168" s="22" t="s">
        <v>24</v>
      </c>
      <c r="U1168" s="22" t="s">
        <v>29</v>
      </c>
      <c r="V1168" s="22"/>
    </row>
    <row r="1169" spans="1:22" ht="55.2">
      <c r="A1169" s="22" t="s">
        <v>1200</v>
      </c>
      <c r="B1169" s="25">
        <v>45713</v>
      </c>
      <c r="C1169" s="22" t="s">
        <v>723</v>
      </c>
      <c r="D1169" s="22" t="s">
        <v>23</v>
      </c>
      <c r="E1169" s="22" t="s">
        <v>24</v>
      </c>
      <c r="F1169" s="22" t="s">
        <v>39</v>
      </c>
      <c r="G1169" s="22" t="s">
        <v>30</v>
      </c>
      <c r="H1169" s="22">
        <v>1</v>
      </c>
      <c r="I1169" s="22">
        <v>1</v>
      </c>
      <c r="J1169" s="22">
        <v>1</v>
      </c>
      <c r="K1169" s="22">
        <v>1</v>
      </c>
      <c r="L1169" s="22">
        <v>1547.06</v>
      </c>
      <c r="M1169" s="22">
        <v>0</v>
      </c>
      <c r="N1169" s="22">
        <v>1</v>
      </c>
      <c r="O1169" s="22">
        <v>2</v>
      </c>
      <c r="P1169" s="22">
        <v>72.900000000000006</v>
      </c>
      <c r="Q1169" s="22" t="str">
        <f>IF(OR(L1169&lt;$Y$18,L1169&gt;$Y$19),"Outlier","Normal")</f>
        <v>Normal</v>
      </c>
      <c r="R1169" s="26" t="str">
        <f>A1169&amp;B1169&amp;C1169&amp;D1169&amp;E1169&amp;F1169&amp;G1169&amp;H1169&amp;I1169&amp;J1169&amp;K1169&amp;L1169&amp;M1169&amp;N1169&amp;O1169&amp;P1169</f>
        <v>USR-10116845713TreatmentWestMobileReferralPremium11111547.0601272.9</v>
      </c>
      <c r="S1169" s="22" t="str">
        <f>IF(COUNTIF($R$2:$R$1409,R1169)=1,"OK",IF(COUNTIF($R$2:$R$1409,R1169)&gt;1,"Exact Duplicate","Review Required"))</f>
        <v>OK</v>
      </c>
      <c r="T1169" s="22" t="s">
        <v>24</v>
      </c>
      <c r="U1169" s="22" t="s">
        <v>39</v>
      </c>
      <c r="V1169" s="22"/>
    </row>
    <row r="1170" spans="1:22" ht="41.4">
      <c r="A1170" s="22" t="s">
        <v>1201</v>
      </c>
      <c r="B1170" s="25">
        <v>45739</v>
      </c>
      <c r="C1170" s="22" t="s">
        <v>723</v>
      </c>
      <c r="D1170" s="22" t="s">
        <v>32</v>
      </c>
      <c r="E1170" s="22" t="s">
        <v>24</v>
      </c>
      <c r="F1170" s="22" t="s">
        <v>41</v>
      </c>
      <c r="G1170" s="22" t="s">
        <v>26</v>
      </c>
      <c r="H1170" s="22">
        <v>1</v>
      </c>
      <c r="I1170" s="22">
        <v>1</v>
      </c>
      <c r="J1170" s="22">
        <v>1</v>
      </c>
      <c r="K1170" s="22">
        <v>0</v>
      </c>
      <c r="L1170" s="22">
        <v>0</v>
      </c>
      <c r="M1170" s="22">
        <v>2</v>
      </c>
      <c r="N1170" s="22">
        <v>0</v>
      </c>
      <c r="O1170" s="22"/>
      <c r="P1170" s="22">
        <v>53.5</v>
      </c>
      <c r="Q1170" s="22" t="str">
        <f>IF(OR(L1170&lt;$Y$18,L1170&gt;$Y$19),"Outlier","Normal")</f>
        <v>Normal</v>
      </c>
      <c r="R1170" s="26" t="str">
        <f>A1170&amp;B1170&amp;C1170&amp;D1170&amp;E1170&amp;F1170&amp;G1170&amp;H1170&amp;I1170&amp;J1170&amp;K1170&amp;L1170&amp;M1170&amp;N1170&amp;O1170&amp;P1170</f>
        <v>USR-10116945739TreatmentSouthMobileSocialFree111002053.5</v>
      </c>
      <c r="S1170" s="22" t="str">
        <f>IF(COUNTIF($R$2:$R$1409,R1170)=1,"OK",IF(COUNTIF($R$2:$R$1409,R1170)&gt;1,"Exact Duplicate","Review Required"))</f>
        <v>OK</v>
      </c>
      <c r="T1170" s="22" t="s">
        <v>24</v>
      </c>
      <c r="U1170" s="22" t="s">
        <v>41</v>
      </c>
      <c r="V1170" s="22"/>
    </row>
    <row r="1171" spans="1:22" ht="41.4">
      <c r="A1171" s="22" t="s">
        <v>1202</v>
      </c>
      <c r="B1171" s="25">
        <v>45768</v>
      </c>
      <c r="C1171" s="22" t="s">
        <v>723</v>
      </c>
      <c r="D1171" s="22" t="s">
        <v>23</v>
      </c>
      <c r="E1171" s="22" t="s">
        <v>24</v>
      </c>
      <c r="F1171" s="22" t="s">
        <v>39</v>
      </c>
      <c r="G1171" s="22" t="s">
        <v>26</v>
      </c>
      <c r="H1171" s="22">
        <v>1</v>
      </c>
      <c r="I1171" s="22">
        <v>0</v>
      </c>
      <c r="J1171" s="22">
        <v>0</v>
      </c>
      <c r="K1171" s="22">
        <v>0</v>
      </c>
      <c r="L1171" s="22">
        <v>0</v>
      </c>
      <c r="M1171" s="22">
        <v>0</v>
      </c>
      <c r="N1171" s="22">
        <v>0</v>
      </c>
      <c r="O1171" s="22"/>
      <c r="P1171" s="22">
        <v>54.8</v>
      </c>
      <c r="Q1171" s="22" t="str">
        <f>IF(OR(L1171&lt;$Y$18,L1171&gt;$Y$19),"Outlier","Normal")</f>
        <v>Normal</v>
      </c>
      <c r="R1171" s="26" t="str">
        <f>A1171&amp;B1171&amp;C1171&amp;D1171&amp;E1171&amp;F1171&amp;G1171&amp;H1171&amp;I1171&amp;J1171&amp;K1171&amp;L1171&amp;M1171&amp;N1171&amp;O1171&amp;P1171</f>
        <v>USR-10117045768TreatmentWestMobileReferralFree100000054.8</v>
      </c>
      <c r="S1171" s="22" t="str">
        <f>IF(COUNTIF($R$2:$R$1409,R1171)=1,"OK",IF(COUNTIF($R$2:$R$1409,R1171)&gt;1,"Exact Duplicate","Review Required"))</f>
        <v>OK</v>
      </c>
      <c r="T1171" s="22" t="s">
        <v>24</v>
      </c>
      <c r="U1171" s="22" t="s">
        <v>39</v>
      </c>
      <c r="V1171" s="22"/>
    </row>
    <row r="1172" spans="1:22" ht="41.4">
      <c r="A1172" s="22" t="s">
        <v>1203</v>
      </c>
      <c r="B1172" s="25">
        <v>45798</v>
      </c>
      <c r="C1172" s="22" t="s">
        <v>723</v>
      </c>
      <c r="D1172" s="22" t="s">
        <v>18</v>
      </c>
      <c r="E1172" s="22" t="s">
        <v>24</v>
      </c>
      <c r="F1172" s="22" t="s">
        <v>25</v>
      </c>
      <c r="G1172" s="22" t="s">
        <v>30</v>
      </c>
      <c r="H1172" s="22">
        <v>1</v>
      </c>
      <c r="I1172" s="22">
        <v>0</v>
      </c>
      <c r="J1172" s="22">
        <v>0</v>
      </c>
      <c r="K1172" s="22">
        <v>0</v>
      </c>
      <c r="L1172" s="22">
        <v>0</v>
      </c>
      <c r="M1172" s="22">
        <v>0</v>
      </c>
      <c r="N1172" s="22">
        <v>0</v>
      </c>
      <c r="O1172" s="22"/>
      <c r="P1172" s="22">
        <v>69.5</v>
      </c>
      <c r="Q1172" s="22" t="str">
        <f>IF(OR(L1172&lt;$Y$18,L1172&gt;$Y$19),"Outlier","Normal")</f>
        <v>Normal</v>
      </c>
      <c r="R1172" s="26" t="str">
        <f>A1172&amp;B1172&amp;C1172&amp;D1172&amp;E1172&amp;F1172&amp;G1172&amp;H1172&amp;I1172&amp;J1172&amp;K1172&amp;L1172&amp;M1172&amp;N1172&amp;O1172&amp;P1172</f>
        <v>USR-10117145798TreatmentNorthMobileOrganicPremium100000069.5</v>
      </c>
      <c r="S1172" s="22" t="str">
        <f>IF(COUNTIF($R$2:$R$1409,R1172)=1,"OK",IF(COUNTIF($R$2:$R$1409,R1172)&gt;1,"Exact Duplicate","Review Required"))</f>
        <v>OK</v>
      </c>
      <c r="T1172" s="22" t="s">
        <v>24</v>
      </c>
      <c r="U1172" s="22" t="s">
        <v>25</v>
      </c>
      <c r="V1172" s="22"/>
    </row>
    <row r="1173" spans="1:22" ht="41.4">
      <c r="A1173" s="22" t="s">
        <v>1204</v>
      </c>
      <c r="B1173" s="25">
        <v>45772</v>
      </c>
      <c r="C1173" s="22" t="s">
        <v>723</v>
      </c>
      <c r="D1173" s="22" t="s">
        <v>18</v>
      </c>
      <c r="E1173" s="22" t="s">
        <v>19</v>
      </c>
      <c r="F1173" s="22" t="s">
        <v>41</v>
      </c>
      <c r="G1173" s="22" t="s">
        <v>26</v>
      </c>
      <c r="H1173" s="22">
        <v>1</v>
      </c>
      <c r="I1173" s="22">
        <v>0</v>
      </c>
      <c r="J1173" s="22">
        <v>0</v>
      </c>
      <c r="K1173" s="22">
        <v>0</v>
      </c>
      <c r="L1173" s="22">
        <v>0</v>
      </c>
      <c r="M1173" s="22">
        <v>1</v>
      </c>
      <c r="N1173" s="22">
        <v>0</v>
      </c>
      <c r="O1173" s="22"/>
      <c r="P1173" s="22">
        <v>71.3</v>
      </c>
      <c r="Q1173" s="22" t="str">
        <f>IF(OR(L1173&lt;$Y$18,L1173&gt;$Y$19),"Outlier","Normal")</f>
        <v>Normal</v>
      </c>
      <c r="R1173" s="26" t="str">
        <f>A1173&amp;B1173&amp;C1173&amp;D1173&amp;E1173&amp;F1173&amp;G1173&amp;H1173&amp;I1173&amp;J1173&amp;K1173&amp;L1173&amp;M1173&amp;N1173&amp;O1173&amp;P1173</f>
        <v>USR-10117245772TreatmentNorthDesktopSocialFree100001071.3</v>
      </c>
      <c r="S1173" s="22" t="str">
        <f>IF(COUNTIF($R$2:$R$1409,R1173)=1,"OK",IF(COUNTIF($R$2:$R$1409,R1173)&gt;1,"Exact Duplicate","Review Required"))</f>
        <v>OK</v>
      </c>
      <c r="T1173" s="22" t="s">
        <v>19</v>
      </c>
      <c r="U1173" s="22" t="s">
        <v>41</v>
      </c>
      <c r="V1173" s="22"/>
    </row>
    <row r="1174" spans="1:22" ht="41.4">
      <c r="A1174" s="22" t="s">
        <v>1205</v>
      </c>
      <c r="B1174" s="25">
        <v>45800</v>
      </c>
      <c r="C1174" s="22" t="s">
        <v>723</v>
      </c>
      <c r="D1174" s="22" t="s">
        <v>23</v>
      </c>
      <c r="E1174" s="22" t="s">
        <v>24</v>
      </c>
      <c r="F1174" s="22" t="s">
        <v>39</v>
      </c>
      <c r="G1174" s="22" t="s">
        <v>21</v>
      </c>
      <c r="H1174" s="22">
        <v>1</v>
      </c>
      <c r="I1174" s="22">
        <v>0</v>
      </c>
      <c r="J1174" s="22">
        <v>0</v>
      </c>
      <c r="K1174" s="22">
        <v>0</v>
      </c>
      <c r="L1174" s="22">
        <v>0</v>
      </c>
      <c r="M1174" s="22">
        <v>1</v>
      </c>
      <c r="N1174" s="22">
        <v>0</v>
      </c>
      <c r="O1174" s="22"/>
      <c r="P1174" s="22">
        <v>57.5</v>
      </c>
      <c r="Q1174" s="22" t="str">
        <f>IF(OR(L1174&lt;$Y$18,L1174&gt;$Y$19),"Outlier","Normal")</f>
        <v>Normal</v>
      </c>
      <c r="R1174" s="26" t="str">
        <f>A1174&amp;B1174&amp;C1174&amp;D1174&amp;E1174&amp;F1174&amp;G1174&amp;H1174&amp;I1174&amp;J1174&amp;K1174&amp;L1174&amp;M1174&amp;N1174&amp;O1174&amp;P1174</f>
        <v>USR-10117345800TreatmentWestMobileReferralBasic100001057.5</v>
      </c>
      <c r="S1174" s="22" t="str">
        <f>IF(COUNTIF($R$2:$R$1409,R1174)=1,"OK",IF(COUNTIF($R$2:$R$1409,R1174)&gt;1,"Exact Duplicate","Review Required"))</f>
        <v>OK</v>
      </c>
      <c r="T1174" s="22" t="s">
        <v>24</v>
      </c>
      <c r="U1174" s="22" t="s">
        <v>39</v>
      </c>
      <c r="V1174" s="22"/>
    </row>
    <row r="1175" spans="1:22" ht="41.4">
      <c r="A1175" s="22" t="s">
        <v>1206</v>
      </c>
      <c r="B1175" s="25">
        <v>45734</v>
      </c>
      <c r="C1175" s="22" t="s">
        <v>723</v>
      </c>
      <c r="D1175" s="22" t="s">
        <v>32</v>
      </c>
      <c r="E1175" s="22" t="s">
        <v>24</v>
      </c>
      <c r="F1175" s="22" t="s">
        <v>20</v>
      </c>
      <c r="G1175" s="22" t="s">
        <v>26</v>
      </c>
      <c r="H1175" s="22">
        <v>1</v>
      </c>
      <c r="I1175" s="22">
        <v>0</v>
      </c>
      <c r="J1175" s="22">
        <v>0</v>
      </c>
      <c r="K1175" s="22">
        <v>0</v>
      </c>
      <c r="L1175" s="22">
        <v>0</v>
      </c>
      <c r="M1175" s="22">
        <v>4</v>
      </c>
      <c r="N1175" s="22">
        <v>0</v>
      </c>
      <c r="O1175" s="22"/>
      <c r="P1175" s="22">
        <v>50.9</v>
      </c>
      <c r="Q1175" s="22" t="str">
        <f>IF(OR(L1175&lt;$Y$18,L1175&gt;$Y$19),"Outlier","Normal")</f>
        <v>Normal</v>
      </c>
      <c r="R1175" s="26" t="str">
        <f>A1175&amp;B1175&amp;C1175&amp;D1175&amp;E1175&amp;F1175&amp;G1175&amp;H1175&amp;I1175&amp;J1175&amp;K1175&amp;L1175&amp;M1175&amp;N1175&amp;O1175&amp;P1175</f>
        <v>USR-10117445734TreatmentSouthMobileEmailFree100004050.9</v>
      </c>
      <c r="S1175" s="22" t="str">
        <f>IF(COUNTIF($R$2:$R$1409,R1175)=1,"OK",IF(COUNTIF($R$2:$R$1409,R1175)&gt;1,"Exact Duplicate","Review Required"))</f>
        <v>OK</v>
      </c>
      <c r="T1175" s="22" t="s">
        <v>24</v>
      </c>
      <c r="U1175" s="22" t="s">
        <v>20</v>
      </c>
      <c r="V1175" s="22"/>
    </row>
    <row r="1176" spans="1:22" ht="41.4">
      <c r="A1176" s="22" t="s">
        <v>1207</v>
      </c>
      <c r="B1176" s="25">
        <v>45660</v>
      </c>
      <c r="C1176" s="22" t="s">
        <v>723</v>
      </c>
      <c r="D1176" s="22" t="s">
        <v>32</v>
      </c>
      <c r="E1176" s="22" t="s">
        <v>34</v>
      </c>
      <c r="F1176" s="22" t="s">
        <v>25</v>
      </c>
      <c r="G1176" s="22" t="s">
        <v>26</v>
      </c>
      <c r="H1176" s="22">
        <v>1</v>
      </c>
      <c r="I1176" s="22">
        <v>1</v>
      </c>
      <c r="J1176" s="22">
        <v>1</v>
      </c>
      <c r="K1176" s="22">
        <v>0</v>
      </c>
      <c r="L1176" s="22">
        <v>0</v>
      </c>
      <c r="M1176" s="22">
        <v>0</v>
      </c>
      <c r="N1176" s="22">
        <v>0</v>
      </c>
      <c r="O1176" s="22"/>
      <c r="P1176" s="22">
        <v>69.3</v>
      </c>
      <c r="Q1176" s="22" t="str">
        <f>IF(OR(L1176&lt;$Y$18,L1176&gt;$Y$19),"Outlier","Normal")</f>
        <v>Normal</v>
      </c>
      <c r="R1176" s="26" t="str">
        <f>A1176&amp;B1176&amp;C1176&amp;D1176&amp;E1176&amp;F1176&amp;G1176&amp;H1176&amp;I1176&amp;J1176&amp;K1176&amp;L1176&amp;M1176&amp;N1176&amp;O1176&amp;P1176</f>
        <v>USR-10117545660TreatmentSouthTabletOrganicFree111000069.3</v>
      </c>
      <c r="S1176" s="22" t="str">
        <f>IF(COUNTIF($R$2:$R$1409,R1176)=1,"OK",IF(COUNTIF($R$2:$R$1409,R1176)&gt;1,"Exact Duplicate","Review Required"))</f>
        <v>OK</v>
      </c>
      <c r="T1176" s="22" t="s">
        <v>34</v>
      </c>
      <c r="U1176" s="22" t="s">
        <v>25</v>
      </c>
      <c r="V1176" s="22"/>
    </row>
    <row r="1177" spans="1:22" ht="41.4">
      <c r="A1177" s="22" t="s">
        <v>1208</v>
      </c>
      <c r="B1177" s="25">
        <v>45696</v>
      </c>
      <c r="C1177" s="22" t="s">
        <v>723</v>
      </c>
      <c r="D1177" s="22" t="s">
        <v>23</v>
      </c>
      <c r="E1177" s="22" t="s">
        <v>19</v>
      </c>
      <c r="F1177" s="22" t="s">
        <v>25</v>
      </c>
      <c r="G1177" s="22" t="s">
        <v>26</v>
      </c>
      <c r="H1177" s="22">
        <v>1</v>
      </c>
      <c r="I1177" s="22">
        <v>0</v>
      </c>
      <c r="J1177" s="22">
        <v>0</v>
      </c>
      <c r="K1177" s="22">
        <v>0</v>
      </c>
      <c r="L1177" s="22">
        <v>0</v>
      </c>
      <c r="M1177" s="22">
        <v>0</v>
      </c>
      <c r="N1177" s="22">
        <v>0</v>
      </c>
      <c r="O1177" s="22"/>
      <c r="P1177" s="22">
        <v>50.1</v>
      </c>
      <c r="Q1177" s="22" t="str">
        <f>IF(OR(L1177&lt;$Y$18,L1177&gt;$Y$19),"Outlier","Normal")</f>
        <v>Normal</v>
      </c>
      <c r="R1177" s="26" t="str">
        <f>A1177&amp;B1177&amp;C1177&amp;D1177&amp;E1177&amp;F1177&amp;G1177&amp;H1177&amp;I1177&amp;J1177&amp;K1177&amp;L1177&amp;M1177&amp;N1177&amp;O1177&amp;P1177</f>
        <v>USR-10117645696TreatmentWestDesktopOrganicFree100000050.1</v>
      </c>
      <c r="S1177" s="22" t="str">
        <f>IF(COUNTIF($R$2:$R$1409,R1177)=1,"OK",IF(COUNTIF($R$2:$R$1409,R1177)&gt;1,"Exact Duplicate","Review Required"))</f>
        <v>OK</v>
      </c>
      <c r="T1177" s="22" t="s">
        <v>19</v>
      </c>
      <c r="U1177" s="22" t="s">
        <v>25</v>
      </c>
      <c r="V1177" s="22"/>
    </row>
    <row r="1178" spans="1:22" ht="41.4">
      <c r="A1178" s="22" t="s">
        <v>1209</v>
      </c>
      <c r="B1178" s="25">
        <v>45692</v>
      </c>
      <c r="C1178" s="22" t="s">
        <v>723</v>
      </c>
      <c r="D1178" s="22" t="s">
        <v>28</v>
      </c>
      <c r="E1178" s="22" t="s">
        <v>1482</v>
      </c>
      <c r="F1178" s="22" t="s">
        <v>29</v>
      </c>
      <c r="G1178" s="22" t="s">
        <v>21</v>
      </c>
      <c r="H1178" s="22">
        <v>0</v>
      </c>
      <c r="I1178" s="22">
        <v>0</v>
      </c>
      <c r="J1178" s="22">
        <v>0</v>
      </c>
      <c r="K1178" s="22">
        <v>0</v>
      </c>
      <c r="L1178" s="22">
        <v>0</v>
      </c>
      <c r="M1178" s="22">
        <v>0</v>
      </c>
      <c r="N1178" s="22">
        <v>0</v>
      </c>
      <c r="O1178" s="22"/>
      <c r="P1178" s="22">
        <v>69.7</v>
      </c>
      <c r="Q1178" s="22" t="str">
        <f>IF(OR(L1178&lt;$Y$18,L1178&gt;$Y$19),"Outlier","Normal")</f>
        <v>Normal</v>
      </c>
      <c r="R1178" s="26" t="str">
        <f>A1178&amp;B1178&amp;C1178&amp;D1178&amp;E1178&amp;F1178&amp;G1178&amp;H1178&amp;I1178&amp;J1178&amp;K1178&amp;L1178&amp;M1178&amp;N1178&amp;O1178&amp;P1178</f>
        <v>USR-10117745692TreatmentEastUnknownPaid SearchBasic000000069.7</v>
      </c>
      <c r="S1178" s="22" t="str">
        <f>IF(COUNTIF($R$2:$R$1409,R1178)=1,"OK",IF(COUNTIF($R$2:$R$1409,R1178)&gt;1,"Exact Duplicate","Review Required"))</f>
        <v>OK</v>
      </c>
      <c r="T1178" s="22"/>
      <c r="U1178" s="22" t="s">
        <v>29</v>
      </c>
      <c r="V1178" s="22"/>
    </row>
    <row r="1179" spans="1:22" ht="41.4">
      <c r="A1179" s="22" t="s">
        <v>1210</v>
      </c>
      <c r="B1179" s="25">
        <v>45673</v>
      </c>
      <c r="C1179" s="22" t="s">
        <v>723</v>
      </c>
      <c r="D1179" s="22" t="s">
        <v>18</v>
      </c>
      <c r="E1179" s="22" t="s">
        <v>24</v>
      </c>
      <c r="F1179" s="22" t="s">
        <v>29</v>
      </c>
      <c r="G1179" s="22" t="s">
        <v>26</v>
      </c>
      <c r="H1179" s="22">
        <v>0</v>
      </c>
      <c r="I1179" s="22">
        <v>0</v>
      </c>
      <c r="J1179" s="22">
        <v>0</v>
      </c>
      <c r="K1179" s="22">
        <v>0</v>
      </c>
      <c r="L1179" s="22">
        <v>0</v>
      </c>
      <c r="M1179" s="22">
        <v>0</v>
      </c>
      <c r="N1179" s="22">
        <v>0</v>
      </c>
      <c r="O1179" s="22"/>
      <c r="P1179" s="22">
        <v>63.5</v>
      </c>
      <c r="Q1179" s="22" t="str">
        <f>IF(OR(L1179&lt;$Y$18,L1179&gt;$Y$19),"Outlier","Normal")</f>
        <v>Normal</v>
      </c>
      <c r="R1179" s="26" t="str">
        <f>A1179&amp;B1179&amp;C1179&amp;D1179&amp;E1179&amp;F1179&amp;G1179&amp;H1179&amp;I1179&amp;J1179&amp;K1179&amp;L1179&amp;M1179&amp;N1179&amp;O1179&amp;P1179</f>
        <v>USR-10117845673TreatmentNorthMobilePaid SearchFree000000063.5</v>
      </c>
      <c r="S1179" s="22" t="str">
        <f>IF(COUNTIF($R$2:$R$1409,R1179)=1,"OK",IF(COUNTIF($R$2:$R$1409,R1179)&gt;1,"Exact Duplicate","Review Required"))</f>
        <v>OK</v>
      </c>
      <c r="T1179" s="22" t="s">
        <v>24</v>
      </c>
      <c r="U1179" s="22" t="s">
        <v>29</v>
      </c>
      <c r="V1179" s="22"/>
    </row>
    <row r="1180" spans="1:22" ht="55.2">
      <c r="A1180" s="22" t="s">
        <v>1211</v>
      </c>
      <c r="B1180" s="25">
        <v>45751</v>
      </c>
      <c r="C1180" s="22" t="s">
        <v>723</v>
      </c>
      <c r="D1180" s="22" t="s">
        <v>23</v>
      </c>
      <c r="E1180" s="22" t="s">
        <v>19</v>
      </c>
      <c r="F1180" s="22" t="s">
        <v>29</v>
      </c>
      <c r="G1180" s="22" t="s">
        <v>26</v>
      </c>
      <c r="H1180" s="22">
        <v>1</v>
      </c>
      <c r="I1180" s="22">
        <v>1</v>
      </c>
      <c r="J1180" s="22">
        <v>1</v>
      </c>
      <c r="K1180" s="22">
        <v>1</v>
      </c>
      <c r="L1180" s="22">
        <v>265.58999999999997</v>
      </c>
      <c r="M1180" s="22">
        <v>1</v>
      </c>
      <c r="N1180" s="22">
        <v>0</v>
      </c>
      <c r="O1180" s="22">
        <v>8</v>
      </c>
      <c r="P1180" s="22">
        <v>80.400000000000006</v>
      </c>
      <c r="Q1180" s="22" t="str">
        <f>IF(OR(L1180&lt;$Y$18,L1180&gt;$Y$19),"Outlier","Normal")</f>
        <v>Normal</v>
      </c>
      <c r="R1180" s="26" t="str">
        <f>A1180&amp;B1180&amp;C1180&amp;D1180&amp;E1180&amp;F1180&amp;G1180&amp;H1180&amp;I1180&amp;J1180&amp;K1180&amp;L1180&amp;M1180&amp;N1180&amp;O1180&amp;P1180</f>
        <v>USR-10117945751TreatmentWestDesktopPaid SearchFree1111265.5910880.4</v>
      </c>
      <c r="S1180" s="22" t="str">
        <f>IF(COUNTIF($R$2:$R$1409,R1180)=1,"OK",IF(COUNTIF($R$2:$R$1409,R1180)&gt;1,"Exact Duplicate","Review Required"))</f>
        <v>OK</v>
      </c>
      <c r="T1180" s="22" t="s">
        <v>19</v>
      </c>
      <c r="U1180" s="22" t="s">
        <v>29</v>
      </c>
      <c r="V1180" s="22"/>
    </row>
    <row r="1181" spans="1:22" ht="41.4">
      <c r="A1181" s="22" t="s">
        <v>1212</v>
      </c>
      <c r="B1181" s="25">
        <v>45680</v>
      </c>
      <c r="C1181" s="22" t="s">
        <v>723</v>
      </c>
      <c r="D1181" s="22" t="s">
        <v>18</v>
      </c>
      <c r="E1181" s="22" t="s">
        <v>19</v>
      </c>
      <c r="F1181" s="22" t="s">
        <v>29</v>
      </c>
      <c r="G1181" s="22" t="s">
        <v>26</v>
      </c>
      <c r="H1181" s="22">
        <v>0</v>
      </c>
      <c r="I1181" s="22">
        <v>0</v>
      </c>
      <c r="J1181" s="22">
        <v>0</v>
      </c>
      <c r="K1181" s="22">
        <v>0</v>
      </c>
      <c r="L1181" s="22">
        <v>0</v>
      </c>
      <c r="M1181" s="22">
        <v>0</v>
      </c>
      <c r="N1181" s="22">
        <v>0</v>
      </c>
      <c r="O1181" s="22"/>
      <c r="P1181" s="22">
        <v>58.9</v>
      </c>
      <c r="Q1181" s="22" t="str">
        <f>IF(OR(L1181&lt;$Y$18,L1181&gt;$Y$19),"Outlier","Normal")</f>
        <v>Normal</v>
      </c>
      <c r="R1181" s="26" t="str">
        <f>A1181&amp;B1181&amp;C1181&amp;D1181&amp;E1181&amp;F1181&amp;G1181&amp;H1181&amp;I1181&amp;J1181&amp;K1181&amp;L1181&amp;M1181&amp;N1181&amp;O1181&amp;P1181</f>
        <v>USR-10118045680TreatmentNorthDesktopPaid SearchFree000000058.9</v>
      </c>
      <c r="S1181" s="22" t="str">
        <f>IF(COUNTIF($R$2:$R$1409,R1181)=1,"OK",IF(COUNTIF($R$2:$R$1409,R1181)&gt;1,"Exact Duplicate","Review Required"))</f>
        <v>OK</v>
      </c>
      <c r="T1181" s="22" t="s">
        <v>19</v>
      </c>
      <c r="U1181" s="22" t="s">
        <v>29</v>
      </c>
      <c r="V1181" s="22"/>
    </row>
    <row r="1182" spans="1:22" ht="41.4">
      <c r="A1182" s="22" t="s">
        <v>1213</v>
      </c>
      <c r="B1182" s="25">
        <v>45738</v>
      </c>
      <c r="C1182" s="22" t="s">
        <v>723</v>
      </c>
      <c r="D1182" s="22" t="s">
        <v>32</v>
      </c>
      <c r="E1182" s="22" t="s">
        <v>19</v>
      </c>
      <c r="F1182" s="22" t="s">
        <v>29</v>
      </c>
      <c r="G1182" s="22" t="s">
        <v>26</v>
      </c>
      <c r="H1182" s="22">
        <v>1</v>
      </c>
      <c r="I1182" s="22">
        <v>0</v>
      </c>
      <c r="J1182" s="22">
        <v>0</v>
      </c>
      <c r="K1182" s="22">
        <v>0</v>
      </c>
      <c r="L1182" s="22">
        <v>0</v>
      </c>
      <c r="M1182" s="22">
        <v>0</v>
      </c>
      <c r="N1182" s="22">
        <v>0</v>
      </c>
      <c r="O1182" s="22"/>
      <c r="P1182" s="22">
        <v>56.8</v>
      </c>
      <c r="Q1182" s="22" t="str">
        <f>IF(OR(L1182&lt;$Y$18,L1182&gt;$Y$19),"Outlier","Normal")</f>
        <v>Normal</v>
      </c>
      <c r="R1182" s="26" t="str">
        <f>A1182&amp;B1182&amp;C1182&amp;D1182&amp;E1182&amp;F1182&amp;G1182&amp;H1182&amp;I1182&amp;J1182&amp;K1182&amp;L1182&amp;M1182&amp;N1182&amp;O1182&amp;P1182</f>
        <v>USR-10118145738TreatmentSouthDesktopPaid SearchFree100000056.8</v>
      </c>
      <c r="S1182" s="22" t="str">
        <f>IF(COUNTIF($R$2:$R$1409,R1182)=1,"OK",IF(COUNTIF($R$2:$R$1409,R1182)&gt;1,"Exact Duplicate","Review Required"))</f>
        <v>OK</v>
      </c>
      <c r="T1182" s="22" t="s">
        <v>19</v>
      </c>
      <c r="U1182" s="22" t="s">
        <v>29</v>
      </c>
      <c r="V1182" s="22"/>
    </row>
    <row r="1183" spans="1:22" ht="41.4">
      <c r="A1183" s="22" t="s">
        <v>1214</v>
      </c>
      <c r="B1183" s="25">
        <v>45690</v>
      </c>
      <c r="C1183" s="22" t="s">
        <v>723</v>
      </c>
      <c r="D1183" s="22" t="s">
        <v>28</v>
      </c>
      <c r="E1183" s="22" t="s">
        <v>34</v>
      </c>
      <c r="F1183" s="22" t="s">
        <v>41</v>
      </c>
      <c r="G1183" s="22" t="s">
        <v>30</v>
      </c>
      <c r="H1183" s="22">
        <v>0</v>
      </c>
      <c r="I1183" s="22">
        <v>0</v>
      </c>
      <c r="J1183" s="22">
        <v>0</v>
      </c>
      <c r="K1183" s="22">
        <v>0</v>
      </c>
      <c r="L1183" s="22">
        <v>0</v>
      </c>
      <c r="M1183" s="22">
        <v>0</v>
      </c>
      <c r="N1183" s="22">
        <v>0</v>
      </c>
      <c r="O1183" s="22"/>
      <c r="P1183" s="22">
        <v>73.900000000000006</v>
      </c>
      <c r="Q1183" s="22" t="str">
        <f>IF(OR(L1183&lt;$Y$18,L1183&gt;$Y$19),"Outlier","Normal")</f>
        <v>Normal</v>
      </c>
      <c r="R1183" s="26" t="str">
        <f>A1183&amp;B1183&amp;C1183&amp;D1183&amp;E1183&amp;F1183&amp;G1183&amp;H1183&amp;I1183&amp;J1183&amp;K1183&amp;L1183&amp;M1183&amp;N1183&amp;O1183&amp;P1183</f>
        <v>USR-10118245690TreatmentEastTabletSocialPremium000000073.9</v>
      </c>
      <c r="S1183" s="22" t="str">
        <f>IF(COUNTIF($R$2:$R$1409,R1183)=1,"OK",IF(COUNTIF($R$2:$R$1409,R1183)&gt;1,"Exact Duplicate","Review Required"))</f>
        <v>OK</v>
      </c>
      <c r="T1183" s="22" t="s">
        <v>34</v>
      </c>
      <c r="U1183" s="22" t="s">
        <v>41</v>
      </c>
      <c r="V1183" s="22"/>
    </row>
    <row r="1184" spans="1:22" ht="41.4">
      <c r="A1184" s="22" t="s">
        <v>1215</v>
      </c>
      <c r="B1184" s="25">
        <v>45688</v>
      </c>
      <c r="C1184" s="22" t="s">
        <v>723</v>
      </c>
      <c r="D1184" s="22" t="s">
        <v>18</v>
      </c>
      <c r="E1184" s="22" t="s">
        <v>19</v>
      </c>
      <c r="F1184" s="22" t="s">
        <v>29</v>
      </c>
      <c r="G1184" s="22" t="s">
        <v>26</v>
      </c>
      <c r="H1184" s="22">
        <v>0</v>
      </c>
      <c r="I1184" s="22">
        <v>0</v>
      </c>
      <c r="J1184" s="22">
        <v>0</v>
      </c>
      <c r="K1184" s="22">
        <v>0</v>
      </c>
      <c r="L1184" s="22">
        <v>0</v>
      </c>
      <c r="M1184" s="22">
        <v>0</v>
      </c>
      <c r="N1184" s="22">
        <v>0</v>
      </c>
      <c r="O1184" s="22"/>
      <c r="P1184" s="22">
        <v>76.3</v>
      </c>
      <c r="Q1184" s="22" t="str">
        <f>IF(OR(L1184&lt;$Y$18,L1184&gt;$Y$19),"Outlier","Normal")</f>
        <v>Normal</v>
      </c>
      <c r="R1184" s="26" t="str">
        <f>A1184&amp;B1184&amp;C1184&amp;D1184&amp;E1184&amp;F1184&amp;G1184&amp;H1184&amp;I1184&amp;J1184&amp;K1184&amp;L1184&amp;M1184&amp;N1184&amp;O1184&amp;P1184</f>
        <v>USR-10118345688TreatmentNorthDesktopPaid SearchFree000000076.3</v>
      </c>
      <c r="S1184" s="22" t="str">
        <f>IF(COUNTIF($R$2:$R$1409,R1184)=1,"OK",IF(COUNTIF($R$2:$R$1409,R1184)&gt;1,"Exact Duplicate","Review Required"))</f>
        <v>OK</v>
      </c>
      <c r="T1184" s="22" t="s">
        <v>19</v>
      </c>
      <c r="U1184" s="22" t="s">
        <v>29</v>
      </c>
      <c r="V1184" s="22"/>
    </row>
    <row r="1185" spans="1:22" ht="41.4">
      <c r="A1185" s="22" t="s">
        <v>1216</v>
      </c>
      <c r="B1185" s="25">
        <v>45804</v>
      </c>
      <c r="C1185" s="22" t="s">
        <v>723</v>
      </c>
      <c r="D1185" s="22" t="s">
        <v>23</v>
      </c>
      <c r="E1185" s="22" t="s">
        <v>24</v>
      </c>
      <c r="F1185" s="22" t="s">
        <v>25</v>
      </c>
      <c r="G1185" s="22" t="s">
        <v>21</v>
      </c>
      <c r="H1185" s="22">
        <v>1</v>
      </c>
      <c r="I1185" s="22">
        <v>0</v>
      </c>
      <c r="J1185" s="22">
        <v>0</v>
      </c>
      <c r="K1185" s="22">
        <v>0</v>
      </c>
      <c r="L1185" s="22">
        <v>0</v>
      </c>
      <c r="M1185" s="22">
        <v>0</v>
      </c>
      <c r="N1185" s="22">
        <v>0</v>
      </c>
      <c r="O1185" s="22"/>
      <c r="P1185" s="22">
        <v>56.9</v>
      </c>
      <c r="Q1185" s="22" t="str">
        <f>IF(OR(L1185&lt;$Y$18,L1185&gt;$Y$19),"Outlier","Normal")</f>
        <v>Normal</v>
      </c>
      <c r="R1185" s="26" t="str">
        <f>A1185&amp;B1185&amp;C1185&amp;D1185&amp;E1185&amp;F1185&amp;G1185&amp;H1185&amp;I1185&amp;J1185&amp;K1185&amp;L1185&amp;M1185&amp;N1185&amp;O1185&amp;P1185</f>
        <v>USR-10118445804TreatmentWestMobileOrganicBasic100000056.9</v>
      </c>
      <c r="S1185" s="22" t="str">
        <f>IF(COUNTIF($R$2:$R$1409,R1185)=1,"OK",IF(COUNTIF($R$2:$R$1409,R1185)&gt;1,"Exact Duplicate","Review Required"))</f>
        <v>OK</v>
      </c>
      <c r="T1185" s="22" t="s">
        <v>24</v>
      </c>
      <c r="U1185" s="22" t="s">
        <v>25</v>
      </c>
      <c r="V1185" s="22"/>
    </row>
    <row r="1186" spans="1:22" ht="41.4">
      <c r="A1186" s="22" t="s">
        <v>1217</v>
      </c>
      <c r="B1186" s="25">
        <v>45784</v>
      </c>
      <c r="C1186" s="22" t="s">
        <v>723</v>
      </c>
      <c r="D1186" s="22" t="s">
        <v>18</v>
      </c>
      <c r="E1186" s="22" t="s">
        <v>24</v>
      </c>
      <c r="F1186" s="22" t="s">
        <v>25</v>
      </c>
      <c r="G1186" s="22" t="s">
        <v>30</v>
      </c>
      <c r="H1186" s="22">
        <v>1</v>
      </c>
      <c r="I1186" s="22">
        <v>0</v>
      </c>
      <c r="J1186" s="22">
        <v>0</v>
      </c>
      <c r="K1186" s="22">
        <v>0</v>
      </c>
      <c r="L1186" s="22">
        <v>0</v>
      </c>
      <c r="M1186" s="22">
        <v>2</v>
      </c>
      <c r="N1186" s="22">
        <v>0</v>
      </c>
      <c r="O1186" s="22"/>
      <c r="P1186" s="22">
        <v>49.4</v>
      </c>
      <c r="Q1186" s="22" t="str">
        <f>IF(OR(L1186&lt;$Y$18,L1186&gt;$Y$19),"Outlier","Normal")</f>
        <v>Normal</v>
      </c>
      <c r="R1186" s="26" t="str">
        <f>A1186&amp;B1186&amp;C1186&amp;D1186&amp;E1186&amp;F1186&amp;G1186&amp;H1186&amp;I1186&amp;J1186&amp;K1186&amp;L1186&amp;M1186&amp;N1186&amp;O1186&amp;P1186</f>
        <v>USR-10118545784TreatmentNorthMobileOrganicPremium100002049.4</v>
      </c>
      <c r="S1186" s="22" t="str">
        <f>IF(COUNTIF($R$2:$R$1409,R1186)=1,"OK",IF(COUNTIF($R$2:$R$1409,R1186)&gt;1,"Exact Duplicate","Review Required"))</f>
        <v>OK</v>
      </c>
      <c r="T1186" s="22" t="s">
        <v>24</v>
      </c>
      <c r="U1186" s="22" t="s">
        <v>25</v>
      </c>
      <c r="V1186" s="22"/>
    </row>
    <row r="1187" spans="1:22" ht="41.4">
      <c r="A1187" s="22" t="s">
        <v>1218</v>
      </c>
      <c r="B1187" s="25">
        <v>45785</v>
      </c>
      <c r="C1187" s="22" t="s">
        <v>723</v>
      </c>
      <c r="D1187" s="22" t="s">
        <v>18</v>
      </c>
      <c r="E1187" s="22" t="s">
        <v>19</v>
      </c>
      <c r="F1187" s="22" t="s">
        <v>29</v>
      </c>
      <c r="G1187" s="22" t="s">
        <v>21</v>
      </c>
      <c r="H1187" s="22">
        <v>1</v>
      </c>
      <c r="I1187" s="22">
        <v>0</v>
      </c>
      <c r="J1187" s="22">
        <v>0</v>
      </c>
      <c r="K1187" s="22">
        <v>0</v>
      </c>
      <c r="L1187" s="22">
        <v>0</v>
      </c>
      <c r="M1187" s="22">
        <v>0</v>
      </c>
      <c r="N1187" s="22">
        <v>0</v>
      </c>
      <c r="O1187" s="22"/>
      <c r="P1187" s="22">
        <v>86.7</v>
      </c>
      <c r="Q1187" s="22" t="str">
        <f>IF(OR(L1187&lt;$Y$18,L1187&gt;$Y$19),"Outlier","Normal")</f>
        <v>Normal</v>
      </c>
      <c r="R1187" s="26" t="str">
        <f>A1187&amp;B1187&amp;C1187&amp;D1187&amp;E1187&amp;F1187&amp;G1187&amp;H1187&amp;I1187&amp;J1187&amp;K1187&amp;L1187&amp;M1187&amp;N1187&amp;O1187&amp;P1187</f>
        <v>USR-10118645785TreatmentNorthDesktopPaid SearchBasic100000086.7</v>
      </c>
      <c r="S1187" s="22" t="str">
        <f>IF(COUNTIF($R$2:$R$1409,R1187)=1,"OK",IF(COUNTIF($R$2:$R$1409,R1187)&gt;1,"Exact Duplicate","Review Required"))</f>
        <v>OK</v>
      </c>
      <c r="T1187" s="22" t="s">
        <v>19</v>
      </c>
      <c r="U1187" s="22" t="s">
        <v>29</v>
      </c>
      <c r="V1187" s="22"/>
    </row>
    <row r="1188" spans="1:22" ht="41.4">
      <c r="A1188" s="22" t="s">
        <v>1219</v>
      </c>
      <c r="B1188" s="25">
        <v>45672</v>
      </c>
      <c r="C1188" s="22" t="s">
        <v>723</v>
      </c>
      <c r="D1188" s="22" t="s">
        <v>23</v>
      </c>
      <c r="E1188" s="22" t="s">
        <v>19</v>
      </c>
      <c r="F1188" s="22" t="s">
        <v>20</v>
      </c>
      <c r="G1188" s="22" t="s">
        <v>26</v>
      </c>
      <c r="H1188" s="22">
        <v>1</v>
      </c>
      <c r="I1188" s="22">
        <v>0</v>
      </c>
      <c r="J1188" s="22">
        <v>0</v>
      </c>
      <c r="K1188" s="22">
        <v>0</v>
      </c>
      <c r="L1188" s="22">
        <v>0</v>
      </c>
      <c r="M1188" s="22">
        <v>3</v>
      </c>
      <c r="N1188" s="22">
        <v>0</v>
      </c>
      <c r="O1188" s="22"/>
      <c r="P1188" s="22">
        <v>69</v>
      </c>
      <c r="Q1188" s="22" t="str">
        <f>IF(OR(L1188&lt;$Y$18,L1188&gt;$Y$19),"Outlier","Normal")</f>
        <v>Normal</v>
      </c>
      <c r="R1188" s="26" t="str">
        <f>A1188&amp;B1188&amp;C1188&amp;D1188&amp;E1188&amp;F1188&amp;G1188&amp;H1188&amp;I1188&amp;J1188&amp;K1188&amp;L1188&amp;M1188&amp;N1188&amp;O1188&amp;P1188</f>
        <v>USR-10118745672TreatmentWestDesktopEmailFree100003069</v>
      </c>
      <c r="S1188" s="22" t="str">
        <f>IF(COUNTIF($R$2:$R$1409,R1188)=1,"OK",IF(COUNTIF($R$2:$R$1409,R1188)&gt;1,"Exact Duplicate","Review Required"))</f>
        <v>OK</v>
      </c>
      <c r="T1188" s="22" t="s">
        <v>19</v>
      </c>
      <c r="U1188" s="22" t="s">
        <v>20</v>
      </c>
      <c r="V1188" s="22"/>
    </row>
    <row r="1189" spans="1:22" ht="41.4">
      <c r="A1189" s="22" t="s">
        <v>1220</v>
      </c>
      <c r="B1189" s="25">
        <v>45675</v>
      </c>
      <c r="C1189" s="22" t="s">
        <v>723</v>
      </c>
      <c r="D1189" s="22" t="s">
        <v>18</v>
      </c>
      <c r="E1189" s="22" t="s">
        <v>24</v>
      </c>
      <c r="F1189" s="22" t="s">
        <v>29</v>
      </c>
      <c r="G1189" s="22" t="s">
        <v>26</v>
      </c>
      <c r="H1189" s="22">
        <v>0</v>
      </c>
      <c r="I1189" s="22">
        <v>0</v>
      </c>
      <c r="J1189" s="22">
        <v>0</v>
      </c>
      <c r="K1189" s="22">
        <v>0</v>
      </c>
      <c r="L1189" s="22">
        <v>0</v>
      </c>
      <c r="M1189" s="22">
        <v>0</v>
      </c>
      <c r="N1189" s="22">
        <v>0</v>
      </c>
      <c r="O1189" s="22"/>
      <c r="P1189" s="22">
        <v>84.5</v>
      </c>
      <c r="Q1189" s="22" t="str">
        <f>IF(OR(L1189&lt;$Y$18,L1189&gt;$Y$19),"Outlier","Normal")</f>
        <v>Normal</v>
      </c>
      <c r="R1189" s="26" t="str">
        <f>A1189&amp;B1189&amp;C1189&amp;D1189&amp;E1189&amp;F1189&amp;G1189&amp;H1189&amp;I1189&amp;J1189&amp;K1189&amp;L1189&amp;M1189&amp;N1189&amp;O1189&amp;P1189</f>
        <v>USR-10118845675TreatmentNorthMobilePaid SearchFree000000084.5</v>
      </c>
      <c r="S1189" s="22" t="str">
        <f>IF(COUNTIF($R$2:$R$1409,R1189)=1,"OK",IF(COUNTIF($R$2:$R$1409,R1189)&gt;1,"Exact Duplicate","Review Required"))</f>
        <v>OK</v>
      </c>
      <c r="T1189" s="22" t="s">
        <v>24</v>
      </c>
      <c r="U1189" s="22" t="s">
        <v>29</v>
      </c>
      <c r="V1189" s="22"/>
    </row>
    <row r="1190" spans="1:22" ht="41.4">
      <c r="A1190" s="22" t="s">
        <v>1221</v>
      </c>
      <c r="B1190" s="25">
        <v>45763</v>
      </c>
      <c r="C1190" s="22" t="s">
        <v>723</v>
      </c>
      <c r="D1190" s="22" t="s">
        <v>28</v>
      </c>
      <c r="E1190" s="22" t="s">
        <v>1482</v>
      </c>
      <c r="F1190" s="22" t="s">
        <v>39</v>
      </c>
      <c r="G1190" s="22" t="s">
        <v>26</v>
      </c>
      <c r="H1190" s="22">
        <v>1</v>
      </c>
      <c r="I1190" s="22">
        <v>0</v>
      </c>
      <c r="J1190" s="22">
        <v>0</v>
      </c>
      <c r="K1190" s="22">
        <v>0</v>
      </c>
      <c r="L1190" s="22">
        <v>0</v>
      </c>
      <c r="M1190" s="22">
        <v>0</v>
      </c>
      <c r="N1190" s="22">
        <v>0</v>
      </c>
      <c r="O1190" s="22"/>
      <c r="P1190" s="22">
        <v>66.3</v>
      </c>
      <c r="Q1190" s="22" t="str">
        <f>IF(OR(L1190&lt;$Y$18,L1190&gt;$Y$19),"Outlier","Normal")</f>
        <v>Normal</v>
      </c>
      <c r="R1190" s="26" t="str">
        <f>A1190&amp;B1190&amp;C1190&amp;D1190&amp;E1190&amp;F1190&amp;G1190&amp;H1190&amp;I1190&amp;J1190&amp;K1190&amp;L1190&amp;M1190&amp;N1190&amp;O1190&amp;P1190</f>
        <v>USR-10118945763TreatmentEastUnknownReferralFree100000066.3</v>
      </c>
      <c r="S1190" s="22" t="str">
        <f>IF(COUNTIF($R$2:$R$1409,R1190)=1,"OK",IF(COUNTIF($R$2:$R$1409,R1190)&gt;1,"Exact Duplicate","Review Required"))</f>
        <v>OK</v>
      </c>
      <c r="T1190" s="22"/>
      <c r="U1190" s="22" t="s">
        <v>39</v>
      </c>
      <c r="V1190" s="22"/>
    </row>
    <row r="1191" spans="1:22" ht="41.4">
      <c r="A1191" s="22" t="s">
        <v>1222</v>
      </c>
      <c r="B1191" s="25">
        <v>45704</v>
      </c>
      <c r="C1191" s="22" t="s">
        <v>723</v>
      </c>
      <c r="D1191" s="22" t="s">
        <v>28</v>
      </c>
      <c r="E1191" s="22" t="s">
        <v>19</v>
      </c>
      <c r="F1191" s="22" t="s">
        <v>29</v>
      </c>
      <c r="G1191" s="22" t="s">
        <v>26</v>
      </c>
      <c r="H1191" s="22">
        <v>0</v>
      </c>
      <c r="I1191" s="22">
        <v>0</v>
      </c>
      <c r="J1191" s="22">
        <v>0</v>
      </c>
      <c r="K1191" s="22">
        <v>0</v>
      </c>
      <c r="L1191" s="22">
        <v>0</v>
      </c>
      <c r="M1191" s="22">
        <v>0</v>
      </c>
      <c r="N1191" s="22">
        <v>0</v>
      </c>
      <c r="O1191" s="22"/>
      <c r="P1191" s="22">
        <v>52.2</v>
      </c>
      <c r="Q1191" s="22" t="str">
        <f>IF(OR(L1191&lt;$Y$18,L1191&gt;$Y$19),"Outlier","Normal")</f>
        <v>Normal</v>
      </c>
      <c r="R1191" s="26" t="str">
        <f>A1191&amp;B1191&amp;C1191&amp;D1191&amp;E1191&amp;F1191&amp;G1191&amp;H1191&amp;I1191&amp;J1191&amp;K1191&amp;L1191&amp;M1191&amp;N1191&amp;O1191&amp;P1191</f>
        <v>USR-10119045704TreatmentEastDesktopPaid SearchFree000000052.2</v>
      </c>
      <c r="S1191" s="22" t="str">
        <f>IF(COUNTIF($R$2:$R$1409,R1191)=1,"OK",IF(COUNTIF($R$2:$R$1409,R1191)&gt;1,"Exact Duplicate","Review Required"))</f>
        <v>OK</v>
      </c>
      <c r="T1191" s="22" t="s">
        <v>19</v>
      </c>
      <c r="U1191" s="22" t="s">
        <v>29</v>
      </c>
      <c r="V1191" s="22"/>
    </row>
    <row r="1192" spans="1:22" ht="41.4">
      <c r="A1192" s="22" t="s">
        <v>1223</v>
      </c>
      <c r="B1192" s="25">
        <v>45764</v>
      </c>
      <c r="C1192" s="22" t="s">
        <v>723</v>
      </c>
      <c r="D1192" s="22" t="s">
        <v>32</v>
      </c>
      <c r="E1192" s="22" t="s">
        <v>19</v>
      </c>
      <c r="F1192" s="22" t="s">
        <v>39</v>
      </c>
      <c r="G1192" s="22" t="s">
        <v>30</v>
      </c>
      <c r="H1192" s="22">
        <v>1</v>
      </c>
      <c r="I1192" s="22">
        <v>1</v>
      </c>
      <c r="J1192" s="22">
        <v>1</v>
      </c>
      <c r="K1192" s="22">
        <v>0</v>
      </c>
      <c r="L1192" s="22">
        <v>0</v>
      </c>
      <c r="M1192" s="22">
        <v>0</v>
      </c>
      <c r="N1192" s="22">
        <v>0</v>
      </c>
      <c r="O1192" s="22"/>
      <c r="P1192" s="22">
        <v>81.2</v>
      </c>
      <c r="Q1192" s="22" t="str">
        <f>IF(OR(L1192&lt;$Y$18,L1192&gt;$Y$19),"Outlier","Normal")</f>
        <v>Normal</v>
      </c>
      <c r="R1192" s="26" t="str">
        <f>A1192&amp;B1192&amp;C1192&amp;D1192&amp;E1192&amp;F1192&amp;G1192&amp;H1192&amp;I1192&amp;J1192&amp;K1192&amp;L1192&amp;M1192&amp;N1192&amp;O1192&amp;P1192</f>
        <v>USR-10119145764TreatmentSouthDesktopReferralPremium111000081.2</v>
      </c>
      <c r="S1192" s="22" t="str">
        <f>IF(COUNTIF($R$2:$R$1409,R1192)=1,"OK",IF(COUNTIF($R$2:$R$1409,R1192)&gt;1,"Exact Duplicate","Review Required"))</f>
        <v>OK</v>
      </c>
      <c r="T1192" s="22" t="s">
        <v>19</v>
      </c>
      <c r="U1192" s="22" t="s">
        <v>39</v>
      </c>
      <c r="V1192" s="22"/>
    </row>
    <row r="1193" spans="1:22" ht="41.4">
      <c r="A1193" s="22" t="s">
        <v>1224</v>
      </c>
      <c r="B1193" s="25">
        <v>45777</v>
      </c>
      <c r="C1193" s="22" t="s">
        <v>723</v>
      </c>
      <c r="D1193" s="22" t="s">
        <v>32</v>
      </c>
      <c r="E1193" s="22" t="s">
        <v>24</v>
      </c>
      <c r="F1193" s="22" t="s">
        <v>25</v>
      </c>
      <c r="G1193" s="22" t="s">
        <v>21</v>
      </c>
      <c r="H1193" s="22">
        <v>0</v>
      </c>
      <c r="I1193" s="22">
        <v>0</v>
      </c>
      <c r="J1193" s="22">
        <v>0</v>
      </c>
      <c r="K1193" s="22">
        <v>0</v>
      </c>
      <c r="L1193" s="22">
        <v>0</v>
      </c>
      <c r="M1193" s="22">
        <v>0</v>
      </c>
      <c r="N1193" s="22">
        <v>0</v>
      </c>
      <c r="O1193" s="22"/>
      <c r="P1193" s="22">
        <v>53.9</v>
      </c>
      <c r="Q1193" s="22" t="str">
        <f>IF(OR(L1193&lt;$Y$18,L1193&gt;$Y$19),"Outlier","Normal")</f>
        <v>Normal</v>
      </c>
      <c r="R1193" s="26" t="str">
        <f>A1193&amp;B1193&amp;C1193&amp;D1193&amp;E1193&amp;F1193&amp;G1193&amp;H1193&amp;I1193&amp;J1193&amp;K1193&amp;L1193&amp;M1193&amp;N1193&amp;O1193&amp;P1193</f>
        <v>USR-10119245777TreatmentSouthMobileOrganicBasic000000053.9</v>
      </c>
      <c r="S1193" s="22" t="str">
        <f>IF(COUNTIF($R$2:$R$1409,R1193)=1,"OK",IF(COUNTIF($R$2:$R$1409,R1193)&gt;1,"Exact Duplicate","Review Required"))</f>
        <v>OK</v>
      </c>
      <c r="T1193" s="22" t="s">
        <v>24</v>
      </c>
      <c r="U1193" s="22" t="s">
        <v>25</v>
      </c>
      <c r="V1193" s="22"/>
    </row>
    <row r="1194" spans="1:22" ht="41.4">
      <c r="A1194" s="22" t="s">
        <v>1225</v>
      </c>
      <c r="B1194" s="25">
        <v>45686</v>
      </c>
      <c r="C1194" s="22" t="s">
        <v>723</v>
      </c>
      <c r="D1194" s="22" t="s">
        <v>23</v>
      </c>
      <c r="E1194" s="22" t="s">
        <v>24</v>
      </c>
      <c r="F1194" s="22" t="s">
        <v>41</v>
      </c>
      <c r="G1194" s="22" t="s">
        <v>30</v>
      </c>
      <c r="H1194" s="22">
        <v>0</v>
      </c>
      <c r="I1194" s="22">
        <v>0</v>
      </c>
      <c r="J1194" s="22">
        <v>0</v>
      </c>
      <c r="K1194" s="22">
        <v>0</v>
      </c>
      <c r="L1194" s="22">
        <v>0</v>
      </c>
      <c r="M1194" s="22">
        <v>0</v>
      </c>
      <c r="N1194" s="22">
        <v>0</v>
      </c>
      <c r="O1194" s="22"/>
      <c r="P1194" s="22">
        <v>39.1</v>
      </c>
      <c r="Q1194" s="22" t="str">
        <f>IF(OR(L1194&lt;$Y$18,L1194&gt;$Y$19),"Outlier","Normal")</f>
        <v>Normal</v>
      </c>
      <c r="R1194" s="26" t="str">
        <f>A1194&amp;B1194&amp;C1194&amp;D1194&amp;E1194&amp;F1194&amp;G1194&amp;H1194&amp;I1194&amp;J1194&amp;K1194&amp;L1194&amp;M1194&amp;N1194&amp;O1194&amp;P1194</f>
        <v>USR-10119345686TreatmentWestMobileSocialPremium000000039.1</v>
      </c>
      <c r="S1194" s="22" t="str">
        <f>IF(COUNTIF($R$2:$R$1409,R1194)=1,"OK",IF(COUNTIF($R$2:$R$1409,R1194)&gt;1,"Exact Duplicate","Review Required"))</f>
        <v>OK</v>
      </c>
      <c r="T1194" s="22" t="s">
        <v>24</v>
      </c>
      <c r="U1194" s="22" t="s">
        <v>41</v>
      </c>
      <c r="V1194" s="22"/>
    </row>
    <row r="1195" spans="1:22" ht="41.4">
      <c r="A1195" s="22" t="s">
        <v>1226</v>
      </c>
      <c r="B1195" s="25">
        <v>45668</v>
      </c>
      <c r="C1195" s="22" t="s">
        <v>723</v>
      </c>
      <c r="D1195" s="22" t="s">
        <v>18</v>
      </c>
      <c r="E1195" s="22" t="s">
        <v>24</v>
      </c>
      <c r="F1195" s="22" t="s">
        <v>41</v>
      </c>
      <c r="G1195" s="22" t="s">
        <v>21</v>
      </c>
      <c r="H1195" s="22">
        <v>0</v>
      </c>
      <c r="I1195" s="22">
        <v>0</v>
      </c>
      <c r="J1195" s="22">
        <v>0</v>
      </c>
      <c r="K1195" s="22">
        <v>0</v>
      </c>
      <c r="L1195" s="22">
        <v>0</v>
      </c>
      <c r="M1195" s="22">
        <v>0</v>
      </c>
      <c r="N1195" s="22">
        <v>0</v>
      </c>
      <c r="O1195" s="22"/>
      <c r="P1195" s="22">
        <v>57.3</v>
      </c>
      <c r="Q1195" s="22" t="str">
        <f>IF(OR(L1195&lt;$Y$18,L1195&gt;$Y$19),"Outlier","Normal")</f>
        <v>Normal</v>
      </c>
      <c r="R1195" s="26" t="str">
        <f>A1195&amp;B1195&amp;C1195&amp;D1195&amp;E1195&amp;F1195&amp;G1195&amp;H1195&amp;I1195&amp;J1195&amp;K1195&amp;L1195&amp;M1195&amp;N1195&amp;O1195&amp;P1195</f>
        <v>USR-10119445668TreatmentNorthMobileSocialBasic000000057.3</v>
      </c>
      <c r="S1195" s="22" t="str">
        <f>IF(COUNTIF($R$2:$R$1409,R1195)=1,"OK",IF(COUNTIF($R$2:$R$1409,R1195)&gt;1,"Exact Duplicate","Review Required"))</f>
        <v>OK</v>
      </c>
      <c r="T1195" s="22" t="s">
        <v>24</v>
      </c>
      <c r="U1195" s="22" t="s">
        <v>41</v>
      </c>
      <c r="V1195" s="22"/>
    </row>
    <row r="1196" spans="1:22" ht="41.4">
      <c r="A1196" s="22" t="s">
        <v>1227</v>
      </c>
      <c r="B1196" s="25">
        <v>45755</v>
      </c>
      <c r="C1196" s="22" t="s">
        <v>723</v>
      </c>
      <c r="D1196" s="22" t="s">
        <v>28</v>
      </c>
      <c r="E1196" s="22" t="s">
        <v>19</v>
      </c>
      <c r="F1196" s="22" t="s">
        <v>29</v>
      </c>
      <c r="G1196" s="22" t="s">
        <v>30</v>
      </c>
      <c r="H1196" s="22">
        <v>1</v>
      </c>
      <c r="I1196" s="22">
        <v>0</v>
      </c>
      <c r="J1196" s="22">
        <v>0</v>
      </c>
      <c r="K1196" s="22">
        <v>0</v>
      </c>
      <c r="L1196" s="22">
        <v>0</v>
      </c>
      <c r="M1196" s="22">
        <v>1</v>
      </c>
      <c r="N1196" s="22">
        <v>0</v>
      </c>
      <c r="O1196" s="22"/>
      <c r="P1196" s="22">
        <v>65.900000000000006</v>
      </c>
      <c r="Q1196" s="22" t="str">
        <f>IF(OR(L1196&lt;$Y$18,L1196&gt;$Y$19),"Outlier","Normal")</f>
        <v>Normal</v>
      </c>
      <c r="R1196" s="26" t="str">
        <f>A1196&amp;B1196&amp;C1196&amp;D1196&amp;E1196&amp;F1196&amp;G1196&amp;H1196&amp;I1196&amp;J1196&amp;K1196&amp;L1196&amp;M1196&amp;N1196&amp;O1196&amp;P1196</f>
        <v>USR-10119545755TreatmentEastDesktopPaid SearchPremium100001065.9</v>
      </c>
      <c r="S1196" s="22" t="str">
        <f>IF(COUNTIF($R$2:$R$1409,R1196)=1,"OK",IF(COUNTIF($R$2:$R$1409,R1196)&gt;1,"Exact Duplicate","Review Required"))</f>
        <v>OK</v>
      </c>
      <c r="T1196" s="22" t="s">
        <v>19</v>
      </c>
      <c r="U1196" s="22" t="s">
        <v>29</v>
      </c>
      <c r="V1196" s="22"/>
    </row>
    <row r="1197" spans="1:22" ht="41.4">
      <c r="A1197" s="22" t="s">
        <v>1228</v>
      </c>
      <c r="B1197" s="25">
        <v>45710</v>
      </c>
      <c r="C1197" s="22" t="s">
        <v>723</v>
      </c>
      <c r="D1197" s="22" t="s">
        <v>18</v>
      </c>
      <c r="E1197" s="22" t="s">
        <v>1482</v>
      </c>
      <c r="F1197" s="22" t="s">
        <v>41</v>
      </c>
      <c r="G1197" s="22" t="s">
        <v>26</v>
      </c>
      <c r="H1197" s="22">
        <v>1</v>
      </c>
      <c r="I1197" s="22">
        <v>0</v>
      </c>
      <c r="J1197" s="22">
        <v>0</v>
      </c>
      <c r="K1197" s="22">
        <v>0</v>
      </c>
      <c r="L1197" s="22">
        <v>0</v>
      </c>
      <c r="M1197" s="22">
        <v>1</v>
      </c>
      <c r="N1197" s="22">
        <v>0</v>
      </c>
      <c r="O1197" s="22"/>
      <c r="P1197" s="22">
        <v>34.200000000000003</v>
      </c>
      <c r="Q1197" s="22" t="str">
        <f>IF(OR(L1197&lt;$Y$18,L1197&gt;$Y$19),"Outlier","Normal")</f>
        <v>Normal</v>
      </c>
      <c r="R1197" s="26" t="str">
        <f>A1197&amp;B1197&amp;C1197&amp;D1197&amp;E1197&amp;F1197&amp;G1197&amp;H1197&amp;I1197&amp;J1197&amp;K1197&amp;L1197&amp;M1197&amp;N1197&amp;O1197&amp;P1197</f>
        <v>USR-10119645710TreatmentNorthUnknownSocialFree100001034.2</v>
      </c>
      <c r="S1197" s="22" t="str">
        <f>IF(COUNTIF($R$2:$R$1409,R1197)=1,"OK",IF(COUNTIF($R$2:$R$1409,R1197)&gt;1,"Exact Duplicate","Review Required"))</f>
        <v>OK</v>
      </c>
      <c r="T1197" s="22"/>
      <c r="U1197" s="22" t="s">
        <v>41</v>
      </c>
      <c r="V1197" s="22"/>
    </row>
    <row r="1198" spans="1:22" ht="41.4">
      <c r="A1198" s="22" t="s">
        <v>1229</v>
      </c>
      <c r="B1198" s="25">
        <v>45739</v>
      </c>
      <c r="C1198" s="22" t="s">
        <v>723</v>
      </c>
      <c r="D1198" s="22" t="s">
        <v>32</v>
      </c>
      <c r="E1198" s="22" t="s">
        <v>24</v>
      </c>
      <c r="F1198" s="22" t="s">
        <v>25</v>
      </c>
      <c r="G1198" s="22" t="s">
        <v>26</v>
      </c>
      <c r="H1198" s="22">
        <v>0</v>
      </c>
      <c r="I1198" s="22">
        <v>0</v>
      </c>
      <c r="J1198" s="22">
        <v>0</v>
      </c>
      <c r="K1198" s="22">
        <v>0</v>
      </c>
      <c r="L1198" s="22">
        <v>0</v>
      </c>
      <c r="M1198" s="22">
        <v>0</v>
      </c>
      <c r="N1198" s="22">
        <v>0</v>
      </c>
      <c r="O1198" s="22"/>
      <c r="P1198" s="22">
        <v>47.2</v>
      </c>
      <c r="Q1198" s="22" t="str">
        <f>IF(OR(L1198&lt;$Y$18,L1198&gt;$Y$19),"Outlier","Normal")</f>
        <v>Normal</v>
      </c>
      <c r="R1198" s="26" t="str">
        <f>A1198&amp;B1198&amp;C1198&amp;D1198&amp;E1198&amp;F1198&amp;G1198&amp;H1198&amp;I1198&amp;J1198&amp;K1198&amp;L1198&amp;M1198&amp;N1198&amp;O1198&amp;P1198</f>
        <v>USR-10119745739TreatmentSouthMobileOrganicFree000000047.2</v>
      </c>
      <c r="S1198" s="22" t="str">
        <f>IF(COUNTIF($R$2:$R$1409,R1198)=1,"OK",IF(COUNTIF($R$2:$R$1409,R1198)&gt;1,"Exact Duplicate","Review Required"))</f>
        <v>OK</v>
      </c>
      <c r="T1198" s="22" t="s">
        <v>24</v>
      </c>
      <c r="U1198" s="22" t="s">
        <v>25</v>
      </c>
      <c r="V1198" s="22"/>
    </row>
    <row r="1199" spans="1:22" ht="41.4">
      <c r="A1199" s="22" t="s">
        <v>1230</v>
      </c>
      <c r="B1199" s="25">
        <v>45800</v>
      </c>
      <c r="C1199" s="22" t="s">
        <v>723</v>
      </c>
      <c r="D1199" s="22" t="s">
        <v>32</v>
      </c>
      <c r="E1199" s="22" t="s">
        <v>34</v>
      </c>
      <c r="F1199" s="22" t="s">
        <v>29</v>
      </c>
      <c r="G1199" s="22" t="s">
        <v>26</v>
      </c>
      <c r="H1199" s="22">
        <v>1</v>
      </c>
      <c r="I1199" s="22">
        <v>0</v>
      </c>
      <c r="J1199" s="22">
        <v>0</v>
      </c>
      <c r="K1199" s="22">
        <v>0</v>
      </c>
      <c r="L1199" s="22">
        <v>0</v>
      </c>
      <c r="M1199" s="22">
        <v>1</v>
      </c>
      <c r="N1199" s="22">
        <v>0</v>
      </c>
      <c r="O1199" s="22"/>
      <c r="P1199" s="22">
        <v>55</v>
      </c>
      <c r="Q1199" s="22" t="str">
        <f>IF(OR(L1199&lt;$Y$18,L1199&gt;$Y$19),"Outlier","Normal")</f>
        <v>Normal</v>
      </c>
      <c r="R1199" s="26" t="str">
        <f>A1199&amp;B1199&amp;C1199&amp;D1199&amp;E1199&amp;F1199&amp;G1199&amp;H1199&amp;I1199&amp;J1199&amp;K1199&amp;L1199&amp;M1199&amp;N1199&amp;O1199&amp;P1199</f>
        <v>USR-10119845800TreatmentSouthTabletPaid SearchFree100001055</v>
      </c>
      <c r="S1199" s="22" t="str">
        <f>IF(COUNTIF($R$2:$R$1409,R1199)=1,"OK",IF(COUNTIF($R$2:$R$1409,R1199)&gt;1,"Exact Duplicate","Review Required"))</f>
        <v>OK</v>
      </c>
      <c r="T1199" s="22" t="s">
        <v>34</v>
      </c>
      <c r="U1199" s="22" t="s">
        <v>29</v>
      </c>
      <c r="V1199" s="22"/>
    </row>
    <row r="1200" spans="1:22" ht="41.4">
      <c r="A1200" s="22" t="s">
        <v>1231</v>
      </c>
      <c r="B1200" s="25">
        <v>45774</v>
      </c>
      <c r="C1200" s="22" t="s">
        <v>723</v>
      </c>
      <c r="D1200" s="22" t="s">
        <v>23</v>
      </c>
      <c r="E1200" s="22" t="s">
        <v>24</v>
      </c>
      <c r="F1200" s="22" t="s">
        <v>39</v>
      </c>
      <c r="G1200" s="22" t="s">
        <v>21</v>
      </c>
      <c r="H1200" s="22">
        <v>1</v>
      </c>
      <c r="I1200" s="22">
        <v>1</v>
      </c>
      <c r="J1200" s="22">
        <v>1</v>
      </c>
      <c r="K1200" s="22">
        <v>0</v>
      </c>
      <c r="L1200" s="22">
        <v>0</v>
      </c>
      <c r="M1200" s="22">
        <v>0</v>
      </c>
      <c r="N1200" s="22">
        <v>0</v>
      </c>
      <c r="O1200" s="22"/>
      <c r="P1200" s="22">
        <v>76.400000000000006</v>
      </c>
      <c r="Q1200" s="22" t="str">
        <f>IF(OR(L1200&lt;$Y$18,L1200&gt;$Y$19),"Outlier","Normal")</f>
        <v>Normal</v>
      </c>
      <c r="R1200" s="26" t="str">
        <f>A1200&amp;B1200&amp;C1200&amp;D1200&amp;E1200&amp;F1200&amp;G1200&amp;H1200&amp;I1200&amp;J1200&amp;K1200&amp;L1200&amp;M1200&amp;N1200&amp;O1200&amp;P1200</f>
        <v>USR-10119945774TreatmentWestMobileReferralBasic111000076.4</v>
      </c>
      <c r="S1200" s="22" t="str">
        <f>IF(COUNTIF($R$2:$R$1409,R1200)=1,"OK",IF(COUNTIF($R$2:$R$1409,R1200)&gt;1,"Exact Duplicate","Review Required"))</f>
        <v>OK</v>
      </c>
      <c r="T1200" s="22" t="s">
        <v>24</v>
      </c>
      <c r="U1200" s="22" t="s">
        <v>39</v>
      </c>
      <c r="V1200" s="22"/>
    </row>
    <row r="1201" spans="1:22" ht="41.4">
      <c r="A1201" s="22" t="s">
        <v>1232</v>
      </c>
      <c r="B1201" s="25">
        <v>45803</v>
      </c>
      <c r="C1201" s="22" t="s">
        <v>723</v>
      </c>
      <c r="D1201" s="22" t="s">
        <v>18</v>
      </c>
      <c r="E1201" s="22" t="s">
        <v>24</v>
      </c>
      <c r="F1201" s="22" t="s">
        <v>39</v>
      </c>
      <c r="G1201" s="22" t="s">
        <v>26</v>
      </c>
      <c r="H1201" s="22">
        <v>1</v>
      </c>
      <c r="I1201" s="22">
        <v>0</v>
      </c>
      <c r="J1201" s="22">
        <v>0</v>
      </c>
      <c r="K1201" s="22">
        <v>0</v>
      </c>
      <c r="L1201" s="22">
        <v>0</v>
      </c>
      <c r="M1201" s="22">
        <v>0</v>
      </c>
      <c r="N1201" s="22">
        <v>0</v>
      </c>
      <c r="O1201" s="22"/>
      <c r="P1201" s="22">
        <v>70.8</v>
      </c>
      <c r="Q1201" s="22" t="str">
        <f>IF(OR(L1201&lt;$Y$18,L1201&gt;$Y$19),"Outlier","Normal")</f>
        <v>Normal</v>
      </c>
      <c r="R1201" s="26" t="str">
        <f>A1201&amp;B1201&amp;C1201&amp;D1201&amp;E1201&amp;F1201&amp;G1201&amp;H1201&amp;I1201&amp;J1201&amp;K1201&amp;L1201&amp;M1201&amp;N1201&amp;O1201&amp;P1201</f>
        <v>USR-10120045803TreatmentNorthMobileReferralFree100000070.8</v>
      </c>
      <c r="S1201" s="22" t="str">
        <f>IF(COUNTIF($R$2:$R$1409,R1201)=1,"OK",IF(COUNTIF($R$2:$R$1409,R1201)&gt;1,"Exact Duplicate","Review Required"))</f>
        <v>OK</v>
      </c>
      <c r="T1201" s="22" t="s">
        <v>24</v>
      </c>
      <c r="U1201" s="22" t="s">
        <v>39</v>
      </c>
      <c r="V1201" s="22"/>
    </row>
    <row r="1202" spans="1:22" ht="41.4">
      <c r="A1202" s="22" t="s">
        <v>1233</v>
      </c>
      <c r="B1202" s="25">
        <v>45722</v>
      </c>
      <c r="C1202" s="22" t="s">
        <v>723</v>
      </c>
      <c r="D1202" s="22" t="s">
        <v>28</v>
      </c>
      <c r="E1202" s="22" t="s">
        <v>24</v>
      </c>
      <c r="F1202" s="22" t="s">
        <v>29</v>
      </c>
      <c r="G1202" s="22" t="s">
        <v>21</v>
      </c>
      <c r="H1202" s="22">
        <v>1</v>
      </c>
      <c r="I1202" s="22">
        <v>1</v>
      </c>
      <c r="J1202" s="22">
        <v>0</v>
      </c>
      <c r="K1202" s="22">
        <v>0</v>
      </c>
      <c r="L1202" s="22">
        <v>0</v>
      </c>
      <c r="M1202" s="22">
        <v>1</v>
      </c>
      <c r="N1202" s="22">
        <v>0</v>
      </c>
      <c r="O1202" s="22"/>
      <c r="P1202" s="22">
        <v>58</v>
      </c>
      <c r="Q1202" s="22" t="str">
        <f>IF(OR(L1202&lt;$Y$18,L1202&gt;$Y$19),"Outlier","Normal")</f>
        <v>Normal</v>
      </c>
      <c r="R1202" s="26" t="str">
        <f>A1202&amp;B1202&amp;C1202&amp;D1202&amp;E1202&amp;F1202&amp;G1202&amp;H1202&amp;I1202&amp;J1202&amp;K1202&amp;L1202&amp;M1202&amp;N1202&amp;O1202&amp;P1202</f>
        <v>USR-10120145722TreatmentEastMobilePaid SearchBasic110001058</v>
      </c>
      <c r="S1202" s="22" t="str">
        <f>IF(COUNTIF($R$2:$R$1409,R1202)=1,"OK",IF(COUNTIF($R$2:$R$1409,R1202)&gt;1,"Exact Duplicate","Review Required"))</f>
        <v>OK</v>
      </c>
      <c r="T1202" s="22" t="s">
        <v>24</v>
      </c>
      <c r="U1202" s="22" t="s">
        <v>29</v>
      </c>
      <c r="V1202" s="22"/>
    </row>
    <row r="1203" spans="1:22" ht="41.4">
      <c r="A1203" s="22" t="s">
        <v>1234</v>
      </c>
      <c r="B1203" s="25">
        <v>45750</v>
      </c>
      <c r="C1203" s="22" t="s">
        <v>723</v>
      </c>
      <c r="D1203" s="22" t="s">
        <v>23</v>
      </c>
      <c r="E1203" s="22" t="s">
        <v>24</v>
      </c>
      <c r="F1203" s="22" t="s">
        <v>25</v>
      </c>
      <c r="G1203" s="22" t="s">
        <v>21</v>
      </c>
      <c r="H1203" s="22">
        <v>1</v>
      </c>
      <c r="I1203" s="22">
        <v>1</v>
      </c>
      <c r="J1203" s="22">
        <v>1</v>
      </c>
      <c r="K1203" s="22">
        <v>0</v>
      </c>
      <c r="L1203" s="22">
        <v>0</v>
      </c>
      <c r="M1203" s="22">
        <v>1</v>
      </c>
      <c r="N1203" s="22">
        <v>0</v>
      </c>
      <c r="O1203" s="22"/>
      <c r="P1203" s="22">
        <v>70.8</v>
      </c>
      <c r="Q1203" s="22" t="str">
        <f>IF(OR(L1203&lt;$Y$18,L1203&gt;$Y$19),"Outlier","Normal")</f>
        <v>Normal</v>
      </c>
      <c r="R1203" s="26" t="str">
        <f>A1203&amp;B1203&amp;C1203&amp;D1203&amp;E1203&amp;F1203&amp;G1203&amp;H1203&amp;I1203&amp;J1203&amp;K1203&amp;L1203&amp;M1203&amp;N1203&amp;O1203&amp;P1203</f>
        <v>USR-10120245750TreatmentWestMobileOrganicBasic111001070.8</v>
      </c>
      <c r="S1203" s="22" t="str">
        <f>IF(COUNTIF($R$2:$R$1409,R1203)=1,"OK",IF(COUNTIF($R$2:$R$1409,R1203)&gt;1,"Exact Duplicate","Review Required"))</f>
        <v>OK</v>
      </c>
      <c r="T1203" s="22" t="s">
        <v>24</v>
      </c>
      <c r="U1203" s="22" t="s">
        <v>25</v>
      </c>
      <c r="V1203" s="22"/>
    </row>
    <row r="1204" spans="1:22" ht="41.4">
      <c r="A1204" s="22" t="s">
        <v>1235</v>
      </c>
      <c r="B1204" s="25">
        <v>45689</v>
      </c>
      <c r="C1204" s="22" t="s">
        <v>723</v>
      </c>
      <c r="D1204" s="22" t="s">
        <v>28</v>
      </c>
      <c r="E1204" s="22" t="s">
        <v>19</v>
      </c>
      <c r="F1204" s="22" t="s">
        <v>29</v>
      </c>
      <c r="G1204" s="22" t="s">
        <v>26</v>
      </c>
      <c r="H1204" s="22">
        <v>1</v>
      </c>
      <c r="I1204" s="22">
        <v>0</v>
      </c>
      <c r="J1204" s="22">
        <v>0</v>
      </c>
      <c r="K1204" s="22">
        <v>0</v>
      </c>
      <c r="L1204" s="22">
        <v>0</v>
      </c>
      <c r="M1204" s="22">
        <v>3</v>
      </c>
      <c r="N1204" s="22">
        <v>0</v>
      </c>
      <c r="O1204" s="22"/>
      <c r="P1204" s="22">
        <v>60</v>
      </c>
      <c r="Q1204" s="22" t="str">
        <f>IF(OR(L1204&lt;$Y$18,L1204&gt;$Y$19),"Outlier","Normal")</f>
        <v>Normal</v>
      </c>
      <c r="R1204" s="26" t="str">
        <f>A1204&amp;B1204&amp;C1204&amp;D1204&amp;E1204&amp;F1204&amp;G1204&amp;H1204&amp;I1204&amp;J1204&amp;K1204&amp;L1204&amp;M1204&amp;N1204&amp;O1204&amp;P1204</f>
        <v>USR-10120345689TreatmentEastDesktopPaid SearchFree100003060</v>
      </c>
      <c r="S1204" s="22" t="str">
        <f>IF(COUNTIF($R$2:$R$1409,R1204)=1,"OK",IF(COUNTIF($R$2:$R$1409,R1204)&gt;1,"Exact Duplicate","Review Required"))</f>
        <v>OK</v>
      </c>
      <c r="T1204" s="22" t="s">
        <v>19</v>
      </c>
      <c r="U1204" s="22" t="s">
        <v>29</v>
      </c>
      <c r="V1204" s="22"/>
    </row>
    <row r="1205" spans="1:22" ht="41.4">
      <c r="A1205" s="22" t="s">
        <v>1236</v>
      </c>
      <c r="B1205" s="25">
        <v>45778</v>
      </c>
      <c r="C1205" s="22" t="s">
        <v>723</v>
      </c>
      <c r="D1205" s="22" t="s">
        <v>23</v>
      </c>
      <c r="E1205" s="22" t="s">
        <v>24</v>
      </c>
      <c r="F1205" s="22" t="s">
        <v>39</v>
      </c>
      <c r="G1205" s="22" t="s">
        <v>30</v>
      </c>
      <c r="H1205" s="22">
        <v>1</v>
      </c>
      <c r="I1205" s="22">
        <v>1</v>
      </c>
      <c r="J1205" s="22">
        <v>1</v>
      </c>
      <c r="K1205" s="22">
        <v>0</v>
      </c>
      <c r="L1205" s="22">
        <v>0</v>
      </c>
      <c r="M1205" s="22">
        <v>3</v>
      </c>
      <c r="N1205" s="22">
        <v>0</v>
      </c>
      <c r="O1205" s="22"/>
      <c r="P1205" s="22">
        <v>58.1</v>
      </c>
      <c r="Q1205" s="22" t="str">
        <f>IF(OR(L1205&lt;$Y$18,L1205&gt;$Y$19),"Outlier","Normal")</f>
        <v>Normal</v>
      </c>
      <c r="R1205" s="26" t="str">
        <f>A1205&amp;B1205&amp;C1205&amp;D1205&amp;E1205&amp;F1205&amp;G1205&amp;H1205&amp;I1205&amp;J1205&amp;K1205&amp;L1205&amp;M1205&amp;N1205&amp;O1205&amp;P1205</f>
        <v>USR-10120445778TreatmentWestMobileReferralPremium111003058.1</v>
      </c>
      <c r="S1205" s="22" t="str">
        <f>IF(COUNTIF($R$2:$R$1409,R1205)=1,"OK",IF(COUNTIF($R$2:$R$1409,R1205)&gt;1,"Exact Duplicate","Review Required"))</f>
        <v>OK</v>
      </c>
      <c r="T1205" s="22" t="s">
        <v>24</v>
      </c>
      <c r="U1205" s="22" t="s">
        <v>39</v>
      </c>
      <c r="V1205" s="22"/>
    </row>
    <row r="1206" spans="1:22" ht="41.4">
      <c r="A1206" s="22" t="s">
        <v>1237</v>
      </c>
      <c r="B1206" s="25">
        <v>45760</v>
      </c>
      <c r="C1206" s="22" t="s">
        <v>723</v>
      </c>
      <c r="D1206" s="22" t="s">
        <v>18</v>
      </c>
      <c r="E1206" s="22" t="s">
        <v>24</v>
      </c>
      <c r="F1206" s="22" t="s">
        <v>41</v>
      </c>
      <c r="G1206" s="22" t="s">
        <v>30</v>
      </c>
      <c r="H1206" s="22">
        <v>0</v>
      </c>
      <c r="I1206" s="22">
        <v>0</v>
      </c>
      <c r="J1206" s="22">
        <v>0</v>
      </c>
      <c r="K1206" s="22">
        <v>0</v>
      </c>
      <c r="L1206" s="22">
        <v>0</v>
      </c>
      <c r="M1206" s="22">
        <v>0</v>
      </c>
      <c r="N1206" s="22">
        <v>0</v>
      </c>
      <c r="O1206" s="22"/>
      <c r="P1206" s="22">
        <v>59.7</v>
      </c>
      <c r="Q1206" s="22" t="str">
        <f>IF(OR(L1206&lt;$Y$18,L1206&gt;$Y$19),"Outlier","Normal")</f>
        <v>Normal</v>
      </c>
      <c r="R1206" s="26" t="str">
        <f>A1206&amp;B1206&amp;C1206&amp;D1206&amp;E1206&amp;F1206&amp;G1206&amp;H1206&amp;I1206&amp;J1206&amp;K1206&amp;L1206&amp;M1206&amp;N1206&amp;O1206&amp;P1206</f>
        <v>USR-10120545760TreatmentNorthMobileSocialPremium000000059.7</v>
      </c>
      <c r="S1206" s="22" t="str">
        <f>IF(COUNTIF($R$2:$R$1409,R1206)=1,"OK",IF(COUNTIF($R$2:$R$1409,R1206)&gt;1,"Exact Duplicate","Review Required"))</f>
        <v>OK</v>
      </c>
      <c r="T1206" s="22" t="s">
        <v>24</v>
      </c>
      <c r="U1206" s="22" t="s">
        <v>41</v>
      </c>
      <c r="V1206" s="22"/>
    </row>
    <row r="1207" spans="1:22" ht="41.4">
      <c r="A1207" s="22" t="s">
        <v>1238</v>
      </c>
      <c r="B1207" s="25">
        <v>45682</v>
      </c>
      <c r="C1207" s="22" t="s">
        <v>723</v>
      </c>
      <c r="D1207" s="22" t="s">
        <v>28</v>
      </c>
      <c r="E1207" s="22" t="s">
        <v>24</v>
      </c>
      <c r="F1207" s="22" t="s">
        <v>41</v>
      </c>
      <c r="G1207" s="22" t="s">
        <v>26</v>
      </c>
      <c r="H1207" s="22">
        <v>0</v>
      </c>
      <c r="I1207" s="22">
        <v>0</v>
      </c>
      <c r="J1207" s="22">
        <v>0</v>
      </c>
      <c r="K1207" s="22">
        <v>0</v>
      </c>
      <c r="L1207" s="22">
        <v>0</v>
      </c>
      <c r="M1207" s="22">
        <v>0</v>
      </c>
      <c r="N1207" s="22">
        <v>0</v>
      </c>
      <c r="O1207" s="22"/>
      <c r="P1207" s="22">
        <v>47.7</v>
      </c>
      <c r="Q1207" s="22" t="str">
        <f>IF(OR(L1207&lt;$Y$18,L1207&gt;$Y$19),"Outlier","Normal")</f>
        <v>Normal</v>
      </c>
      <c r="R1207" s="26" t="str">
        <f>A1207&amp;B1207&amp;C1207&amp;D1207&amp;E1207&amp;F1207&amp;G1207&amp;H1207&amp;I1207&amp;J1207&amp;K1207&amp;L1207&amp;M1207&amp;N1207&amp;O1207&amp;P1207</f>
        <v>USR-10120645682TreatmentEastMobileSocialFree000000047.7</v>
      </c>
      <c r="S1207" s="22" t="str">
        <f>IF(COUNTIF($R$2:$R$1409,R1207)=1,"OK",IF(COUNTIF($R$2:$R$1409,R1207)&gt;1,"Exact Duplicate","Review Required"))</f>
        <v>OK</v>
      </c>
      <c r="T1207" s="22" t="s">
        <v>24</v>
      </c>
      <c r="U1207" s="22" t="s">
        <v>41</v>
      </c>
      <c r="V1207" s="22"/>
    </row>
    <row r="1208" spans="1:22" ht="41.4">
      <c r="A1208" s="22" t="s">
        <v>1239</v>
      </c>
      <c r="B1208" s="25">
        <v>45733</v>
      </c>
      <c r="C1208" s="22" t="s">
        <v>723</v>
      </c>
      <c r="D1208" s="22" t="s">
        <v>18</v>
      </c>
      <c r="E1208" s="22" t="s">
        <v>24</v>
      </c>
      <c r="F1208" s="22" t="s">
        <v>25</v>
      </c>
      <c r="G1208" s="22" t="s">
        <v>26</v>
      </c>
      <c r="H1208" s="22">
        <v>0</v>
      </c>
      <c r="I1208" s="22">
        <v>0</v>
      </c>
      <c r="J1208" s="22">
        <v>0</v>
      </c>
      <c r="K1208" s="22">
        <v>0</v>
      </c>
      <c r="L1208" s="22">
        <v>0</v>
      </c>
      <c r="M1208" s="22">
        <v>0</v>
      </c>
      <c r="N1208" s="22">
        <v>0</v>
      </c>
      <c r="O1208" s="22"/>
      <c r="P1208" s="22">
        <v>59.1</v>
      </c>
      <c r="Q1208" s="22" t="str">
        <f>IF(OR(L1208&lt;$Y$18,L1208&gt;$Y$19),"Outlier","Normal")</f>
        <v>Normal</v>
      </c>
      <c r="R1208" s="26" t="str">
        <f>A1208&amp;B1208&amp;C1208&amp;D1208&amp;E1208&amp;F1208&amp;G1208&amp;H1208&amp;I1208&amp;J1208&amp;K1208&amp;L1208&amp;M1208&amp;N1208&amp;O1208&amp;P1208</f>
        <v>USR-10120745733TreatmentNorthMobileOrganicFree000000059.1</v>
      </c>
      <c r="S1208" s="22" t="str">
        <f>IF(COUNTIF($R$2:$R$1409,R1208)=1,"OK",IF(COUNTIF($R$2:$R$1409,R1208)&gt;1,"Exact Duplicate","Review Required"))</f>
        <v>OK</v>
      </c>
      <c r="T1208" s="22" t="s">
        <v>24</v>
      </c>
      <c r="U1208" s="22" t="s">
        <v>25</v>
      </c>
      <c r="V1208" s="22"/>
    </row>
    <row r="1209" spans="1:22" ht="41.4">
      <c r="A1209" s="22" t="s">
        <v>1240</v>
      </c>
      <c r="B1209" s="25">
        <v>45709</v>
      </c>
      <c r="C1209" s="22" t="s">
        <v>723</v>
      </c>
      <c r="D1209" s="22" t="s">
        <v>23</v>
      </c>
      <c r="E1209" s="22" t="s">
        <v>19</v>
      </c>
      <c r="F1209" s="22" t="s">
        <v>41</v>
      </c>
      <c r="G1209" s="22" t="s">
        <v>21</v>
      </c>
      <c r="H1209" s="22">
        <v>1</v>
      </c>
      <c r="I1209" s="22">
        <v>0</v>
      </c>
      <c r="J1209" s="22">
        <v>0</v>
      </c>
      <c r="K1209" s="22">
        <v>0</v>
      </c>
      <c r="L1209" s="22">
        <v>0</v>
      </c>
      <c r="M1209" s="22">
        <v>1</v>
      </c>
      <c r="N1209" s="22">
        <v>0</v>
      </c>
      <c r="O1209" s="22"/>
      <c r="P1209" s="22">
        <v>68.7</v>
      </c>
      <c r="Q1209" s="22" t="str">
        <f>IF(OR(L1209&lt;$Y$18,L1209&gt;$Y$19),"Outlier","Normal")</f>
        <v>Normal</v>
      </c>
      <c r="R1209" s="26" t="str">
        <f>A1209&amp;B1209&amp;C1209&amp;D1209&amp;E1209&amp;F1209&amp;G1209&amp;H1209&amp;I1209&amp;J1209&amp;K1209&amp;L1209&amp;M1209&amp;N1209&amp;O1209&amp;P1209</f>
        <v>USR-10120845709TreatmentWestDesktopSocialBasic100001068.7</v>
      </c>
      <c r="S1209" s="22" t="str">
        <f>IF(COUNTIF($R$2:$R$1409,R1209)=1,"OK",IF(COUNTIF($R$2:$R$1409,R1209)&gt;1,"Exact Duplicate","Review Required"))</f>
        <v>OK</v>
      </c>
      <c r="T1209" s="22" t="s">
        <v>19</v>
      </c>
      <c r="U1209" s="22" t="s">
        <v>41</v>
      </c>
      <c r="V1209" s="22"/>
    </row>
    <row r="1210" spans="1:22" ht="41.4">
      <c r="A1210" s="22" t="s">
        <v>1241</v>
      </c>
      <c r="B1210" s="25">
        <v>45755</v>
      </c>
      <c r="C1210" s="22" t="s">
        <v>723</v>
      </c>
      <c r="D1210" s="22" t="s">
        <v>28</v>
      </c>
      <c r="E1210" s="22" t="s">
        <v>34</v>
      </c>
      <c r="F1210" s="22" t="s">
        <v>25</v>
      </c>
      <c r="G1210" s="22" t="s">
        <v>21</v>
      </c>
      <c r="H1210" s="22">
        <v>0</v>
      </c>
      <c r="I1210" s="22">
        <v>0</v>
      </c>
      <c r="J1210" s="22">
        <v>0</v>
      </c>
      <c r="K1210" s="22">
        <v>0</v>
      </c>
      <c r="L1210" s="22">
        <v>0</v>
      </c>
      <c r="M1210" s="22">
        <v>0</v>
      </c>
      <c r="N1210" s="22">
        <v>0</v>
      </c>
      <c r="O1210" s="22"/>
      <c r="P1210" s="22">
        <v>34.700000000000003</v>
      </c>
      <c r="Q1210" s="22" t="str">
        <f>IF(OR(L1210&lt;$Y$18,L1210&gt;$Y$19),"Outlier","Normal")</f>
        <v>Normal</v>
      </c>
      <c r="R1210" s="26" t="str">
        <f>A1210&amp;B1210&amp;C1210&amp;D1210&amp;E1210&amp;F1210&amp;G1210&amp;H1210&amp;I1210&amp;J1210&amp;K1210&amp;L1210&amp;M1210&amp;N1210&amp;O1210&amp;P1210</f>
        <v>USR-10120945755TreatmentEastTabletOrganicBasic000000034.7</v>
      </c>
      <c r="S1210" s="22" t="str">
        <f>IF(COUNTIF($R$2:$R$1409,R1210)=1,"OK",IF(COUNTIF($R$2:$R$1409,R1210)&gt;1,"Exact Duplicate","Review Required"))</f>
        <v>OK</v>
      </c>
      <c r="T1210" s="22" t="s">
        <v>34</v>
      </c>
      <c r="U1210" s="22" t="s">
        <v>25</v>
      </c>
      <c r="V1210" s="22"/>
    </row>
    <row r="1211" spans="1:22" ht="41.4">
      <c r="A1211" s="22" t="s">
        <v>1242</v>
      </c>
      <c r="B1211" s="25">
        <v>45712</v>
      </c>
      <c r="C1211" s="22" t="s">
        <v>723</v>
      </c>
      <c r="D1211" s="22" t="s">
        <v>23</v>
      </c>
      <c r="E1211" s="22" t="s">
        <v>24</v>
      </c>
      <c r="F1211" s="22" t="s">
        <v>25</v>
      </c>
      <c r="G1211" s="22" t="s">
        <v>21</v>
      </c>
      <c r="H1211" s="22">
        <v>1</v>
      </c>
      <c r="I1211" s="22">
        <v>0</v>
      </c>
      <c r="J1211" s="22">
        <v>0</v>
      </c>
      <c r="K1211" s="22">
        <v>0</v>
      </c>
      <c r="L1211" s="22">
        <v>0</v>
      </c>
      <c r="M1211" s="22">
        <v>0</v>
      </c>
      <c r="N1211" s="22">
        <v>0</v>
      </c>
      <c r="O1211" s="22"/>
      <c r="P1211" s="22">
        <v>62</v>
      </c>
      <c r="Q1211" s="22" t="str">
        <f>IF(OR(L1211&lt;$Y$18,L1211&gt;$Y$19),"Outlier","Normal")</f>
        <v>Normal</v>
      </c>
      <c r="R1211" s="26" t="str">
        <f>A1211&amp;B1211&amp;C1211&amp;D1211&amp;E1211&amp;F1211&amp;G1211&amp;H1211&amp;I1211&amp;J1211&amp;K1211&amp;L1211&amp;M1211&amp;N1211&amp;O1211&amp;P1211</f>
        <v>USR-10121045712TreatmentWestMobileOrganicBasic100000062</v>
      </c>
      <c r="S1211" s="22" t="str">
        <f>IF(COUNTIF($R$2:$R$1409,R1211)=1,"OK",IF(COUNTIF($R$2:$R$1409,R1211)&gt;1,"Exact Duplicate","Review Required"))</f>
        <v>OK</v>
      </c>
      <c r="T1211" s="22" t="s">
        <v>24</v>
      </c>
      <c r="U1211" s="22" t="s">
        <v>25</v>
      </c>
      <c r="V1211" s="22"/>
    </row>
    <row r="1212" spans="1:22" ht="41.4">
      <c r="A1212" s="22" t="s">
        <v>1243</v>
      </c>
      <c r="B1212" s="25">
        <v>45806</v>
      </c>
      <c r="C1212" s="22" t="s">
        <v>723</v>
      </c>
      <c r="D1212" s="22" t="s">
        <v>32</v>
      </c>
      <c r="E1212" s="22" t="s">
        <v>24</v>
      </c>
      <c r="F1212" s="22" t="s">
        <v>25</v>
      </c>
      <c r="G1212" s="22" t="s">
        <v>26</v>
      </c>
      <c r="H1212" s="22">
        <v>1</v>
      </c>
      <c r="I1212" s="22">
        <v>1</v>
      </c>
      <c r="J1212" s="22">
        <v>0</v>
      </c>
      <c r="K1212" s="22">
        <v>0</v>
      </c>
      <c r="L1212" s="22">
        <v>0</v>
      </c>
      <c r="M1212" s="22">
        <v>0</v>
      </c>
      <c r="N1212" s="22">
        <v>0</v>
      </c>
      <c r="O1212" s="22"/>
      <c r="P1212" s="22">
        <v>56</v>
      </c>
      <c r="Q1212" s="22" t="str">
        <f>IF(OR(L1212&lt;$Y$18,L1212&gt;$Y$19),"Outlier","Normal")</f>
        <v>Normal</v>
      </c>
      <c r="R1212" s="26" t="str">
        <f>A1212&amp;B1212&amp;C1212&amp;D1212&amp;E1212&amp;F1212&amp;G1212&amp;H1212&amp;I1212&amp;J1212&amp;K1212&amp;L1212&amp;M1212&amp;N1212&amp;O1212&amp;P1212</f>
        <v>USR-10121145806TreatmentSouthMobileOrganicFree110000056</v>
      </c>
      <c r="S1212" s="22" t="str">
        <f>IF(COUNTIF($R$2:$R$1409,R1212)=1,"OK",IF(COUNTIF($R$2:$R$1409,R1212)&gt;1,"Exact Duplicate","Review Required"))</f>
        <v>OK</v>
      </c>
      <c r="T1212" s="22" t="s">
        <v>24</v>
      </c>
      <c r="U1212" s="22" t="s">
        <v>25</v>
      </c>
      <c r="V1212" s="22"/>
    </row>
    <row r="1213" spans="1:22" ht="41.4">
      <c r="A1213" s="22" t="s">
        <v>1244</v>
      </c>
      <c r="B1213" s="25">
        <v>45807</v>
      </c>
      <c r="C1213" s="22" t="s">
        <v>723</v>
      </c>
      <c r="D1213" s="22" t="s">
        <v>18</v>
      </c>
      <c r="E1213" s="22" t="s">
        <v>24</v>
      </c>
      <c r="F1213" s="22" t="s">
        <v>20</v>
      </c>
      <c r="G1213" s="22" t="s">
        <v>21</v>
      </c>
      <c r="H1213" s="22">
        <v>1</v>
      </c>
      <c r="I1213" s="22">
        <v>0</v>
      </c>
      <c r="J1213" s="22">
        <v>0</v>
      </c>
      <c r="K1213" s="22">
        <v>0</v>
      </c>
      <c r="L1213" s="22">
        <v>0</v>
      </c>
      <c r="M1213" s="22">
        <v>1</v>
      </c>
      <c r="N1213" s="22">
        <v>0</v>
      </c>
      <c r="O1213" s="22"/>
      <c r="P1213" s="22">
        <v>65.8</v>
      </c>
      <c r="Q1213" s="22" t="str">
        <f>IF(OR(L1213&lt;$Y$18,L1213&gt;$Y$19),"Outlier","Normal")</f>
        <v>Normal</v>
      </c>
      <c r="R1213" s="26" t="str">
        <f>A1213&amp;B1213&amp;C1213&amp;D1213&amp;E1213&amp;F1213&amp;G1213&amp;H1213&amp;I1213&amp;J1213&amp;K1213&amp;L1213&amp;M1213&amp;N1213&amp;O1213&amp;P1213</f>
        <v>USR-10121245807TreatmentNorthMobileEmailBasic100001065.8</v>
      </c>
      <c r="S1213" s="22" t="str">
        <f>IF(COUNTIF($R$2:$R$1409,R1213)=1,"OK",IF(COUNTIF($R$2:$R$1409,R1213)&gt;1,"Exact Duplicate","Review Required"))</f>
        <v>OK</v>
      </c>
      <c r="T1213" s="22" t="s">
        <v>24</v>
      </c>
      <c r="U1213" s="22" t="s">
        <v>20</v>
      </c>
      <c r="V1213" s="22"/>
    </row>
    <row r="1214" spans="1:22" ht="41.4">
      <c r="A1214" s="22" t="s">
        <v>1245</v>
      </c>
      <c r="B1214" s="25">
        <v>45681</v>
      </c>
      <c r="C1214" s="22" t="s">
        <v>723</v>
      </c>
      <c r="D1214" s="22" t="s">
        <v>18</v>
      </c>
      <c r="E1214" s="22" t="s">
        <v>19</v>
      </c>
      <c r="F1214" s="22" t="s">
        <v>25</v>
      </c>
      <c r="G1214" s="22" t="s">
        <v>30</v>
      </c>
      <c r="H1214" s="22">
        <v>0</v>
      </c>
      <c r="I1214" s="22">
        <v>0</v>
      </c>
      <c r="J1214" s="22">
        <v>0</v>
      </c>
      <c r="K1214" s="22">
        <v>0</v>
      </c>
      <c r="L1214" s="22">
        <v>0</v>
      </c>
      <c r="M1214" s="22">
        <v>0</v>
      </c>
      <c r="N1214" s="22">
        <v>0</v>
      </c>
      <c r="O1214" s="22"/>
      <c r="P1214" s="22">
        <v>54.7</v>
      </c>
      <c r="Q1214" s="22" t="str">
        <f>IF(OR(L1214&lt;$Y$18,L1214&gt;$Y$19),"Outlier","Normal")</f>
        <v>Normal</v>
      </c>
      <c r="R1214" s="26" t="str">
        <f>A1214&amp;B1214&amp;C1214&amp;D1214&amp;E1214&amp;F1214&amp;G1214&amp;H1214&amp;I1214&amp;J1214&amp;K1214&amp;L1214&amp;M1214&amp;N1214&amp;O1214&amp;P1214</f>
        <v>USR-10121345681TreatmentNorthDesktopOrganicPremium000000054.7</v>
      </c>
      <c r="S1214" s="22" t="str">
        <f>IF(COUNTIF($R$2:$R$1409,R1214)=1,"OK",IF(COUNTIF($R$2:$R$1409,R1214)&gt;1,"Exact Duplicate","Review Required"))</f>
        <v>OK</v>
      </c>
      <c r="T1214" s="22" t="s">
        <v>19</v>
      </c>
      <c r="U1214" s="22" t="s">
        <v>25</v>
      </c>
      <c r="V1214" s="22"/>
    </row>
    <row r="1215" spans="1:22" ht="41.4">
      <c r="A1215" s="22" t="s">
        <v>1246</v>
      </c>
      <c r="B1215" s="25">
        <v>45789</v>
      </c>
      <c r="C1215" s="22" t="s">
        <v>723</v>
      </c>
      <c r="D1215" s="22" t="s">
        <v>32</v>
      </c>
      <c r="E1215" s="22" t="s">
        <v>24</v>
      </c>
      <c r="F1215" s="22" t="s">
        <v>25</v>
      </c>
      <c r="G1215" s="22" t="s">
        <v>21</v>
      </c>
      <c r="H1215" s="22">
        <v>1</v>
      </c>
      <c r="I1215" s="22">
        <v>1</v>
      </c>
      <c r="J1215" s="22">
        <v>0</v>
      </c>
      <c r="K1215" s="22">
        <v>0</v>
      </c>
      <c r="L1215" s="22">
        <v>0</v>
      </c>
      <c r="M1215" s="22">
        <v>0</v>
      </c>
      <c r="N1215" s="22">
        <v>0</v>
      </c>
      <c r="O1215" s="22"/>
      <c r="P1215" s="22">
        <v>64.099999999999994</v>
      </c>
      <c r="Q1215" s="22" t="str">
        <f>IF(OR(L1215&lt;$Y$18,L1215&gt;$Y$19),"Outlier","Normal")</f>
        <v>Normal</v>
      </c>
      <c r="R1215" s="26" t="str">
        <f>A1215&amp;B1215&amp;C1215&amp;D1215&amp;E1215&amp;F1215&amp;G1215&amp;H1215&amp;I1215&amp;J1215&amp;K1215&amp;L1215&amp;M1215&amp;N1215&amp;O1215&amp;P1215</f>
        <v>USR-10121445789TreatmentSouthMobileOrganicBasic110000064.1</v>
      </c>
      <c r="S1215" s="22" t="str">
        <f>IF(COUNTIF($R$2:$R$1409,R1215)=1,"OK",IF(COUNTIF($R$2:$R$1409,R1215)&gt;1,"Exact Duplicate","Review Required"))</f>
        <v>OK</v>
      </c>
      <c r="T1215" s="22" t="s">
        <v>24</v>
      </c>
      <c r="U1215" s="22" t="s">
        <v>25</v>
      </c>
      <c r="V1215" s="22"/>
    </row>
    <row r="1216" spans="1:22" ht="41.4">
      <c r="A1216" s="22" t="s">
        <v>1247</v>
      </c>
      <c r="B1216" s="25">
        <v>45744</v>
      </c>
      <c r="C1216" s="22" t="s">
        <v>723</v>
      </c>
      <c r="D1216" s="22" t="s">
        <v>32</v>
      </c>
      <c r="E1216" s="22" t="s">
        <v>24</v>
      </c>
      <c r="F1216" s="22" t="s">
        <v>25</v>
      </c>
      <c r="G1216" s="22" t="s">
        <v>21</v>
      </c>
      <c r="H1216" s="22">
        <v>1</v>
      </c>
      <c r="I1216" s="22">
        <v>1</v>
      </c>
      <c r="J1216" s="22">
        <v>1</v>
      </c>
      <c r="K1216" s="22">
        <v>0</v>
      </c>
      <c r="L1216" s="22">
        <v>0</v>
      </c>
      <c r="M1216" s="22">
        <v>0</v>
      </c>
      <c r="N1216" s="22">
        <v>0</v>
      </c>
      <c r="O1216" s="22"/>
      <c r="P1216" s="22">
        <v>71.599999999999994</v>
      </c>
      <c r="Q1216" s="22" t="str">
        <f>IF(OR(L1216&lt;$Y$18,L1216&gt;$Y$19),"Outlier","Normal")</f>
        <v>Normal</v>
      </c>
      <c r="R1216" s="26" t="str">
        <f>A1216&amp;B1216&amp;C1216&amp;D1216&amp;E1216&amp;F1216&amp;G1216&amp;H1216&amp;I1216&amp;J1216&amp;K1216&amp;L1216&amp;M1216&amp;N1216&amp;O1216&amp;P1216</f>
        <v>USR-10121545744TreatmentSouthMobileOrganicBasic111000071.6</v>
      </c>
      <c r="S1216" s="22" t="str">
        <f>IF(COUNTIF($R$2:$R$1409,R1216)=1,"OK",IF(COUNTIF($R$2:$R$1409,R1216)&gt;1,"Exact Duplicate","Review Required"))</f>
        <v>OK</v>
      </c>
      <c r="T1216" s="22" t="s">
        <v>24</v>
      </c>
      <c r="U1216" s="22" t="s">
        <v>25</v>
      </c>
      <c r="V1216" s="22"/>
    </row>
    <row r="1217" spans="1:22" ht="41.4">
      <c r="A1217" s="22" t="s">
        <v>1248</v>
      </c>
      <c r="B1217" s="25">
        <v>45761</v>
      </c>
      <c r="C1217" s="22" t="s">
        <v>723</v>
      </c>
      <c r="D1217" s="22" t="s">
        <v>18</v>
      </c>
      <c r="E1217" s="22" t="s">
        <v>24</v>
      </c>
      <c r="F1217" s="22" t="s">
        <v>39</v>
      </c>
      <c r="G1217" s="22" t="s">
        <v>21</v>
      </c>
      <c r="H1217" s="22">
        <v>1</v>
      </c>
      <c r="I1217" s="22">
        <v>0</v>
      </c>
      <c r="J1217" s="22">
        <v>0</v>
      </c>
      <c r="K1217" s="22">
        <v>0</v>
      </c>
      <c r="L1217" s="22">
        <v>0</v>
      </c>
      <c r="M1217" s="22">
        <v>0</v>
      </c>
      <c r="N1217" s="22">
        <v>0</v>
      </c>
      <c r="O1217" s="22"/>
      <c r="P1217" s="22">
        <v>78.400000000000006</v>
      </c>
      <c r="Q1217" s="22" t="str">
        <f>IF(OR(L1217&lt;$Y$18,L1217&gt;$Y$19),"Outlier","Normal")</f>
        <v>Normal</v>
      </c>
      <c r="R1217" s="26" t="str">
        <f>A1217&amp;B1217&amp;C1217&amp;D1217&amp;E1217&amp;F1217&amp;G1217&amp;H1217&amp;I1217&amp;J1217&amp;K1217&amp;L1217&amp;M1217&amp;N1217&amp;O1217&amp;P1217</f>
        <v>USR-10121645761TreatmentNorthMobileReferralBasic100000078.4</v>
      </c>
      <c r="S1217" s="22" t="str">
        <f>IF(COUNTIF($R$2:$R$1409,R1217)=1,"OK",IF(COUNTIF($R$2:$R$1409,R1217)&gt;1,"Exact Duplicate","Review Required"))</f>
        <v>OK</v>
      </c>
      <c r="T1217" s="22" t="s">
        <v>24</v>
      </c>
      <c r="U1217" s="22" t="s">
        <v>39</v>
      </c>
      <c r="V1217" s="22"/>
    </row>
    <row r="1218" spans="1:22" ht="41.4">
      <c r="A1218" s="22" t="s">
        <v>1249</v>
      </c>
      <c r="B1218" s="25">
        <v>45685</v>
      </c>
      <c r="C1218" s="22" t="s">
        <v>723</v>
      </c>
      <c r="D1218" s="22" t="s">
        <v>28</v>
      </c>
      <c r="E1218" s="22" t="s">
        <v>34</v>
      </c>
      <c r="F1218" s="22" t="s">
        <v>39</v>
      </c>
      <c r="G1218" s="22" t="s">
        <v>21</v>
      </c>
      <c r="H1218" s="22">
        <v>0</v>
      </c>
      <c r="I1218" s="22">
        <v>0</v>
      </c>
      <c r="J1218" s="22">
        <v>0</v>
      </c>
      <c r="K1218" s="22">
        <v>0</v>
      </c>
      <c r="L1218" s="22">
        <v>0</v>
      </c>
      <c r="M1218" s="22">
        <v>0</v>
      </c>
      <c r="N1218" s="22">
        <v>0</v>
      </c>
      <c r="O1218" s="22"/>
      <c r="P1218" s="22">
        <v>49.3</v>
      </c>
      <c r="Q1218" s="22" t="str">
        <f>IF(OR(L1218&lt;$Y$18,L1218&gt;$Y$19),"Outlier","Normal")</f>
        <v>Normal</v>
      </c>
      <c r="R1218" s="26" t="str">
        <f>A1218&amp;B1218&amp;C1218&amp;D1218&amp;E1218&amp;F1218&amp;G1218&amp;H1218&amp;I1218&amp;J1218&amp;K1218&amp;L1218&amp;M1218&amp;N1218&amp;O1218&amp;P1218</f>
        <v>USR-10121745685TreatmentEastTabletReferralBasic000000049.3</v>
      </c>
      <c r="S1218" s="22" t="str">
        <f>IF(COUNTIF($R$2:$R$1409,R1218)=1,"OK",IF(COUNTIF($R$2:$R$1409,R1218)&gt;1,"Exact Duplicate","Review Required"))</f>
        <v>OK</v>
      </c>
      <c r="T1218" s="22" t="s">
        <v>34</v>
      </c>
      <c r="U1218" s="22" t="s">
        <v>39</v>
      </c>
      <c r="V1218" s="22"/>
    </row>
    <row r="1219" spans="1:22" ht="41.4">
      <c r="A1219" s="22" t="s">
        <v>1250</v>
      </c>
      <c r="B1219" s="25">
        <v>45798</v>
      </c>
      <c r="C1219" s="22" t="s">
        <v>723</v>
      </c>
      <c r="D1219" s="22" t="s">
        <v>18</v>
      </c>
      <c r="E1219" s="22" t="s">
        <v>24</v>
      </c>
      <c r="F1219" s="22" t="s">
        <v>25</v>
      </c>
      <c r="G1219" s="22" t="s">
        <v>21</v>
      </c>
      <c r="H1219" s="22">
        <v>0</v>
      </c>
      <c r="I1219" s="22">
        <v>0</v>
      </c>
      <c r="J1219" s="22">
        <v>0</v>
      </c>
      <c r="K1219" s="22">
        <v>0</v>
      </c>
      <c r="L1219" s="22">
        <v>0</v>
      </c>
      <c r="M1219" s="22">
        <v>0</v>
      </c>
      <c r="N1219" s="22">
        <v>0</v>
      </c>
      <c r="O1219" s="22"/>
      <c r="P1219" s="22">
        <v>52.8</v>
      </c>
      <c r="Q1219" s="22" t="str">
        <f>IF(OR(L1219&lt;$Y$18,L1219&gt;$Y$19),"Outlier","Normal")</f>
        <v>Normal</v>
      </c>
      <c r="R1219" s="26" t="str">
        <f>A1219&amp;B1219&amp;C1219&amp;D1219&amp;E1219&amp;F1219&amp;G1219&amp;H1219&amp;I1219&amp;J1219&amp;K1219&amp;L1219&amp;M1219&amp;N1219&amp;O1219&amp;P1219</f>
        <v>USR-10121845798TreatmentNorthMobileOrganicBasic000000052.8</v>
      </c>
      <c r="S1219" s="22" t="str">
        <f>IF(COUNTIF($R$2:$R$1409,R1219)=1,"OK",IF(COUNTIF($R$2:$R$1409,R1219)&gt;1,"Exact Duplicate","Review Required"))</f>
        <v>OK</v>
      </c>
      <c r="T1219" s="22" t="s">
        <v>24</v>
      </c>
      <c r="U1219" s="22" t="s">
        <v>25</v>
      </c>
      <c r="V1219" s="22"/>
    </row>
    <row r="1220" spans="1:22" ht="41.4">
      <c r="A1220" s="22" t="s">
        <v>1251</v>
      </c>
      <c r="B1220" s="25">
        <v>45788</v>
      </c>
      <c r="C1220" s="22" t="s">
        <v>723</v>
      </c>
      <c r="D1220" s="22" t="s">
        <v>23</v>
      </c>
      <c r="E1220" s="22" t="s">
        <v>19</v>
      </c>
      <c r="F1220" s="22" t="s">
        <v>25</v>
      </c>
      <c r="G1220" s="22" t="s">
        <v>26</v>
      </c>
      <c r="H1220" s="22">
        <v>0</v>
      </c>
      <c r="I1220" s="22">
        <v>0</v>
      </c>
      <c r="J1220" s="22">
        <v>0</v>
      </c>
      <c r="K1220" s="22">
        <v>0</v>
      </c>
      <c r="L1220" s="22">
        <v>0</v>
      </c>
      <c r="M1220" s="22">
        <v>0</v>
      </c>
      <c r="N1220" s="22">
        <v>0</v>
      </c>
      <c r="O1220" s="22"/>
      <c r="P1220" s="22">
        <v>58.5</v>
      </c>
      <c r="Q1220" s="22" t="str">
        <f>IF(OR(L1220&lt;$Y$18,L1220&gt;$Y$19),"Outlier","Normal")</f>
        <v>Normal</v>
      </c>
      <c r="R1220" s="26" t="str">
        <f>A1220&amp;B1220&amp;C1220&amp;D1220&amp;E1220&amp;F1220&amp;G1220&amp;H1220&amp;I1220&amp;J1220&amp;K1220&amp;L1220&amp;M1220&amp;N1220&amp;O1220&amp;P1220</f>
        <v>USR-10121945788TreatmentWestDesktopOrganicFree000000058.5</v>
      </c>
      <c r="S1220" s="22" t="str">
        <f>IF(COUNTIF($R$2:$R$1409,R1220)=1,"OK",IF(COUNTIF($R$2:$R$1409,R1220)&gt;1,"Exact Duplicate","Review Required"))</f>
        <v>OK</v>
      </c>
      <c r="T1220" s="22" t="s">
        <v>19</v>
      </c>
      <c r="U1220" s="22" t="s">
        <v>25</v>
      </c>
      <c r="V1220" s="22"/>
    </row>
    <row r="1221" spans="1:22" ht="41.4">
      <c r="A1221" s="22" t="s">
        <v>1252</v>
      </c>
      <c r="B1221" s="25">
        <v>45690</v>
      </c>
      <c r="C1221" s="22" t="s">
        <v>723</v>
      </c>
      <c r="D1221" s="22" t="s">
        <v>32</v>
      </c>
      <c r="E1221" s="22" t="s">
        <v>24</v>
      </c>
      <c r="F1221" s="22" t="s">
        <v>29</v>
      </c>
      <c r="G1221" s="22" t="s">
        <v>26</v>
      </c>
      <c r="H1221" s="22">
        <v>1</v>
      </c>
      <c r="I1221" s="22">
        <v>0</v>
      </c>
      <c r="J1221" s="22">
        <v>0</v>
      </c>
      <c r="K1221" s="22">
        <v>0</v>
      </c>
      <c r="L1221" s="22">
        <v>0</v>
      </c>
      <c r="M1221" s="22">
        <v>0</v>
      </c>
      <c r="N1221" s="22">
        <v>0</v>
      </c>
      <c r="O1221" s="22"/>
      <c r="P1221" s="22">
        <v>55.9</v>
      </c>
      <c r="Q1221" s="22" t="str">
        <f>IF(OR(L1221&lt;$Y$18,L1221&gt;$Y$19),"Outlier","Normal")</f>
        <v>Normal</v>
      </c>
      <c r="R1221" s="26" t="str">
        <f>A1221&amp;B1221&amp;C1221&amp;D1221&amp;E1221&amp;F1221&amp;G1221&amp;H1221&amp;I1221&amp;J1221&amp;K1221&amp;L1221&amp;M1221&amp;N1221&amp;O1221&amp;P1221</f>
        <v>USR-10122045690TreatmentSouthMobilePaid SearchFree100000055.9</v>
      </c>
      <c r="S1221" s="22" t="str">
        <f>IF(COUNTIF($R$2:$R$1409,R1221)=1,"OK",IF(COUNTIF($R$2:$R$1409,R1221)&gt;1,"Exact Duplicate","Review Required"))</f>
        <v>OK</v>
      </c>
      <c r="T1221" s="22" t="s">
        <v>24</v>
      </c>
      <c r="U1221" s="22" t="s">
        <v>29</v>
      </c>
      <c r="V1221" s="22"/>
    </row>
    <row r="1222" spans="1:22" ht="41.4">
      <c r="A1222" s="22" t="s">
        <v>1253</v>
      </c>
      <c r="B1222" s="25">
        <v>45714</v>
      </c>
      <c r="C1222" s="22" t="s">
        <v>723</v>
      </c>
      <c r="D1222" s="22" t="s">
        <v>18</v>
      </c>
      <c r="E1222" s="22" t="s">
        <v>24</v>
      </c>
      <c r="F1222" s="22" t="s">
        <v>41</v>
      </c>
      <c r="G1222" s="22" t="s">
        <v>26</v>
      </c>
      <c r="H1222" s="22">
        <v>1</v>
      </c>
      <c r="I1222" s="22">
        <v>1</v>
      </c>
      <c r="J1222" s="22">
        <v>1</v>
      </c>
      <c r="K1222" s="22">
        <v>1</v>
      </c>
      <c r="L1222" s="22">
        <v>351.43</v>
      </c>
      <c r="M1222" s="22">
        <v>1</v>
      </c>
      <c r="N1222" s="22">
        <v>0</v>
      </c>
      <c r="O1222" s="22">
        <v>6</v>
      </c>
      <c r="P1222" s="22">
        <v>74.900000000000006</v>
      </c>
      <c r="Q1222" s="22" t="str">
        <f>IF(OR(L1222&lt;$Y$18,L1222&gt;$Y$19),"Outlier","Normal")</f>
        <v>Normal</v>
      </c>
      <c r="R1222" s="26" t="str">
        <f>A1222&amp;B1222&amp;C1222&amp;D1222&amp;E1222&amp;F1222&amp;G1222&amp;H1222&amp;I1222&amp;J1222&amp;K1222&amp;L1222&amp;M1222&amp;N1222&amp;O1222&amp;P1222</f>
        <v>USR-10122145714TreatmentNorthMobileSocialFree1111351.4310674.9</v>
      </c>
      <c r="S1222" s="22" t="str">
        <f>IF(COUNTIF($R$2:$R$1409,R1222)=1,"OK",IF(COUNTIF($R$2:$R$1409,R1222)&gt;1,"Exact Duplicate","Review Required"))</f>
        <v>OK</v>
      </c>
      <c r="T1222" s="22" t="s">
        <v>24</v>
      </c>
      <c r="U1222" s="22" t="s">
        <v>41</v>
      </c>
      <c r="V1222" s="22"/>
    </row>
    <row r="1223" spans="1:22" ht="41.4">
      <c r="A1223" s="22" t="s">
        <v>1254</v>
      </c>
      <c r="B1223" s="25">
        <v>45715</v>
      </c>
      <c r="C1223" s="22" t="s">
        <v>723</v>
      </c>
      <c r="D1223" s="22" t="s">
        <v>32</v>
      </c>
      <c r="E1223" s="22" t="s">
        <v>19</v>
      </c>
      <c r="F1223" s="22" t="s">
        <v>39</v>
      </c>
      <c r="G1223" s="22" t="s">
        <v>26</v>
      </c>
      <c r="H1223" s="22">
        <v>1</v>
      </c>
      <c r="I1223" s="22">
        <v>1</v>
      </c>
      <c r="J1223" s="22">
        <v>1</v>
      </c>
      <c r="K1223" s="22">
        <v>1</v>
      </c>
      <c r="L1223" s="22">
        <v>352.42</v>
      </c>
      <c r="M1223" s="22">
        <v>0</v>
      </c>
      <c r="N1223" s="22">
        <v>0</v>
      </c>
      <c r="O1223" s="22">
        <v>4</v>
      </c>
      <c r="P1223" s="22">
        <v>58.5</v>
      </c>
      <c r="Q1223" s="22" t="str">
        <f>IF(OR(L1223&lt;$Y$18,L1223&gt;$Y$19),"Outlier","Normal")</f>
        <v>Normal</v>
      </c>
      <c r="R1223" s="26" t="str">
        <f>A1223&amp;B1223&amp;C1223&amp;D1223&amp;E1223&amp;F1223&amp;G1223&amp;H1223&amp;I1223&amp;J1223&amp;K1223&amp;L1223&amp;M1223&amp;N1223&amp;O1223&amp;P1223</f>
        <v>USR-10122245715TreatmentSouthDesktopReferralFree1111352.4200458.5</v>
      </c>
      <c r="S1223" s="22" t="str">
        <f>IF(COUNTIF($R$2:$R$1409,R1223)=1,"OK",IF(COUNTIF($R$2:$R$1409,R1223)&gt;1,"Exact Duplicate","Review Required"))</f>
        <v>OK</v>
      </c>
      <c r="T1223" s="22" t="s">
        <v>19</v>
      </c>
      <c r="U1223" s="22" t="s">
        <v>39</v>
      </c>
      <c r="V1223" s="22"/>
    </row>
    <row r="1224" spans="1:22" ht="41.4">
      <c r="A1224" s="22" t="s">
        <v>1255</v>
      </c>
      <c r="B1224" s="25">
        <v>45725</v>
      </c>
      <c r="C1224" s="22" t="s">
        <v>723</v>
      </c>
      <c r="D1224" s="22" t="s">
        <v>23</v>
      </c>
      <c r="E1224" s="22" t="s">
        <v>24</v>
      </c>
      <c r="F1224" s="22" t="s">
        <v>25</v>
      </c>
      <c r="G1224" s="22" t="s">
        <v>26</v>
      </c>
      <c r="H1224" s="22">
        <v>0</v>
      </c>
      <c r="I1224" s="22">
        <v>0</v>
      </c>
      <c r="J1224" s="22">
        <v>0</v>
      </c>
      <c r="K1224" s="22">
        <v>0</v>
      </c>
      <c r="L1224" s="22">
        <v>0</v>
      </c>
      <c r="M1224" s="22">
        <v>0</v>
      </c>
      <c r="N1224" s="22">
        <v>0</v>
      </c>
      <c r="O1224" s="22"/>
      <c r="P1224" s="22">
        <v>63.5</v>
      </c>
      <c r="Q1224" s="22" t="str">
        <f>IF(OR(L1224&lt;$Y$18,L1224&gt;$Y$19),"Outlier","Normal")</f>
        <v>Normal</v>
      </c>
      <c r="R1224" s="26" t="str">
        <f>A1224&amp;B1224&amp;C1224&amp;D1224&amp;E1224&amp;F1224&amp;G1224&amp;H1224&amp;I1224&amp;J1224&amp;K1224&amp;L1224&amp;M1224&amp;N1224&amp;O1224&amp;P1224</f>
        <v>USR-10122345725TreatmentWestMobileOrganicFree000000063.5</v>
      </c>
      <c r="S1224" s="22" t="str">
        <f>IF(COUNTIF($R$2:$R$1409,R1224)=1,"OK",IF(COUNTIF($R$2:$R$1409,R1224)&gt;1,"Exact Duplicate","Review Required"))</f>
        <v>OK</v>
      </c>
      <c r="T1224" s="22" t="s">
        <v>24</v>
      </c>
      <c r="U1224" s="22" t="s">
        <v>25</v>
      </c>
      <c r="V1224" s="22"/>
    </row>
    <row r="1225" spans="1:22" ht="41.4">
      <c r="A1225" s="22" t="s">
        <v>1256</v>
      </c>
      <c r="B1225" s="25">
        <v>45695</v>
      </c>
      <c r="C1225" s="22" t="s">
        <v>723</v>
      </c>
      <c r="D1225" s="22" t="s">
        <v>18</v>
      </c>
      <c r="E1225" s="22" t="s">
        <v>24</v>
      </c>
      <c r="F1225" s="22" t="s">
        <v>29</v>
      </c>
      <c r="G1225" s="22" t="s">
        <v>21</v>
      </c>
      <c r="H1225" s="22">
        <v>1</v>
      </c>
      <c r="I1225" s="22">
        <v>0</v>
      </c>
      <c r="J1225" s="22">
        <v>0</v>
      </c>
      <c r="K1225" s="22">
        <v>0</v>
      </c>
      <c r="L1225" s="22">
        <v>0</v>
      </c>
      <c r="M1225" s="22">
        <v>1</v>
      </c>
      <c r="N1225" s="22">
        <v>0</v>
      </c>
      <c r="O1225" s="22"/>
      <c r="P1225" s="22">
        <v>64.8</v>
      </c>
      <c r="Q1225" s="22" t="str">
        <f>IF(OR(L1225&lt;$Y$18,L1225&gt;$Y$19),"Outlier","Normal")</f>
        <v>Normal</v>
      </c>
      <c r="R1225" s="26" t="str">
        <f>A1225&amp;B1225&amp;C1225&amp;D1225&amp;E1225&amp;F1225&amp;G1225&amp;H1225&amp;I1225&amp;J1225&amp;K1225&amp;L1225&amp;M1225&amp;N1225&amp;O1225&amp;P1225</f>
        <v>USR-10122445695TreatmentNorthMobilePaid SearchBasic100001064.8</v>
      </c>
      <c r="S1225" s="22" t="str">
        <f>IF(COUNTIF($R$2:$R$1409,R1225)=1,"OK",IF(COUNTIF($R$2:$R$1409,R1225)&gt;1,"Exact Duplicate","Review Required"))</f>
        <v>OK</v>
      </c>
      <c r="T1225" s="22" t="s">
        <v>24</v>
      </c>
      <c r="U1225" s="22" t="s">
        <v>29</v>
      </c>
      <c r="V1225" s="22"/>
    </row>
    <row r="1226" spans="1:22" ht="41.4">
      <c r="A1226" s="22" t="s">
        <v>1257</v>
      </c>
      <c r="B1226" s="25">
        <v>45688</v>
      </c>
      <c r="C1226" s="22" t="s">
        <v>723</v>
      </c>
      <c r="D1226" s="22" t="s">
        <v>23</v>
      </c>
      <c r="E1226" s="22" t="s">
        <v>24</v>
      </c>
      <c r="F1226" s="22" t="s">
        <v>41</v>
      </c>
      <c r="G1226" s="22" t="s">
        <v>26</v>
      </c>
      <c r="H1226" s="22">
        <v>0</v>
      </c>
      <c r="I1226" s="22">
        <v>0</v>
      </c>
      <c r="J1226" s="22">
        <v>0</v>
      </c>
      <c r="K1226" s="22">
        <v>0</v>
      </c>
      <c r="L1226" s="22">
        <v>0</v>
      </c>
      <c r="M1226" s="22">
        <v>0</v>
      </c>
      <c r="N1226" s="22">
        <v>0</v>
      </c>
      <c r="O1226" s="22"/>
      <c r="P1226" s="22">
        <v>63.3</v>
      </c>
      <c r="Q1226" s="22" t="str">
        <f>IF(OR(L1226&lt;$Y$18,L1226&gt;$Y$19),"Outlier","Normal")</f>
        <v>Normal</v>
      </c>
      <c r="R1226" s="26" t="str">
        <f>A1226&amp;B1226&amp;C1226&amp;D1226&amp;E1226&amp;F1226&amp;G1226&amp;H1226&amp;I1226&amp;J1226&amp;K1226&amp;L1226&amp;M1226&amp;N1226&amp;O1226&amp;P1226</f>
        <v>USR-10122545688TreatmentWestMobileSocialFree000000063.3</v>
      </c>
      <c r="S1226" s="22" t="str">
        <f>IF(COUNTIF($R$2:$R$1409,R1226)=1,"OK",IF(COUNTIF($R$2:$R$1409,R1226)&gt;1,"Exact Duplicate","Review Required"))</f>
        <v>OK</v>
      </c>
      <c r="T1226" s="22" t="s">
        <v>24</v>
      </c>
      <c r="U1226" s="22" t="s">
        <v>41</v>
      </c>
      <c r="V1226" s="22"/>
    </row>
    <row r="1227" spans="1:22" ht="55.2">
      <c r="A1227" s="22" t="s">
        <v>1258</v>
      </c>
      <c r="B1227" s="25">
        <v>45702</v>
      </c>
      <c r="C1227" s="22" t="s">
        <v>723</v>
      </c>
      <c r="D1227" s="22" t="s">
        <v>18</v>
      </c>
      <c r="E1227" s="22" t="s">
        <v>34</v>
      </c>
      <c r="F1227" s="22" t="s">
        <v>29</v>
      </c>
      <c r="G1227" s="22" t="s">
        <v>21</v>
      </c>
      <c r="H1227" s="22">
        <v>1</v>
      </c>
      <c r="I1227" s="22">
        <v>1</v>
      </c>
      <c r="J1227" s="22">
        <v>1</v>
      </c>
      <c r="K1227" s="22">
        <v>1</v>
      </c>
      <c r="L1227" s="22">
        <v>1074.1600000000001</v>
      </c>
      <c r="M1227" s="22">
        <v>0</v>
      </c>
      <c r="N1227" s="22">
        <v>0</v>
      </c>
      <c r="O1227" s="22">
        <v>8</v>
      </c>
      <c r="P1227" s="22">
        <v>83.7</v>
      </c>
      <c r="Q1227" s="22" t="str">
        <f>IF(OR(L1227&lt;$Y$18,L1227&gt;$Y$19),"Outlier","Normal")</f>
        <v>Normal</v>
      </c>
      <c r="R1227" s="26" t="str">
        <f>A1227&amp;B1227&amp;C1227&amp;D1227&amp;E1227&amp;F1227&amp;G1227&amp;H1227&amp;I1227&amp;J1227&amp;K1227&amp;L1227&amp;M1227&amp;N1227&amp;O1227&amp;P1227</f>
        <v>USR-10122645702TreatmentNorthTabletPaid SearchBasic11111074.1600883.7</v>
      </c>
      <c r="S1227" s="22" t="str">
        <f>IF(COUNTIF($R$2:$R$1409,R1227)=1,"OK",IF(COUNTIF($R$2:$R$1409,R1227)&gt;1,"Exact Duplicate","Review Required"))</f>
        <v>OK</v>
      </c>
      <c r="T1227" s="22" t="s">
        <v>34</v>
      </c>
      <c r="U1227" s="22" t="s">
        <v>29</v>
      </c>
      <c r="V1227" s="22"/>
    </row>
    <row r="1228" spans="1:22" ht="41.4">
      <c r="A1228" s="22" t="s">
        <v>1259</v>
      </c>
      <c r="B1228" s="25">
        <v>45700</v>
      </c>
      <c r="C1228" s="22" t="s">
        <v>723</v>
      </c>
      <c r="D1228" s="22" t="s">
        <v>32</v>
      </c>
      <c r="E1228" s="22" t="s">
        <v>19</v>
      </c>
      <c r="F1228" s="22" t="s">
        <v>41</v>
      </c>
      <c r="G1228" s="22" t="s">
        <v>21</v>
      </c>
      <c r="H1228" s="22">
        <v>0</v>
      </c>
      <c r="I1228" s="22">
        <v>0</v>
      </c>
      <c r="J1228" s="22">
        <v>0</v>
      </c>
      <c r="K1228" s="22">
        <v>0</v>
      </c>
      <c r="L1228" s="22">
        <v>0</v>
      </c>
      <c r="M1228" s="22">
        <v>0</v>
      </c>
      <c r="N1228" s="22">
        <v>0</v>
      </c>
      <c r="O1228" s="22"/>
      <c r="P1228" s="22">
        <v>88.7</v>
      </c>
      <c r="Q1228" s="22" t="str">
        <f>IF(OR(L1228&lt;$Y$18,L1228&gt;$Y$19),"Outlier","Normal")</f>
        <v>Normal</v>
      </c>
      <c r="R1228" s="26" t="str">
        <f>A1228&amp;B1228&amp;C1228&amp;D1228&amp;E1228&amp;F1228&amp;G1228&amp;H1228&amp;I1228&amp;J1228&amp;K1228&amp;L1228&amp;M1228&amp;N1228&amp;O1228&amp;P1228</f>
        <v>USR-10122745700TreatmentSouthDesktopSocialBasic000000088.7</v>
      </c>
      <c r="S1228" s="22" t="str">
        <f>IF(COUNTIF($R$2:$R$1409,R1228)=1,"OK",IF(COUNTIF($R$2:$R$1409,R1228)&gt;1,"Exact Duplicate","Review Required"))</f>
        <v>OK</v>
      </c>
      <c r="T1228" s="22" t="s">
        <v>19</v>
      </c>
      <c r="U1228" s="22" t="s">
        <v>41</v>
      </c>
      <c r="V1228" s="22"/>
    </row>
    <row r="1229" spans="1:22" ht="41.4">
      <c r="A1229" s="22" t="s">
        <v>1260</v>
      </c>
      <c r="B1229" s="25">
        <v>45739</v>
      </c>
      <c r="C1229" s="22" t="s">
        <v>723</v>
      </c>
      <c r="D1229" s="22" t="s">
        <v>28</v>
      </c>
      <c r="E1229" s="22" t="s">
        <v>1482</v>
      </c>
      <c r="F1229" s="22" t="s">
        <v>29</v>
      </c>
      <c r="G1229" s="22" t="s">
        <v>26</v>
      </c>
      <c r="H1229" s="22">
        <v>1</v>
      </c>
      <c r="I1229" s="22">
        <v>0</v>
      </c>
      <c r="J1229" s="22">
        <v>0</v>
      </c>
      <c r="K1229" s="22">
        <v>0</v>
      </c>
      <c r="L1229" s="22">
        <v>0</v>
      </c>
      <c r="M1229" s="22">
        <v>1</v>
      </c>
      <c r="N1229" s="22">
        <v>0</v>
      </c>
      <c r="O1229" s="22"/>
      <c r="P1229" s="22">
        <v>61.5</v>
      </c>
      <c r="Q1229" s="22" t="str">
        <f>IF(OR(L1229&lt;$Y$18,L1229&gt;$Y$19),"Outlier","Normal")</f>
        <v>Normal</v>
      </c>
      <c r="R1229" s="26" t="str">
        <f>A1229&amp;B1229&amp;C1229&amp;D1229&amp;E1229&amp;F1229&amp;G1229&amp;H1229&amp;I1229&amp;J1229&amp;K1229&amp;L1229&amp;M1229&amp;N1229&amp;O1229&amp;P1229</f>
        <v>USR-10122845739TreatmentEastUnknownPaid SearchFree100001061.5</v>
      </c>
      <c r="S1229" s="22" t="str">
        <f>IF(COUNTIF($R$2:$R$1409,R1229)=1,"OK",IF(COUNTIF($R$2:$R$1409,R1229)&gt;1,"Exact Duplicate","Review Required"))</f>
        <v>OK</v>
      </c>
      <c r="T1229" s="22"/>
      <c r="U1229" s="22" t="s">
        <v>29</v>
      </c>
      <c r="V1229" s="22"/>
    </row>
    <row r="1230" spans="1:22" ht="41.4">
      <c r="A1230" s="22" t="s">
        <v>1261</v>
      </c>
      <c r="B1230" s="25">
        <v>45734</v>
      </c>
      <c r="C1230" s="22" t="s">
        <v>723</v>
      </c>
      <c r="D1230" s="22" t="s">
        <v>23</v>
      </c>
      <c r="E1230" s="22" t="s">
        <v>24</v>
      </c>
      <c r="F1230" s="22" t="s">
        <v>29</v>
      </c>
      <c r="G1230" s="22" t="s">
        <v>26</v>
      </c>
      <c r="H1230" s="22">
        <v>0</v>
      </c>
      <c r="I1230" s="22">
        <v>0</v>
      </c>
      <c r="J1230" s="22">
        <v>0</v>
      </c>
      <c r="K1230" s="22">
        <v>0</v>
      </c>
      <c r="L1230" s="22">
        <v>0</v>
      </c>
      <c r="M1230" s="22">
        <v>0</v>
      </c>
      <c r="N1230" s="22">
        <v>0</v>
      </c>
      <c r="O1230" s="22"/>
      <c r="P1230" s="22">
        <v>45.3</v>
      </c>
      <c r="Q1230" s="22" t="str">
        <f>IF(OR(L1230&lt;$Y$18,L1230&gt;$Y$19),"Outlier","Normal")</f>
        <v>Normal</v>
      </c>
      <c r="R1230" s="26" t="str">
        <f>A1230&amp;B1230&amp;C1230&amp;D1230&amp;E1230&amp;F1230&amp;G1230&amp;H1230&amp;I1230&amp;J1230&amp;K1230&amp;L1230&amp;M1230&amp;N1230&amp;O1230&amp;P1230</f>
        <v>USR-10122945734TreatmentWestMobilePaid SearchFree000000045.3</v>
      </c>
      <c r="S1230" s="22" t="str">
        <f>IF(COUNTIF($R$2:$R$1409,R1230)=1,"OK",IF(COUNTIF($R$2:$R$1409,R1230)&gt;1,"Exact Duplicate","Review Required"))</f>
        <v>OK</v>
      </c>
      <c r="T1230" s="22" t="s">
        <v>24</v>
      </c>
      <c r="U1230" s="22" t="s">
        <v>29</v>
      </c>
      <c r="V1230" s="22"/>
    </row>
    <row r="1231" spans="1:22" ht="41.4">
      <c r="A1231" s="22" t="s">
        <v>1262</v>
      </c>
      <c r="B1231" s="25">
        <v>45794</v>
      </c>
      <c r="C1231" s="22" t="s">
        <v>723</v>
      </c>
      <c r="D1231" s="22" t="s">
        <v>18</v>
      </c>
      <c r="E1231" s="22" t="s">
        <v>24</v>
      </c>
      <c r="F1231" s="22" t="s">
        <v>41</v>
      </c>
      <c r="G1231" s="22" t="s">
        <v>26</v>
      </c>
      <c r="H1231" s="22">
        <v>1</v>
      </c>
      <c r="I1231" s="22">
        <v>0</v>
      </c>
      <c r="J1231" s="22">
        <v>0</v>
      </c>
      <c r="K1231" s="22">
        <v>0</v>
      </c>
      <c r="L1231" s="22">
        <v>0</v>
      </c>
      <c r="M1231" s="22">
        <v>0</v>
      </c>
      <c r="N1231" s="22">
        <v>0</v>
      </c>
      <c r="O1231" s="22"/>
      <c r="P1231" s="22">
        <v>37.299999999999997</v>
      </c>
      <c r="Q1231" s="22" t="str">
        <f>IF(OR(L1231&lt;$Y$18,L1231&gt;$Y$19),"Outlier","Normal")</f>
        <v>Normal</v>
      </c>
      <c r="R1231" s="26" t="str">
        <f>A1231&amp;B1231&amp;C1231&amp;D1231&amp;E1231&amp;F1231&amp;G1231&amp;H1231&amp;I1231&amp;J1231&amp;K1231&amp;L1231&amp;M1231&amp;N1231&amp;O1231&amp;P1231</f>
        <v>USR-10123045794TreatmentNorthMobileSocialFree100000037.3</v>
      </c>
      <c r="S1231" s="22" t="str">
        <f>IF(COUNTIF($R$2:$R$1409,R1231)=1,"OK",IF(COUNTIF($R$2:$R$1409,R1231)&gt;1,"Exact Duplicate","Review Required"))</f>
        <v>OK</v>
      </c>
      <c r="T1231" s="22" t="s">
        <v>24</v>
      </c>
      <c r="U1231" s="22" t="s">
        <v>41</v>
      </c>
      <c r="V1231" s="22"/>
    </row>
    <row r="1232" spans="1:22" ht="41.4">
      <c r="A1232" s="22" t="s">
        <v>1263</v>
      </c>
      <c r="B1232" s="25">
        <v>45742</v>
      </c>
      <c r="C1232" s="22" t="s">
        <v>723</v>
      </c>
      <c r="D1232" s="22" t="s">
        <v>23</v>
      </c>
      <c r="E1232" s="22" t="s">
        <v>19</v>
      </c>
      <c r="F1232" s="22" t="s">
        <v>41</v>
      </c>
      <c r="G1232" s="22" t="s">
        <v>30</v>
      </c>
      <c r="H1232" s="22">
        <v>1</v>
      </c>
      <c r="I1232" s="22">
        <v>0</v>
      </c>
      <c r="J1232" s="22">
        <v>0</v>
      </c>
      <c r="K1232" s="22">
        <v>0</v>
      </c>
      <c r="L1232" s="22">
        <v>0</v>
      </c>
      <c r="M1232" s="22">
        <v>1</v>
      </c>
      <c r="N1232" s="22">
        <v>0</v>
      </c>
      <c r="O1232" s="22"/>
      <c r="P1232" s="22">
        <v>76.099999999999994</v>
      </c>
      <c r="Q1232" s="22" t="str">
        <f>IF(OR(L1232&lt;$Y$18,L1232&gt;$Y$19),"Outlier","Normal")</f>
        <v>Normal</v>
      </c>
      <c r="R1232" s="26" t="str">
        <f>A1232&amp;B1232&amp;C1232&amp;D1232&amp;E1232&amp;F1232&amp;G1232&amp;H1232&amp;I1232&amp;J1232&amp;K1232&amp;L1232&amp;M1232&amp;N1232&amp;O1232&amp;P1232</f>
        <v>USR-10123145742TreatmentWestDesktopSocialPremium100001076.1</v>
      </c>
      <c r="S1232" s="22" t="str">
        <f>IF(COUNTIF($R$2:$R$1409,R1232)=1,"OK",IF(COUNTIF($R$2:$R$1409,R1232)&gt;1,"Exact Duplicate","Review Required"))</f>
        <v>OK</v>
      </c>
      <c r="T1232" s="22" t="s">
        <v>19</v>
      </c>
      <c r="U1232" s="22" t="s">
        <v>41</v>
      </c>
      <c r="V1232" s="22"/>
    </row>
    <row r="1233" spans="1:22" ht="41.4">
      <c r="A1233" s="22" t="s">
        <v>1264</v>
      </c>
      <c r="B1233" s="25">
        <v>45746</v>
      </c>
      <c r="C1233" s="22" t="s">
        <v>723</v>
      </c>
      <c r="D1233" s="22" t="s">
        <v>28</v>
      </c>
      <c r="E1233" s="22" t="s">
        <v>24</v>
      </c>
      <c r="F1233" s="22" t="s">
        <v>25</v>
      </c>
      <c r="G1233" s="22" t="s">
        <v>26</v>
      </c>
      <c r="H1233" s="22">
        <v>1</v>
      </c>
      <c r="I1233" s="22">
        <v>1</v>
      </c>
      <c r="J1233" s="22">
        <v>1</v>
      </c>
      <c r="K1233" s="22">
        <v>0</v>
      </c>
      <c r="L1233" s="22">
        <v>0</v>
      </c>
      <c r="M1233" s="22">
        <v>1</v>
      </c>
      <c r="N1233" s="22">
        <v>0</v>
      </c>
      <c r="O1233" s="22"/>
      <c r="P1233" s="22">
        <v>72.5</v>
      </c>
      <c r="Q1233" s="22" t="str">
        <f>IF(OR(L1233&lt;$Y$18,L1233&gt;$Y$19),"Outlier","Normal")</f>
        <v>Normal</v>
      </c>
      <c r="R1233" s="26" t="str">
        <f>A1233&amp;B1233&amp;C1233&amp;D1233&amp;E1233&amp;F1233&amp;G1233&amp;H1233&amp;I1233&amp;J1233&amp;K1233&amp;L1233&amp;M1233&amp;N1233&amp;O1233&amp;P1233</f>
        <v>USR-10123245746TreatmentEastMobileOrganicFree111001072.5</v>
      </c>
      <c r="S1233" s="22" t="str">
        <f>IF(COUNTIF($R$2:$R$1409,R1233)=1,"OK",IF(COUNTIF($R$2:$R$1409,R1233)&gt;1,"Exact Duplicate","Review Required"))</f>
        <v>OK</v>
      </c>
      <c r="T1233" s="22" t="s">
        <v>24</v>
      </c>
      <c r="U1233" s="22" t="s">
        <v>25</v>
      </c>
      <c r="V1233" s="22"/>
    </row>
    <row r="1234" spans="1:22" ht="41.4">
      <c r="A1234" s="22" t="s">
        <v>1265</v>
      </c>
      <c r="B1234" s="25">
        <v>45713</v>
      </c>
      <c r="C1234" s="22" t="s">
        <v>723</v>
      </c>
      <c r="D1234" s="22" t="s">
        <v>28</v>
      </c>
      <c r="E1234" s="22" t="s">
        <v>19</v>
      </c>
      <c r="F1234" s="22" t="s">
        <v>25</v>
      </c>
      <c r="G1234" s="22" t="s">
        <v>26</v>
      </c>
      <c r="H1234" s="22">
        <v>1</v>
      </c>
      <c r="I1234" s="22">
        <v>0</v>
      </c>
      <c r="J1234" s="22">
        <v>0</v>
      </c>
      <c r="K1234" s="22">
        <v>0</v>
      </c>
      <c r="L1234" s="22">
        <v>0</v>
      </c>
      <c r="M1234" s="22">
        <v>0</v>
      </c>
      <c r="N1234" s="22">
        <v>0</v>
      </c>
      <c r="O1234" s="22"/>
      <c r="P1234" s="22">
        <v>62.3</v>
      </c>
      <c r="Q1234" s="22" t="str">
        <f>IF(OR(L1234&lt;$Y$18,L1234&gt;$Y$19),"Outlier","Normal")</f>
        <v>Normal</v>
      </c>
      <c r="R1234" s="26" t="str">
        <f>A1234&amp;B1234&amp;C1234&amp;D1234&amp;E1234&amp;F1234&amp;G1234&amp;H1234&amp;I1234&amp;J1234&amp;K1234&amp;L1234&amp;M1234&amp;N1234&amp;O1234&amp;P1234</f>
        <v>USR-10123345713TreatmentEastDesktopOrganicFree100000062.3</v>
      </c>
      <c r="S1234" s="22" t="str">
        <f>IF(COUNTIF($R$2:$R$1409,R1234)=1,"OK",IF(COUNTIF($R$2:$R$1409,R1234)&gt;1,"Exact Duplicate","Review Required"))</f>
        <v>OK</v>
      </c>
      <c r="T1234" s="22" t="s">
        <v>19</v>
      </c>
      <c r="U1234" s="22" t="s">
        <v>25</v>
      </c>
      <c r="V1234" s="22"/>
    </row>
    <row r="1235" spans="1:22" ht="41.4">
      <c r="A1235" s="22" t="s">
        <v>1266</v>
      </c>
      <c r="B1235" s="25">
        <v>45717</v>
      </c>
      <c r="C1235" s="22" t="s">
        <v>723</v>
      </c>
      <c r="D1235" s="22" t="s">
        <v>28</v>
      </c>
      <c r="E1235" s="22" t="s">
        <v>19</v>
      </c>
      <c r="F1235" s="22" t="s">
        <v>41</v>
      </c>
      <c r="G1235" s="22" t="s">
        <v>26</v>
      </c>
      <c r="H1235" s="22">
        <v>0</v>
      </c>
      <c r="I1235" s="22">
        <v>0</v>
      </c>
      <c r="J1235" s="22">
        <v>0</v>
      </c>
      <c r="K1235" s="22">
        <v>0</v>
      </c>
      <c r="L1235" s="22">
        <v>0</v>
      </c>
      <c r="M1235" s="22">
        <v>0</v>
      </c>
      <c r="N1235" s="22">
        <v>0</v>
      </c>
      <c r="O1235" s="22"/>
      <c r="P1235" s="22">
        <v>62.7</v>
      </c>
      <c r="Q1235" s="22" t="str">
        <f>IF(OR(L1235&lt;$Y$18,L1235&gt;$Y$19),"Outlier","Normal")</f>
        <v>Normal</v>
      </c>
      <c r="R1235" s="26" t="str">
        <f>A1235&amp;B1235&amp;C1235&amp;D1235&amp;E1235&amp;F1235&amp;G1235&amp;H1235&amp;I1235&amp;J1235&amp;K1235&amp;L1235&amp;M1235&amp;N1235&amp;O1235&amp;P1235</f>
        <v>USR-10123445717TreatmentEastDesktopSocialFree000000062.7</v>
      </c>
      <c r="S1235" s="22" t="str">
        <f>IF(COUNTIF($R$2:$R$1409,R1235)=1,"OK",IF(COUNTIF($R$2:$R$1409,R1235)&gt;1,"Exact Duplicate","Review Required"))</f>
        <v>OK</v>
      </c>
      <c r="T1235" s="22" t="s">
        <v>19</v>
      </c>
      <c r="U1235" s="22" t="s">
        <v>41</v>
      </c>
      <c r="V1235" s="22"/>
    </row>
    <row r="1236" spans="1:22" ht="41.4">
      <c r="A1236" s="22" t="s">
        <v>1267</v>
      </c>
      <c r="B1236" s="25">
        <v>45804</v>
      </c>
      <c r="C1236" s="22" t="s">
        <v>723</v>
      </c>
      <c r="D1236" s="22" t="s">
        <v>18</v>
      </c>
      <c r="E1236" s="22" t="s">
        <v>24</v>
      </c>
      <c r="F1236" s="22" t="s">
        <v>29</v>
      </c>
      <c r="G1236" s="22" t="s">
        <v>21</v>
      </c>
      <c r="H1236" s="22">
        <v>0</v>
      </c>
      <c r="I1236" s="22">
        <v>0</v>
      </c>
      <c r="J1236" s="22">
        <v>0</v>
      </c>
      <c r="K1236" s="22">
        <v>0</v>
      </c>
      <c r="L1236" s="22">
        <v>0</v>
      </c>
      <c r="M1236" s="22">
        <v>0</v>
      </c>
      <c r="N1236" s="22">
        <v>0</v>
      </c>
      <c r="O1236" s="22"/>
      <c r="P1236" s="22">
        <v>82.4</v>
      </c>
      <c r="Q1236" s="22" t="str">
        <f>IF(OR(L1236&lt;$Y$18,L1236&gt;$Y$19),"Outlier","Normal")</f>
        <v>Normal</v>
      </c>
      <c r="R1236" s="26" t="str">
        <f>A1236&amp;B1236&amp;C1236&amp;D1236&amp;E1236&amp;F1236&amp;G1236&amp;H1236&amp;I1236&amp;J1236&amp;K1236&amp;L1236&amp;M1236&amp;N1236&amp;O1236&amp;P1236</f>
        <v>USR-10123545804TreatmentNorthMobilePaid SearchBasic000000082.4</v>
      </c>
      <c r="S1236" s="22" t="str">
        <f>IF(COUNTIF($R$2:$R$1409,R1236)=1,"OK",IF(COUNTIF($R$2:$R$1409,R1236)&gt;1,"Exact Duplicate","Review Required"))</f>
        <v>OK</v>
      </c>
      <c r="T1236" s="22" t="s">
        <v>24</v>
      </c>
      <c r="U1236" s="22" t="s">
        <v>29</v>
      </c>
      <c r="V1236" s="22"/>
    </row>
    <row r="1237" spans="1:22" ht="41.4">
      <c r="A1237" s="22" t="s">
        <v>1268</v>
      </c>
      <c r="B1237" s="25">
        <v>45693</v>
      </c>
      <c r="C1237" s="22" t="s">
        <v>723</v>
      </c>
      <c r="D1237" s="22" t="s">
        <v>23</v>
      </c>
      <c r="E1237" s="22" t="s">
        <v>24</v>
      </c>
      <c r="F1237" s="22" t="s">
        <v>1482</v>
      </c>
      <c r="G1237" s="22" t="s">
        <v>30</v>
      </c>
      <c r="H1237" s="22">
        <v>1</v>
      </c>
      <c r="I1237" s="22">
        <v>0</v>
      </c>
      <c r="J1237" s="22">
        <v>0</v>
      </c>
      <c r="K1237" s="22">
        <v>0</v>
      </c>
      <c r="L1237" s="22">
        <v>0</v>
      </c>
      <c r="M1237" s="22">
        <v>0</v>
      </c>
      <c r="N1237" s="22">
        <v>0</v>
      </c>
      <c r="O1237" s="22"/>
      <c r="P1237" s="22">
        <v>78.900000000000006</v>
      </c>
      <c r="Q1237" s="22" t="str">
        <f>IF(OR(L1237&lt;$Y$18,L1237&gt;$Y$19),"Outlier","Normal")</f>
        <v>Normal</v>
      </c>
      <c r="R1237" s="26" t="str">
        <f>A1237&amp;B1237&amp;C1237&amp;D1237&amp;E1237&amp;F1237&amp;G1237&amp;H1237&amp;I1237&amp;J1237&amp;K1237&amp;L1237&amp;M1237&amp;N1237&amp;O1237&amp;P1237</f>
        <v>USR-10123645693TreatmentWestMobileUnknownPremium100000078.9</v>
      </c>
      <c r="S1237" s="22" t="str">
        <f>IF(COUNTIF($R$2:$R$1409,R1237)=1,"OK",IF(COUNTIF($R$2:$R$1409,R1237)&gt;1,"Exact Duplicate","Review Required"))</f>
        <v>OK</v>
      </c>
      <c r="T1237" s="22" t="s">
        <v>24</v>
      </c>
      <c r="U1237" s="22"/>
      <c r="V1237" s="22"/>
    </row>
    <row r="1238" spans="1:22" ht="41.4">
      <c r="A1238" s="22" t="s">
        <v>1269</v>
      </c>
      <c r="B1238" s="25">
        <v>45682</v>
      </c>
      <c r="C1238" s="22" t="s">
        <v>723</v>
      </c>
      <c r="D1238" s="22" t="s">
        <v>23</v>
      </c>
      <c r="E1238" s="22" t="s">
        <v>19</v>
      </c>
      <c r="F1238" s="22" t="s">
        <v>20</v>
      </c>
      <c r="G1238" s="22" t="s">
        <v>26</v>
      </c>
      <c r="H1238" s="22">
        <v>1</v>
      </c>
      <c r="I1238" s="22">
        <v>1</v>
      </c>
      <c r="J1238" s="22">
        <v>1</v>
      </c>
      <c r="K1238" s="22">
        <v>1</v>
      </c>
      <c r="L1238" s="22">
        <v>618.91</v>
      </c>
      <c r="M1238" s="22">
        <v>0</v>
      </c>
      <c r="N1238" s="22">
        <v>0</v>
      </c>
      <c r="O1238" s="22">
        <v>4</v>
      </c>
      <c r="P1238" s="22">
        <v>67.8</v>
      </c>
      <c r="Q1238" s="22" t="str">
        <f>IF(OR(L1238&lt;$Y$18,L1238&gt;$Y$19),"Outlier","Normal")</f>
        <v>Normal</v>
      </c>
      <c r="R1238" s="26" t="str">
        <f>A1238&amp;B1238&amp;C1238&amp;D1238&amp;E1238&amp;F1238&amp;G1238&amp;H1238&amp;I1238&amp;J1238&amp;K1238&amp;L1238&amp;M1238&amp;N1238&amp;O1238&amp;P1238</f>
        <v>USR-10123745682TreatmentWestDesktopEmailFree1111618.9100467.8</v>
      </c>
      <c r="S1238" s="22" t="str">
        <f>IF(COUNTIF($R$2:$R$1409,R1238)=1,"OK",IF(COUNTIF($R$2:$R$1409,R1238)&gt;1,"Exact Duplicate","Review Required"))</f>
        <v>OK</v>
      </c>
      <c r="T1238" s="22" t="s">
        <v>19</v>
      </c>
      <c r="U1238" s="22" t="s">
        <v>20</v>
      </c>
      <c r="V1238" s="22"/>
    </row>
    <row r="1239" spans="1:22" ht="41.4">
      <c r="A1239" s="22" t="s">
        <v>1270</v>
      </c>
      <c r="B1239" s="25">
        <v>45757</v>
      </c>
      <c r="C1239" s="22" t="s">
        <v>723</v>
      </c>
      <c r="D1239" s="22" t="s">
        <v>28</v>
      </c>
      <c r="E1239" s="22" t="s">
        <v>24</v>
      </c>
      <c r="F1239" s="22" t="s">
        <v>25</v>
      </c>
      <c r="G1239" s="22" t="s">
        <v>30</v>
      </c>
      <c r="H1239" s="22">
        <v>1</v>
      </c>
      <c r="I1239" s="22">
        <v>0</v>
      </c>
      <c r="J1239" s="22">
        <v>0</v>
      </c>
      <c r="K1239" s="22">
        <v>0</v>
      </c>
      <c r="L1239" s="22">
        <v>0</v>
      </c>
      <c r="M1239" s="22">
        <v>0</v>
      </c>
      <c r="N1239" s="22">
        <v>0</v>
      </c>
      <c r="O1239" s="22"/>
      <c r="P1239" s="22">
        <v>68.8</v>
      </c>
      <c r="Q1239" s="22" t="str">
        <f>IF(OR(L1239&lt;$Y$18,L1239&gt;$Y$19),"Outlier","Normal")</f>
        <v>Normal</v>
      </c>
      <c r="R1239" s="26" t="str">
        <f>A1239&amp;B1239&amp;C1239&amp;D1239&amp;E1239&amp;F1239&amp;G1239&amp;H1239&amp;I1239&amp;J1239&amp;K1239&amp;L1239&amp;M1239&amp;N1239&amp;O1239&amp;P1239</f>
        <v>USR-10123845757TreatmentEastMobileOrganicPremium100000068.8</v>
      </c>
      <c r="S1239" s="22" t="str">
        <f>IF(COUNTIF($R$2:$R$1409,R1239)=1,"OK",IF(COUNTIF($R$2:$R$1409,R1239)&gt;1,"Exact Duplicate","Review Required"))</f>
        <v>OK</v>
      </c>
      <c r="T1239" s="22" t="s">
        <v>24</v>
      </c>
      <c r="U1239" s="22" t="s">
        <v>25</v>
      </c>
      <c r="V1239" s="22"/>
    </row>
    <row r="1240" spans="1:22" ht="41.4">
      <c r="A1240" s="22" t="s">
        <v>1271</v>
      </c>
      <c r="B1240" s="25">
        <v>45667</v>
      </c>
      <c r="C1240" s="22" t="s">
        <v>723</v>
      </c>
      <c r="D1240" s="22" t="s">
        <v>28</v>
      </c>
      <c r="E1240" s="22" t="s">
        <v>24</v>
      </c>
      <c r="F1240" s="22" t="s">
        <v>25</v>
      </c>
      <c r="G1240" s="22" t="s">
        <v>30</v>
      </c>
      <c r="H1240" s="22">
        <v>1</v>
      </c>
      <c r="I1240" s="22">
        <v>0</v>
      </c>
      <c r="J1240" s="22">
        <v>0</v>
      </c>
      <c r="K1240" s="22">
        <v>0</v>
      </c>
      <c r="L1240" s="22">
        <v>0</v>
      </c>
      <c r="M1240" s="22">
        <v>0</v>
      </c>
      <c r="N1240" s="22">
        <v>0</v>
      </c>
      <c r="O1240" s="22"/>
      <c r="P1240" s="22">
        <v>67.7</v>
      </c>
      <c r="Q1240" s="22" t="str">
        <f>IF(OR(L1240&lt;$Y$18,L1240&gt;$Y$19),"Outlier","Normal")</f>
        <v>Normal</v>
      </c>
      <c r="R1240" s="26" t="str">
        <f>A1240&amp;B1240&amp;C1240&amp;D1240&amp;E1240&amp;F1240&amp;G1240&amp;H1240&amp;I1240&amp;J1240&amp;K1240&amp;L1240&amp;M1240&amp;N1240&amp;O1240&amp;P1240</f>
        <v>USR-10123945667TreatmentEastMobileOrganicPremium100000067.7</v>
      </c>
      <c r="S1240" s="22" t="str">
        <f>IF(COUNTIF($R$2:$R$1409,R1240)=1,"OK",IF(COUNTIF($R$2:$R$1409,R1240)&gt;1,"Exact Duplicate","Review Required"))</f>
        <v>OK</v>
      </c>
      <c r="T1240" s="22" t="s">
        <v>24</v>
      </c>
      <c r="U1240" s="22" t="s">
        <v>25</v>
      </c>
      <c r="V1240" s="22"/>
    </row>
    <row r="1241" spans="1:22" ht="41.4">
      <c r="A1241" s="22" t="s">
        <v>1272</v>
      </c>
      <c r="B1241" s="25">
        <v>45711</v>
      </c>
      <c r="C1241" s="22" t="s">
        <v>723</v>
      </c>
      <c r="D1241" s="22" t="s">
        <v>28</v>
      </c>
      <c r="E1241" s="22" t="s">
        <v>24</v>
      </c>
      <c r="F1241" s="22" t="s">
        <v>1482</v>
      </c>
      <c r="G1241" s="22" t="s">
        <v>26</v>
      </c>
      <c r="H1241" s="22">
        <v>0</v>
      </c>
      <c r="I1241" s="22">
        <v>0</v>
      </c>
      <c r="J1241" s="22">
        <v>0</v>
      </c>
      <c r="K1241" s="22">
        <v>0</v>
      </c>
      <c r="L1241" s="22">
        <v>0</v>
      </c>
      <c r="M1241" s="22">
        <v>0</v>
      </c>
      <c r="N1241" s="22">
        <v>0</v>
      </c>
      <c r="O1241" s="22"/>
      <c r="P1241" s="22">
        <v>88</v>
      </c>
      <c r="Q1241" s="22" t="str">
        <f>IF(OR(L1241&lt;$Y$18,L1241&gt;$Y$19),"Outlier","Normal")</f>
        <v>Normal</v>
      </c>
      <c r="R1241" s="26" t="str">
        <f>A1241&amp;B1241&amp;C1241&amp;D1241&amp;E1241&amp;F1241&amp;G1241&amp;H1241&amp;I1241&amp;J1241&amp;K1241&amp;L1241&amp;M1241&amp;N1241&amp;O1241&amp;P1241</f>
        <v>USR-10124045711TreatmentEastMobileUnknownFree000000088</v>
      </c>
      <c r="S1241" s="22" t="str">
        <f>IF(COUNTIF($R$2:$R$1409,R1241)=1,"OK",IF(COUNTIF($R$2:$R$1409,R1241)&gt;1,"Exact Duplicate","Review Required"))</f>
        <v>OK</v>
      </c>
      <c r="T1241" s="22" t="s">
        <v>24</v>
      </c>
      <c r="U1241" s="22"/>
      <c r="V1241" s="22"/>
    </row>
    <row r="1242" spans="1:22" ht="41.4">
      <c r="A1242" s="22" t="s">
        <v>1273</v>
      </c>
      <c r="B1242" s="25">
        <v>45800</v>
      </c>
      <c r="C1242" s="22" t="s">
        <v>723</v>
      </c>
      <c r="D1242" s="22" t="s">
        <v>23</v>
      </c>
      <c r="E1242" s="22" t="s">
        <v>19</v>
      </c>
      <c r="F1242" s="22" t="s">
        <v>25</v>
      </c>
      <c r="G1242" s="22" t="s">
        <v>21</v>
      </c>
      <c r="H1242" s="22">
        <v>1</v>
      </c>
      <c r="I1242" s="22">
        <v>1</v>
      </c>
      <c r="J1242" s="22">
        <v>0</v>
      </c>
      <c r="K1242" s="22">
        <v>0</v>
      </c>
      <c r="L1242" s="22">
        <v>0</v>
      </c>
      <c r="M1242" s="22">
        <v>0</v>
      </c>
      <c r="N1242" s="22">
        <v>0</v>
      </c>
      <c r="O1242" s="22"/>
      <c r="P1242" s="22">
        <v>80.099999999999994</v>
      </c>
      <c r="Q1242" s="22" t="str">
        <f>IF(OR(L1242&lt;$Y$18,L1242&gt;$Y$19),"Outlier","Normal")</f>
        <v>Normal</v>
      </c>
      <c r="R1242" s="26" t="str">
        <f>A1242&amp;B1242&amp;C1242&amp;D1242&amp;E1242&amp;F1242&amp;G1242&amp;H1242&amp;I1242&amp;J1242&amp;K1242&amp;L1242&amp;M1242&amp;N1242&amp;O1242&amp;P1242</f>
        <v>USR-10124145800TreatmentWestDesktopOrganicBasic110000080.1</v>
      </c>
      <c r="S1242" s="22" t="str">
        <f>IF(COUNTIF($R$2:$R$1409,R1242)=1,"OK",IF(COUNTIF($R$2:$R$1409,R1242)&gt;1,"Exact Duplicate","Review Required"))</f>
        <v>OK</v>
      </c>
      <c r="T1242" s="22" t="s">
        <v>19</v>
      </c>
      <c r="U1242" s="22" t="s">
        <v>25</v>
      </c>
      <c r="V1242" s="22"/>
    </row>
    <row r="1243" spans="1:22" ht="41.4">
      <c r="A1243" s="22" t="s">
        <v>1274</v>
      </c>
      <c r="B1243" s="25">
        <v>45724</v>
      </c>
      <c r="C1243" s="22" t="s">
        <v>723</v>
      </c>
      <c r="D1243" s="22" t="s">
        <v>18</v>
      </c>
      <c r="E1243" s="22" t="s">
        <v>34</v>
      </c>
      <c r="F1243" s="22" t="s">
        <v>20</v>
      </c>
      <c r="G1243" s="22" t="s">
        <v>21</v>
      </c>
      <c r="H1243" s="22">
        <v>0</v>
      </c>
      <c r="I1243" s="22">
        <v>0</v>
      </c>
      <c r="J1243" s="22">
        <v>0</v>
      </c>
      <c r="K1243" s="22">
        <v>0</v>
      </c>
      <c r="L1243" s="22">
        <v>0</v>
      </c>
      <c r="M1243" s="22">
        <v>1</v>
      </c>
      <c r="N1243" s="22">
        <v>0</v>
      </c>
      <c r="O1243" s="22"/>
      <c r="P1243" s="22">
        <v>48.2</v>
      </c>
      <c r="Q1243" s="22" t="str">
        <f>IF(OR(L1243&lt;$Y$18,L1243&gt;$Y$19),"Outlier","Normal")</f>
        <v>Normal</v>
      </c>
      <c r="R1243" s="26" t="str">
        <f>A1243&amp;B1243&amp;C1243&amp;D1243&amp;E1243&amp;F1243&amp;G1243&amp;H1243&amp;I1243&amp;J1243&amp;K1243&amp;L1243&amp;M1243&amp;N1243&amp;O1243&amp;P1243</f>
        <v>USR-10124245724TreatmentNorthTabletEmailBasic000001048.2</v>
      </c>
      <c r="S1243" s="22" t="str">
        <f>IF(COUNTIF($R$2:$R$1409,R1243)=1,"OK",IF(COUNTIF($R$2:$R$1409,R1243)&gt;1,"Exact Duplicate","Review Required"))</f>
        <v>OK</v>
      </c>
      <c r="T1243" s="22" t="s">
        <v>34</v>
      </c>
      <c r="U1243" s="22" t="s">
        <v>20</v>
      </c>
      <c r="V1243" s="22"/>
    </row>
    <row r="1244" spans="1:22" ht="41.4">
      <c r="A1244" s="22" t="s">
        <v>1275</v>
      </c>
      <c r="B1244" s="25">
        <v>45798</v>
      </c>
      <c r="C1244" s="22" t="s">
        <v>723</v>
      </c>
      <c r="D1244" s="22" t="s">
        <v>28</v>
      </c>
      <c r="E1244" s="22" t="s">
        <v>24</v>
      </c>
      <c r="F1244" s="22" t="s">
        <v>25</v>
      </c>
      <c r="G1244" s="22" t="s">
        <v>21</v>
      </c>
      <c r="H1244" s="22">
        <v>1</v>
      </c>
      <c r="I1244" s="22">
        <v>0</v>
      </c>
      <c r="J1244" s="22">
        <v>0</v>
      </c>
      <c r="K1244" s="22">
        <v>0</v>
      </c>
      <c r="L1244" s="22">
        <v>0</v>
      </c>
      <c r="M1244" s="22">
        <v>0</v>
      </c>
      <c r="N1244" s="22">
        <v>0</v>
      </c>
      <c r="O1244" s="22"/>
      <c r="P1244" s="22">
        <v>52.7</v>
      </c>
      <c r="Q1244" s="22" t="str">
        <f>IF(OR(L1244&lt;$Y$18,L1244&gt;$Y$19),"Outlier","Normal")</f>
        <v>Normal</v>
      </c>
      <c r="R1244" s="26" t="str">
        <f>A1244&amp;B1244&amp;C1244&amp;D1244&amp;E1244&amp;F1244&amp;G1244&amp;H1244&amp;I1244&amp;J1244&amp;K1244&amp;L1244&amp;M1244&amp;N1244&amp;O1244&amp;P1244</f>
        <v>USR-10124345798TreatmentEastMobileOrganicBasic100000052.7</v>
      </c>
      <c r="S1244" s="22" t="str">
        <f>IF(COUNTIF($R$2:$R$1409,R1244)=1,"OK",IF(COUNTIF($R$2:$R$1409,R1244)&gt;1,"Exact Duplicate","Review Required"))</f>
        <v>OK</v>
      </c>
      <c r="T1244" s="22" t="s">
        <v>24</v>
      </c>
      <c r="U1244" s="22" t="s">
        <v>25</v>
      </c>
      <c r="V1244" s="22"/>
    </row>
    <row r="1245" spans="1:22" ht="41.4">
      <c r="A1245" s="22" t="s">
        <v>1276</v>
      </c>
      <c r="B1245" s="25">
        <v>45769</v>
      </c>
      <c r="C1245" s="22" t="s">
        <v>723</v>
      </c>
      <c r="D1245" s="22" t="s">
        <v>18</v>
      </c>
      <c r="E1245" s="22" t="s">
        <v>24</v>
      </c>
      <c r="F1245" s="22" t="s">
        <v>20</v>
      </c>
      <c r="G1245" s="22" t="s">
        <v>21</v>
      </c>
      <c r="H1245" s="22">
        <v>1</v>
      </c>
      <c r="I1245" s="22">
        <v>1</v>
      </c>
      <c r="J1245" s="22">
        <v>0</v>
      </c>
      <c r="K1245" s="22">
        <v>0</v>
      </c>
      <c r="L1245" s="22">
        <v>0</v>
      </c>
      <c r="M1245" s="22">
        <v>0</v>
      </c>
      <c r="N1245" s="22">
        <v>0</v>
      </c>
      <c r="O1245" s="22"/>
      <c r="P1245" s="22">
        <v>59.9</v>
      </c>
      <c r="Q1245" s="22" t="str">
        <f>IF(OR(L1245&lt;$Y$18,L1245&gt;$Y$19),"Outlier","Normal")</f>
        <v>Normal</v>
      </c>
      <c r="R1245" s="26" t="str">
        <f>A1245&amp;B1245&amp;C1245&amp;D1245&amp;E1245&amp;F1245&amp;G1245&amp;H1245&amp;I1245&amp;J1245&amp;K1245&amp;L1245&amp;M1245&amp;N1245&amp;O1245&amp;P1245</f>
        <v>USR-10124445769TreatmentNorthMobileEmailBasic110000059.9</v>
      </c>
      <c r="S1245" s="22" t="str">
        <f>IF(COUNTIF($R$2:$R$1409,R1245)=1,"OK",IF(COUNTIF($R$2:$R$1409,R1245)&gt;1,"Exact Duplicate","Review Required"))</f>
        <v>OK</v>
      </c>
      <c r="T1245" s="22" t="s">
        <v>24</v>
      </c>
      <c r="U1245" s="22" t="s">
        <v>20</v>
      </c>
      <c r="V1245" s="22"/>
    </row>
    <row r="1246" spans="1:22" ht="41.4">
      <c r="A1246" s="22" t="s">
        <v>1277</v>
      </c>
      <c r="B1246" s="25">
        <v>45763</v>
      </c>
      <c r="C1246" s="22" t="s">
        <v>723</v>
      </c>
      <c r="D1246" s="22" t="s">
        <v>18</v>
      </c>
      <c r="E1246" s="22" t="s">
        <v>24</v>
      </c>
      <c r="F1246" s="22" t="s">
        <v>20</v>
      </c>
      <c r="G1246" s="22" t="s">
        <v>30</v>
      </c>
      <c r="H1246" s="22">
        <v>1</v>
      </c>
      <c r="I1246" s="22">
        <v>0</v>
      </c>
      <c r="J1246" s="22">
        <v>0</v>
      </c>
      <c r="K1246" s="22">
        <v>0</v>
      </c>
      <c r="L1246" s="22">
        <v>0</v>
      </c>
      <c r="M1246" s="22">
        <v>0</v>
      </c>
      <c r="N1246" s="22">
        <v>0</v>
      </c>
      <c r="O1246" s="22"/>
      <c r="P1246" s="22">
        <v>49.5</v>
      </c>
      <c r="Q1246" s="22" t="str">
        <f>IF(OR(L1246&lt;$Y$18,L1246&gt;$Y$19),"Outlier","Normal")</f>
        <v>Normal</v>
      </c>
      <c r="R1246" s="26" t="str">
        <f>A1246&amp;B1246&amp;C1246&amp;D1246&amp;E1246&amp;F1246&amp;G1246&amp;H1246&amp;I1246&amp;J1246&amp;K1246&amp;L1246&amp;M1246&amp;N1246&amp;O1246&amp;P1246</f>
        <v>USR-10124545763TreatmentNorthMobileEmailPremium100000049.5</v>
      </c>
      <c r="S1246" s="22" t="str">
        <f>IF(COUNTIF($R$2:$R$1409,R1246)=1,"OK",IF(COUNTIF($R$2:$R$1409,R1246)&gt;1,"Exact Duplicate","Review Required"))</f>
        <v>OK</v>
      </c>
      <c r="T1246" s="22" t="s">
        <v>24</v>
      </c>
      <c r="U1246" s="22" t="s">
        <v>20</v>
      </c>
      <c r="V1246" s="22"/>
    </row>
    <row r="1247" spans="1:22" ht="41.4">
      <c r="A1247" s="22" t="s">
        <v>1278</v>
      </c>
      <c r="B1247" s="25">
        <v>45785</v>
      </c>
      <c r="C1247" s="22" t="s">
        <v>723</v>
      </c>
      <c r="D1247" s="22" t="s">
        <v>18</v>
      </c>
      <c r="E1247" s="22" t="s">
        <v>34</v>
      </c>
      <c r="F1247" s="22" t="s">
        <v>25</v>
      </c>
      <c r="G1247" s="22" t="s">
        <v>26</v>
      </c>
      <c r="H1247" s="22">
        <v>1</v>
      </c>
      <c r="I1247" s="22">
        <v>0</v>
      </c>
      <c r="J1247" s="22">
        <v>0</v>
      </c>
      <c r="K1247" s="22">
        <v>0</v>
      </c>
      <c r="L1247" s="22">
        <v>0</v>
      </c>
      <c r="M1247" s="22">
        <v>0</v>
      </c>
      <c r="N1247" s="22">
        <v>0</v>
      </c>
      <c r="O1247" s="22"/>
      <c r="P1247" s="22">
        <v>41.5</v>
      </c>
      <c r="Q1247" s="22" t="str">
        <f>IF(OR(L1247&lt;$Y$18,L1247&gt;$Y$19),"Outlier","Normal")</f>
        <v>Normal</v>
      </c>
      <c r="R1247" s="26" t="str">
        <f>A1247&amp;B1247&amp;C1247&amp;D1247&amp;E1247&amp;F1247&amp;G1247&amp;H1247&amp;I1247&amp;J1247&amp;K1247&amp;L1247&amp;M1247&amp;N1247&amp;O1247&amp;P1247</f>
        <v>USR-10124645785TreatmentNorthTabletOrganicFree100000041.5</v>
      </c>
      <c r="S1247" s="22" t="str">
        <f>IF(COUNTIF($R$2:$R$1409,R1247)=1,"OK",IF(COUNTIF($R$2:$R$1409,R1247)&gt;1,"Exact Duplicate","Review Required"))</f>
        <v>OK</v>
      </c>
      <c r="T1247" s="22" t="s">
        <v>34</v>
      </c>
      <c r="U1247" s="22" t="s">
        <v>25</v>
      </c>
      <c r="V1247" s="22"/>
    </row>
    <row r="1248" spans="1:22" ht="41.4">
      <c r="A1248" s="22" t="s">
        <v>1279</v>
      </c>
      <c r="B1248" s="25">
        <v>45799</v>
      </c>
      <c r="C1248" s="22" t="s">
        <v>723</v>
      </c>
      <c r="D1248" s="22" t="s">
        <v>18</v>
      </c>
      <c r="E1248" s="22" t="s">
        <v>24</v>
      </c>
      <c r="F1248" s="22" t="s">
        <v>29</v>
      </c>
      <c r="G1248" s="22" t="s">
        <v>21</v>
      </c>
      <c r="H1248" s="22">
        <v>1</v>
      </c>
      <c r="I1248" s="22">
        <v>0</v>
      </c>
      <c r="J1248" s="22">
        <v>0</v>
      </c>
      <c r="K1248" s="22">
        <v>0</v>
      </c>
      <c r="L1248" s="22">
        <v>0</v>
      </c>
      <c r="M1248" s="22">
        <v>0</v>
      </c>
      <c r="N1248" s="22">
        <v>0</v>
      </c>
      <c r="O1248" s="22"/>
      <c r="P1248" s="22">
        <v>71.2</v>
      </c>
      <c r="Q1248" s="22" t="str">
        <f>IF(OR(L1248&lt;$Y$18,L1248&gt;$Y$19),"Outlier","Normal")</f>
        <v>Normal</v>
      </c>
      <c r="R1248" s="26" t="str">
        <f>A1248&amp;B1248&amp;C1248&amp;D1248&amp;E1248&amp;F1248&amp;G1248&amp;H1248&amp;I1248&amp;J1248&amp;K1248&amp;L1248&amp;M1248&amp;N1248&amp;O1248&amp;P1248</f>
        <v>USR-10124745799TreatmentNorthMobilePaid SearchBasic100000071.2</v>
      </c>
      <c r="S1248" s="22" t="str">
        <f>IF(COUNTIF($R$2:$R$1409,R1248)=1,"OK",IF(COUNTIF($R$2:$R$1409,R1248)&gt;1,"Exact Duplicate","Review Required"))</f>
        <v>OK</v>
      </c>
      <c r="T1248" s="22" t="s">
        <v>24</v>
      </c>
      <c r="U1248" s="22" t="s">
        <v>29</v>
      </c>
      <c r="V1248" s="22"/>
    </row>
    <row r="1249" spans="1:22" ht="41.4">
      <c r="A1249" s="22" t="s">
        <v>1280</v>
      </c>
      <c r="B1249" s="25">
        <v>45737</v>
      </c>
      <c r="C1249" s="22" t="s">
        <v>723</v>
      </c>
      <c r="D1249" s="22" t="s">
        <v>18</v>
      </c>
      <c r="E1249" s="22" t="s">
        <v>24</v>
      </c>
      <c r="F1249" s="22" t="s">
        <v>39</v>
      </c>
      <c r="G1249" s="22" t="s">
        <v>21</v>
      </c>
      <c r="H1249" s="22">
        <v>1</v>
      </c>
      <c r="I1249" s="22">
        <v>1</v>
      </c>
      <c r="J1249" s="22">
        <v>1</v>
      </c>
      <c r="K1249" s="22">
        <v>0</v>
      </c>
      <c r="L1249" s="22">
        <v>0</v>
      </c>
      <c r="M1249" s="22">
        <v>0</v>
      </c>
      <c r="N1249" s="22">
        <v>0</v>
      </c>
      <c r="O1249" s="22"/>
      <c r="P1249" s="22">
        <v>65.8</v>
      </c>
      <c r="Q1249" s="22" t="str">
        <f>IF(OR(L1249&lt;$Y$18,L1249&gt;$Y$19),"Outlier","Normal")</f>
        <v>Normal</v>
      </c>
      <c r="R1249" s="26" t="str">
        <f>A1249&amp;B1249&amp;C1249&amp;D1249&amp;E1249&amp;F1249&amp;G1249&amp;H1249&amp;I1249&amp;J1249&amp;K1249&amp;L1249&amp;M1249&amp;N1249&amp;O1249&amp;P1249</f>
        <v>USR-10124845737TreatmentNorthMobileReferralBasic111000065.8</v>
      </c>
      <c r="S1249" s="22" t="str">
        <f>IF(COUNTIF($R$2:$R$1409,R1249)=1,"OK",IF(COUNTIF($R$2:$R$1409,R1249)&gt;1,"Exact Duplicate","Review Required"))</f>
        <v>OK</v>
      </c>
      <c r="T1249" s="22" t="s">
        <v>24</v>
      </c>
      <c r="U1249" s="22" t="s">
        <v>39</v>
      </c>
      <c r="V1249" s="22"/>
    </row>
    <row r="1250" spans="1:22" ht="41.4">
      <c r="A1250" s="22" t="s">
        <v>1281</v>
      </c>
      <c r="B1250" s="25">
        <v>45738</v>
      </c>
      <c r="C1250" s="22" t="s">
        <v>723</v>
      </c>
      <c r="D1250" s="22" t="s">
        <v>28</v>
      </c>
      <c r="E1250" s="22" t="s">
        <v>24</v>
      </c>
      <c r="F1250" s="22" t="s">
        <v>25</v>
      </c>
      <c r="G1250" s="22" t="s">
        <v>21</v>
      </c>
      <c r="H1250" s="22">
        <v>1</v>
      </c>
      <c r="I1250" s="22">
        <v>0</v>
      </c>
      <c r="J1250" s="22">
        <v>0</v>
      </c>
      <c r="K1250" s="22">
        <v>0</v>
      </c>
      <c r="L1250" s="22">
        <v>0</v>
      </c>
      <c r="M1250" s="22">
        <v>1</v>
      </c>
      <c r="N1250" s="22">
        <v>0</v>
      </c>
      <c r="O1250" s="22"/>
      <c r="P1250" s="22">
        <v>55.1</v>
      </c>
      <c r="Q1250" s="22" t="str">
        <f>IF(OR(L1250&lt;$Y$18,L1250&gt;$Y$19),"Outlier","Normal")</f>
        <v>Normal</v>
      </c>
      <c r="R1250" s="26" t="str">
        <f>A1250&amp;B1250&amp;C1250&amp;D1250&amp;E1250&amp;F1250&amp;G1250&amp;H1250&amp;I1250&amp;J1250&amp;K1250&amp;L1250&amp;M1250&amp;N1250&amp;O1250&amp;P1250</f>
        <v>USR-10124945738TreatmentEastMobileOrganicBasic100001055.1</v>
      </c>
      <c r="S1250" s="22" t="str">
        <f>IF(COUNTIF($R$2:$R$1409,R1250)=1,"OK",IF(COUNTIF($R$2:$R$1409,R1250)&gt;1,"Exact Duplicate","Review Required"))</f>
        <v>OK</v>
      </c>
      <c r="T1250" s="22" t="s">
        <v>24</v>
      </c>
      <c r="U1250" s="22" t="s">
        <v>25</v>
      </c>
      <c r="V1250" s="22"/>
    </row>
    <row r="1251" spans="1:22" ht="41.4">
      <c r="A1251" s="22" t="s">
        <v>1282</v>
      </c>
      <c r="B1251" s="25">
        <v>45667</v>
      </c>
      <c r="C1251" s="22" t="s">
        <v>723</v>
      </c>
      <c r="D1251" s="22" t="s">
        <v>23</v>
      </c>
      <c r="E1251" s="22" t="s">
        <v>19</v>
      </c>
      <c r="F1251" s="22" t="s">
        <v>41</v>
      </c>
      <c r="G1251" s="22" t="s">
        <v>26</v>
      </c>
      <c r="H1251" s="22">
        <v>1</v>
      </c>
      <c r="I1251" s="22">
        <v>0</v>
      </c>
      <c r="J1251" s="22">
        <v>0</v>
      </c>
      <c r="K1251" s="22">
        <v>0</v>
      </c>
      <c r="L1251" s="22">
        <v>0</v>
      </c>
      <c r="M1251" s="22">
        <v>0</v>
      </c>
      <c r="N1251" s="22">
        <v>0</v>
      </c>
      <c r="O1251" s="22"/>
      <c r="P1251" s="22">
        <v>54.6</v>
      </c>
      <c r="Q1251" s="22" t="str">
        <f>IF(OR(L1251&lt;$Y$18,L1251&gt;$Y$19),"Outlier","Normal")</f>
        <v>Normal</v>
      </c>
      <c r="R1251" s="26" t="str">
        <f>A1251&amp;B1251&amp;C1251&amp;D1251&amp;E1251&amp;F1251&amp;G1251&amp;H1251&amp;I1251&amp;J1251&amp;K1251&amp;L1251&amp;M1251&amp;N1251&amp;O1251&amp;P1251</f>
        <v>USR-10125045667TreatmentWestDesktopSocialFree100000054.6</v>
      </c>
      <c r="S1251" s="22" t="str">
        <f>IF(COUNTIF($R$2:$R$1409,R1251)=1,"OK",IF(COUNTIF($R$2:$R$1409,R1251)&gt;1,"Exact Duplicate","Review Required"))</f>
        <v>OK</v>
      </c>
      <c r="T1251" s="22" t="s">
        <v>19</v>
      </c>
      <c r="U1251" s="22" t="s">
        <v>41</v>
      </c>
      <c r="V1251" s="22"/>
    </row>
    <row r="1252" spans="1:22" ht="41.4">
      <c r="A1252" s="22" t="s">
        <v>1283</v>
      </c>
      <c r="B1252" s="25">
        <v>45689</v>
      </c>
      <c r="C1252" s="22" t="s">
        <v>723</v>
      </c>
      <c r="D1252" s="22" t="s">
        <v>28</v>
      </c>
      <c r="E1252" s="22" t="s">
        <v>24</v>
      </c>
      <c r="F1252" s="22" t="s">
        <v>25</v>
      </c>
      <c r="G1252" s="22" t="s">
        <v>21</v>
      </c>
      <c r="H1252" s="22">
        <v>1</v>
      </c>
      <c r="I1252" s="22">
        <v>1</v>
      </c>
      <c r="J1252" s="22">
        <v>1</v>
      </c>
      <c r="K1252" s="22">
        <v>1</v>
      </c>
      <c r="L1252" s="22">
        <v>923.67</v>
      </c>
      <c r="M1252" s="22">
        <v>0</v>
      </c>
      <c r="N1252" s="22">
        <v>0</v>
      </c>
      <c r="O1252" s="22">
        <v>4</v>
      </c>
      <c r="P1252" s="22">
        <v>81.900000000000006</v>
      </c>
      <c r="Q1252" s="22" t="str">
        <f>IF(OR(L1252&lt;$Y$18,L1252&gt;$Y$19),"Outlier","Normal")</f>
        <v>Normal</v>
      </c>
      <c r="R1252" s="26" t="str">
        <f>A1252&amp;B1252&amp;C1252&amp;D1252&amp;E1252&amp;F1252&amp;G1252&amp;H1252&amp;I1252&amp;J1252&amp;K1252&amp;L1252&amp;M1252&amp;N1252&amp;O1252&amp;P1252</f>
        <v>USR-10125145689TreatmentEastMobileOrganicBasic1111923.6700481.9</v>
      </c>
      <c r="S1252" s="22" t="str">
        <f>IF(COUNTIF($R$2:$R$1409,R1252)=1,"OK",IF(COUNTIF($R$2:$R$1409,R1252)&gt;1,"Exact Duplicate","Review Required"))</f>
        <v>OK</v>
      </c>
      <c r="T1252" s="22" t="s">
        <v>24</v>
      </c>
      <c r="U1252" s="22" t="s">
        <v>25</v>
      </c>
      <c r="V1252" s="22"/>
    </row>
    <row r="1253" spans="1:22" ht="41.4">
      <c r="A1253" s="22" t="s">
        <v>1284</v>
      </c>
      <c r="B1253" s="25">
        <v>45747</v>
      </c>
      <c r="C1253" s="22" t="s">
        <v>723</v>
      </c>
      <c r="D1253" s="22" t="s">
        <v>32</v>
      </c>
      <c r="E1253" s="22" t="s">
        <v>24</v>
      </c>
      <c r="F1253" s="22" t="s">
        <v>29</v>
      </c>
      <c r="G1253" s="22" t="s">
        <v>21</v>
      </c>
      <c r="H1253" s="22">
        <v>1</v>
      </c>
      <c r="I1253" s="22">
        <v>1</v>
      </c>
      <c r="J1253" s="22">
        <v>0</v>
      </c>
      <c r="K1253" s="22">
        <v>0</v>
      </c>
      <c r="L1253" s="22">
        <v>0</v>
      </c>
      <c r="M1253" s="22">
        <v>3</v>
      </c>
      <c r="N1253" s="22">
        <v>0</v>
      </c>
      <c r="O1253" s="22"/>
      <c r="P1253" s="22">
        <v>63.2</v>
      </c>
      <c r="Q1253" s="22" t="str">
        <f>IF(OR(L1253&lt;$Y$18,L1253&gt;$Y$19),"Outlier","Normal")</f>
        <v>Normal</v>
      </c>
      <c r="R1253" s="26" t="str">
        <f>A1253&amp;B1253&amp;C1253&amp;D1253&amp;E1253&amp;F1253&amp;G1253&amp;H1253&amp;I1253&amp;J1253&amp;K1253&amp;L1253&amp;M1253&amp;N1253&amp;O1253&amp;P1253</f>
        <v>USR-10125245747TreatmentSouthMobilePaid SearchBasic110003063.2</v>
      </c>
      <c r="S1253" s="22" t="str">
        <f>IF(COUNTIF($R$2:$R$1409,R1253)=1,"OK",IF(COUNTIF($R$2:$R$1409,R1253)&gt;1,"Exact Duplicate","Review Required"))</f>
        <v>OK</v>
      </c>
      <c r="T1253" s="22" t="s">
        <v>24</v>
      </c>
      <c r="U1253" s="22" t="s">
        <v>29</v>
      </c>
      <c r="V1253" s="22"/>
    </row>
    <row r="1254" spans="1:22" ht="41.4">
      <c r="A1254" s="22" t="s">
        <v>1285</v>
      </c>
      <c r="B1254" s="25">
        <v>45772</v>
      </c>
      <c r="C1254" s="22" t="s">
        <v>723</v>
      </c>
      <c r="D1254" s="22" t="s">
        <v>18</v>
      </c>
      <c r="E1254" s="22" t="s">
        <v>24</v>
      </c>
      <c r="F1254" s="22" t="s">
        <v>29</v>
      </c>
      <c r="G1254" s="22" t="s">
        <v>26</v>
      </c>
      <c r="H1254" s="22">
        <v>1</v>
      </c>
      <c r="I1254" s="22">
        <v>0</v>
      </c>
      <c r="J1254" s="22">
        <v>0</v>
      </c>
      <c r="K1254" s="22">
        <v>0</v>
      </c>
      <c r="L1254" s="22">
        <v>0</v>
      </c>
      <c r="M1254" s="22">
        <v>0</v>
      </c>
      <c r="N1254" s="22">
        <v>0</v>
      </c>
      <c r="O1254" s="22"/>
      <c r="P1254" s="22">
        <v>55.4</v>
      </c>
      <c r="Q1254" s="22" t="str">
        <f>IF(OR(L1254&lt;$Y$18,L1254&gt;$Y$19),"Outlier","Normal")</f>
        <v>Normal</v>
      </c>
      <c r="R1254" s="26" t="str">
        <f>A1254&amp;B1254&amp;C1254&amp;D1254&amp;E1254&amp;F1254&amp;G1254&amp;H1254&amp;I1254&amp;J1254&amp;K1254&amp;L1254&amp;M1254&amp;N1254&amp;O1254&amp;P1254</f>
        <v>USR-10125345772TreatmentNorthMobilePaid SearchFree100000055.4</v>
      </c>
      <c r="S1254" s="22" t="str">
        <f>IF(COUNTIF($R$2:$R$1409,R1254)=1,"OK",IF(COUNTIF($R$2:$R$1409,R1254)&gt;1,"Exact Duplicate","Review Required"))</f>
        <v>OK</v>
      </c>
      <c r="T1254" s="22" t="s">
        <v>24</v>
      </c>
      <c r="U1254" s="22" t="s">
        <v>29</v>
      </c>
      <c r="V1254" s="22"/>
    </row>
    <row r="1255" spans="1:22" ht="41.4">
      <c r="A1255" s="22" t="s">
        <v>1286</v>
      </c>
      <c r="B1255" s="25">
        <v>45779</v>
      </c>
      <c r="C1255" s="22" t="s">
        <v>723</v>
      </c>
      <c r="D1255" s="22" t="s">
        <v>23</v>
      </c>
      <c r="E1255" s="22" t="s">
        <v>24</v>
      </c>
      <c r="F1255" s="22" t="s">
        <v>41</v>
      </c>
      <c r="G1255" s="22" t="s">
        <v>21</v>
      </c>
      <c r="H1255" s="22">
        <v>0</v>
      </c>
      <c r="I1255" s="22">
        <v>0</v>
      </c>
      <c r="J1255" s="22">
        <v>0</v>
      </c>
      <c r="K1255" s="22">
        <v>0</v>
      </c>
      <c r="L1255" s="22">
        <v>0</v>
      </c>
      <c r="M1255" s="22">
        <v>0</v>
      </c>
      <c r="N1255" s="22">
        <v>0</v>
      </c>
      <c r="O1255" s="22"/>
      <c r="P1255" s="22">
        <v>87.5</v>
      </c>
      <c r="Q1255" s="22" t="str">
        <f>IF(OR(L1255&lt;$Y$18,L1255&gt;$Y$19),"Outlier","Normal")</f>
        <v>Normal</v>
      </c>
      <c r="R1255" s="26" t="str">
        <f>A1255&amp;B1255&amp;C1255&amp;D1255&amp;E1255&amp;F1255&amp;G1255&amp;H1255&amp;I1255&amp;J1255&amp;K1255&amp;L1255&amp;M1255&amp;N1255&amp;O1255&amp;P1255</f>
        <v>USR-10125445779TreatmentWestMobileSocialBasic000000087.5</v>
      </c>
      <c r="S1255" s="22" t="str">
        <f>IF(COUNTIF($R$2:$R$1409,R1255)=1,"OK",IF(COUNTIF($R$2:$R$1409,R1255)&gt;1,"Exact Duplicate","Review Required"))</f>
        <v>OK</v>
      </c>
      <c r="T1255" s="22" t="s">
        <v>24</v>
      </c>
      <c r="U1255" s="22" t="s">
        <v>41</v>
      </c>
      <c r="V1255" s="22"/>
    </row>
    <row r="1256" spans="1:22" ht="41.4">
      <c r="A1256" s="22" t="s">
        <v>1287</v>
      </c>
      <c r="B1256" s="25">
        <v>45724</v>
      </c>
      <c r="C1256" s="22" t="s">
        <v>723</v>
      </c>
      <c r="D1256" s="22" t="s">
        <v>32</v>
      </c>
      <c r="E1256" s="22" t="s">
        <v>19</v>
      </c>
      <c r="F1256" s="22" t="s">
        <v>41</v>
      </c>
      <c r="G1256" s="22" t="s">
        <v>21</v>
      </c>
      <c r="H1256" s="22">
        <v>1</v>
      </c>
      <c r="I1256" s="22">
        <v>0</v>
      </c>
      <c r="J1256" s="22">
        <v>0</v>
      </c>
      <c r="K1256" s="22">
        <v>0</v>
      </c>
      <c r="L1256" s="22">
        <v>0</v>
      </c>
      <c r="M1256" s="22">
        <v>0</v>
      </c>
      <c r="N1256" s="22">
        <v>0</v>
      </c>
      <c r="O1256" s="22"/>
      <c r="P1256" s="22">
        <v>48.5</v>
      </c>
      <c r="Q1256" s="22" t="str">
        <f>IF(OR(L1256&lt;$Y$18,L1256&gt;$Y$19),"Outlier","Normal")</f>
        <v>Normal</v>
      </c>
      <c r="R1256" s="26" t="str">
        <f>A1256&amp;B1256&amp;C1256&amp;D1256&amp;E1256&amp;F1256&amp;G1256&amp;H1256&amp;I1256&amp;J1256&amp;K1256&amp;L1256&amp;M1256&amp;N1256&amp;O1256&amp;P1256</f>
        <v>USR-10125545724TreatmentSouthDesktopSocialBasic100000048.5</v>
      </c>
      <c r="S1256" s="22" t="str">
        <f>IF(COUNTIF($R$2:$R$1409,R1256)=1,"OK",IF(COUNTIF($R$2:$R$1409,R1256)&gt;1,"Exact Duplicate","Review Required"))</f>
        <v>OK</v>
      </c>
      <c r="T1256" s="22" t="s">
        <v>19</v>
      </c>
      <c r="U1256" s="22" t="s">
        <v>41</v>
      </c>
      <c r="V1256" s="22"/>
    </row>
    <row r="1257" spans="1:22" ht="41.4">
      <c r="A1257" s="22" t="s">
        <v>1288</v>
      </c>
      <c r="B1257" s="25">
        <v>45684</v>
      </c>
      <c r="C1257" s="22" t="s">
        <v>723</v>
      </c>
      <c r="D1257" s="22" t="s">
        <v>28</v>
      </c>
      <c r="E1257" s="22" t="s">
        <v>19</v>
      </c>
      <c r="F1257" s="22" t="s">
        <v>1482</v>
      </c>
      <c r="G1257" s="22" t="s">
        <v>26</v>
      </c>
      <c r="H1257" s="22">
        <v>1</v>
      </c>
      <c r="I1257" s="22">
        <v>1</v>
      </c>
      <c r="J1257" s="22">
        <v>1</v>
      </c>
      <c r="K1257" s="22">
        <v>1</v>
      </c>
      <c r="L1257" s="22">
        <v>420.27</v>
      </c>
      <c r="M1257" s="22">
        <v>0</v>
      </c>
      <c r="N1257" s="22">
        <v>0</v>
      </c>
      <c r="O1257" s="22">
        <v>6</v>
      </c>
      <c r="P1257" s="22">
        <v>58.4</v>
      </c>
      <c r="Q1257" s="22" t="str">
        <f>IF(OR(L1257&lt;$Y$18,L1257&gt;$Y$19),"Outlier","Normal")</f>
        <v>Normal</v>
      </c>
      <c r="R1257" s="26" t="str">
        <f>A1257&amp;B1257&amp;C1257&amp;D1257&amp;E1257&amp;F1257&amp;G1257&amp;H1257&amp;I1257&amp;J1257&amp;K1257&amp;L1257&amp;M1257&amp;N1257&amp;O1257&amp;P1257</f>
        <v>USR-10125645684TreatmentEastDesktopUnknownFree1111420.2700658.4</v>
      </c>
      <c r="S1257" s="22" t="str">
        <f>IF(COUNTIF($R$2:$R$1409,R1257)=1,"OK",IF(COUNTIF($R$2:$R$1409,R1257)&gt;1,"Exact Duplicate","Review Required"))</f>
        <v>OK</v>
      </c>
      <c r="T1257" s="22" t="s">
        <v>19</v>
      </c>
      <c r="U1257" s="22"/>
      <c r="V1257" s="22"/>
    </row>
    <row r="1258" spans="1:22" ht="41.4">
      <c r="A1258" s="22" t="s">
        <v>1289</v>
      </c>
      <c r="B1258" s="25">
        <v>45774</v>
      </c>
      <c r="C1258" s="22" t="s">
        <v>723</v>
      </c>
      <c r="D1258" s="22" t="s">
        <v>23</v>
      </c>
      <c r="E1258" s="22" t="s">
        <v>24</v>
      </c>
      <c r="F1258" s="22" t="s">
        <v>29</v>
      </c>
      <c r="G1258" s="22" t="s">
        <v>26</v>
      </c>
      <c r="H1258" s="22">
        <v>0</v>
      </c>
      <c r="I1258" s="22">
        <v>0</v>
      </c>
      <c r="J1258" s="22">
        <v>0</v>
      </c>
      <c r="K1258" s="22">
        <v>0</v>
      </c>
      <c r="L1258" s="22">
        <v>0</v>
      </c>
      <c r="M1258" s="22">
        <v>0</v>
      </c>
      <c r="N1258" s="22">
        <v>0</v>
      </c>
      <c r="O1258" s="22"/>
      <c r="P1258" s="22">
        <v>59.5</v>
      </c>
      <c r="Q1258" s="22" t="str">
        <f>IF(OR(L1258&lt;$Y$18,L1258&gt;$Y$19),"Outlier","Normal")</f>
        <v>Normal</v>
      </c>
      <c r="R1258" s="26" t="str">
        <f>A1258&amp;B1258&amp;C1258&amp;D1258&amp;E1258&amp;F1258&amp;G1258&amp;H1258&amp;I1258&amp;J1258&amp;K1258&amp;L1258&amp;M1258&amp;N1258&amp;O1258&amp;P1258</f>
        <v>USR-10125745774TreatmentWestMobilePaid SearchFree000000059.5</v>
      </c>
      <c r="S1258" s="22" t="str">
        <f>IF(COUNTIF($R$2:$R$1409,R1258)=1,"OK",IF(COUNTIF($R$2:$R$1409,R1258)&gt;1,"Exact Duplicate","Review Required"))</f>
        <v>OK</v>
      </c>
      <c r="T1258" s="22" t="s">
        <v>24</v>
      </c>
      <c r="U1258" s="22" t="s">
        <v>29</v>
      </c>
      <c r="V1258" s="22"/>
    </row>
    <row r="1259" spans="1:22" ht="41.4">
      <c r="A1259" s="22" t="s">
        <v>1290</v>
      </c>
      <c r="B1259" s="25">
        <v>45673</v>
      </c>
      <c r="C1259" s="22" t="s">
        <v>723</v>
      </c>
      <c r="D1259" s="22" t="s">
        <v>23</v>
      </c>
      <c r="E1259" s="22" t="s">
        <v>19</v>
      </c>
      <c r="F1259" s="22" t="s">
        <v>29</v>
      </c>
      <c r="G1259" s="22" t="s">
        <v>21</v>
      </c>
      <c r="H1259" s="22">
        <v>1</v>
      </c>
      <c r="I1259" s="22">
        <v>0</v>
      </c>
      <c r="J1259" s="22">
        <v>0</v>
      </c>
      <c r="K1259" s="22">
        <v>0</v>
      </c>
      <c r="L1259" s="22">
        <v>0</v>
      </c>
      <c r="M1259" s="22">
        <v>0</v>
      </c>
      <c r="N1259" s="22">
        <v>0</v>
      </c>
      <c r="O1259" s="22"/>
      <c r="P1259" s="22">
        <v>93.2</v>
      </c>
      <c r="Q1259" s="22" t="str">
        <f>IF(OR(L1259&lt;$Y$18,L1259&gt;$Y$19),"Outlier","Normal")</f>
        <v>Normal</v>
      </c>
      <c r="R1259" s="26" t="str">
        <f>A1259&amp;B1259&amp;C1259&amp;D1259&amp;E1259&amp;F1259&amp;G1259&amp;H1259&amp;I1259&amp;J1259&amp;K1259&amp;L1259&amp;M1259&amp;N1259&amp;O1259&amp;P1259</f>
        <v>USR-10125845673TreatmentWestDesktopPaid SearchBasic100000093.2</v>
      </c>
      <c r="S1259" s="22" t="str">
        <f>IF(COUNTIF($R$2:$R$1409,R1259)=1,"OK",IF(COUNTIF($R$2:$R$1409,R1259)&gt;1,"Exact Duplicate","Review Required"))</f>
        <v>OK</v>
      </c>
      <c r="T1259" s="22" t="s">
        <v>19</v>
      </c>
      <c r="U1259" s="22" t="s">
        <v>29</v>
      </c>
      <c r="V1259" s="22"/>
    </row>
    <row r="1260" spans="1:22" ht="41.4">
      <c r="A1260" s="22" t="s">
        <v>1291</v>
      </c>
      <c r="B1260" s="25">
        <v>45675</v>
      </c>
      <c r="C1260" s="22" t="s">
        <v>723</v>
      </c>
      <c r="D1260" s="22" t="s">
        <v>23</v>
      </c>
      <c r="E1260" s="22" t="s">
        <v>19</v>
      </c>
      <c r="F1260" s="22" t="s">
        <v>29</v>
      </c>
      <c r="G1260" s="22" t="s">
        <v>21</v>
      </c>
      <c r="H1260" s="22">
        <v>1</v>
      </c>
      <c r="I1260" s="22">
        <v>0</v>
      </c>
      <c r="J1260" s="22">
        <v>0</v>
      </c>
      <c r="K1260" s="22">
        <v>0</v>
      </c>
      <c r="L1260" s="22">
        <v>0</v>
      </c>
      <c r="M1260" s="22">
        <v>0</v>
      </c>
      <c r="N1260" s="22">
        <v>0</v>
      </c>
      <c r="O1260" s="22"/>
      <c r="P1260" s="22">
        <v>59</v>
      </c>
      <c r="Q1260" s="22" t="str">
        <f>IF(OR(L1260&lt;$Y$18,L1260&gt;$Y$19),"Outlier","Normal")</f>
        <v>Normal</v>
      </c>
      <c r="R1260" s="26" t="str">
        <f>A1260&amp;B1260&amp;C1260&amp;D1260&amp;E1260&amp;F1260&amp;G1260&amp;H1260&amp;I1260&amp;J1260&amp;K1260&amp;L1260&amp;M1260&amp;N1260&amp;O1260&amp;P1260</f>
        <v>USR-10125945675TreatmentWestDesktopPaid SearchBasic100000059</v>
      </c>
      <c r="S1260" s="22" t="str">
        <f>IF(COUNTIF($R$2:$R$1409,R1260)=1,"OK",IF(COUNTIF($R$2:$R$1409,R1260)&gt;1,"Exact Duplicate","Review Required"))</f>
        <v>OK</v>
      </c>
      <c r="T1260" s="22" t="s">
        <v>19</v>
      </c>
      <c r="U1260" s="22" t="s">
        <v>29</v>
      </c>
      <c r="V1260" s="22"/>
    </row>
    <row r="1261" spans="1:22" ht="41.4">
      <c r="A1261" s="22" t="s">
        <v>1292</v>
      </c>
      <c r="B1261" s="25">
        <v>45737</v>
      </c>
      <c r="C1261" s="22" t="s">
        <v>723</v>
      </c>
      <c r="D1261" s="22" t="s">
        <v>18</v>
      </c>
      <c r="E1261" s="22" t="s">
        <v>24</v>
      </c>
      <c r="F1261" s="22" t="s">
        <v>25</v>
      </c>
      <c r="G1261" s="22" t="s">
        <v>26</v>
      </c>
      <c r="H1261" s="22">
        <v>1</v>
      </c>
      <c r="I1261" s="22">
        <v>0</v>
      </c>
      <c r="J1261" s="22">
        <v>0</v>
      </c>
      <c r="K1261" s="22">
        <v>0</v>
      </c>
      <c r="L1261" s="22">
        <v>0</v>
      </c>
      <c r="M1261" s="22">
        <v>0</v>
      </c>
      <c r="N1261" s="22">
        <v>0</v>
      </c>
      <c r="O1261" s="22"/>
      <c r="P1261" s="22">
        <v>37</v>
      </c>
      <c r="Q1261" s="22" t="str">
        <f>IF(OR(L1261&lt;$Y$18,L1261&gt;$Y$19),"Outlier","Normal")</f>
        <v>Normal</v>
      </c>
      <c r="R1261" s="26" t="str">
        <f>A1261&amp;B1261&amp;C1261&amp;D1261&amp;E1261&amp;F1261&amp;G1261&amp;H1261&amp;I1261&amp;J1261&amp;K1261&amp;L1261&amp;M1261&amp;N1261&amp;O1261&amp;P1261</f>
        <v>USR-10126045737TreatmentNorthMobileOrganicFree100000037</v>
      </c>
      <c r="S1261" s="22" t="str">
        <f>IF(COUNTIF($R$2:$R$1409,R1261)=1,"OK",IF(COUNTIF($R$2:$R$1409,R1261)&gt;1,"Exact Duplicate","Review Required"))</f>
        <v>OK</v>
      </c>
      <c r="T1261" s="22" t="s">
        <v>24</v>
      </c>
      <c r="U1261" s="22" t="s">
        <v>25</v>
      </c>
      <c r="V1261" s="22"/>
    </row>
    <row r="1262" spans="1:22" ht="41.4">
      <c r="A1262" s="22" t="s">
        <v>1293</v>
      </c>
      <c r="B1262" s="25">
        <v>45749</v>
      </c>
      <c r="C1262" s="22" t="s">
        <v>723</v>
      </c>
      <c r="D1262" s="22" t="s">
        <v>18</v>
      </c>
      <c r="E1262" s="22" t="s">
        <v>19</v>
      </c>
      <c r="F1262" s="22" t="s">
        <v>29</v>
      </c>
      <c r="G1262" s="22" t="s">
        <v>26</v>
      </c>
      <c r="H1262" s="22">
        <v>1</v>
      </c>
      <c r="I1262" s="22">
        <v>0</v>
      </c>
      <c r="J1262" s="22">
        <v>0</v>
      </c>
      <c r="K1262" s="22">
        <v>0</v>
      </c>
      <c r="L1262" s="22">
        <v>0</v>
      </c>
      <c r="M1262" s="22">
        <v>0</v>
      </c>
      <c r="N1262" s="22">
        <v>0</v>
      </c>
      <c r="O1262" s="22"/>
      <c r="P1262" s="22">
        <v>47.5</v>
      </c>
      <c r="Q1262" s="22" t="str">
        <f>IF(OR(L1262&lt;$Y$18,L1262&gt;$Y$19),"Outlier","Normal")</f>
        <v>Normal</v>
      </c>
      <c r="R1262" s="26" t="str">
        <f>A1262&amp;B1262&amp;C1262&amp;D1262&amp;E1262&amp;F1262&amp;G1262&amp;H1262&amp;I1262&amp;J1262&amp;K1262&amp;L1262&amp;M1262&amp;N1262&amp;O1262&amp;P1262</f>
        <v>USR-10126145749TreatmentNorthDesktopPaid SearchFree100000047.5</v>
      </c>
      <c r="S1262" s="22" t="str">
        <f>IF(COUNTIF($R$2:$R$1409,R1262)=1,"OK",IF(COUNTIF($R$2:$R$1409,R1262)&gt;1,"Exact Duplicate","Review Required"))</f>
        <v>OK</v>
      </c>
      <c r="T1262" s="22" t="s">
        <v>19</v>
      </c>
      <c r="U1262" s="22" t="s">
        <v>29</v>
      </c>
      <c r="V1262" s="22"/>
    </row>
    <row r="1263" spans="1:22" ht="41.4">
      <c r="A1263" s="22" t="s">
        <v>1294</v>
      </c>
      <c r="B1263" s="25">
        <v>45704</v>
      </c>
      <c r="C1263" s="22" t="s">
        <v>723</v>
      </c>
      <c r="D1263" s="22" t="s">
        <v>23</v>
      </c>
      <c r="E1263" s="22" t="s">
        <v>19</v>
      </c>
      <c r="F1263" s="22" t="s">
        <v>25</v>
      </c>
      <c r="G1263" s="22" t="s">
        <v>26</v>
      </c>
      <c r="H1263" s="22">
        <v>1</v>
      </c>
      <c r="I1263" s="22">
        <v>1</v>
      </c>
      <c r="J1263" s="22">
        <v>1</v>
      </c>
      <c r="K1263" s="22">
        <v>0</v>
      </c>
      <c r="L1263" s="22">
        <v>0</v>
      </c>
      <c r="M1263" s="22">
        <v>0</v>
      </c>
      <c r="N1263" s="22">
        <v>0</v>
      </c>
      <c r="O1263" s="22"/>
      <c r="P1263" s="22">
        <v>78.7</v>
      </c>
      <c r="Q1263" s="22" t="str">
        <f>IF(OR(L1263&lt;$Y$18,L1263&gt;$Y$19),"Outlier","Normal")</f>
        <v>Normal</v>
      </c>
      <c r="R1263" s="26" t="str">
        <f>A1263&amp;B1263&amp;C1263&amp;D1263&amp;E1263&amp;F1263&amp;G1263&amp;H1263&amp;I1263&amp;J1263&amp;K1263&amp;L1263&amp;M1263&amp;N1263&amp;O1263&amp;P1263</f>
        <v>USR-10126245704TreatmentWestDesktopOrganicFree111000078.7</v>
      </c>
      <c r="S1263" s="22" t="str">
        <f>IF(COUNTIF($R$2:$R$1409,R1263)=1,"OK",IF(COUNTIF($R$2:$R$1409,R1263)&gt;1,"Exact Duplicate","Review Required"))</f>
        <v>OK</v>
      </c>
      <c r="T1263" s="22" t="s">
        <v>19</v>
      </c>
      <c r="U1263" s="22" t="s">
        <v>25</v>
      </c>
      <c r="V1263" s="22"/>
    </row>
    <row r="1264" spans="1:22" ht="41.4">
      <c r="A1264" s="22" t="s">
        <v>1295</v>
      </c>
      <c r="B1264" s="25">
        <v>45706</v>
      </c>
      <c r="C1264" s="22" t="s">
        <v>723</v>
      </c>
      <c r="D1264" s="22" t="s">
        <v>18</v>
      </c>
      <c r="E1264" s="22" t="s">
        <v>24</v>
      </c>
      <c r="F1264" s="22" t="s">
        <v>41</v>
      </c>
      <c r="G1264" s="22" t="s">
        <v>26</v>
      </c>
      <c r="H1264" s="22">
        <v>1</v>
      </c>
      <c r="I1264" s="22">
        <v>0</v>
      </c>
      <c r="J1264" s="22">
        <v>0</v>
      </c>
      <c r="K1264" s="22">
        <v>0</v>
      </c>
      <c r="L1264" s="22">
        <v>0</v>
      </c>
      <c r="M1264" s="22">
        <v>0</v>
      </c>
      <c r="N1264" s="22">
        <v>0</v>
      </c>
      <c r="O1264" s="22"/>
      <c r="P1264" s="22">
        <v>49.6</v>
      </c>
      <c r="Q1264" s="22" t="str">
        <f>IF(OR(L1264&lt;$Y$18,L1264&gt;$Y$19),"Outlier","Normal")</f>
        <v>Normal</v>
      </c>
      <c r="R1264" s="26" t="str">
        <f>A1264&amp;B1264&amp;C1264&amp;D1264&amp;E1264&amp;F1264&amp;G1264&amp;H1264&amp;I1264&amp;J1264&amp;K1264&amp;L1264&amp;M1264&amp;N1264&amp;O1264&amp;P1264</f>
        <v>USR-10126345706TreatmentNorthMobileSocialFree100000049.6</v>
      </c>
      <c r="S1264" s="22" t="str">
        <f>IF(COUNTIF($R$2:$R$1409,R1264)=1,"OK",IF(COUNTIF($R$2:$R$1409,R1264)&gt;1,"Exact Duplicate","Review Required"))</f>
        <v>OK</v>
      </c>
      <c r="T1264" s="22" t="s">
        <v>24</v>
      </c>
      <c r="U1264" s="22" t="s">
        <v>41</v>
      </c>
      <c r="V1264" s="22"/>
    </row>
    <row r="1265" spans="1:22" ht="41.4">
      <c r="A1265" s="22" t="s">
        <v>1296</v>
      </c>
      <c r="B1265" s="25">
        <v>45666</v>
      </c>
      <c r="C1265" s="22" t="s">
        <v>723</v>
      </c>
      <c r="D1265" s="22" t="s">
        <v>28</v>
      </c>
      <c r="E1265" s="22" t="s">
        <v>24</v>
      </c>
      <c r="F1265" s="22" t="s">
        <v>25</v>
      </c>
      <c r="G1265" s="22" t="s">
        <v>26</v>
      </c>
      <c r="H1265" s="22">
        <v>1</v>
      </c>
      <c r="I1265" s="22">
        <v>0</v>
      </c>
      <c r="J1265" s="22">
        <v>0</v>
      </c>
      <c r="K1265" s="22">
        <v>0</v>
      </c>
      <c r="L1265" s="22">
        <v>0</v>
      </c>
      <c r="M1265" s="22">
        <v>0</v>
      </c>
      <c r="N1265" s="22">
        <v>0</v>
      </c>
      <c r="O1265" s="22"/>
      <c r="P1265" s="22">
        <v>58</v>
      </c>
      <c r="Q1265" s="22" t="str">
        <f>IF(OR(L1265&lt;$Y$18,L1265&gt;$Y$19),"Outlier","Normal")</f>
        <v>Normal</v>
      </c>
      <c r="R1265" s="26" t="str">
        <f>A1265&amp;B1265&amp;C1265&amp;D1265&amp;E1265&amp;F1265&amp;G1265&amp;H1265&amp;I1265&amp;J1265&amp;K1265&amp;L1265&amp;M1265&amp;N1265&amp;O1265&amp;P1265</f>
        <v>USR-10126445666TreatmentEastMobileOrganicFree100000058</v>
      </c>
      <c r="S1265" s="22" t="str">
        <f>IF(COUNTIF($R$2:$R$1409,R1265)=1,"OK",IF(COUNTIF($R$2:$R$1409,R1265)&gt;1,"Exact Duplicate","Review Required"))</f>
        <v>OK</v>
      </c>
      <c r="T1265" s="22" t="s">
        <v>24</v>
      </c>
      <c r="U1265" s="22" t="s">
        <v>25</v>
      </c>
      <c r="V1265" s="22"/>
    </row>
    <row r="1266" spans="1:22" ht="41.4">
      <c r="A1266" s="22" t="s">
        <v>1297</v>
      </c>
      <c r="B1266" s="25">
        <v>45706</v>
      </c>
      <c r="C1266" s="22" t="s">
        <v>723</v>
      </c>
      <c r="D1266" s="22" t="s">
        <v>18</v>
      </c>
      <c r="E1266" s="22" t="s">
        <v>19</v>
      </c>
      <c r="F1266" s="22" t="s">
        <v>29</v>
      </c>
      <c r="G1266" s="22" t="s">
        <v>26</v>
      </c>
      <c r="H1266" s="22">
        <v>1</v>
      </c>
      <c r="I1266" s="22">
        <v>0</v>
      </c>
      <c r="J1266" s="22">
        <v>0</v>
      </c>
      <c r="K1266" s="22">
        <v>0</v>
      </c>
      <c r="L1266" s="22">
        <v>0</v>
      </c>
      <c r="M1266" s="22">
        <v>1</v>
      </c>
      <c r="N1266" s="22">
        <v>0</v>
      </c>
      <c r="O1266" s="22"/>
      <c r="P1266" s="22">
        <v>54.4</v>
      </c>
      <c r="Q1266" s="22" t="str">
        <f>IF(OR(L1266&lt;$Y$18,L1266&gt;$Y$19),"Outlier","Normal")</f>
        <v>Normal</v>
      </c>
      <c r="R1266" s="26" t="str">
        <f>A1266&amp;B1266&amp;C1266&amp;D1266&amp;E1266&amp;F1266&amp;G1266&amp;H1266&amp;I1266&amp;J1266&amp;K1266&amp;L1266&amp;M1266&amp;N1266&amp;O1266&amp;P1266</f>
        <v>USR-10126545706TreatmentNorthDesktopPaid SearchFree100001054.4</v>
      </c>
      <c r="S1266" s="22" t="str">
        <f>IF(COUNTIF($R$2:$R$1409,R1266)=1,"OK",IF(COUNTIF($R$2:$R$1409,R1266)&gt;1,"Exact Duplicate","Review Required"))</f>
        <v>OK</v>
      </c>
      <c r="T1266" s="22" t="s">
        <v>19</v>
      </c>
      <c r="U1266" s="22" t="s">
        <v>29</v>
      </c>
      <c r="V1266" s="22"/>
    </row>
    <row r="1267" spans="1:22" ht="41.4">
      <c r="A1267" s="22" t="s">
        <v>1298</v>
      </c>
      <c r="B1267" s="25">
        <v>45667</v>
      </c>
      <c r="C1267" s="22" t="s">
        <v>723</v>
      </c>
      <c r="D1267" s="22" t="s">
        <v>28</v>
      </c>
      <c r="E1267" s="22" t="s">
        <v>24</v>
      </c>
      <c r="F1267" s="22" t="s">
        <v>39</v>
      </c>
      <c r="G1267" s="22" t="s">
        <v>26</v>
      </c>
      <c r="H1267" s="22">
        <v>0</v>
      </c>
      <c r="I1267" s="22">
        <v>0</v>
      </c>
      <c r="J1267" s="22">
        <v>0</v>
      </c>
      <c r="K1267" s="22">
        <v>0</v>
      </c>
      <c r="L1267" s="22">
        <v>0</v>
      </c>
      <c r="M1267" s="22">
        <v>0</v>
      </c>
      <c r="N1267" s="22">
        <v>0</v>
      </c>
      <c r="O1267" s="22"/>
      <c r="P1267" s="22">
        <v>33.700000000000003</v>
      </c>
      <c r="Q1267" s="22" t="str">
        <f>IF(OR(L1267&lt;$Y$18,L1267&gt;$Y$19),"Outlier","Normal")</f>
        <v>Normal</v>
      </c>
      <c r="R1267" s="26" t="str">
        <f>A1267&amp;B1267&amp;C1267&amp;D1267&amp;E1267&amp;F1267&amp;G1267&amp;H1267&amp;I1267&amp;J1267&amp;K1267&amp;L1267&amp;M1267&amp;N1267&amp;O1267&amp;P1267</f>
        <v>USR-10126645667TreatmentEastMobileReferralFree000000033.7</v>
      </c>
      <c r="S1267" s="22" t="str">
        <f>IF(COUNTIF($R$2:$R$1409,R1267)=1,"OK",IF(COUNTIF($R$2:$R$1409,R1267)&gt;1,"Exact Duplicate","Review Required"))</f>
        <v>OK</v>
      </c>
      <c r="T1267" s="22" t="s">
        <v>24</v>
      </c>
      <c r="U1267" s="22" t="s">
        <v>39</v>
      </c>
      <c r="V1267" s="22"/>
    </row>
    <row r="1268" spans="1:22" ht="41.4">
      <c r="A1268" s="22" t="s">
        <v>1299</v>
      </c>
      <c r="B1268" s="25">
        <v>45724</v>
      </c>
      <c r="C1268" s="22" t="s">
        <v>723</v>
      </c>
      <c r="D1268" s="22" t="s">
        <v>23</v>
      </c>
      <c r="E1268" s="22" t="s">
        <v>24</v>
      </c>
      <c r="F1268" s="22" t="s">
        <v>20</v>
      </c>
      <c r="G1268" s="22" t="s">
        <v>26</v>
      </c>
      <c r="H1268" s="22">
        <v>1</v>
      </c>
      <c r="I1268" s="22">
        <v>0</v>
      </c>
      <c r="J1268" s="22">
        <v>0</v>
      </c>
      <c r="K1268" s="22">
        <v>0</v>
      </c>
      <c r="L1268" s="22">
        <v>0</v>
      </c>
      <c r="M1268" s="22">
        <v>0</v>
      </c>
      <c r="N1268" s="22">
        <v>0</v>
      </c>
      <c r="O1268" s="22"/>
      <c r="P1268" s="22">
        <v>72.7</v>
      </c>
      <c r="Q1268" s="22" t="str">
        <f>IF(OR(L1268&lt;$Y$18,L1268&gt;$Y$19),"Outlier","Normal")</f>
        <v>Normal</v>
      </c>
      <c r="R1268" s="26" t="str">
        <f>A1268&amp;B1268&amp;C1268&amp;D1268&amp;E1268&amp;F1268&amp;G1268&amp;H1268&amp;I1268&amp;J1268&amp;K1268&amp;L1268&amp;M1268&amp;N1268&amp;O1268&amp;P1268</f>
        <v>USR-10126745724TreatmentWestMobileEmailFree100000072.7</v>
      </c>
      <c r="S1268" s="22" t="str">
        <f>IF(COUNTIF($R$2:$R$1409,R1268)=1,"OK",IF(COUNTIF($R$2:$R$1409,R1268)&gt;1,"Exact Duplicate","Review Required"))</f>
        <v>OK</v>
      </c>
      <c r="T1268" s="22" t="s">
        <v>24</v>
      </c>
      <c r="U1268" s="22" t="s">
        <v>20</v>
      </c>
      <c r="V1268" s="22"/>
    </row>
    <row r="1269" spans="1:22" ht="41.4">
      <c r="A1269" s="22" t="s">
        <v>1300</v>
      </c>
      <c r="B1269" s="25">
        <v>45763</v>
      </c>
      <c r="C1269" s="22" t="s">
        <v>723</v>
      </c>
      <c r="D1269" s="22" t="s">
        <v>28</v>
      </c>
      <c r="E1269" s="22" t="s">
        <v>19</v>
      </c>
      <c r="F1269" s="22" t="s">
        <v>29</v>
      </c>
      <c r="G1269" s="22" t="s">
        <v>21</v>
      </c>
      <c r="H1269" s="22">
        <v>0</v>
      </c>
      <c r="I1269" s="22">
        <v>0</v>
      </c>
      <c r="J1269" s="22">
        <v>0</v>
      </c>
      <c r="K1269" s="22">
        <v>0</v>
      </c>
      <c r="L1269" s="22">
        <v>0</v>
      </c>
      <c r="M1269" s="22">
        <v>0</v>
      </c>
      <c r="N1269" s="22">
        <v>0</v>
      </c>
      <c r="O1269" s="22"/>
      <c r="P1269" s="22">
        <v>64.7</v>
      </c>
      <c r="Q1269" s="22" t="str">
        <f>IF(OR(L1269&lt;$Y$18,L1269&gt;$Y$19),"Outlier","Normal")</f>
        <v>Normal</v>
      </c>
      <c r="R1269" s="26" t="str">
        <f>A1269&amp;B1269&amp;C1269&amp;D1269&amp;E1269&amp;F1269&amp;G1269&amp;H1269&amp;I1269&amp;J1269&amp;K1269&amp;L1269&amp;M1269&amp;N1269&amp;O1269&amp;P1269</f>
        <v>USR-10126845763TreatmentEastDesktopPaid SearchBasic000000064.7</v>
      </c>
      <c r="S1269" s="22" t="str">
        <f>IF(COUNTIF($R$2:$R$1409,R1269)=1,"OK",IF(COUNTIF($R$2:$R$1409,R1269)&gt;1,"Exact Duplicate","Review Required"))</f>
        <v>OK</v>
      </c>
      <c r="T1269" s="22" t="s">
        <v>19</v>
      </c>
      <c r="U1269" s="22" t="s">
        <v>29</v>
      </c>
      <c r="V1269" s="22"/>
    </row>
    <row r="1270" spans="1:22" ht="41.4">
      <c r="A1270" s="22" t="s">
        <v>1301</v>
      </c>
      <c r="B1270" s="25">
        <v>45707</v>
      </c>
      <c r="C1270" s="22" t="s">
        <v>723</v>
      </c>
      <c r="D1270" s="22" t="s">
        <v>23</v>
      </c>
      <c r="E1270" s="22" t="s">
        <v>19</v>
      </c>
      <c r="F1270" s="22" t="s">
        <v>29</v>
      </c>
      <c r="G1270" s="22" t="s">
        <v>30</v>
      </c>
      <c r="H1270" s="22">
        <v>0</v>
      </c>
      <c r="I1270" s="22">
        <v>0</v>
      </c>
      <c r="J1270" s="22">
        <v>0</v>
      </c>
      <c r="K1270" s="22">
        <v>0</v>
      </c>
      <c r="L1270" s="22">
        <v>0</v>
      </c>
      <c r="M1270" s="22">
        <v>1</v>
      </c>
      <c r="N1270" s="22">
        <v>0</v>
      </c>
      <c r="O1270" s="22"/>
      <c r="P1270" s="22">
        <v>48.6</v>
      </c>
      <c r="Q1270" s="22" t="str">
        <f>IF(OR(L1270&lt;$Y$18,L1270&gt;$Y$19),"Outlier","Normal")</f>
        <v>Normal</v>
      </c>
      <c r="R1270" s="26" t="str">
        <f>A1270&amp;B1270&amp;C1270&amp;D1270&amp;E1270&amp;F1270&amp;G1270&amp;H1270&amp;I1270&amp;J1270&amp;K1270&amp;L1270&amp;M1270&amp;N1270&amp;O1270&amp;P1270</f>
        <v>USR-10126945707TreatmentWestDesktopPaid SearchPremium000001048.6</v>
      </c>
      <c r="S1270" s="22" t="str">
        <f>IF(COUNTIF($R$2:$R$1409,R1270)=1,"OK",IF(COUNTIF($R$2:$R$1409,R1270)&gt;1,"Exact Duplicate","Review Required"))</f>
        <v>OK</v>
      </c>
      <c r="T1270" s="22" t="s">
        <v>19</v>
      </c>
      <c r="U1270" s="22" t="s">
        <v>29</v>
      </c>
      <c r="V1270" s="22"/>
    </row>
    <row r="1271" spans="1:22" ht="41.4">
      <c r="A1271" s="22" t="s">
        <v>1302</v>
      </c>
      <c r="B1271" s="25">
        <v>45732</v>
      </c>
      <c r="C1271" s="22" t="s">
        <v>723</v>
      </c>
      <c r="D1271" s="22" t="s">
        <v>28</v>
      </c>
      <c r="E1271" s="22" t="s">
        <v>19</v>
      </c>
      <c r="F1271" s="22" t="s">
        <v>41</v>
      </c>
      <c r="G1271" s="22" t="s">
        <v>26</v>
      </c>
      <c r="H1271" s="22">
        <v>1</v>
      </c>
      <c r="I1271" s="22">
        <v>1</v>
      </c>
      <c r="J1271" s="22">
        <v>0</v>
      </c>
      <c r="K1271" s="22">
        <v>0</v>
      </c>
      <c r="L1271" s="22">
        <v>0</v>
      </c>
      <c r="M1271" s="22">
        <v>0</v>
      </c>
      <c r="N1271" s="22">
        <v>0</v>
      </c>
      <c r="O1271" s="22"/>
      <c r="P1271" s="22">
        <v>66.2</v>
      </c>
      <c r="Q1271" s="22" t="str">
        <f>IF(OR(L1271&lt;$Y$18,L1271&gt;$Y$19),"Outlier","Normal")</f>
        <v>Normal</v>
      </c>
      <c r="R1271" s="26" t="str">
        <f>A1271&amp;B1271&amp;C1271&amp;D1271&amp;E1271&amp;F1271&amp;G1271&amp;H1271&amp;I1271&amp;J1271&amp;K1271&amp;L1271&amp;M1271&amp;N1271&amp;O1271&amp;P1271</f>
        <v>USR-10127045732TreatmentEastDesktopSocialFree110000066.2</v>
      </c>
      <c r="S1271" s="22" t="str">
        <f>IF(COUNTIF($R$2:$R$1409,R1271)=1,"OK",IF(COUNTIF($R$2:$R$1409,R1271)&gt;1,"Exact Duplicate","Review Required"))</f>
        <v>OK</v>
      </c>
      <c r="T1271" s="22" t="s">
        <v>19</v>
      </c>
      <c r="U1271" s="22" t="s">
        <v>41</v>
      </c>
      <c r="V1271" s="22"/>
    </row>
    <row r="1272" spans="1:22" ht="41.4">
      <c r="A1272" s="22" t="s">
        <v>1303</v>
      </c>
      <c r="B1272" s="25">
        <v>45691</v>
      </c>
      <c r="C1272" s="22" t="s">
        <v>723</v>
      </c>
      <c r="D1272" s="22" t="s">
        <v>23</v>
      </c>
      <c r="E1272" s="22" t="s">
        <v>1482</v>
      </c>
      <c r="F1272" s="22" t="s">
        <v>39</v>
      </c>
      <c r="G1272" s="22" t="s">
        <v>21</v>
      </c>
      <c r="H1272" s="22">
        <v>1</v>
      </c>
      <c r="I1272" s="22">
        <v>0</v>
      </c>
      <c r="J1272" s="22">
        <v>0</v>
      </c>
      <c r="K1272" s="22">
        <v>0</v>
      </c>
      <c r="L1272" s="22">
        <v>0</v>
      </c>
      <c r="M1272" s="22">
        <v>1</v>
      </c>
      <c r="N1272" s="22">
        <v>0</v>
      </c>
      <c r="O1272" s="22"/>
      <c r="P1272" s="22">
        <v>60.7</v>
      </c>
      <c r="Q1272" s="22" t="str">
        <f>IF(OR(L1272&lt;$Y$18,L1272&gt;$Y$19),"Outlier","Normal")</f>
        <v>Normal</v>
      </c>
      <c r="R1272" s="26" t="str">
        <f>A1272&amp;B1272&amp;C1272&amp;D1272&amp;E1272&amp;F1272&amp;G1272&amp;H1272&amp;I1272&amp;J1272&amp;K1272&amp;L1272&amp;M1272&amp;N1272&amp;O1272&amp;P1272</f>
        <v>USR-10127145691TreatmentWestUnknownReferralBasic100001060.7</v>
      </c>
      <c r="S1272" s="22" t="str">
        <f>IF(COUNTIF($R$2:$R$1409,R1272)=1,"OK",IF(COUNTIF($R$2:$R$1409,R1272)&gt;1,"Exact Duplicate","Review Required"))</f>
        <v>OK</v>
      </c>
      <c r="T1272" s="22"/>
      <c r="U1272" s="22" t="s">
        <v>39</v>
      </c>
      <c r="V1272" s="22"/>
    </row>
    <row r="1273" spans="1:22" ht="41.4">
      <c r="A1273" s="22" t="s">
        <v>1304</v>
      </c>
      <c r="B1273" s="25">
        <v>45728</v>
      </c>
      <c r="C1273" s="22" t="s">
        <v>723</v>
      </c>
      <c r="D1273" s="22" t="s">
        <v>23</v>
      </c>
      <c r="E1273" s="22" t="s">
        <v>24</v>
      </c>
      <c r="F1273" s="22" t="s">
        <v>29</v>
      </c>
      <c r="G1273" s="22" t="s">
        <v>21</v>
      </c>
      <c r="H1273" s="22">
        <v>1</v>
      </c>
      <c r="I1273" s="22">
        <v>0</v>
      </c>
      <c r="J1273" s="22">
        <v>0</v>
      </c>
      <c r="K1273" s="22">
        <v>0</v>
      </c>
      <c r="L1273" s="22">
        <v>0</v>
      </c>
      <c r="M1273" s="22">
        <v>0</v>
      </c>
      <c r="N1273" s="22">
        <v>0</v>
      </c>
      <c r="O1273" s="22"/>
      <c r="P1273" s="22">
        <v>36.5</v>
      </c>
      <c r="Q1273" s="22" t="str">
        <f>IF(OR(L1273&lt;$Y$18,L1273&gt;$Y$19),"Outlier","Normal")</f>
        <v>Normal</v>
      </c>
      <c r="R1273" s="26" t="str">
        <f>A1273&amp;B1273&amp;C1273&amp;D1273&amp;E1273&amp;F1273&amp;G1273&amp;H1273&amp;I1273&amp;J1273&amp;K1273&amp;L1273&amp;M1273&amp;N1273&amp;O1273&amp;P1273</f>
        <v>USR-10127245728TreatmentWestMobilePaid SearchBasic100000036.5</v>
      </c>
      <c r="S1273" s="22" t="str">
        <f>IF(COUNTIF($R$2:$R$1409,R1273)=1,"OK",IF(COUNTIF($R$2:$R$1409,R1273)&gt;1,"Exact Duplicate","Review Required"))</f>
        <v>OK</v>
      </c>
      <c r="T1273" s="22" t="s">
        <v>24</v>
      </c>
      <c r="U1273" s="22" t="s">
        <v>29</v>
      </c>
      <c r="V1273" s="22"/>
    </row>
    <row r="1274" spans="1:22" ht="41.4">
      <c r="A1274" s="22" t="s">
        <v>1305</v>
      </c>
      <c r="B1274" s="25">
        <v>45786</v>
      </c>
      <c r="C1274" s="22" t="s">
        <v>723</v>
      </c>
      <c r="D1274" s="22" t="s">
        <v>23</v>
      </c>
      <c r="E1274" s="22" t="s">
        <v>24</v>
      </c>
      <c r="F1274" s="22" t="s">
        <v>41</v>
      </c>
      <c r="G1274" s="22" t="s">
        <v>26</v>
      </c>
      <c r="H1274" s="22">
        <v>1</v>
      </c>
      <c r="I1274" s="22">
        <v>1</v>
      </c>
      <c r="J1274" s="22">
        <v>1</v>
      </c>
      <c r="K1274" s="22">
        <v>0</v>
      </c>
      <c r="L1274" s="22">
        <v>0</v>
      </c>
      <c r="M1274" s="22">
        <v>3</v>
      </c>
      <c r="N1274" s="22">
        <v>0</v>
      </c>
      <c r="O1274" s="22"/>
      <c r="P1274" s="22">
        <v>69.7</v>
      </c>
      <c r="Q1274" s="22" t="str">
        <f>IF(OR(L1274&lt;$Y$18,L1274&gt;$Y$19),"Outlier","Normal")</f>
        <v>Normal</v>
      </c>
      <c r="R1274" s="26" t="str">
        <f>A1274&amp;B1274&amp;C1274&amp;D1274&amp;E1274&amp;F1274&amp;G1274&amp;H1274&amp;I1274&amp;J1274&amp;K1274&amp;L1274&amp;M1274&amp;N1274&amp;O1274&amp;P1274</f>
        <v>USR-10127345786TreatmentWestMobileSocialFree111003069.7</v>
      </c>
      <c r="S1274" s="22" t="str">
        <f>IF(COUNTIF($R$2:$R$1409,R1274)=1,"OK",IF(COUNTIF($R$2:$R$1409,R1274)&gt;1,"Exact Duplicate","Review Required"))</f>
        <v>OK</v>
      </c>
      <c r="T1274" s="22" t="s">
        <v>24</v>
      </c>
      <c r="U1274" s="22" t="s">
        <v>41</v>
      </c>
      <c r="V1274" s="22"/>
    </row>
    <row r="1275" spans="1:22" ht="41.4">
      <c r="A1275" s="22" t="s">
        <v>1306</v>
      </c>
      <c r="B1275" s="25">
        <v>45676</v>
      </c>
      <c r="C1275" s="22" t="s">
        <v>723</v>
      </c>
      <c r="D1275" s="22" t="s">
        <v>32</v>
      </c>
      <c r="E1275" s="22" t="s">
        <v>19</v>
      </c>
      <c r="F1275" s="22" t="s">
        <v>41</v>
      </c>
      <c r="G1275" s="22" t="s">
        <v>30</v>
      </c>
      <c r="H1275" s="22">
        <v>1</v>
      </c>
      <c r="I1275" s="22">
        <v>0</v>
      </c>
      <c r="J1275" s="22">
        <v>0</v>
      </c>
      <c r="K1275" s="22">
        <v>0</v>
      </c>
      <c r="L1275" s="22">
        <v>0</v>
      </c>
      <c r="M1275" s="22">
        <v>0</v>
      </c>
      <c r="N1275" s="22">
        <v>0</v>
      </c>
      <c r="O1275" s="22"/>
      <c r="P1275" s="22">
        <v>81.8</v>
      </c>
      <c r="Q1275" s="22" t="str">
        <f>IF(OR(L1275&lt;$Y$18,L1275&gt;$Y$19),"Outlier","Normal")</f>
        <v>Normal</v>
      </c>
      <c r="R1275" s="26" t="str">
        <f>A1275&amp;B1275&amp;C1275&amp;D1275&amp;E1275&amp;F1275&amp;G1275&amp;H1275&amp;I1275&amp;J1275&amp;K1275&amp;L1275&amp;M1275&amp;N1275&amp;O1275&amp;P1275</f>
        <v>USR-10127445676TreatmentSouthDesktopSocialPremium100000081.8</v>
      </c>
      <c r="S1275" s="22" t="str">
        <f>IF(COUNTIF($R$2:$R$1409,R1275)=1,"OK",IF(COUNTIF($R$2:$R$1409,R1275)&gt;1,"Exact Duplicate","Review Required"))</f>
        <v>OK</v>
      </c>
      <c r="T1275" s="22" t="s">
        <v>19</v>
      </c>
      <c r="U1275" s="22" t="s">
        <v>41</v>
      </c>
      <c r="V1275" s="22"/>
    </row>
    <row r="1276" spans="1:22" ht="41.4">
      <c r="A1276" s="22" t="s">
        <v>1307</v>
      </c>
      <c r="B1276" s="25">
        <v>45681</v>
      </c>
      <c r="C1276" s="22" t="s">
        <v>723</v>
      </c>
      <c r="D1276" s="22" t="s">
        <v>23</v>
      </c>
      <c r="E1276" s="22" t="s">
        <v>24</v>
      </c>
      <c r="F1276" s="22" t="s">
        <v>39</v>
      </c>
      <c r="G1276" s="22" t="s">
        <v>26</v>
      </c>
      <c r="H1276" s="22">
        <v>1</v>
      </c>
      <c r="I1276" s="22">
        <v>1</v>
      </c>
      <c r="J1276" s="22">
        <v>1</v>
      </c>
      <c r="K1276" s="22">
        <v>0</v>
      </c>
      <c r="L1276" s="22">
        <v>0</v>
      </c>
      <c r="M1276" s="22">
        <v>1</v>
      </c>
      <c r="N1276" s="22">
        <v>0</v>
      </c>
      <c r="O1276" s="22"/>
      <c r="P1276" s="22">
        <v>78.3</v>
      </c>
      <c r="Q1276" s="22" t="str">
        <f>IF(OR(L1276&lt;$Y$18,L1276&gt;$Y$19),"Outlier","Normal")</f>
        <v>Normal</v>
      </c>
      <c r="R1276" s="26" t="str">
        <f>A1276&amp;B1276&amp;C1276&amp;D1276&amp;E1276&amp;F1276&amp;G1276&amp;H1276&amp;I1276&amp;J1276&amp;K1276&amp;L1276&amp;M1276&amp;N1276&amp;O1276&amp;P1276</f>
        <v>USR-10127545681TreatmentWestMobileReferralFree111001078.3</v>
      </c>
      <c r="S1276" s="22" t="str">
        <f>IF(COUNTIF($R$2:$R$1409,R1276)=1,"OK",IF(COUNTIF($R$2:$R$1409,R1276)&gt;1,"Exact Duplicate","Review Required"))</f>
        <v>OK</v>
      </c>
      <c r="T1276" s="22" t="s">
        <v>24</v>
      </c>
      <c r="U1276" s="22" t="s">
        <v>39</v>
      </c>
      <c r="V1276" s="22"/>
    </row>
    <row r="1277" spans="1:22" ht="41.4">
      <c r="A1277" s="22" t="s">
        <v>1308</v>
      </c>
      <c r="B1277" s="25">
        <v>45719</v>
      </c>
      <c r="C1277" s="22" t="s">
        <v>723</v>
      </c>
      <c r="D1277" s="22" t="s">
        <v>28</v>
      </c>
      <c r="E1277" s="22" t="s">
        <v>24</v>
      </c>
      <c r="F1277" s="22" t="s">
        <v>39</v>
      </c>
      <c r="G1277" s="22" t="s">
        <v>26</v>
      </c>
      <c r="H1277" s="22">
        <v>1</v>
      </c>
      <c r="I1277" s="22">
        <v>1</v>
      </c>
      <c r="J1277" s="22">
        <v>0</v>
      </c>
      <c r="K1277" s="22">
        <v>0</v>
      </c>
      <c r="L1277" s="22">
        <v>0</v>
      </c>
      <c r="M1277" s="22">
        <v>0</v>
      </c>
      <c r="N1277" s="22">
        <v>0</v>
      </c>
      <c r="O1277" s="22"/>
      <c r="P1277" s="22">
        <v>79.400000000000006</v>
      </c>
      <c r="Q1277" s="22" t="str">
        <f>IF(OR(L1277&lt;$Y$18,L1277&gt;$Y$19),"Outlier","Normal")</f>
        <v>Normal</v>
      </c>
      <c r="R1277" s="26" t="str">
        <f>A1277&amp;B1277&amp;C1277&amp;D1277&amp;E1277&amp;F1277&amp;G1277&amp;H1277&amp;I1277&amp;J1277&amp;K1277&amp;L1277&amp;M1277&amp;N1277&amp;O1277&amp;P1277</f>
        <v>USR-10127645719TreatmentEastMobileReferralFree110000079.4</v>
      </c>
      <c r="S1277" s="22" t="str">
        <f>IF(COUNTIF($R$2:$R$1409,R1277)=1,"OK",IF(COUNTIF($R$2:$R$1409,R1277)&gt;1,"Exact Duplicate","Review Required"))</f>
        <v>OK</v>
      </c>
      <c r="T1277" s="22" t="s">
        <v>24</v>
      </c>
      <c r="U1277" s="22" t="s">
        <v>39</v>
      </c>
      <c r="V1277" s="22"/>
    </row>
    <row r="1278" spans="1:22" ht="41.4">
      <c r="A1278" s="22" t="s">
        <v>1309</v>
      </c>
      <c r="B1278" s="25">
        <v>45804</v>
      </c>
      <c r="C1278" s="22" t="s">
        <v>723</v>
      </c>
      <c r="D1278" s="22" t="s">
        <v>18</v>
      </c>
      <c r="E1278" s="22" t="s">
        <v>19</v>
      </c>
      <c r="F1278" s="22" t="s">
        <v>39</v>
      </c>
      <c r="G1278" s="22" t="s">
        <v>26</v>
      </c>
      <c r="H1278" s="22">
        <v>1</v>
      </c>
      <c r="I1278" s="22">
        <v>1</v>
      </c>
      <c r="J1278" s="22">
        <v>1</v>
      </c>
      <c r="K1278" s="22">
        <v>0</v>
      </c>
      <c r="L1278" s="22">
        <v>0</v>
      </c>
      <c r="M1278" s="22">
        <v>0</v>
      </c>
      <c r="N1278" s="22">
        <v>0</v>
      </c>
      <c r="O1278" s="22"/>
      <c r="P1278" s="22">
        <v>54.9</v>
      </c>
      <c r="Q1278" s="22" t="str">
        <f>IF(OR(L1278&lt;$Y$18,L1278&gt;$Y$19),"Outlier","Normal")</f>
        <v>Normal</v>
      </c>
      <c r="R1278" s="26" t="str">
        <f>A1278&amp;B1278&amp;C1278&amp;D1278&amp;E1278&amp;F1278&amp;G1278&amp;H1278&amp;I1278&amp;J1278&amp;K1278&amp;L1278&amp;M1278&amp;N1278&amp;O1278&amp;P1278</f>
        <v>USR-10127745804TreatmentNorthDesktopReferralFree111000054.9</v>
      </c>
      <c r="S1278" s="22" t="str">
        <f>IF(COUNTIF($R$2:$R$1409,R1278)=1,"OK",IF(COUNTIF($R$2:$R$1409,R1278)&gt;1,"Exact Duplicate","Review Required"))</f>
        <v>OK</v>
      </c>
      <c r="T1278" s="22" t="s">
        <v>19</v>
      </c>
      <c r="U1278" s="22" t="s">
        <v>39</v>
      </c>
      <c r="V1278" s="22"/>
    </row>
    <row r="1279" spans="1:22" ht="41.4">
      <c r="A1279" s="22" t="s">
        <v>1310</v>
      </c>
      <c r="B1279" s="25">
        <v>45770</v>
      </c>
      <c r="C1279" s="22" t="s">
        <v>723</v>
      </c>
      <c r="D1279" s="22" t="s">
        <v>23</v>
      </c>
      <c r="E1279" s="22" t="s">
        <v>19</v>
      </c>
      <c r="F1279" s="22" t="s">
        <v>25</v>
      </c>
      <c r="G1279" s="22" t="s">
        <v>21</v>
      </c>
      <c r="H1279" s="22">
        <v>1</v>
      </c>
      <c r="I1279" s="22">
        <v>0</v>
      </c>
      <c r="J1279" s="22">
        <v>0</v>
      </c>
      <c r="K1279" s="22">
        <v>0</v>
      </c>
      <c r="L1279" s="22">
        <v>0</v>
      </c>
      <c r="M1279" s="22">
        <v>0</v>
      </c>
      <c r="N1279" s="22">
        <v>0</v>
      </c>
      <c r="O1279" s="22"/>
      <c r="P1279" s="22">
        <v>54.9</v>
      </c>
      <c r="Q1279" s="22" t="str">
        <f>IF(OR(L1279&lt;$Y$18,L1279&gt;$Y$19),"Outlier","Normal")</f>
        <v>Normal</v>
      </c>
      <c r="R1279" s="26" t="str">
        <f>A1279&amp;B1279&amp;C1279&amp;D1279&amp;E1279&amp;F1279&amp;G1279&amp;H1279&amp;I1279&amp;J1279&amp;K1279&amp;L1279&amp;M1279&amp;N1279&amp;O1279&amp;P1279</f>
        <v>USR-10127845770TreatmentWestDesktopOrganicBasic100000054.9</v>
      </c>
      <c r="S1279" s="22" t="str">
        <f>IF(COUNTIF($R$2:$R$1409,R1279)=1,"OK",IF(COUNTIF($R$2:$R$1409,R1279)&gt;1,"Exact Duplicate","Review Required"))</f>
        <v>OK</v>
      </c>
      <c r="T1279" s="22" t="s">
        <v>19</v>
      </c>
      <c r="U1279" s="22" t="s">
        <v>25</v>
      </c>
      <c r="V1279" s="22"/>
    </row>
    <row r="1280" spans="1:22" ht="41.4">
      <c r="A1280" s="22" t="s">
        <v>1311</v>
      </c>
      <c r="B1280" s="25">
        <v>45698</v>
      </c>
      <c r="C1280" s="22" t="s">
        <v>723</v>
      </c>
      <c r="D1280" s="22" t="s">
        <v>28</v>
      </c>
      <c r="E1280" s="22" t="s">
        <v>19</v>
      </c>
      <c r="F1280" s="22" t="s">
        <v>41</v>
      </c>
      <c r="G1280" s="22" t="s">
        <v>26</v>
      </c>
      <c r="H1280" s="22">
        <v>0</v>
      </c>
      <c r="I1280" s="22">
        <v>0</v>
      </c>
      <c r="J1280" s="22">
        <v>0</v>
      </c>
      <c r="K1280" s="22">
        <v>0</v>
      </c>
      <c r="L1280" s="22">
        <v>0</v>
      </c>
      <c r="M1280" s="22">
        <v>0</v>
      </c>
      <c r="N1280" s="22">
        <v>0</v>
      </c>
      <c r="O1280" s="22"/>
      <c r="P1280" s="22">
        <v>28.7</v>
      </c>
      <c r="Q1280" s="22" t="str">
        <f>IF(OR(L1280&lt;$Y$18,L1280&gt;$Y$19),"Outlier","Normal")</f>
        <v>Normal</v>
      </c>
      <c r="R1280" s="26" t="str">
        <f>A1280&amp;B1280&amp;C1280&amp;D1280&amp;E1280&amp;F1280&amp;G1280&amp;H1280&amp;I1280&amp;J1280&amp;K1280&amp;L1280&amp;M1280&amp;N1280&amp;O1280&amp;P1280</f>
        <v>USR-10127945698TreatmentEastDesktopSocialFree000000028.7</v>
      </c>
      <c r="S1280" s="22" t="str">
        <f>IF(COUNTIF($R$2:$R$1409,R1280)=1,"OK",IF(COUNTIF($R$2:$R$1409,R1280)&gt;1,"Exact Duplicate","Review Required"))</f>
        <v>OK</v>
      </c>
      <c r="T1280" s="22" t="s">
        <v>19</v>
      </c>
      <c r="U1280" s="22" t="s">
        <v>41</v>
      </c>
      <c r="V1280" s="22"/>
    </row>
    <row r="1281" spans="1:22" ht="41.4">
      <c r="A1281" s="22" t="s">
        <v>1312</v>
      </c>
      <c r="B1281" s="25">
        <v>45699</v>
      </c>
      <c r="C1281" s="22" t="s">
        <v>723</v>
      </c>
      <c r="D1281" s="22" t="s">
        <v>18</v>
      </c>
      <c r="E1281" s="22" t="s">
        <v>24</v>
      </c>
      <c r="F1281" s="22" t="s">
        <v>25</v>
      </c>
      <c r="G1281" s="22" t="s">
        <v>26</v>
      </c>
      <c r="H1281" s="22">
        <v>0</v>
      </c>
      <c r="I1281" s="22">
        <v>0</v>
      </c>
      <c r="J1281" s="22">
        <v>0</v>
      </c>
      <c r="K1281" s="22">
        <v>0</v>
      </c>
      <c r="L1281" s="22">
        <v>0</v>
      </c>
      <c r="M1281" s="22">
        <v>0</v>
      </c>
      <c r="N1281" s="22">
        <v>0</v>
      </c>
      <c r="O1281" s="22"/>
      <c r="P1281" s="22">
        <v>68.8</v>
      </c>
      <c r="Q1281" s="22" t="str">
        <f>IF(OR(L1281&lt;$Y$18,L1281&gt;$Y$19),"Outlier","Normal")</f>
        <v>Normal</v>
      </c>
      <c r="R1281" s="26" t="str">
        <f>A1281&amp;B1281&amp;C1281&amp;D1281&amp;E1281&amp;F1281&amp;G1281&amp;H1281&amp;I1281&amp;J1281&amp;K1281&amp;L1281&amp;M1281&amp;N1281&amp;O1281&amp;P1281</f>
        <v>USR-10128045699TreatmentNorthMobileOrganicFree000000068.8</v>
      </c>
      <c r="S1281" s="22" t="str">
        <f>IF(COUNTIF($R$2:$R$1409,R1281)=1,"OK",IF(COUNTIF($R$2:$R$1409,R1281)&gt;1,"Exact Duplicate","Review Required"))</f>
        <v>OK</v>
      </c>
      <c r="T1281" s="22" t="s">
        <v>24</v>
      </c>
      <c r="U1281" s="22" t="s">
        <v>25</v>
      </c>
      <c r="V1281" s="22"/>
    </row>
    <row r="1282" spans="1:22" ht="41.4">
      <c r="A1282" s="22" t="s">
        <v>1313</v>
      </c>
      <c r="B1282" s="25">
        <v>45678</v>
      </c>
      <c r="C1282" s="22" t="s">
        <v>723</v>
      </c>
      <c r="D1282" s="22" t="s">
        <v>28</v>
      </c>
      <c r="E1282" s="22" t="s">
        <v>19</v>
      </c>
      <c r="F1282" s="22" t="s">
        <v>29</v>
      </c>
      <c r="G1282" s="22" t="s">
        <v>26</v>
      </c>
      <c r="H1282" s="22">
        <v>1</v>
      </c>
      <c r="I1282" s="22">
        <v>1</v>
      </c>
      <c r="J1282" s="22">
        <v>1</v>
      </c>
      <c r="K1282" s="22">
        <v>0</v>
      </c>
      <c r="L1282" s="22">
        <v>0</v>
      </c>
      <c r="M1282" s="22">
        <v>0</v>
      </c>
      <c r="N1282" s="22">
        <v>0</v>
      </c>
      <c r="O1282" s="22"/>
      <c r="P1282" s="22">
        <v>43.5</v>
      </c>
      <c r="Q1282" s="22" t="str">
        <f>IF(OR(L1282&lt;$Y$18,L1282&gt;$Y$19),"Outlier","Normal")</f>
        <v>Normal</v>
      </c>
      <c r="R1282" s="26" t="str">
        <f>A1282&amp;B1282&amp;C1282&amp;D1282&amp;E1282&amp;F1282&amp;G1282&amp;H1282&amp;I1282&amp;J1282&amp;K1282&amp;L1282&amp;M1282&amp;N1282&amp;O1282&amp;P1282</f>
        <v>USR-10128145678TreatmentEastDesktopPaid SearchFree111000043.5</v>
      </c>
      <c r="S1282" s="22" t="str">
        <f>IF(COUNTIF($R$2:$R$1409,R1282)=1,"OK",IF(COUNTIF($R$2:$R$1409,R1282)&gt;1,"Exact Duplicate","Review Required"))</f>
        <v>OK</v>
      </c>
      <c r="T1282" s="22" t="s">
        <v>19</v>
      </c>
      <c r="U1282" s="22" t="s">
        <v>29</v>
      </c>
      <c r="V1282" s="22"/>
    </row>
    <row r="1283" spans="1:22" ht="41.4">
      <c r="A1283" s="22" t="s">
        <v>1314</v>
      </c>
      <c r="B1283" s="25">
        <v>45690</v>
      </c>
      <c r="C1283" s="22" t="s">
        <v>723</v>
      </c>
      <c r="D1283" s="22" t="s">
        <v>23</v>
      </c>
      <c r="E1283" s="22" t="s">
        <v>19</v>
      </c>
      <c r="F1283" s="22" t="s">
        <v>41</v>
      </c>
      <c r="G1283" s="22" t="s">
        <v>26</v>
      </c>
      <c r="H1283" s="22">
        <v>1</v>
      </c>
      <c r="I1283" s="22">
        <v>1</v>
      </c>
      <c r="J1283" s="22">
        <v>0</v>
      </c>
      <c r="K1283" s="22">
        <v>0</v>
      </c>
      <c r="L1283" s="22">
        <v>0</v>
      </c>
      <c r="M1283" s="22">
        <v>0</v>
      </c>
      <c r="N1283" s="22">
        <v>0</v>
      </c>
      <c r="O1283" s="22"/>
      <c r="P1283" s="22">
        <v>62.6</v>
      </c>
      <c r="Q1283" s="22" t="str">
        <f>IF(OR(L1283&lt;$Y$18,L1283&gt;$Y$19),"Outlier","Normal")</f>
        <v>Normal</v>
      </c>
      <c r="R1283" s="26" t="str">
        <f>A1283&amp;B1283&amp;C1283&amp;D1283&amp;E1283&amp;F1283&amp;G1283&amp;H1283&amp;I1283&amp;J1283&amp;K1283&amp;L1283&amp;M1283&amp;N1283&amp;O1283&amp;P1283</f>
        <v>USR-10128245690TreatmentWestDesktopSocialFree110000062.6</v>
      </c>
      <c r="S1283" s="22" t="str">
        <f>IF(COUNTIF($R$2:$R$1409,R1283)=1,"OK",IF(COUNTIF($R$2:$R$1409,R1283)&gt;1,"Exact Duplicate","Review Required"))</f>
        <v>OK</v>
      </c>
      <c r="T1283" s="22" t="s">
        <v>19</v>
      </c>
      <c r="U1283" s="22" t="s">
        <v>41</v>
      </c>
      <c r="V1283" s="22"/>
    </row>
    <row r="1284" spans="1:22" ht="41.4">
      <c r="A1284" s="22" t="s">
        <v>1315</v>
      </c>
      <c r="B1284" s="25">
        <v>45690</v>
      </c>
      <c r="C1284" s="22" t="s">
        <v>723</v>
      </c>
      <c r="D1284" s="22" t="s">
        <v>23</v>
      </c>
      <c r="E1284" s="22" t="s">
        <v>24</v>
      </c>
      <c r="F1284" s="22" t="s">
        <v>25</v>
      </c>
      <c r="G1284" s="22" t="s">
        <v>26</v>
      </c>
      <c r="H1284" s="22">
        <v>0</v>
      </c>
      <c r="I1284" s="22">
        <v>0</v>
      </c>
      <c r="J1284" s="22">
        <v>0</v>
      </c>
      <c r="K1284" s="22">
        <v>0</v>
      </c>
      <c r="L1284" s="22">
        <v>0</v>
      </c>
      <c r="M1284" s="22">
        <v>1</v>
      </c>
      <c r="N1284" s="22">
        <v>0</v>
      </c>
      <c r="O1284" s="22"/>
      <c r="P1284" s="22">
        <v>54.1</v>
      </c>
      <c r="Q1284" s="22" t="str">
        <f>IF(OR(L1284&lt;$Y$18,L1284&gt;$Y$19),"Outlier","Normal")</f>
        <v>Normal</v>
      </c>
      <c r="R1284" s="26" t="str">
        <f>A1284&amp;B1284&amp;C1284&amp;D1284&amp;E1284&amp;F1284&amp;G1284&amp;H1284&amp;I1284&amp;J1284&amp;K1284&amp;L1284&amp;M1284&amp;N1284&amp;O1284&amp;P1284</f>
        <v>USR-10128345690TreatmentWestMobileOrganicFree000001054.1</v>
      </c>
      <c r="S1284" s="22" t="str">
        <f>IF(COUNTIF($R$2:$R$1409,R1284)=1,"OK",IF(COUNTIF($R$2:$R$1409,R1284)&gt;1,"Exact Duplicate","Review Required"))</f>
        <v>OK</v>
      </c>
      <c r="T1284" s="22" t="s">
        <v>24</v>
      </c>
      <c r="U1284" s="22" t="s">
        <v>25</v>
      </c>
      <c r="V1284" s="22"/>
    </row>
    <row r="1285" spans="1:22" ht="41.4">
      <c r="A1285" s="22" t="s">
        <v>1316</v>
      </c>
      <c r="B1285" s="25">
        <v>45714</v>
      </c>
      <c r="C1285" s="22" t="s">
        <v>723</v>
      </c>
      <c r="D1285" s="22" t="s">
        <v>23</v>
      </c>
      <c r="E1285" s="22" t="s">
        <v>34</v>
      </c>
      <c r="F1285" s="22" t="s">
        <v>41</v>
      </c>
      <c r="G1285" s="22" t="s">
        <v>26</v>
      </c>
      <c r="H1285" s="22">
        <v>1</v>
      </c>
      <c r="I1285" s="22">
        <v>1</v>
      </c>
      <c r="J1285" s="22">
        <v>1</v>
      </c>
      <c r="K1285" s="22">
        <v>0</v>
      </c>
      <c r="L1285" s="22">
        <v>0</v>
      </c>
      <c r="M1285" s="22">
        <v>0</v>
      </c>
      <c r="N1285" s="22">
        <v>0</v>
      </c>
      <c r="O1285" s="22"/>
      <c r="P1285" s="22">
        <v>80.099999999999994</v>
      </c>
      <c r="Q1285" s="22" t="str">
        <f>IF(OR(L1285&lt;$Y$18,L1285&gt;$Y$19),"Outlier","Normal")</f>
        <v>Normal</v>
      </c>
      <c r="R1285" s="26" t="str">
        <f>A1285&amp;B1285&amp;C1285&amp;D1285&amp;E1285&amp;F1285&amp;G1285&amp;H1285&amp;I1285&amp;J1285&amp;K1285&amp;L1285&amp;M1285&amp;N1285&amp;O1285&amp;P1285</f>
        <v>USR-10128445714TreatmentWestTabletSocialFree111000080.1</v>
      </c>
      <c r="S1285" s="22" t="str">
        <f>IF(COUNTIF($R$2:$R$1409,R1285)=1,"OK",IF(COUNTIF($R$2:$R$1409,R1285)&gt;1,"Exact Duplicate","Review Required"))</f>
        <v>OK</v>
      </c>
      <c r="T1285" s="22" t="s">
        <v>34</v>
      </c>
      <c r="U1285" s="22" t="s">
        <v>41</v>
      </c>
      <c r="V1285" s="22"/>
    </row>
    <row r="1286" spans="1:22" ht="41.4">
      <c r="A1286" s="22" t="s">
        <v>1317</v>
      </c>
      <c r="B1286" s="25">
        <v>45769</v>
      </c>
      <c r="C1286" s="22" t="s">
        <v>723</v>
      </c>
      <c r="D1286" s="22" t="s">
        <v>18</v>
      </c>
      <c r="E1286" s="22" t="s">
        <v>24</v>
      </c>
      <c r="F1286" s="22" t="s">
        <v>41</v>
      </c>
      <c r="G1286" s="22" t="s">
        <v>30</v>
      </c>
      <c r="H1286" s="22">
        <v>1</v>
      </c>
      <c r="I1286" s="22">
        <v>0</v>
      </c>
      <c r="J1286" s="22">
        <v>0</v>
      </c>
      <c r="K1286" s="22">
        <v>0</v>
      </c>
      <c r="L1286" s="22">
        <v>0</v>
      </c>
      <c r="M1286" s="22">
        <v>0</v>
      </c>
      <c r="N1286" s="22">
        <v>0</v>
      </c>
      <c r="O1286" s="22"/>
      <c r="P1286" s="22">
        <v>69.5</v>
      </c>
      <c r="Q1286" s="22" t="str">
        <f>IF(OR(L1286&lt;$Y$18,L1286&gt;$Y$19),"Outlier","Normal")</f>
        <v>Normal</v>
      </c>
      <c r="R1286" s="26" t="str">
        <f>A1286&amp;B1286&amp;C1286&amp;D1286&amp;E1286&amp;F1286&amp;G1286&amp;H1286&amp;I1286&amp;J1286&amp;K1286&amp;L1286&amp;M1286&amp;N1286&amp;O1286&amp;P1286</f>
        <v>USR-10128545769TreatmentNorthMobileSocialPremium100000069.5</v>
      </c>
      <c r="S1286" s="22" t="str">
        <f>IF(COUNTIF($R$2:$R$1409,R1286)=1,"OK",IF(COUNTIF($R$2:$R$1409,R1286)&gt;1,"Exact Duplicate","Review Required"))</f>
        <v>OK</v>
      </c>
      <c r="T1286" s="22" t="s">
        <v>24</v>
      </c>
      <c r="U1286" s="22" t="s">
        <v>41</v>
      </c>
      <c r="V1286" s="22"/>
    </row>
    <row r="1287" spans="1:22" ht="41.4">
      <c r="A1287" s="22" t="s">
        <v>1318</v>
      </c>
      <c r="B1287" s="25">
        <v>45727</v>
      </c>
      <c r="C1287" s="22" t="s">
        <v>723</v>
      </c>
      <c r="D1287" s="22" t="s">
        <v>18</v>
      </c>
      <c r="E1287" s="22" t="s">
        <v>19</v>
      </c>
      <c r="F1287" s="22" t="s">
        <v>25</v>
      </c>
      <c r="G1287" s="22" t="s">
        <v>21</v>
      </c>
      <c r="H1287" s="22">
        <v>0</v>
      </c>
      <c r="I1287" s="22">
        <v>0</v>
      </c>
      <c r="J1287" s="22">
        <v>0</v>
      </c>
      <c r="K1287" s="22">
        <v>0</v>
      </c>
      <c r="L1287" s="22">
        <v>0</v>
      </c>
      <c r="M1287" s="22">
        <v>2</v>
      </c>
      <c r="N1287" s="22">
        <v>0</v>
      </c>
      <c r="O1287" s="22"/>
      <c r="P1287" s="22">
        <v>46.6</v>
      </c>
      <c r="Q1287" s="22" t="str">
        <f>IF(OR(L1287&lt;$Y$18,L1287&gt;$Y$19),"Outlier","Normal")</f>
        <v>Normal</v>
      </c>
      <c r="R1287" s="26" t="str">
        <f>A1287&amp;B1287&amp;C1287&amp;D1287&amp;E1287&amp;F1287&amp;G1287&amp;H1287&amp;I1287&amp;J1287&amp;K1287&amp;L1287&amp;M1287&amp;N1287&amp;O1287&amp;P1287</f>
        <v>USR-10128645727TreatmentNorthDesktopOrganicBasic000002046.6</v>
      </c>
      <c r="S1287" s="22" t="str">
        <f>IF(COUNTIF($R$2:$R$1409,R1287)=1,"OK",IF(COUNTIF($R$2:$R$1409,R1287)&gt;1,"Exact Duplicate","Review Required"))</f>
        <v>OK</v>
      </c>
      <c r="T1287" s="22" t="s">
        <v>19</v>
      </c>
      <c r="U1287" s="22" t="s">
        <v>25</v>
      </c>
      <c r="V1287" s="22"/>
    </row>
    <row r="1288" spans="1:22" ht="41.4">
      <c r="A1288" s="22" t="s">
        <v>1319</v>
      </c>
      <c r="B1288" s="25">
        <v>45785</v>
      </c>
      <c r="C1288" s="22" t="s">
        <v>723</v>
      </c>
      <c r="D1288" s="22" t="s">
        <v>32</v>
      </c>
      <c r="E1288" s="22" t="s">
        <v>24</v>
      </c>
      <c r="F1288" s="22" t="s">
        <v>25</v>
      </c>
      <c r="G1288" s="22" t="s">
        <v>30</v>
      </c>
      <c r="H1288" s="22">
        <v>1</v>
      </c>
      <c r="I1288" s="22">
        <v>0</v>
      </c>
      <c r="J1288" s="22">
        <v>0</v>
      </c>
      <c r="K1288" s="22">
        <v>0</v>
      </c>
      <c r="L1288" s="22">
        <v>0</v>
      </c>
      <c r="M1288" s="22">
        <v>1</v>
      </c>
      <c r="N1288" s="22">
        <v>0</v>
      </c>
      <c r="O1288" s="22"/>
      <c r="P1288" s="22">
        <v>54.9</v>
      </c>
      <c r="Q1288" s="22" t="str">
        <f>IF(OR(L1288&lt;$Y$18,L1288&gt;$Y$19),"Outlier","Normal")</f>
        <v>Normal</v>
      </c>
      <c r="R1288" s="26" t="str">
        <f>A1288&amp;B1288&amp;C1288&amp;D1288&amp;E1288&amp;F1288&amp;G1288&amp;H1288&amp;I1288&amp;J1288&amp;K1288&amp;L1288&amp;M1288&amp;N1288&amp;O1288&amp;P1288</f>
        <v>USR-10128745785TreatmentSouthMobileOrganicPremium100001054.9</v>
      </c>
      <c r="S1288" s="22" t="str">
        <f>IF(COUNTIF($R$2:$R$1409,R1288)=1,"OK",IF(COUNTIF($R$2:$R$1409,R1288)&gt;1,"Exact Duplicate","Review Required"))</f>
        <v>OK</v>
      </c>
      <c r="T1288" s="22" t="s">
        <v>24</v>
      </c>
      <c r="U1288" s="22" t="s">
        <v>25</v>
      </c>
      <c r="V1288" s="22"/>
    </row>
    <row r="1289" spans="1:22" ht="41.4">
      <c r="A1289" s="22" t="s">
        <v>1320</v>
      </c>
      <c r="B1289" s="25">
        <v>45726</v>
      </c>
      <c r="C1289" s="22" t="s">
        <v>723</v>
      </c>
      <c r="D1289" s="22" t="s">
        <v>28</v>
      </c>
      <c r="E1289" s="22" t="s">
        <v>19</v>
      </c>
      <c r="F1289" s="22" t="s">
        <v>25</v>
      </c>
      <c r="G1289" s="22" t="s">
        <v>26</v>
      </c>
      <c r="H1289" s="22">
        <v>0</v>
      </c>
      <c r="I1289" s="22">
        <v>0</v>
      </c>
      <c r="J1289" s="22">
        <v>0</v>
      </c>
      <c r="K1289" s="22">
        <v>0</v>
      </c>
      <c r="L1289" s="22">
        <v>0</v>
      </c>
      <c r="M1289" s="22">
        <v>0</v>
      </c>
      <c r="N1289" s="22">
        <v>0</v>
      </c>
      <c r="O1289" s="22"/>
      <c r="P1289" s="22">
        <v>100</v>
      </c>
      <c r="Q1289" s="22" t="str">
        <f>IF(OR(L1289&lt;$Y$18,L1289&gt;$Y$19),"Outlier","Normal")</f>
        <v>Normal</v>
      </c>
      <c r="R1289" s="26" t="str">
        <f>A1289&amp;B1289&amp;C1289&amp;D1289&amp;E1289&amp;F1289&amp;G1289&amp;H1289&amp;I1289&amp;J1289&amp;K1289&amp;L1289&amp;M1289&amp;N1289&amp;O1289&amp;P1289</f>
        <v>USR-10128845726TreatmentEastDesktopOrganicFree0000000100</v>
      </c>
      <c r="S1289" s="22" t="str">
        <f>IF(COUNTIF($R$2:$R$1409,R1289)=1,"OK",IF(COUNTIF($R$2:$R$1409,R1289)&gt;1,"Exact Duplicate","Review Required"))</f>
        <v>OK</v>
      </c>
      <c r="T1289" s="22" t="s">
        <v>19</v>
      </c>
      <c r="U1289" s="22" t="s">
        <v>25</v>
      </c>
      <c r="V1289" s="22"/>
    </row>
    <row r="1290" spans="1:22" ht="41.4">
      <c r="A1290" s="22" t="s">
        <v>1321</v>
      </c>
      <c r="B1290" s="25">
        <v>45763</v>
      </c>
      <c r="C1290" s="22" t="s">
        <v>723</v>
      </c>
      <c r="D1290" s="22" t="s">
        <v>28</v>
      </c>
      <c r="E1290" s="22" t="s">
        <v>19</v>
      </c>
      <c r="F1290" s="22" t="s">
        <v>29</v>
      </c>
      <c r="G1290" s="22" t="s">
        <v>26</v>
      </c>
      <c r="H1290" s="22">
        <v>1</v>
      </c>
      <c r="I1290" s="22">
        <v>1</v>
      </c>
      <c r="J1290" s="22">
        <v>1</v>
      </c>
      <c r="K1290" s="22">
        <v>0</v>
      </c>
      <c r="L1290" s="22">
        <v>0</v>
      </c>
      <c r="M1290" s="22">
        <v>1</v>
      </c>
      <c r="N1290" s="22">
        <v>0</v>
      </c>
      <c r="O1290" s="22"/>
      <c r="P1290" s="22">
        <v>80.5</v>
      </c>
      <c r="Q1290" s="22" t="str">
        <f>IF(OR(L1290&lt;$Y$18,L1290&gt;$Y$19),"Outlier","Normal")</f>
        <v>Normal</v>
      </c>
      <c r="R1290" s="26" t="str">
        <f>A1290&amp;B1290&amp;C1290&amp;D1290&amp;E1290&amp;F1290&amp;G1290&amp;H1290&amp;I1290&amp;J1290&amp;K1290&amp;L1290&amp;M1290&amp;N1290&amp;O1290&amp;P1290</f>
        <v>USR-10128945763TreatmentEastDesktopPaid SearchFree111001080.5</v>
      </c>
      <c r="S1290" s="22" t="str">
        <f>IF(COUNTIF($R$2:$R$1409,R1290)=1,"OK",IF(COUNTIF($R$2:$R$1409,R1290)&gt;1,"Exact Duplicate","Review Required"))</f>
        <v>OK</v>
      </c>
      <c r="T1290" s="22" t="s">
        <v>19</v>
      </c>
      <c r="U1290" s="22" t="s">
        <v>29</v>
      </c>
      <c r="V1290" s="22"/>
    </row>
    <row r="1291" spans="1:22" ht="41.4">
      <c r="A1291" s="22" t="s">
        <v>1322</v>
      </c>
      <c r="B1291" s="25">
        <v>45717</v>
      </c>
      <c r="C1291" s="22" t="s">
        <v>723</v>
      </c>
      <c r="D1291" s="22" t="s">
        <v>23</v>
      </c>
      <c r="E1291" s="22" t="s">
        <v>34</v>
      </c>
      <c r="F1291" s="22" t="s">
        <v>25</v>
      </c>
      <c r="G1291" s="22" t="s">
        <v>21</v>
      </c>
      <c r="H1291" s="22">
        <v>1</v>
      </c>
      <c r="I1291" s="22">
        <v>0</v>
      </c>
      <c r="J1291" s="22">
        <v>0</v>
      </c>
      <c r="K1291" s="22">
        <v>0</v>
      </c>
      <c r="L1291" s="22">
        <v>0</v>
      </c>
      <c r="M1291" s="22">
        <v>0</v>
      </c>
      <c r="N1291" s="22">
        <v>0</v>
      </c>
      <c r="O1291" s="22"/>
      <c r="P1291" s="22">
        <v>51.2</v>
      </c>
      <c r="Q1291" s="22" t="str">
        <f>IF(OR(L1291&lt;$Y$18,L1291&gt;$Y$19),"Outlier","Normal")</f>
        <v>Normal</v>
      </c>
      <c r="R1291" s="26" t="str">
        <f>A1291&amp;B1291&amp;C1291&amp;D1291&amp;E1291&amp;F1291&amp;G1291&amp;H1291&amp;I1291&amp;J1291&amp;K1291&amp;L1291&amp;M1291&amp;N1291&amp;O1291&amp;P1291</f>
        <v>USR-10129045717TreatmentWestTabletOrganicBasic100000051.2</v>
      </c>
      <c r="S1291" s="22" t="str">
        <f>IF(COUNTIF($R$2:$R$1409,R1291)=1,"OK",IF(COUNTIF($R$2:$R$1409,R1291)&gt;1,"Exact Duplicate","Review Required"))</f>
        <v>OK</v>
      </c>
      <c r="T1291" s="22" t="s">
        <v>34</v>
      </c>
      <c r="U1291" s="22" t="s">
        <v>25</v>
      </c>
      <c r="V1291" s="22"/>
    </row>
    <row r="1292" spans="1:22" ht="41.4">
      <c r="A1292" s="22" t="s">
        <v>1323</v>
      </c>
      <c r="B1292" s="25">
        <v>45675</v>
      </c>
      <c r="C1292" s="22" t="s">
        <v>723</v>
      </c>
      <c r="D1292" s="22" t="s">
        <v>32</v>
      </c>
      <c r="E1292" s="22" t="s">
        <v>19</v>
      </c>
      <c r="F1292" s="22" t="s">
        <v>25</v>
      </c>
      <c r="G1292" s="22" t="s">
        <v>30</v>
      </c>
      <c r="H1292" s="22">
        <v>1</v>
      </c>
      <c r="I1292" s="22">
        <v>0</v>
      </c>
      <c r="J1292" s="22">
        <v>0</v>
      </c>
      <c r="K1292" s="22">
        <v>0</v>
      </c>
      <c r="L1292" s="22">
        <v>0</v>
      </c>
      <c r="M1292" s="22">
        <v>0</v>
      </c>
      <c r="N1292" s="22">
        <v>0</v>
      </c>
      <c r="O1292" s="22"/>
      <c r="P1292" s="22">
        <v>42.5</v>
      </c>
      <c r="Q1292" s="22" t="str">
        <f>IF(OR(L1292&lt;$Y$18,L1292&gt;$Y$19),"Outlier","Normal")</f>
        <v>Normal</v>
      </c>
      <c r="R1292" s="26" t="str">
        <f>A1292&amp;B1292&amp;C1292&amp;D1292&amp;E1292&amp;F1292&amp;G1292&amp;H1292&amp;I1292&amp;J1292&amp;K1292&amp;L1292&amp;M1292&amp;N1292&amp;O1292&amp;P1292</f>
        <v>USR-10129145675TreatmentSouthDesktopOrganicPremium100000042.5</v>
      </c>
      <c r="S1292" s="22" t="str">
        <f>IF(COUNTIF($R$2:$R$1409,R1292)=1,"OK",IF(COUNTIF($R$2:$R$1409,R1292)&gt;1,"Exact Duplicate","Review Required"))</f>
        <v>OK</v>
      </c>
      <c r="T1292" s="22" t="s">
        <v>19</v>
      </c>
      <c r="U1292" s="22" t="s">
        <v>25</v>
      </c>
      <c r="V1292" s="22"/>
    </row>
    <row r="1293" spans="1:22" ht="41.4">
      <c r="A1293" s="22" t="s">
        <v>1324</v>
      </c>
      <c r="B1293" s="25">
        <v>45746</v>
      </c>
      <c r="C1293" s="22" t="s">
        <v>723</v>
      </c>
      <c r="D1293" s="22" t="s">
        <v>18</v>
      </c>
      <c r="E1293" s="22" t="s">
        <v>24</v>
      </c>
      <c r="F1293" s="22" t="s">
        <v>29</v>
      </c>
      <c r="G1293" s="22" t="s">
        <v>26</v>
      </c>
      <c r="H1293" s="22">
        <v>0</v>
      </c>
      <c r="I1293" s="22">
        <v>0</v>
      </c>
      <c r="J1293" s="22">
        <v>0</v>
      </c>
      <c r="K1293" s="22">
        <v>0</v>
      </c>
      <c r="L1293" s="22">
        <v>0</v>
      </c>
      <c r="M1293" s="22">
        <v>0</v>
      </c>
      <c r="N1293" s="22">
        <v>0</v>
      </c>
      <c r="O1293" s="22"/>
      <c r="P1293" s="22">
        <v>72.5</v>
      </c>
      <c r="Q1293" s="22" t="str">
        <f>IF(OR(L1293&lt;$Y$18,L1293&gt;$Y$19),"Outlier","Normal")</f>
        <v>Normal</v>
      </c>
      <c r="R1293" s="26" t="str">
        <f>A1293&amp;B1293&amp;C1293&amp;D1293&amp;E1293&amp;F1293&amp;G1293&amp;H1293&amp;I1293&amp;J1293&amp;K1293&amp;L1293&amp;M1293&amp;N1293&amp;O1293&amp;P1293</f>
        <v>USR-10129245746TreatmentNorthMobilePaid SearchFree000000072.5</v>
      </c>
      <c r="S1293" s="22" t="str">
        <f>IF(COUNTIF($R$2:$R$1409,R1293)=1,"OK",IF(COUNTIF($R$2:$R$1409,R1293)&gt;1,"Exact Duplicate","Review Required"))</f>
        <v>OK</v>
      </c>
      <c r="T1293" s="22" t="s">
        <v>24</v>
      </c>
      <c r="U1293" s="22" t="s">
        <v>29</v>
      </c>
      <c r="V1293" s="22"/>
    </row>
    <row r="1294" spans="1:22" ht="41.4">
      <c r="A1294" s="22" t="s">
        <v>1325</v>
      </c>
      <c r="B1294" s="25">
        <v>45803</v>
      </c>
      <c r="C1294" s="22" t="s">
        <v>723</v>
      </c>
      <c r="D1294" s="22" t="s">
        <v>23</v>
      </c>
      <c r="E1294" s="22" t="s">
        <v>24</v>
      </c>
      <c r="F1294" s="22" t="s">
        <v>41</v>
      </c>
      <c r="G1294" s="22" t="s">
        <v>30</v>
      </c>
      <c r="H1294" s="22">
        <v>0</v>
      </c>
      <c r="I1294" s="22">
        <v>0</v>
      </c>
      <c r="J1294" s="22">
        <v>0</v>
      </c>
      <c r="K1294" s="22">
        <v>0</v>
      </c>
      <c r="L1294" s="22">
        <v>0</v>
      </c>
      <c r="M1294" s="22">
        <v>0</v>
      </c>
      <c r="N1294" s="22">
        <v>0</v>
      </c>
      <c r="O1294" s="22"/>
      <c r="P1294" s="22">
        <v>74.400000000000006</v>
      </c>
      <c r="Q1294" s="22" t="str">
        <f>IF(OR(L1294&lt;$Y$18,L1294&gt;$Y$19),"Outlier","Normal")</f>
        <v>Normal</v>
      </c>
      <c r="R1294" s="26" t="str">
        <f>A1294&amp;B1294&amp;C1294&amp;D1294&amp;E1294&amp;F1294&amp;G1294&amp;H1294&amp;I1294&amp;J1294&amp;K1294&amp;L1294&amp;M1294&amp;N1294&amp;O1294&amp;P1294</f>
        <v>USR-10129345803TreatmentWestMobileSocialPremium000000074.4</v>
      </c>
      <c r="S1294" s="22" t="str">
        <f>IF(COUNTIF($R$2:$R$1409,R1294)=1,"OK",IF(COUNTIF($R$2:$R$1409,R1294)&gt;1,"Exact Duplicate","Review Required"))</f>
        <v>OK</v>
      </c>
      <c r="T1294" s="22" t="s">
        <v>24</v>
      </c>
      <c r="U1294" s="22" t="s">
        <v>41</v>
      </c>
      <c r="V1294" s="22"/>
    </row>
    <row r="1295" spans="1:22" ht="41.4">
      <c r="A1295" s="22" t="s">
        <v>1326</v>
      </c>
      <c r="B1295" s="25">
        <v>45735</v>
      </c>
      <c r="C1295" s="22" t="s">
        <v>723</v>
      </c>
      <c r="D1295" s="22" t="s">
        <v>28</v>
      </c>
      <c r="E1295" s="22" t="s">
        <v>19</v>
      </c>
      <c r="F1295" s="22" t="s">
        <v>41</v>
      </c>
      <c r="G1295" s="22" t="s">
        <v>26</v>
      </c>
      <c r="H1295" s="22">
        <v>0</v>
      </c>
      <c r="I1295" s="22">
        <v>0</v>
      </c>
      <c r="J1295" s="22">
        <v>0</v>
      </c>
      <c r="K1295" s="22">
        <v>0</v>
      </c>
      <c r="L1295" s="22">
        <v>0</v>
      </c>
      <c r="M1295" s="22">
        <v>0</v>
      </c>
      <c r="N1295" s="22">
        <v>0</v>
      </c>
      <c r="O1295" s="22"/>
      <c r="P1295" s="22">
        <v>78.400000000000006</v>
      </c>
      <c r="Q1295" s="22" t="str">
        <f>IF(OR(L1295&lt;$Y$18,L1295&gt;$Y$19),"Outlier","Normal")</f>
        <v>Normal</v>
      </c>
      <c r="R1295" s="26" t="str">
        <f>A1295&amp;B1295&amp;C1295&amp;D1295&amp;E1295&amp;F1295&amp;G1295&amp;H1295&amp;I1295&amp;J1295&amp;K1295&amp;L1295&amp;M1295&amp;N1295&amp;O1295&amp;P1295</f>
        <v>USR-10129445735TreatmentEastDesktopSocialFree000000078.4</v>
      </c>
      <c r="S1295" s="22" t="str">
        <f>IF(COUNTIF($R$2:$R$1409,R1295)=1,"OK",IF(COUNTIF($R$2:$R$1409,R1295)&gt;1,"Exact Duplicate","Review Required"))</f>
        <v>OK</v>
      </c>
      <c r="T1295" s="22" t="s">
        <v>19</v>
      </c>
      <c r="U1295" s="22" t="s">
        <v>41</v>
      </c>
      <c r="V1295" s="22"/>
    </row>
    <row r="1296" spans="1:22" ht="41.4">
      <c r="A1296" s="22" t="s">
        <v>1327</v>
      </c>
      <c r="B1296" s="25">
        <v>45744</v>
      </c>
      <c r="C1296" s="22" t="s">
        <v>723</v>
      </c>
      <c r="D1296" s="22" t="s">
        <v>18</v>
      </c>
      <c r="E1296" s="22" t="s">
        <v>19</v>
      </c>
      <c r="F1296" s="22" t="s">
        <v>39</v>
      </c>
      <c r="G1296" s="22" t="s">
        <v>26</v>
      </c>
      <c r="H1296" s="22">
        <v>1</v>
      </c>
      <c r="I1296" s="22">
        <v>0</v>
      </c>
      <c r="J1296" s="22">
        <v>0</v>
      </c>
      <c r="K1296" s="22">
        <v>0</v>
      </c>
      <c r="L1296" s="22">
        <v>0</v>
      </c>
      <c r="M1296" s="22">
        <v>0</v>
      </c>
      <c r="N1296" s="22">
        <v>0</v>
      </c>
      <c r="O1296" s="22"/>
      <c r="P1296" s="22">
        <v>71.5</v>
      </c>
      <c r="Q1296" s="22" t="str">
        <f>IF(OR(L1296&lt;$Y$18,L1296&gt;$Y$19),"Outlier","Normal")</f>
        <v>Normal</v>
      </c>
      <c r="R1296" s="26" t="str">
        <f>A1296&amp;B1296&amp;C1296&amp;D1296&amp;E1296&amp;F1296&amp;G1296&amp;H1296&amp;I1296&amp;J1296&amp;K1296&amp;L1296&amp;M1296&amp;N1296&amp;O1296&amp;P1296</f>
        <v>USR-10129545744TreatmentNorthDesktopReferralFree100000071.5</v>
      </c>
      <c r="S1296" s="22" t="str">
        <f>IF(COUNTIF($R$2:$R$1409,R1296)=1,"OK",IF(COUNTIF($R$2:$R$1409,R1296)&gt;1,"Exact Duplicate","Review Required"))</f>
        <v>OK</v>
      </c>
      <c r="T1296" s="22" t="s">
        <v>19</v>
      </c>
      <c r="U1296" s="22" t="s">
        <v>39</v>
      </c>
      <c r="V1296" s="22"/>
    </row>
    <row r="1297" spans="1:22" ht="41.4">
      <c r="A1297" s="22" t="s">
        <v>1328</v>
      </c>
      <c r="B1297" s="25">
        <v>45805</v>
      </c>
      <c r="C1297" s="22" t="s">
        <v>723</v>
      </c>
      <c r="D1297" s="22" t="s">
        <v>32</v>
      </c>
      <c r="E1297" s="22" t="s">
        <v>19</v>
      </c>
      <c r="F1297" s="22" t="s">
        <v>41</v>
      </c>
      <c r="G1297" s="22" t="s">
        <v>26</v>
      </c>
      <c r="H1297" s="22">
        <v>1</v>
      </c>
      <c r="I1297" s="22">
        <v>0</v>
      </c>
      <c r="J1297" s="22">
        <v>0</v>
      </c>
      <c r="K1297" s="22">
        <v>0</v>
      </c>
      <c r="L1297" s="22">
        <v>0</v>
      </c>
      <c r="M1297" s="22">
        <v>0</v>
      </c>
      <c r="N1297" s="22">
        <v>0</v>
      </c>
      <c r="O1297" s="22"/>
      <c r="P1297" s="22">
        <v>66.7</v>
      </c>
      <c r="Q1297" s="22" t="str">
        <f>IF(OR(L1297&lt;$Y$18,L1297&gt;$Y$19),"Outlier","Normal")</f>
        <v>Normal</v>
      </c>
      <c r="R1297" s="26" t="str">
        <f>A1297&amp;B1297&amp;C1297&amp;D1297&amp;E1297&amp;F1297&amp;G1297&amp;H1297&amp;I1297&amp;J1297&amp;K1297&amp;L1297&amp;M1297&amp;N1297&amp;O1297&amp;P1297</f>
        <v>USR-10129645805TreatmentSouthDesktopSocialFree100000066.7</v>
      </c>
      <c r="S1297" s="22" t="str">
        <f>IF(COUNTIF($R$2:$R$1409,R1297)=1,"OK",IF(COUNTIF($R$2:$R$1409,R1297)&gt;1,"Exact Duplicate","Review Required"))</f>
        <v>OK</v>
      </c>
      <c r="T1297" s="22" t="s">
        <v>19</v>
      </c>
      <c r="U1297" s="22" t="s">
        <v>41</v>
      </c>
      <c r="V1297" s="22"/>
    </row>
    <row r="1298" spans="1:22" ht="55.2">
      <c r="A1298" s="22" t="s">
        <v>1329</v>
      </c>
      <c r="B1298" s="25">
        <v>45808</v>
      </c>
      <c r="C1298" s="22" t="s">
        <v>723</v>
      </c>
      <c r="D1298" s="22" t="s">
        <v>32</v>
      </c>
      <c r="E1298" s="22" t="s">
        <v>19</v>
      </c>
      <c r="F1298" s="22" t="s">
        <v>39</v>
      </c>
      <c r="G1298" s="22" t="s">
        <v>30</v>
      </c>
      <c r="H1298" s="22">
        <v>1</v>
      </c>
      <c r="I1298" s="22">
        <v>1</v>
      </c>
      <c r="J1298" s="22">
        <v>1</v>
      </c>
      <c r="K1298" s="22">
        <v>1</v>
      </c>
      <c r="L1298" s="22">
        <v>1496.09</v>
      </c>
      <c r="M1298" s="22">
        <v>0</v>
      </c>
      <c r="N1298" s="22">
        <v>0</v>
      </c>
      <c r="O1298" s="22">
        <v>7</v>
      </c>
      <c r="P1298" s="22">
        <v>60.4</v>
      </c>
      <c r="Q1298" s="22" t="str">
        <f>IF(OR(L1298&lt;$Y$18,L1298&gt;$Y$19),"Outlier","Normal")</f>
        <v>Normal</v>
      </c>
      <c r="R1298" s="26" t="str">
        <f>A1298&amp;B1298&amp;C1298&amp;D1298&amp;E1298&amp;F1298&amp;G1298&amp;H1298&amp;I1298&amp;J1298&amp;K1298&amp;L1298&amp;M1298&amp;N1298&amp;O1298&amp;P1298</f>
        <v>USR-10129745808TreatmentSouthDesktopReferralPremium11111496.0900760.4</v>
      </c>
      <c r="S1298" s="22" t="str">
        <f>IF(COUNTIF($R$2:$R$1409,R1298)=1,"OK",IF(COUNTIF($R$2:$R$1409,R1298)&gt;1,"Exact Duplicate","Review Required"))</f>
        <v>OK</v>
      </c>
      <c r="T1298" s="22" t="s">
        <v>19</v>
      </c>
      <c r="U1298" s="22" t="s">
        <v>39</v>
      </c>
      <c r="V1298" s="22"/>
    </row>
    <row r="1299" spans="1:22" ht="41.4">
      <c r="A1299" s="22" t="s">
        <v>1330</v>
      </c>
      <c r="B1299" s="25">
        <v>45787</v>
      </c>
      <c r="C1299" s="22" t="s">
        <v>723</v>
      </c>
      <c r="D1299" s="22" t="s">
        <v>18</v>
      </c>
      <c r="E1299" s="22" t="s">
        <v>24</v>
      </c>
      <c r="F1299" s="22" t="s">
        <v>39</v>
      </c>
      <c r="G1299" s="22" t="s">
        <v>26</v>
      </c>
      <c r="H1299" s="22">
        <v>0</v>
      </c>
      <c r="I1299" s="22">
        <v>0</v>
      </c>
      <c r="J1299" s="22">
        <v>0</v>
      </c>
      <c r="K1299" s="22">
        <v>0</v>
      </c>
      <c r="L1299" s="22">
        <v>0</v>
      </c>
      <c r="M1299" s="22">
        <v>1</v>
      </c>
      <c r="N1299" s="22">
        <v>0</v>
      </c>
      <c r="O1299" s="22"/>
      <c r="P1299" s="22">
        <v>72.900000000000006</v>
      </c>
      <c r="Q1299" s="22" t="str">
        <f>IF(OR(L1299&lt;$Y$18,L1299&gt;$Y$19),"Outlier","Normal")</f>
        <v>Normal</v>
      </c>
      <c r="R1299" s="26" t="str">
        <f>A1299&amp;B1299&amp;C1299&amp;D1299&amp;E1299&amp;F1299&amp;G1299&amp;H1299&amp;I1299&amp;J1299&amp;K1299&amp;L1299&amp;M1299&amp;N1299&amp;O1299&amp;P1299</f>
        <v>USR-10129845787TreatmentNorthMobileReferralFree000001072.9</v>
      </c>
      <c r="S1299" s="22" t="str">
        <f>IF(COUNTIF($R$2:$R$1409,R1299)=1,"OK",IF(COUNTIF($R$2:$R$1409,R1299)&gt;1,"Exact Duplicate","Review Required"))</f>
        <v>OK</v>
      </c>
      <c r="T1299" s="22" t="s">
        <v>24</v>
      </c>
      <c r="U1299" s="22" t="s">
        <v>39</v>
      </c>
      <c r="V1299" s="22"/>
    </row>
    <row r="1300" spans="1:22" ht="41.4">
      <c r="A1300" s="22" t="s">
        <v>1331</v>
      </c>
      <c r="B1300" s="25">
        <v>45794</v>
      </c>
      <c r="C1300" s="22" t="s">
        <v>723</v>
      </c>
      <c r="D1300" s="22" t="s">
        <v>23</v>
      </c>
      <c r="E1300" s="22" t="s">
        <v>24</v>
      </c>
      <c r="F1300" s="22" t="s">
        <v>25</v>
      </c>
      <c r="G1300" s="22" t="s">
        <v>26</v>
      </c>
      <c r="H1300" s="22">
        <v>0</v>
      </c>
      <c r="I1300" s="22">
        <v>0</v>
      </c>
      <c r="J1300" s="22">
        <v>0</v>
      </c>
      <c r="K1300" s="22">
        <v>0</v>
      </c>
      <c r="L1300" s="22">
        <v>0</v>
      </c>
      <c r="M1300" s="22">
        <v>3</v>
      </c>
      <c r="N1300" s="22">
        <v>0</v>
      </c>
      <c r="O1300" s="22"/>
      <c r="P1300" s="22"/>
      <c r="Q1300" s="22" t="str">
        <f>IF(OR(L1300&lt;$Y$18,L1300&gt;$Y$19),"Outlier","Normal")</f>
        <v>Normal</v>
      </c>
      <c r="R1300" s="26" t="str">
        <f>A1300&amp;B1300&amp;C1300&amp;D1300&amp;E1300&amp;F1300&amp;G1300&amp;H1300&amp;I1300&amp;J1300&amp;K1300&amp;L1300&amp;M1300&amp;N1300&amp;O1300&amp;P1300</f>
        <v>USR-10129945794TreatmentWestMobileOrganicFree0000030</v>
      </c>
      <c r="S1300" s="22" t="str">
        <f>IF(COUNTIF($R$2:$R$1409,R1300)=1,"OK",IF(COUNTIF($R$2:$R$1409,R1300)&gt;1,"Exact Duplicate","Review Required"))</f>
        <v>OK</v>
      </c>
      <c r="T1300" s="22" t="s">
        <v>24</v>
      </c>
      <c r="U1300" s="22" t="s">
        <v>25</v>
      </c>
      <c r="V1300" s="22"/>
    </row>
    <row r="1301" spans="1:22" ht="41.4">
      <c r="A1301" s="22" t="s">
        <v>1332</v>
      </c>
      <c r="B1301" s="25">
        <v>45675</v>
      </c>
      <c r="C1301" s="22" t="s">
        <v>723</v>
      </c>
      <c r="D1301" s="22" t="s">
        <v>32</v>
      </c>
      <c r="E1301" s="22" t="s">
        <v>24</v>
      </c>
      <c r="F1301" s="22" t="s">
        <v>25</v>
      </c>
      <c r="G1301" s="22" t="s">
        <v>30</v>
      </c>
      <c r="H1301" s="22">
        <v>1</v>
      </c>
      <c r="I1301" s="22">
        <v>0</v>
      </c>
      <c r="J1301" s="22">
        <v>0</v>
      </c>
      <c r="K1301" s="22">
        <v>0</v>
      </c>
      <c r="L1301" s="22">
        <v>0</v>
      </c>
      <c r="M1301" s="22">
        <v>0</v>
      </c>
      <c r="N1301" s="22">
        <v>0</v>
      </c>
      <c r="O1301" s="22"/>
      <c r="P1301" s="22">
        <v>55.2</v>
      </c>
      <c r="Q1301" s="22" t="str">
        <f>IF(OR(L1301&lt;$Y$18,L1301&gt;$Y$19),"Outlier","Normal")</f>
        <v>Normal</v>
      </c>
      <c r="R1301" s="26" t="str">
        <f>A1301&amp;B1301&amp;C1301&amp;D1301&amp;E1301&amp;F1301&amp;G1301&amp;H1301&amp;I1301&amp;J1301&amp;K1301&amp;L1301&amp;M1301&amp;N1301&amp;O1301&amp;P1301</f>
        <v>USR-10130045675TreatmentSouthMobileOrganicPremium100000055.2</v>
      </c>
      <c r="S1301" s="22" t="str">
        <f>IF(COUNTIF($R$2:$R$1409,R1301)=1,"OK",IF(COUNTIF($R$2:$R$1409,R1301)&gt;1,"Exact Duplicate","Review Required"))</f>
        <v>OK</v>
      </c>
      <c r="T1301" s="22" t="s">
        <v>24</v>
      </c>
      <c r="U1301" s="22" t="s">
        <v>25</v>
      </c>
      <c r="V1301" s="22"/>
    </row>
    <row r="1302" spans="1:22" ht="41.4">
      <c r="A1302" s="22" t="s">
        <v>1333</v>
      </c>
      <c r="B1302" s="25">
        <v>45781</v>
      </c>
      <c r="C1302" s="22" t="s">
        <v>723</v>
      </c>
      <c r="D1302" s="22" t="s">
        <v>23</v>
      </c>
      <c r="E1302" s="22" t="s">
        <v>24</v>
      </c>
      <c r="F1302" s="22" t="s">
        <v>41</v>
      </c>
      <c r="G1302" s="22" t="s">
        <v>26</v>
      </c>
      <c r="H1302" s="22">
        <v>1</v>
      </c>
      <c r="I1302" s="22">
        <v>0</v>
      </c>
      <c r="J1302" s="22">
        <v>0</v>
      </c>
      <c r="K1302" s="22">
        <v>0</v>
      </c>
      <c r="L1302" s="22">
        <v>0</v>
      </c>
      <c r="M1302" s="22">
        <v>0</v>
      </c>
      <c r="N1302" s="22">
        <v>0</v>
      </c>
      <c r="O1302" s="22"/>
      <c r="P1302" s="22">
        <v>67.8</v>
      </c>
      <c r="Q1302" s="22" t="str">
        <f>IF(OR(L1302&lt;$Y$18,L1302&gt;$Y$19),"Outlier","Normal")</f>
        <v>Normal</v>
      </c>
      <c r="R1302" s="26" t="str">
        <f>A1302&amp;B1302&amp;C1302&amp;D1302&amp;E1302&amp;F1302&amp;G1302&amp;H1302&amp;I1302&amp;J1302&amp;K1302&amp;L1302&amp;M1302&amp;N1302&amp;O1302&amp;P1302</f>
        <v>USR-10130145781TreatmentWestMobileSocialFree100000067.8</v>
      </c>
      <c r="S1302" s="22" t="str">
        <f>IF(COUNTIF($R$2:$R$1409,R1302)=1,"OK",IF(COUNTIF($R$2:$R$1409,R1302)&gt;1,"Exact Duplicate","Review Required"))</f>
        <v>OK</v>
      </c>
      <c r="T1302" s="22" t="s">
        <v>24</v>
      </c>
      <c r="U1302" s="22" t="s">
        <v>41</v>
      </c>
      <c r="V1302" s="22"/>
    </row>
    <row r="1303" spans="1:22" ht="41.4">
      <c r="A1303" s="22" t="s">
        <v>1334</v>
      </c>
      <c r="B1303" s="25">
        <v>45741</v>
      </c>
      <c r="C1303" s="22" t="s">
        <v>723</v>
      </c>
      <c r="D1303" s="22" t="s">
        <v>18</v>
      </c>
      <c r="E1303" s="22" t="s">
        <v>24</v>
      </c>
      <c r="F1303" s="22" t="s">
        <v>25</v>
      </c>
      <c r="G1303" s="22" t="s">
        <v>26</v>
      </c>
      <c r="H1303" s="22">
        <v>1</v>
      </c>
      <c r="I1303" s="22">
        <v>0</v>
      </c>
      <c r="J1303" s="22">
        <v>0</v>
      </c>
      <c r="K1303" s="22">
        <v>0</v>
      </c>
      <c r="L1303" s="22">
        <v>0</v>
      </c>
      <c r="M1303" s="22">
        <v>2</v>
      </c>
      <c r="N1303" s="22">
        <v>0</v>
      </c>
      <c r="O1303" s="22"/>
      <c r="P1303" s="22">
        <v>70</v>
      </c>
      <c r="Q1303" s="22" t="str">
        <f>IF(OR(L1303&lt;$Y$18,L1303&gt;$Y$19),"Outlier","Normal")</f>
        <v>Normal</v>
      </c>
      <c r="R1303" s="26" t="str">
        <f>A1303&amp;B1303&amp;C1303&amp;D1303&amp;E1303&amp;F1303&amp;G1303&amp;H1303&amp;I1303&amp;J1303&amp;K1303&amp;L1303&amp;M1303&amp;N1303&amp;O1303&amp;P1303</f>
        <v>USR-10130245741TreatmentNorthMobileOrganicFree100002070</v>
      </c>
      <c r="S1303" s="22" t="str">
        <f>IF(COUNTIF($R$2:$R$1409,R1303)=1,"OK",IF(COUNTIF($R$2:$R$1409,R1303)&gt;1,"Exact Duplicate","Review Required"))</f>
        <v>OK</v>
      </c>
      <c r="T1303" s="22" t="s">
        <v>24</v>
      </c>
      <c r="U1303" s="22" t="s">
        <v>25</v>
      </c>
      <c r="V1303" s="22"/>
    </row>
    <row r="1304" spans="1:22" ht="41.4">
      <c r="A1304" s="22" t="s">
        <v>1335</v>
      </c>
      <c r="B1304" s="25">
        <v>45715</v>
      </c>
      <c r="C1304" s="22" t="s">
        <v>723</v>
      </c>
      <c r="D1304" s="22" t="s">
        <v>18</v>
      </c>
      <c r="E1304" s="22" t="s">
        <v>24</v>
      </c>
      <c r="F1304" s="22" t="s">
        <v>41</v>
      </c>
      <c r="G1304" s="22" t="s">
        <v>21</v>
      </c>
      <c r="H1304" s="22">
        <v>1</v>
      </c>
      <c r="I1304" s="22">
        <v>1</v>
      </c>
      <c r="J1304" s="22">
        <v>1</v>
      </c>
      <c r="K1304" s="22">
        <v>0</v>
      </c>
      <c r="L1304" s="22">
        <v>0</v>
      </c>
      <c r="M1304" s="22">
        <v>0</v>
      </c>
      <c r="N1304" s="22">
        <v>0</v>
      </c>
      <c r="O1304" s="22"/>
      <c r="P1304" s="22">
        <v>51.1</v>
      </c>
      <c r="Q1304" s="22" t="str">
        <f>IF(OR(L1304&lt;$Y$18,L1304&gt;$Y$19),"Outlier","Normal")</f>
        <v>Normal</v>
      </c>
      <c r="R1304" s="26" t="str">
        <f>A1304&amp;B1304&amp;C1304&amp;D1304&amp;E1304&amp;F1304&amp;G1304&amp;H1304&amp;I1304&amp;J1304&amp;K1304&amp;L1304&amp;M1304&amp;N1304&amp;O1304&amp;P1304</f>
        <v>USR-10130345715TreatmentNorthMobileSocialBasic111000051.1</v>
      </c>
      <c r="S1304" s="22" t="str">
        <f>IF(COUNTIF($R$2:$R$1409,R1304)=1,"OK",IF(COUNTIF($R$2:$R$1409,R1304)&gt;1,"Exact Duplicate","Review Required"))</f>
        <v>OK</v>
      </c>
      <c r="T1304" s="22" t="s">
        <v>24</v>
      </c>
      <c r="U1304" s="22" t="s">
        <v>41</v>
      </c>
      <c r="V1304" s="22"/>
    </row>
    <row r="1305" spans="1:22" ht="41.4">
      <c r="A1305" s="22" t="s">
        <v>1336</v>
      </c>
      <c r="B1305" s="25">
        <v>45671</v>
      </c>
      <c r="C1305" s="22" t="s">
        <v>723</v>
      </c>
      <c r="D1305" s="22" t="s">
        <v>23</v>
      </c>
      <c r="E1305" s="22" t="s">
        <v>24</v>
      </c>
      <c r="F1305" s="22" t="s">
        <v>29</v>
      </c>
      <c r="G1305" s="22" t="s">
        <v>21</v>
      </c>
      <c r="H1305" s="22">
        <v>1</v>
      </c>
      <c r="I1305" s="22">
        <v>1</v>
      </c>
      <c r="J1305" s="22">
        <v>1</v>
      </c>
      <c r="K1305" s="22">
        <v>0</v>
      </c>
      <c r="L1305" s="22">
        <v>0</v>
      </c>
      <c r="M1305" s="22">
        <v>0</v>
      </c>
      <c r="N1305" s="22">
        <v>0</v>
      </c>
      <c r="O1305" s="22"/>
      <c r="P1305" s="22">
        <v>57</v>
      </c>
      <c r="Q1305" s="22" t="str">
        <f>IF(OR(L1305&lt;$Y$18,L1305&gt;$Y$19),"Outlier","Normal")</f>
        <v>Normal</v>
      </c>
      <c r="R1305" s="26" t="str">
        <f>A1305&amp;B1305&amp;C1305&amp;D1305&amp;E1305&amp;F1305&amp;G1305&amp;H1305&amp;I1305&amp;J1305&amp;K1305&amp;L1305&amp;M1305&amp;N1305&amp;O1305&amp;P1305</f>
        <v>USR-10130445671TreatmentWestMobilePaid SearchBasic111000057</v>
      </c>
      <c r="S1305" s="22" t="str">
        <f>IF(COUNTIF($R$2:$R$1409,R1305)=1,"OK",IF(COUNTIF($R$2:$R$1409,R1305)&gt;1,"Exact Duplicate","Review Required"))</f>
        <v>OK</v>
      </c>
      <c r="T1305" s="22" t="s">
        <v>24</v>
      </c>
      <c r="U1305" s="22" t="s">
        <v>29</v>
      </c>
      <c r="V1305" s="22"/>
    </row>
    <row r="1306" spans="1:22" ht="41.4">
      <c r="A1306" s="22" t="s">
        <v>1337</v>
      </c>
      <c r="B1306" s="25">
        <v>45758</v>
      </c>
      <c r="C1306" s="22" t="s">
        <v>723</v>
      </c>
      <c r="D1306" s="22" t="s">
        <v>28</v>
      </c>
      <c r="E1306" s="22" t="s">
        <v>24</v>
      </c>
      <c r="F1306" s="22" t="s">
        <v>41</v>
      </c>
      <c r="G1306" s="22" t="s">
        <v>26</v>
      </c>
      <c r="H1306" s="22">
        <v>0</v>
      </c>
      <c r="I1306" s="22">
        <v>0</v>
      </c>
      <c r="J1306" s="22">
        <v>0</v>
      </c>
      <c r="K1306" s="22">
        <v>0</v>
      </c>
      <c r="L1306" s="22">
        <v>0</v>
      </c>
      <c r="M1306" s="22">
        <v>1</v>
      </c>
      <c r="N1306" s="22">
        <v>0</v>
      </c>
      <c r="O1306" s="22"/>
      <c r="P1306" s="22">
        <v>47.1</v>
      </c>
      <c r="Q1306" s="22" t="str">
        <f>IF(OR(L1306&lt;$Y$18,L1306&gt;$Y$19),"Outlier","Normal")</f>
        <v>Normal</v>
      </c>
      <c r="R1306" s="26" t="str">
        <f>A1306&amp;B1306&amp;C1306&amp;D1306&amp;E1306&amp;F1306&amp;G1306&amp;H1306&amp;I1306&amp;J1306&amp;K1306&amp;L1306&amp;M1306&amp;N1306&amp;O1306&amp;P1306</f>
        <v>USR-10130545758TreatmentEastMobileSocialFree000001047.1</v>
      </c>
      <c r="S1306" s="22" t="str">
        <f>IF(COUNTIF($R$2:$R$1409,R1306)=1,"OK",IF(COUNTIF($R$2:$R$1409,R1306)&gt;1,"Exact Duplicate","Review Required"))</f>
        <v>OK</v>
      </c>
      <c r="T1306" s="22" t="s">
        <v>24</v>
      </c>
      <c r="U1306" s="22" t="s">
        <v>41</v>
      </c>
      <c r="V1306" s="22"/>
    </row>
    <row r="1307" spans="1:22" ht="41.4">
      <c r="A1307" s="22" t="s">
        <v>1338</v>
      </c>
      <c r="B1307" s="25">
        <v>45742</v>
      </c>
      <c r="C1307" s="22" t="s">
        <v>723</v>
      </c>
      <c r="D1307" s="22" t="s">
        <v>28</v>
      </c>
      <c r="E1307" s="22" t="s">
        <v>19</v>
      </c>
      <c r="F1307" s="22" t="s">
        <v>41</v>
      </c>
      <c r="G1307" s="22" t="s">
        <v>21</v>
      </c>
      <c r="H1307" s="22">
        <v>0</v>
      </c>
      <c r="I1307" s="22">
        <v>0</v>
      </c>
      <c r="J1307" s="22">
        <v>0</v>
      </c>
      <c r="K1307" s="22">
        <v>0</v>
      </c>
      <c r="L1307" s="22">
        <v>0</v>
      </c>
      <c r="M1307" s="22">
        <v>0</v>
      </c>
      <c r="N1307" s="22">
        <v>0</v>
      </c>
      <c r="O1307" s="22"/>
      <c r="P1307" s="22">
        <v>30.7</v>
      </c>
      <c r="Q1307" s="22" t="str">
        <f>IF(OR(L1307&lt;$Y$18,L1307&gt;$Y$19),"Outlier","Normal")</f>
        <v>Normal</v>
      </c>
      <c r="R1307" s="26" t="str">
        <f>A1307&amp;B1307&amp;C1307&amp;D1307&amp;E1307&amp;F1307&amp;G1307&amp;H1307&amp;I1307&amp;J1307&amp;K1307&amp;L1307&amp;M1307&amp;N1307&amp;O1307&amp;P1307</f>
        <v>USR-10130645742TreatmentEastDesktopSocialBasic000000030.7</v>
      </c>
      <c r="S1307" s="22" t="str">
        <f>IF(COUNTIF($R$2:$R$1409,R1307)=1,"OK",IF(COUNTIF($R$2:$R$1409,R1307)&gt;1,"Exact Duplicate","Review Required"))</f>
        <v>OK</v>
      </c>
      <c r="T1307" s="22" t="s">
        <v>19</v>
      </c>
      <c r="U1307" s="22" t="s">
        <v>41</v>
      </c>
      <c r="V1307" s="22"/>
    </row>
    <row r="1308" spans="1:22" ht="41.4">
      <c r="A1308" s="22" t="s">
        <v>1339</v>
      </c>
      <c r="B1308" s="25">
        <v>45700</v>
      </c>
      <c r="C1308" s="22" t="s">
        <v>723</v>
      </c>
      <c r="D1308" s="22" t="s">
        <v>23</v>
      </c>
      <c r="E1308" s="22" t="s">
        <v>19</v>
      </c>
      <c r="F1308" s="22" t="s">
        <v>41</v>
      </c>
      <c r="G1308" s="22" t="s">
        <v>26</v>
      </c>
      <c r="H1308" s="22">
        <v>1</v>
      </c>
      <c r="I1308" s="22">
        <v>0</v>
      </c>
      <c r="J1308" s="22">
        <v>0</v>
      </c>
      <c r="K1308" s="22">
        <v>0</v>
      </c>
      <c r="L1308" s="22">
        <v>0</v>
      </c>
      <c r="M1308" s="22">
        <v>0</v>
      </c>
      <c r="N1308" s="22">
        <v>0</v>
      </c>
      <c r="O1308" s="22"/>
      <c r="P1308" s="22">
        <v>57.3</v>
      </c>
      <c r="Q1308" s="22" t="str">
        <f>IF(OR(L1308&lt;$Y$18,L1308&gt;$Y$19),"Outlier","Normal")</f>
        <v>Normal</v>
      </c>
      <c r="R1308" s="26" t="str">
        <f>A1308&amp;B1308&amp;C1308&amp;D1308&amp;E1308&amp;F1308&amp;G1308&amp;H1308&amp;I1308&amp;J1308&amp;K1308&amp;L1308&amp;M1308&amp;N1308&amp;O1308&amp;P1308</f>
        <v>USR-10130745700TreatmentWestDesktopSocialFree100000057.3</v>
      </c>
      <c r="S1308" s="22" t="str">
        <f>IF(COUNTIF($R$2:$R$1409,R1308)=1,"OK",IF(COUNTIF($R$2:$R$1409,R1308)&gt;1,"Exact Duplicate","Review Required"))</f>
        <v>OK</v>
      </c>
      <c r="T1308" s="22" t="s">
        <v>19</v>
      </c>
      <c r="U1308" s="22" t="s">
        <v>41</v>
      </c>
      <c r="V1308" s="22"/>
    </row>
    <row r="1309" spans="1:22" ht="41.4">
      <c r="A1309" s="22" t="s">
        <v>1340</v>
      </c>
      <c r="B1309" s="25">
        <v>45706</v>
      </c>
      <c r="C1309" s="22" t="s">
        <v>723</v>
      </c>
      <c r="D1309" s="22" t="s">
        <v>23</v>
      </c>
      <c r="E1309" s="22" t="s">
        <v>34</v>
      </c>
      <c r="F1309" s="22" t="s">
        <v>29</v>
      </c>
      <c r="G1309" s="22" t="s">
        <v>21</v>
      </c>
      <c r="H1309" s="22">
        <v>1</v>
      </c>
      <c r="I1309" s="22">
        <v>0</v>
      </c>
      <c r="J1309" s="22">
        <v>0</v>
      </c>
      <c r="K1309" s="22">
        <v>0</v>
      </c>
      <c r="L1309" s="22">
        <v>0</v>
      </c>
      <c r="M1309" s="22">
        <v>0</v>
      </c>
      <c r="N1309" s="22">
        <v>0</v>
      </c>
      <c r="O1309" s="22"/>
      <c r="P1309" s="22">
        <v>70</v>
      </c>
      <c r="Q1309" s="22" t="str">
        <f>IF(OR(L1309&lt;$Y$18,L1309&gt;$Y$19),"Outlier","Normal")</f>
        <v>Normal</v>
      </c>
      <c r="R1309" s="26" t="str">
        <f>A1309&amp;B1309&amp;C1309&amp;D1309&amp;E1309&amp;F1309&amp;G1309&amp;H1309&amp;I1309&amp;J1309&amp;K1309&amp;L1309&amp;M1309&amp;N1309&amp;O1309&amp;P1309</f>
        <v>USR-10130845706TreatmentWestTabletPaid SearchBasic100000070</v>
      </c>
      <c r="S1309" s="22" t="str">
        <f>IF(COUNTIF($R$2:$R$1409,R1309)=1,"OK",IF(COUNTIF($R$2:$R$1409,R1309)&gt;1,"Exact Duplicate","Review Required"))</f>
        <v>OK</v>
      </c>
      <c r="T1309" s="22" t="s">
        <v>34</v>
      </c>
      <c r="U1309" s="22" t="s">
        <v>29</v>
      </c>
      <c r="V1309" s="22"/>
    </row>
    <row r="1310" spans="1:22" ht="41.4">
      <c r="A1310" s="22" t="s">
        <v>1341</v>
      </c>
      <c r="B1310" s="25">
        <v>45802</v>
      </c>
      <c r="C1310" s="22" t="s">
        <v>723</v>
      </c>
      <c r="D1310" s="22" t="s">
        <v>28</v>
      </c>
      <c r="E1310" s="22" t="s">
        <v>19</v>
      </c>
      <c r="F1310" s="22" t="s">
        <v>41</v>
      </c>
      <c r="G1310" s="22" t="s">
        <v>26</v>
      </c>
      <c r="H1310" s="22">
        <v>1</v>
      </c>
      <c r="I1310" s="22">
        <v>1</v>
      </c>
      <c r="J1310" s="22">
        <v>1</v>
      </c>
      <c r="K1310" s="22">
        <v>0</v>
      </c>
      <c r="L1310" s="22">
        <v>0</v>
      </c>
      <c r="M1310" s="22">
        <v>0</v>
      </c>
      <c r="N1310" s="22">
        <v>0</v>
      </c>
      <c r="O1310" s="22"/>
      <c r="P1310" s="22">
        <v>59.7</v>
      </c>
      <c r="Q1310" s="22" t="str">
        <f>IF(OR(L1310&lt;$Y$18,L1310&gt;$Y$19),"Outlier","Normal")</f>
        <v>Normal</v>
      </c>
      <c r="R1310" s="26" t="str">
        <f>A1310&amp;B1310&amp;C1310&amp;D1310&amp;E1310&amp;F1310&amp;G1310&amp;H1310&amp;I1310&amp;J1310&amp;K1310&amp;L1310&amp;M1310&amp;N1310&amp;O1310&amp;P1310</f>
        <v>USR-10130945802TreatmentEastDesktopSocialFree111000059.7</v>
      </c>
      <c r="S1310" s="22" t="str">
        <f>IF(COUNTIF($R$2:$R$1409,R1310)=1,"OK",IF(COUNTIF($R$2:$R$1409,R1310)&gt;1,"Exact Duplicate","Review Required"))</f>
        <v>OK</v>
      </c>
      <c r="T1310" s="22" t="s">
        <v>19</v>
      </c>
      <c r="U1310" s="22" t="s">
        <v>41</v>
      </c>
      <c r="V1310" s="22"/>
    </row>
    <row r="1311" spans="1:22" ht="41.4">
      <c r="A1311" s="22" t="s">
        <v>1342</v>
      </c>
      <c r="B1311" s="25">
        <v>45800</v>
      </c>
      <c r="C1311" s="22" t="s">
        <v>723</v>
      </c>
      <c r="D1311" s="22" t="s">
        <v>28</v>
      </c>
      <c r="E1311" s="22" t="s">
        <v>19</v>
      </c>
      <c r="F1311" s="22" t="s">
        <v>29</v>
      </c>
      <c r="G1311" s="22" t="s">
        <v>21</v>
      </c>
      <c r="H1311" s="22">
        <v>1</v>
      </c>
      <c r="I1311" s="22">
        <v>0</v>
      </c>
      <c r="J1311" s="22">
        <v>0</v>
      </c>
      <c r="K1311" s="22">
        <v>0</v>
      </c>
      <c r="L1311" s="22">
        <v>0</v>
      </c>
      <c r="M1311" s="22">
        <v>0</v>
      </c>
      <c r="N1311" s="22">
        <v>0</v>
      </c>
      <c r="O1311" s="22"/>
      <c r="P1311" s="22">
        <v>68.8</v>
      </c>
      <c r="Q1311" s="22" t="str">
        <f>IF(OR(L1311&lt;$Y$18,L1311&gt;$Y$19),"Outlier","Normal")</f>
        <v>Normal</v>
      </c>
      <c r="R1311" s="26" t="str">
        <f>A1311&amp;B1311&amp;C1311&amp;D1311&amp;E1311&amp;F1311&amp;G1311&amp;H1311&amp;I1311&amp;J1311&amp;K1311&amp;L1311&amp;M1311&amp;N1311&amp;O1311&amp;P1311</f>
        <v>USR-10131045800TreatmentEastDesktopPaid SearchBasic100000068.8</v>
      </c>
      <c r="S1311" s="22" t="str">
        <f>IF(COUNTIF($R$2:$R$1409,R1311)=1,"OK",IF(COUNTIF($R$2:$R$1409,R1311)&gt;1,"Exact Duplicate","Review Required"))</f>
        <v>OK</v>
      </c>
      <c r="T1311" s="22" t="s">
        <v>19</v>
      </c>
      <c r="U1311" s="22" t="s">
        <v>29</v>
      </c>
      <c r="V1311" s="22"/>
    </row>
    <row r="1312" spans="1:22" ht="41.4">
      <c r="A1312" s="22" t="s">
        <v>1343</v>
      </c>
      <c r="B1312" s="25">
        <v>45673</v>
      </c>
      <c r="C1312" s="22" t="s">
        <v>723</v>
      </c>
      <c r="D1312" s="22" t="s">
        <v>18</v>
      </c>
      <c r="E1312" s="22" t="s">
        <v>19</v>
      </c>
      <c r="F1312" s="22" t="s">
        <v>25</v>
      </c>
      <c r="G1312" s="22" t="s">
        <v>26</v>
      </c>
      <c r="H1312" s="22">
        <v>1</v>
      </c>
      <c r="I1312" s="22">
        <v>1</v>
      </c>
      <c r="J1312" s="22">
        <v>1</v>
      </c>
      <c r="K1312" s="22">
        <v>1</v>
      </c>
      <c r="L1312" s="22">
        <v>428.37</v>
      </c>
      <c r="M1312" s="22">
        <v>0</v>
      </c>
      <c r="N1312" s="22">
        <v>0</v>
      </c>
      <c r="O1312" s="22">
        <v>9</v>
      </c>
      <c r="P1312" s="22">
        <v>88.3</v>
      </c>
      <c r="Q1312" s="22" t="str">
        <f>IF(OR(L1312&lt;$Y$18,L1312&gt;$Y$19),"Outlier","Normal")</f>
        <v>Normal</v>
      </c>
      <c r="R1312" s="26" t="str">
        <f>A1312&amp;B1312&amp;C1312&amp;D1312&amp;E1312&amp;F1312&amp;G1312&amp;H1312&amp;I1312&amp;J1312&amp;K1312&amp;L1312&amp;M1312&amp;N1312&amp;O1312&amp;P1312</f>
        <v>USR-10131145673TreatmentNorthDesktopOrganicFree1111428.3700988.3</v>
      </c>
      <c r="S1312" s="22" t="str">
        <f>IF(COUNTIF($R$2:$R$1409,R1312)=1,"OK",IF(COUNTIF($R$2:$R$1409,R1312)&gt;1,"Exact Duplicate","Review Required"))</f>
        <v>OK</v>
      </c>
      <c r="T1312" s="22" t="s">
        <v>19</v>
      </c>
      <c r="U1312" s="22" t="s">
        <v>25</v>
      </c>
      <c r="V1312" s="22"/>
    </row>
    <row r="1313" spans="1:22" ht="41.4">
      <c r="A1313" s="22" t="s">
        <v>1344</v>
      </c>
      <c r="B1313" s="25">
        <v>45676</v>
      </c>
      <c r="C1313" s="22" t="s">
        <v>723</v>
      </c>
      <c r="D1313" s="22" t="s">
        <v>23</v>
      </c>
      <c r="E1313" s="22" t="s">
        <v>19</v>
      </c>
      <c r="F1313" s="22" t="s">
        <v>20</v>
      </c>
      <c r="G1313" s="22" t="s">
        <v>21</v>
      </c>
      <c r="H1313" s="22">
        <v>0</v>
      </c>
      <c r="I1313" s="22">
        <v>0</v>
      </c>
      <c r="J1313" s="22">
        <v>0</v>
      </c>
      <c r="K1313" s="22">
        <v>0</v>
      </c>
      <c r="L1313" s="22">
        <v>0</v>
      </c>
      <c r="M1313" s="22">
        <v>0</v>
      </c>
      <c r="N1313" s="22">
        <v>0</v>
      </c>
      <c r="O1313" s="22"/>
      <c r="P1313" s="22">
        <v>83.4</v>
      </c>
      <c r="Q1313" s="22" t="str">
        <f>IF(OR(L1313&lt;$Y$18,L1313&gt;$Y$19),"Outlier","Normal")</f>
        <v>Normal</v>
      </c>
      <c r="R1313" s="26" t="str">
        <f>A1313&amp;B1313&amp;C1313&amp;D1313&amp;E1313&amp;F1313&amp;G1313&amp;H1313&amp;I1313&amp;J1313&amp;K1313&amp;L1313&amp;M1313&amp;N1313&amp;O1313&amp;P1313</f>
        <v>USR-10131245676TreatmentWestDesktopEmailBasic000000083.4</v>
      </c>
      <c r="S1313" s="22" t="str">
        <f>IF(COUNTIF($R$2:$R$1409,R1313)=1,"OK",IF(COUNTIF($R$2:$R$1409,R1313)&gt;1,"Exact Duplicate","Review Required"))</f>
        <v>OK</v>
      </c>
      <c r="T1313" s="22" t="s">
        <v>19</v>
      </c>
      <c r="U1313" s="22" t="s">
        <v>20</v>
      </c>
      <c r="V1313" s="22"/>
    </row>
    <row r="1314" spans="1:22" ht="41.4">
      <c r="A1314" s="22" t="s">
        <v>1345</v>
      </c>
      <c r="B1314" s="25">
        <v>45795</v>
      </c>
      <c r="C1314" s="22" t="s">
        <v>723</v>
      </c>
      <c r="D1314" s="22" t="s">
        <v>32</v>
      </c>
      <c r="E1314" s="22" t="s">
        <v>24</v>
      </c>
      <c r="F1314" s="22" t="s">
        <v>39</v>
      </c>
      <c r="G1314" s="22" t="s">
        <v>26</v>
      </c>
      <c r="H1314" s="22">
        <v>0</v>
      </c>
      <c r="I1314" s="22">
        <v>0</v>
      </c>
      <c r="J1314" s="22">
        <v>0</v>
      </c>
      <c r="K1314" s="22">
        <v>0</v>
      </c>
      <c r="L1314" s="22">
        <v>0</v>
      </c>
      <c r="M1314" s="22">
        <v>1</v>
      </c>
      <c r="N1314" s="22">
        <v>0</v>
      </c>
      <c r="O1314" s="22"/>
      <c r="P1314" s="22">
        <v>81.599999999999994</v>
      </c>
      <c r="Q1314" s="22" t="str">
        <f>IF(OR(L1314&lt;$Y$18,L1314&gt;$Y$19),"Outlier","Normal")</f>
        <v>Normal</v>
      </c>
      <c r="R1314" s="26" t="str">
        <f>A1314&amp;B1314&amp;C1314&amp;D1314&amp;E1314&amp;F1314&amp;G1314&amp;H1314&amp;I1314&amp;J1314&amp;K1314&amp;L1314&amp;M1314&amp;N1314&amp;O1314&amp;P1314</f>
        <v>USR-10131345795TreatmentSouthMobileReferralFree000001081.6</v>
      </c>
      <c r="S1314" s="22" t="str">
        <f>IF(COUNTIF($R$2:$R$1409,R1314)=1,"OK",IF(COUNTIF($R$2:$R$1409,R1314)&gt;1,"Exact Duplicate","Review Required"))</f>
        <v>OK</v>
      </c>
      <c r="T1314" s="22" t="s">
        <v>24</v>
      </c>
      <c r="U1314" s="22" t="s">
        <v>39</v>
      </c>
      <c r="V1314" s="22"/>
    </row>
    <row r="1315" spans="1:22" ht="41.4">
      <c r="A1315" s="22" t="s">
        <v>1346</v>
      </c>
      <c r="B1315" s="25">
        <v>45680</v>
      </c>
      <c r="C1315" s="22" t="s">
        <v>723</v>
      </c>
      <c r="D1315" s="22" t="s">
        <v>28</v>
      </c>
      <c r="E1315" s="22" t="s">
        <v>34</v>
      </c>
      <c r="F1315" s="22" t="s">
        <v>41</v>
      </c>
      <c r="G1315" s="22" t="s">
        <v>30</v>
      </c>
      <c r="H1315" s="22">
        <v>1</v>
      </c>
      <c r="I1315" s="22">
        <v>0</v>
      </c>
      <c r="J1315" s="22">
        <v>0</v>
      </c>
      <c r="K1315" s="22">
        <v>0</v>
      </c>
      <c r="L1315" s="22">
        <v>0</v>
      </c>
      <c r="M1315" s="22">
        <v>0</v>
      </c>
      <c r="N1315" s="22">
        <v>0</v>
      </c>
      <c r="O1315" s="22"/>
      <c r="P1315" s="22">
        <v>91.6</v>
      </c>
      <c r="Q1315" s="22" t="str">
        <f>IF(OR(L1315&lt;$Y$18,L1315&gt;$Y$19),"Outlier","Normal")</f>
        <v>Normal</v>
      </c>
      <c r="R1315" s="26" t="str">
        <f>A1315&amp;B1315&amp;C1315&amp;D1315&amp;E1315&amp;F1315&amp;G1315&amp;H1315&amp;I1315&amp;J1315&amp;K1315&amp;L1315&amp;M1315&amp;N1315&amp;O1315&amp;P1315</f>
        <v>USR-10131445680TreatmentEastTabletSocialPremium100000091.6</v>
      </c>
      <c r="S1315" s="22" t="str">
        <f>IF(COUNTIF($R$2:$R$1409,R1315)=1,"OK",IF(COUNTIF($R$2:$R$1409,R1315)&gt;1,"Exact Duplicate","Review Required"))</f>
        <v>OK</v>
      </c>
      <c r="T1315" s="22" t="s">
        <v>34</v>
      </c>
      <c r="U1315" s="22" t="s">
        <v>41</v>
      </c>
      <c r="V1315" s="22"/>
    </row>
    <row r="1316" spans="1:22" ht="41.4">
      <c r="A1316" s="22" t="s">
        <v>1347</v>
      </c>
      <c r="B1316" s="25">
        <v>45665</v>
      </c>
      <c r="C1316" s="22" t="s">
        <v>723</v>
      </c>
      <c r="D1316" s="22" t="s">
        <v>28</v>
      </c>
      <c r="E1316" s="22" t="s">
        <v>34</v>
      </c>
      <c r="F1316" s="22" t="s">
        <v>1482</v>
      </c>
      <c r="G1316" s="22" t="s">
        <v>30</v>
      </c>
      <c r="H1316" s="22">
        <v>1</v>
      </c>
      <c r="I1316" s="22">
        <v>1</v>
      </c>
      <c r="J1316" s="22">
        <v>1</v>
      </c>
      <c r="K1316" s="22">
        <v>0</v>
      </c>
      <c r="L1316" s="22">
        <v>0</v>
      </c>
      <c r="M1316" s="22">
        <v>1</v>
      </c>
      <c r="N1316" s="22">
        <v>0</v>
      </c>
      <c r="O1316" s="22"/>
      <c r="P1316" s="22">
        <v>61.5</v>
      </c>
      <c r="Q1316" s="22" t="str">
        <f>IF(OR(L1316&lt;$Y$18,L1316&gt;$Y$19),"Outlier","Normal")</f>
        <v>Normal</v>
      </c>
      <c r="R1316" s="26" t="str">
        <f>A1316&amp;B1316&amp;C1316&amp;D1316&amp;E1316&amp;F1316&amp;G1316&amp;H1316&amp;I1316&amp;J1316&amp;K1316&amp;L1316&amp;M1316&amp;N1316&amp;O1316&amp;P1316</f>
        <v>USR-10131545665TreatmentEastTabletUnknownPremium111001061.5</v>
      </c>
      <c r="S1316" s="22" t="str">
        <f>IF(COUNTIF($R$2:$R$1409,R1316)=1,"OK",IF(COUNTIF($R$2:$R$1409,R1316)&gt;1,"Exact Duplicate","Review Required"))</f>
        <v>OK</v>
      </c>
      <c r="T1316" s="22" t="s">
        <v>34</v>
      </c>
      <c r="U1316" s="22"/>
      <c r="V1316" s="22"/>
    </row>
    <row r="1317" spans="1:22" ht="41.4">
      <c r="A1317" s="22" t="s">
        <v>1348</v>
      </c>
      <c r="B1317" s="25">
        <v>45707</v>
      </c>
      <c r="C1317" s="22" t="s">
        <v>723</v>
      </c>
      <c r="D1317" s="22" t="s">
        <v>18</v>
      </c>
      <c r="E1317" s="22" t="s">
        <v>24</v>
      </c>
      <c r="F1317" s="22" t="s">
        <v>25</v>
      </c>
      <c r="G1317" s="22" t="s">
        <v>30</v>
      </c>
      <c r="H1317" s="22">
        <v>0</v>
      </c>
      <c r="I1317" s="22">
        <v>0</v>
      </c>
      <c r="J1317" s="22">
        <v>0</v>
      </c>
      <c r="K1317" s="22">
        <v>0</v>
      </c>
      <c r="L1317" s="22">
        <v>0</v>
      </c>
      <c r="M1317" s="22">
        <v>0</v>
      </c>
      <c r="N1317" s="22">
        <v>0</v>
      </c>
      <c r="O1317" s="22"/>
      <c r="P1317" s="22"/>
      <c r="Q1317" s="22" t="str">
        <f>IF(OR(L1317&lt;$Y$18,L1317&gt;$Y$19),"Outlier","Normal")</f>
        <v>Normal</v>
      </c>
      <c r="R1317" s="26" t="str">
        <f>A1317&amp;B1317&amp;C1317&amp;D1317&amp;E1317&amp;F1317&amp;G1317&amp;H1317&amp;I1317&amp;J1317&amp;K1317&amp;L1317&amp;M1317&amp;N1317&amp;O1317&amp;P1317</f>
        <v>USR-10131645707TreatmentNorthMobileOrganicPremium0000000</v>
      </c>
      <c r="S1317" s="22" t="str">
        <f>IF(COUNTIF($R$2:$R$1409,R1317)=1,"OK",IF(COUNTIF($R$2:$R$1409,R1317)&gt;1,"Exact Duplicate","Review Required"))</f>
        <v>OK</v>
      </c>
      <c r="T1317" s="22" t="s">
        <v>24</v>
      </c>
      <c r="U1317" s="22" t="s">
        <v>25</v>
      </c>
      <c r="V1317" s="22"/>
    </row>
    <row r="1318" spans="1:22" ht="41.4">
      <c r="A1318" s="22" t="s">
        <v>1349</v>
      </c>
      <c r="B1318" s="25">
        <v>45698</v>
      </c>
      <c r="C1318" s="22" t="s">
        <v>723</v>
      </c>
      <c r="D1318" s="22" t="s">
        <v>32</v>
      </c>
      <c r="E1318" s="22" t="s">
        <v>24</v>
      </c>
      <c r="F1318" s="22" t="s">
        <v>25</v>
      </c>
      <c r="G1318" s="22" t="s">
        <v>26</v>
      </c>
      <c r="H1318" s="22">
        <v>1</v>
      </c>
      <c r="I1318" s="22">
        <v>0</v>
      </c>
      <c r="J1318" s="22">
        <v>0</v>
      </c>
      <c r="K1318" s="22">
        <v>0</v>
      </c>
      <c r="L1318" s="22">
        <v>0</v>
      </c>
      <c r="M1318" s="22">
        <v>0</v>
      </c>
      <c r="N1318" s="22">
        <v>0</v>
      </c>
      <c r="O1318" s="22"/>
      <c r="P1318" s="22">
        <v>32.6</v>
      </c>
      <c r="Q1318" s="22" t="str">
        <f>IF(OR(L1318&lt;$Y$18,L1318&gt;$Y$19),"Outlier","Normal")</f>
        <v>Normal</v>
      </c>
      <c r="R1318" s="26" t="str">
        <f>A1318&amp;B1318&amp;C1318&amp;D1318&amp;E1318&amp;F1318&amp;G1318&amp;H1318&amp;I1318&amp;J1318&amp;K1318&amp;L1318&amp;M1318&amp;N1318&amp;O1318&amp;P1318</f>
        <v>USR-10131745698TreatmentSouthMobileOrganicFree100000032.6</v>
      </c>
      <c r="S1318" s="22" t="str">
        <f>IF(COUNTIF($R$2:$R$1409,R1318)=1,"OK",IF(COUNTIF($R$2:$R$1409,R1318)&gt;1,"Exact Duplicate","Review Required"))</f>
        <v>OK</v>
      </c>
      <c r="T1318" s="22" t="s">
        <v>24</v>
      </c>
      <c r="U1318" s="22" t="s">
        <v>25</v>
      </c>
      <c r="V1318" s="22"/>
    </row>
    <row r="1319" spans="1:22" ht="41.4">
      <c r="A1319" s="22" t="s">
        <v>1350</v>
      </c>
      <c r="B1319" s="25">
        <v>45760</v>
      </c>
      <c r="C1319" s="22" t="s">
        <v>723</v>
      </c>
      <c r="D1319" s="22" t="s">
        <v>32</v>
      </c>
      <c r="E1319" s="22" t="s">
        <v>24</v>
      </c>
      <c r="F1319" s="22" t="s">
        <v>29</v>
      </c>
      <c r="G1319" s="22" t="s">
        <v>26</v>
      </c>
      <c r="H1319" s="22">
        <v>1</v>
      </c>
      <c r="I1319" s="22">
        <v>0</v>
      </c>
      <c r="J1319" s="22">
        <v>0</v>
      </c>
      <c r="K1319" s="22">
        <v>0</v>
      </c>
      <c r="L1319" s="22">
        <v>0</v>
      </c>
      <c r="M1319" s="22">
        <v>0</v>
      </c>
      <c r="N1319" s="22">
        <v>0</v>
      </c>
      <c r="O1319" s="22"/>
      <c r="P1319" s="22">
        <v>73.900000000000006</v>
      </c>
      <c r="Q1319" s="22" t="str">
        <f>IF(OR(L1319&lt;$Y$18,L1319&gt;$Y$19),"Outlier","Normal")</f>
        <v>Normal</v>
      </c>
      <c r="R1319" s="26" t="str">
        <f>A1319&amp;B1319&amp;C1319&amp;D1319&amp;E1319&amp;F1319&amp;G1319&amp;H1319&amp;I1319&amp;J1319&amp;K1319&amp;L1319&amp;M1319&amp;N1319&amp;O1319&amp;P1319</f>
        <v>USR-10131845760TreatmentSouthMobilePaid SearchFree100000073.9</v>
      </c>
      <c r="S1319" s="22" t="str">
        <f>IF(COUNTIF($R$2:$R$1409,R1319)=1,"OK",IF(COUNTIF($R$2:$R$1409,R1319)&gt;1,"Exact Duplicate","Review Required"))</f>
        <v>OK</v>
      </c>
      <c r="T1319" s="22" t="s">
        <v>24</v>
      </c>
      <c r="U1319" s="22" t="s">
        <v>29</v>
      </c>
      <c r="V1319" s="22"/>
    </row>
    <row r="1320" spans="1:22" ht="41.4">
      <c r="A1320" s="22" t="s">
        <v>1351</v>
      </c>
      <c r="B1320" s="25">
        <v>45797</v>
      </c>
      <c r="C1320" s="22" t="s">
        <v>723</v>
      </c>
      <c r="D1320" s="22" t="s">
        <v>28</v>
      </c>
      <c r="E1320" s="22" t="s">
        <v>24</v>
      </c>
      <c r="F1320" s="22" t="s">
        <v>25</v>
      </c>
      <c r="G1320" s="22" t="s">
        <v>26</v>
      </c>
      <c r="H1320" s="22">
        <v>1</v>
      </c>
      <c r="I1320" s="22">
        <v>1</v>
      </c>
      <c r="J1320" s="22">
        <v>1</v>
      </c>
      <c r="K1320" s="22">
        <v>1</v>
      </c>
      <c r="L1320" s="22">
        <v>444.06</v>
      </c>
      <c r="M1320" s="22">
        <v>0</v>
      </c>
      <c r="N1320" s="22">
        <v>0</v>
      </c>
      <c r="O1320" s="22">
        <v>9</v>
      </c>
      <c r="P1320" s="22">
        <v>99.9</v>
      </c>
      <c r="Q1320" s="22" t="str">
        <f>IF(OR(L1320&lt;$Y$18,L1320&gt;$Y$19),"Outlier","Normal")</f>
        <v>Normal</v>
      </c>
      <c r="R1320" s="26" t="str">
        <f>A1320&amp;B1320&amp;C1320&amp;D1320&amp;E1320&amp;F1320&amp;G1320&amp;H1320&amp;I1320&amp;J1320&amp;K1320&amp;L1320&amp;M1320&amp;N1320&amp;O1320&amp;P1320</f>
        <v>USR-10131945797TreatmentEastMobileOrganicFree1111444.0600999.9</v>
      </c>
      <c r="S1320" s="22" t="str">
        <f>IF(COUNTIF($R$2:$R$1409,R1320)=1,"OK",IF(COUNTIF($R$2:$R$1409,R1320)&gt;1,"Exact Duplicate","Review Required"))</f>
        <v>OK</v>
      </c>
      <c r="T1320" s="22" t="s">
        <v>24</v>
      </c>
      <c r="U1320" s="22" t="s">
        <v>25</v>
      </c>
      <c r="V1320" s="22"/>
    </row>
    <row r="1321" spans="1:22" ht="41.4">
      <c r="A1321" s="22" t="s">
        <v>1352</v>
      </c>
      <c r="B1321" s="25">
        <v>45790</v>
      </c>
      <c r="C1321" s="22" t="s">
        <v>723</v>
      </c>
      <c r="D1321" s="22" t="s">
        <v>32</v>
      </c>
      <c r="E1321" s="22" t="s">
        <v>24</v>
      </c>
      <c r="F1321" s="22" t="s">
        <v>29</v>
      </c>
      <c r="G1321" s="22" t="s">
        <v>21</v>
      </c>
      <c r="H1321" s="22">
        <v>1</v>
      </c>
      <c r="I1321" s="22">
        <v>1</v>
      </c>
      <c r="J1321" s="22">
        <v>0</v>
      </c>
      <c r="K1321" s="22">
        <v>0</v>
      </c>
      <c r="L1321" s="22">
        <v>0</v>
      </c>
      <c r="M1321" s="22">
        <v>1</v>
      </c>
      <c r="N1321" s="22">
        <v>0</v>
      </c>
      <c r="O1321" s="22"/>
      <c r="P1321" s="22">
        <v>62.4</v>
      </c>
      <c r="Q1321" s="22" t="str">
        <f>IF(OR(L1321&lt;$Y$18,L1321&gt;$Y$19),"Outlier","Normal")</f>
        <v>Normal</v>
      </c>
      <c r="R1321" s="26" t="str">
        <f>A1321&amp;B1321&amp;C1321&amp;D1321&amp;E1321&amp;F1321&amp;G1321&amp;H1321&amp;I1321&amp;J1321&amp;K1321&amp;L1321&amp;M1321&amp;N1321&amp;O1321&amp;P1321</f>
        <v>USR-10132045790TreatmentSouthMobilePaid SearchBasic110001062.4</v>
      </c>
      <c r="S1321" s="22" t="str">
        <f>IF(COUNTIF($R$2:$R$1409,R1321)=1,"OK",IF(COUNTIF($R$2:$R$1409,R1321)&gt;1,"Exact Duplicate","Review Required"))</f>
        <v>OK</v>
      </c>
      <c r="T1321" s="22" t="s">
        <v>24</v>
      </c>
      <c r="U1321" s="22" t="s">
        <v>29</v>
      </c>
      <c r="V1321" s="22"/>
    </row>
    <row r="1322" spans="1:22" ht="41.4">
      <c r="A1322" s="22" t="s">
        <v>1353</v>
      </c>
      <c r="B1322" s="25">
        <v>45805</v>
      </c>
      <c r="C1322" s="22" t="s">
        <v>723</v>
      </c>
      <c r="D1322" s="22" t="s">
        <v>32</v>
      </c>
      <c r="E1322" s="22" t="s">
        <v>19</v>
      </c>
      <c r="F1322" s="22" t="s">
        <v>29</v>
      </c>
      <c r="G1322" s="22" t="s">
        <v>21</v>
      </c>
      <c r="H1322" s="22">
        <v>1</v>
      </c>
      <c r="I1322" s="22">
        <v>0</v>
      </c>
      <c r="J1322" s="22">
        <v>0</v>
      </c>
      <c r="K1322" s="22">
        <v>0</v>
      </c>
      <c r="L1322" s="22">
        <v>0</v>
      </c>
      <c r="M1322" s="22">
        <v>0</v>
      </c>
      <c r="N1322" s="22">
        <v>0</v>
      </c>
      <c r="O1322" s="22"/>
      <c r="P1322" s="22">
        <v>46.1</v>
      </c>
      <c r="Q1322" s="22" t="str">
        <f>IF(OR(L1322&lt;$Y$18,L1322&gt;$Y$19),"Outlier","Normal")</f>
        <v>Normal</v>
      </c>
      <c r="R1322" s="26" t="str">
        <f>A1322&amp;B1322&amp;C1322&amp;D1322&amp;E1322&amp;F1322&amp;G1322&amp;H1322&amp;I1322&amp;J1322&amp;K1322&amp;L1322&amp;M1322&amp;N1322&amp;O1322&amp;P1322</f>
        <v>USR-10132145805TreatmentSouthDesktopPaid SearchBasic100000046.1</v>
      </c>
      <c r="S1322" s="22" t="str">
        <f>IF(COUNTIF($R$2:$R$1409,R1322)=1,"OK",IF(COUNTIF($R$2:$R$1409,R1322)&gt;1,"Exact Duplicate","Review Required"))</f>
        <v>OK</v>
      </c>
      <c r="T1322" s="22" t="s">
        <v>19</v>
      </c>
      <c r="U1322" s="22" t="s">
        <v>29</v>
      </c>
      <c r="V1322" s="22"/>
    </row>
    <row r="1323" spans="1:22" ht="41.4">
      <c r="A1323" s="22" t="s">
        <v>1354</v>
      </c>
      <c r="B1323" s="25">
        <v>45735</v>
      </c>
      <c r="C1323" s="22" t="s">
        <v>723</v>
      </c>
      <c r="D1323" s="22" t="s">
        <v>23</v>
      </c>
      <c r="E1323" s="22" t="s">
        <v>24</v>
      </c>
      <c r="F1323" s="22" t="s">
        <v>25</v>
      </c>
      <c r="G1323" s="22" t="s">
        <v>26</v>
      </c>
      <c r="H1323" s="22">
        <v>1</v>
      </c>
      <c r="I1323" s="22">
        <v>1</v>
      </c>
      <c r="J1323" s="22">
        <v>1</v>
      </c>
      <c r="K1323" s="22">
        <v>1</v>
      </c>
      <c r="L1323" s="22">
        <v>2660.21</v>
      </c>
      <c r="M1323" s="22">
        <v>0</v>
      </c>
      <c r="N1323" s="22">
        <v>0</v>
      </c>
      <c r="O1323" s="22">
        <v>3</v>
      </c>
      <c r="P1323" s="22">
        <v>73.900000000000006</v>
      </c>
      <c r="Q1323" s="22" t="str">
        <f>IF(OR(L1323&lt;$Y$18,L1323&gt;$Y$19),"Outlier","Normal")</f>
        <v>Outlier</v>
      </c>
      <c r="R1323" s="26" t="str">
        <f>A1323&amp;B1323&amp;C1323&amp;D1323&amp;E1323&amp;F1323&amp;G1323&amp;H1323&amp;I1323&amp;J1323&amp;K1323&amp;L1323&amp;M1323&amp;N1323&amp;O1323&amp;P1323</f>
        <v>USR-10132245735TreatmentWestMobileOrganicFree11112660.2100373.9</v>
      </c>
      <c r="S1323" s="22" t="str">
        <f>IF(COUNTIF($R$2:$R$1409,R1323)=1,"OK",IF(COUNTIF($R$2:$R$1409,R1323)&gt;1,"Exact Duplicate","Review Required"))</f>
        <v>OK</v>
      </c>
      <c r="T1323" s="22" t="s">
        <v>24</v>
      </c>
      <c r="U1323" s="22" t="s">
        <v>25</v>
      </c>
      <c r="V1323" s="22"/>
    </row>
    <row r="1324" spans="1:22" ht="41.4">
      <c r="A1324" s="22" t="s">
        <v>1355</v>
      </c>
      <c r="B1324" s="25">
        <v>45691</v>
      </c>
      <c r="C1324" s="22" t="s">
        <v>723</v>
      </c>
      <c r="D1324" s="22" t="s">
        <v>18</v>
      </c>
      <c r="E1324" s="22" t="s">
        <v>24</v>
      </c>
      <c r="F1324" s="22" t="s">
        <v>20</v>
      </c>
      <c r="G1324" s="22" t="s">
        <v>30</v>
      </c>
      <c r="H1324" s="22">
        <v>0</v>
      </c>
      <c r="I1324" s="22">
        <v>0</v>
      </c>
      <c r="J1324" s="22">
        <v>0</v>
      </c>
      <c r="K1324" s="22">
        <v>0</v>
      </c>
      <c r="L1324" s="22">
        <v>0</v>
      </c>
      <c r="M1324" s="22">
        <v>0</v>
      </c>
      <c r="N1324" s="22">
        <v>0</v>
      </c>
      <c r="O1324" s="22"/>
      <c r="P1324" s="22">
        <v>90</v>
      </c>
      <c r="Q1324" s="22" t="str">
        <f>IF(OR(L1324&lt;$Y$18,L1324&gt;$Y$19),"Outlier","Normal")</f>
        <v>Normal</v>
      </c>
      <c r="R1324" s="26" t="str">
        <f>A1324&amp;B1324&amp;C1324&amp;D1324&amp;E1324&amp;F1324&amp;G1324&amp;H1324&amp;I1324&amp;J1324&amp;K1324&amp;L1324&amp;M1324&amp;N1324&amp;O1324&amp;P1324</f>
        <v>USR-10132345691TreatmentNorthMobileEmailPremium000000090</v>
      </c>
      <c r="S1324" s="22" t="str">
        <f>IF(COUNTIF($R$2:$R$1409,R1324)=1,"OK",IF(COUNTIF($R$2:$R$1409,R1324)&gt;1,"Exact Duplicate","Review Required"))</f>
        <v>OK</v>
      </c>
      <c r="T1324" s="22" t="s">
        <v>24</v>
      </c>
      <c r="U1324" s="22" t="s">
        <v>20</v>
      </c>
      <c r="V1324" s="22"/>
    </row>
    <row r="1325" spans="1:22" ht="41.4">
      <c r="A1325" s="22" t="s">
        <v>1356</v>
      </c>
      <c r="B1325" s="25">
        <v>45714</v>
      </c>
      <c r="C1325" s="22" t="s">
        <v>723</v>
      </c>
      <c r="D1325" s="22" t="s">
        <v>32</v>
      </c>
      <c r="E1325" s="22" t="s">
        <v>24</v>
      </c>
      <c r="F1325" s="22" t="s">
        <v>20</v>
      </c>
      <c r="G1325" s="22" t="s">
        <v>21</v>
      </c>
      <c r="H1325" s="22">
        <v>1</v>
      </c>
      <c r="I1325" s="22">
        <v>0</v>
      </c>
      <c r="J1325" s="22">
        <v>0</v>
      </c>
      <c r="K1325" s="22">
        <v>0</v>
      </c>
      <c r="L1325" s="22">
        <v>0</v>
      </c>
      <c r="M1325" s="22">
        <v>1</v>
      </c>
      <c r="N1325" s="22">
        <v>0</v>
      </c>
      <c r="O1325" s="22"/>
      <c r="P1325" s="22">
        <v>68.8</v>
      </c>
      <c r="Q1325" s="22" t="str">
        <f>IF(OR(L1325&lt;$Y$18,L1325&gt;$Y$19),"Outlier","Normal")</f>
        <v>Normal</v>
      </c>
      <c r="R1325" s="26" t="str">
        <f>A1325&amp;B1325&amp;C1325&amp;D1325&amp;E1325&amp;F1325&amp;G1325&amp;H1325&amp;I1325&amp;J1325&amp;K1325&amp;L1325&amp;M1325&amp;N1325&amp;O1325&amp;P1325</f>
        <v>USR-10132445714TreatmentSouthMobileEmailBasic100001068.8</v>
      </c>
      <c r="S1325" s="22" t="str">
        <f>IF(COUNTIF($R$2:$R$1409,R1325)=1,"OK",IF(COUNTIF($R$2:$R$1409,R1325)&gt;1,"Exact Duplicate","Review Required"))</f>
        <v>OK</v>
      </c>
      <c r="T1325" s="22" t="s">
        <v>24</v>
      </c>
      <c r="U1325" s="22" t="s">
        <v>20</v>
      </c>
      <c r="V1325" s="22"/>
    </row>
    <row r="1326" spans="1:22" ht="41.4">
      <c r="A1326" s="22" t="s">
        <v>1357</v>
      </c>
      <c r="B1326" s="25">
        <v>45683</v>
      </c>
      <c r="C1326" s="22" t="s">
        <v>723</v>
      </c>
      <c r="D1326" s="22" t="s">
        <v>23</v>
      </c>
      <c r="E1326" s="22" t="s">
        <v>24</v>
      </c>
      <c r="F1326" s="22" t="s">
        <v>29</v>
      </c>
      <c r="G1326" s="22" t="s">
        <v>26</v>
      </c>
      <c r="H1326" s="22">
        <v>1</v>
      </c>
      <c r="I1326" s="22">
        <v>0</v>
      </c>
      <c r="J1326" s="22">
        <v>0</v>
      </c>
      <c r="K1326" s="22">
        <v>0</v>
      </c>
      <c r="L1326" s="22">
        <v>0</v>
      </c>
      <c r="M1326" s="22">
        <v>0</v>
      </c>
      <c r="N1326" s="22">
        <v>0</v>
      </c>
      <c r="O1326" s="22"/>
      <c r="P1326" s="22">
        <v>66.599999999999994</v>
      </c>
      <c r="Q1326" s="22" t="str">
        <f>IF(OR(L1326&lt;$Y$18,L1326&gt;$Y$19),"Outlier","Normal")</f>
        <v>Normal</v>
      </c>
      <c r="R1326" s="26" t="str">
        <f>A1326&amp;B1326&amp;C1326&amp;D1326&amp;E1326&amp;F1326&amp;G1326&amp;H1326&amp;I1326&amp;J1326&amp;K1326&amp;L1326&amp;M1326&amp;N1326&amp;O1326&amp;P1326</f>
        <v>USR-10132545683TreatmentWestMobilePaid SearchFree100000066.6</v>
      </c>
      <c r="S1326" s="22" t="str">
        <f>IF(COUNTIF($R$2:$R$1409,R1326)=1,"OK",IF(COUNTIF($R$2:$R$1409,R1326)&gt;1,"Exact Duplicate","Review Required"))</f>
        <v>OK</v>
      </c>
      <c r="T1326" s="22" t="s">
        <v>24</v>
      </c>
      <c r="U1326" s="22" t="s">
        <v>29</v>
      </c>
      <c r="V1326" s="22"/>
    </row>
    <row r="1327" spans="1:22" ht="41.4">
      <c r="A1327" s="22" t="s">
        <v>1358</v>
      </c>
      <c r="B1327" s="25">
        <v>45790</v>
      </c>
      <c r="C1327" s="22" t="s">
        <v>723</v>
      </c>
      <c r="D1327" s="22" t="s">
        <v>18</v>
      </c>
      <c r="E1327" s="22" t="s">
        <v>24</v>
      </c>
      <c r="F1327" s="22" t="s">
        <v>25</v>
      </c>
      <c r="G1327" s="22" t="s">
        <v>30</v>
      </c>
      <c r="H1327" s="22">
        <v>1</v>
      </c>
      <c r="I1327" s="22">
        <v>0</v>
      </c>
      <c r="J1327" s="22">
        <v>0</v>
      </c>
      <c r="K1327" s="22">
        <v>0</v>
      </c>
      <c r="L1327" s="22">
        <v>0</v>
      </c>
      <c r="M1327" s="22">
        <v>0</v>
      </c>
      <c r="N1327" s="22">
        <v>0</v>
      </c>
      <c r="O1327" s="22"/>
      <c r="P1327" s="22">
        <v>49.7</v>
      </c>
      <c r="Q1327" s="22" t="str">
        <f>IF(OR(L1327&lt;$Y$18,L1327&gt;$Y$19),"Outlier","Normal")</f>
        <v>Normal</v>
      </c>
      <c r="R1327" s="26" t="str">
        <f>A1327&amp;B1327&amp;C1327&amp;D1327&amp;E1327&amp;F1327&amp;G1327&amp;H1327&amp;I1327&amp;J1327&amp;K1327&amp;L1327&amp;M1327&amp;N1327&amp;O1327&amp;P1327</f>
        <v>USR-10132645790TreatmentNorthMobileOrganicPremium100000049.7</v>
      </c>
      <c r="S1327" s="22" t="str">
        <f>IF(COUNTIF($R$2:$R$1409,R1327)=1,"OK",IF(COUNTIF($R$2:$R$1409,R1327)&gt;1,"Exact Duplicate","Review Required"))</f>
        <v>OK</v>
      </c>
      <c r="T1327" s="22" t="s">
        <v>24</v>
      </c>
      <c r="U1327" s="22" t="s">
        <v>25</v>
      </c>
      <c r="V1327" s="22"/>
    </row>
    <row r="1328" spans="1:22" ht="41.4">
      <c r="A1328" s="22" t="s">
        <v>1359</v>
      </c>
      <c r="B1328" s="25">
        <v>45690</v>
      </c>
      <c r="C1328" s="22" t="s">
        <v>723</v>
      </c>
      <c r="D1328" s="22" t="s">
        <v>32</v>
      </c>
      <c r="E1328" s="22" t="s">
        <v>24</v>
      </c>
      <c r="F1328" s="22" t="s">
        <v>29</v>
      </c>
      <c r="G1328" s="22" t="s">
        <v>21</v>
      </c>
      <c r="H1328" s="22">
        <v>0</v>
      </c>
      <c r="I1328" s="22">
        <v>0</v>
      </c>
      <c r="J1328" s="22">
        <v>0</v>
      </c>
      <c r="K1328" s="22">
        <v>0</v>
      </c>
      <c r="L1328" s="22">
        <v>0</v>
      </c>
      <c r="M1328" s="22">
        <v>0</v>
      </c>
      <c r="N1328" s="22">
        <v>0</v>
      </c>
      <c r="O1328" s="22"/>
      <c r="P1328" s="22">
        <v>67.900000000000006</v>
      </c>
      <c r="Q1328" s="22" t="str">
        <f>IF(OR(L1328&lt;$Y$18,L1328&gt;$Y$19),"Outlier","Normal")</f>
        <v>Normal</v>
      </c>
      <c r="R1328" s="26" t="str">
        <f>A1328&amp;B1328&amp;C1328&amp;D1328&amp;E1328&amp;F1328&amp;G1328&amp;H1328&amp;I1328&amp;J1328&amp;K1328&amp;L1328&amp;M1328&amp;N1328&amp;O1328&amp;P1328</f>
        <v>USR-10132745690TreatmentSouthMobilePaid SearchBasic000000067.9</v>
      </c>
      <c r="S1328" s="22" t="str">
        <f>IF(COUNTIF($R$2:$R$1409,R1328)=1,"OK",IF(COUNTIF($R$2:$R$1409,R1328)&gt;1,"Exact Duplicate","Review Required"))</f>
        <v>OK</v>
      </c>
      <c r="T1328" s="22" t="s">
        <v>24</v>
      </c>
      <c r="U1328" s="22" t="s">
        <v>29</v>
      </c>
      <c r="V1328" s="22"/>
    </row>
    <row r="1329" spans="1:22" ht="41.4">
      <c r="A1329" s="22" t="s">
        <v>1360</v>
      </c>
      <c r="B1329" s="25">
        <v>45777</v>
      </c>
      <c r="C1329" s="22" t="s">
        <v>723</v>
      </c>
      <c r="D1329" s="22" t="s">
        <v>23</v>
      </c>
      <c r="E1329" s="22" t="s">
        <v>24</v>
      </c>
      <c r="F1329" s="22" t="s">
        <v>1482</v>
      </c>
      <c r="G1329" s="22" t="s">
        <v>21</v>
      </c>
      <c r="H1329" s="22">
        <v>0</v>
      </c>
      <c r="I1329" s="22">
        <v>0</v>
      </c>
      <c r="J1329" s="22">
        <v>0</v>
      </c>
      <c r="K1329" s="22">
        <v>0</v>
      </c>
      <c r="L1329" s="22">
        <v>0</v>
      </c>
      <c r="M1329" s="22">
        <v>0</v>
      </c>
      <c r="N1329" s="22">
        <v>0</v>
      </c>
      <c r="O1329" s="22"/>
      <c r="P1329" s="22">
        <v>66.900000000000006</v>
      </c>
      <c r="Q1329" s="22" t="str">
        <f>IF(OR(L1329&lt;$Y$18,L1329&gt;$Y$19),"Outlier","Normal")</f>
        <v>Normal</v>
      </c>
      <c r="R1329" s="26" t="str">
        <f>A1329&amp;B1329&amp;C1329&amp;D1329&amp;E1329&amp;F1329&amp;G1329&amp;H1329&amp;I1329&amp;J1329&amp;K1329&amp;L1329&amp;M1329&amp;N1329&amp;O1329&amp;P1329</f>
        <v>USR-10132845777TreatmentWestMobileUnknownBasic000000066.9</v>
      </c>
      <c r="S1329" s="22" t="str">
        <f>IF(COUNTIF($R$2:$R$1409,R1329)=1,"OK",IF(COUNTIF($R$2:$R$1409,R1329)&gt;1,"Exact Duplicate","Review Required"))</f>
        <v>OK</v>
      </c>
      <c r="T1329" s="22" t="s">
        <v>24</v>
      </c>
      <c r="U1329" s="22"/>
      <c r="V1329" s="22"/>
    </row>
    <row r="1330" spans="1:22" ht="41.4">
      <c r="A1330" s="22" t="s">
        <v>1361</v>
      </c>
      <c r="B1330" s="25">
        <v>45745</v>
      </c>
      <c r="C1330" s="22" t="s">
        <v>723</v>
      </c>
      <c r="D1330" s="22" t="s">
        <v>28</v>
      </c>
      <c r="E1330" s="22" t="s">
        <v>24</v>
      </c>
      <c r="F1330" s="22" t="s">
        <v>25</v>
      </c>
      <c r="G1330" s="22" t="s">
        <v>26</v>
      </c>
      <c r="H1330" s="22">
        <v>0</v>
      </c>
      <c r="I1330" s="22">
        <v>0</v>
      </c>
      <c r="J1330" s="22">
        <v>0</v>
      </c>
      <c r="K1330" s="22">
        <v>0</v>
      </c>
      <c r="L1330" s="22">
        <v>0</v>
      </c>
      <c r="M1330" s="22">
        <v>0</v>
      </c>
      <c r="N1330" s="22">
        <v>0</v>
      </c>
      <c r="O1330" s="22"/>
      <c r="P1330" s="22">
        <v>46.1</v>
      </c>
      <c r="Q1330" s="22" t="str">
        <f>IF(OR(L1330&lt;$Y$18,L1330&gt;$Y$19),"Outlier","Normal")</f>
        <v>Normal</v>
      </c>
      <c r="R1330" s="26" t="str">
        <f>A1330&amp;B1330&amp;C1330&amp;D1330&amp;E1330&amp;F1330&amp;G1330&amp;H1330&amp;I1330&amp;J1330&amp;K1330&amp;L1330&amp;M1330&amp;N1330&amp;O1330&amp;P1330</f>
        <v>USR-10132945745TreatmentEastMobileOrganicFree000000046.1</v>
      </c>
      <c r="S1330" s="22" t="str">
        <f>IF(COUNTIF($R$2:$R$1409,R1330)=1,"OK",IF(COUNTIF($R$2:$R$1409,R1330)&gt;1,"Exact Duplicate","Review Required"))</f>
        <v>OK</v>
      </c>
      <c r="T1330" s="22" t="s">
        <v>24</v>
      </c>
      <c r="U1330" s="22" t="s">
        <v>25</v>
      </c>
      <c r="V1330" s="22"/>
    </row>
    <row r="1331" spans="1:22" ht="41.4">
      <c r="A1331" s="22" t="s">
        <v>1362</v>
      </c>
      <c r="B1331" s="25">
        <v>45756</v>
      </c>
      <c r="C1331" s="22" t="s">
        <v>723</v>
      </c>
      <c r="D1331" s="22" t="s">
        <v>23</v>
      </c>
      <c r="E1331" s="22" t="s">
        <v>19</v>
      </c>
      <c r="F1331" s="22" t="s">
        <v>39</v>
      </c>
      <c r="G1331" s="22" t="s">
        <v>30</v>
      </c>
      <c r="H1331" s="22">
        <v>1</v>
      </c>
      <c r="I1331" s="22">
        <v>0</v>
      </c>
      <c r="J1331" s="22">
        <v>0</v>
      </c>
      <c r="K1331" s="22">
        <v>0</v>
      </c>
      <c r="L1331" s="22">
        <v>0</v>
      </c>
      <c r="M1331" s="22">
        <v>0</v>
      </c>
      <c r="N1331" s="22">
        <v>0</v>
      </c>
      <c r="O1331" s="22"/>
      <c r="P1331" s="22">
        <v>85.6</v>
      </c>
      <c r="Q1331" s="22" t="str">
        <f>IF(OR(L1331&lt;$Y$18,L1331&gt;$Y$19),"Outlier","Normal")</f>
        <v>Normal</v>
      </c>
      <c r="R1331" s="26" t="str">
        <f>A1331&amp;B1331&amp;C1331&amp;D1331&amp;E1331&amp;F1331&amp;G1331&amp;H1331&amp;I1331&amp;J1331&amp;K1331&amp;L1331&amp;M1331&amp;N1331&amp;O1331&amp;P1331</f>
        <v>USR-10133045756TreatmentWestDesktopReferralPremium100000085.6</v>
      </c>
      <c r="S1331" s="22" t="str">
        <f>IF(COUNTIF($R$2:$R$1409,R1331)=1,"OK",IF(COUNTIF($R$2:$R$1409,R1331)&gt;1,"Exact Duplicate","Review Required"))</f>
        <v>OK</v>
      </c>
      <c r="T1331" s="22" t="s">
        <v>19</v>
      </c>
      <c r="U1331" s="22" t="s">
        <v>39</v>
      </c>
      <c r="V1331" s="22"/>
    </row>
    <row r="1332" spans="1:22" ht="41.4">
      <c r="A1332" s="22" t="s">
        <v>1363</v>
      </c>
      <c r="B1332" s="25">
        <v>45679</v>
      </c>
      <c r="C1332" s="22" t="s">
        <v>723</v>
      </c>
      <c r="D1332" s="22" t="s">
        <v>32</v>
      </c>
      <c r="E1332" s="22" t="s">
        <v>34</v>
      </c>
      <c r="F1332" s="22" t="s">
        <v>25</v>
      </c>
      <c r="G1332" s="22" t="s">
        <v>26</v>
      </c>
      <c r="H1332" s="22">
        <v>0</v>
      </c>
      <c r="I1332" s="22">
        <v>0</v>
      </c>
      <c r="J1332" s="22">
        <v>0</v>
      </c>
      <c r="K1332" s="22">
        <v>0</v>
      </c>
      <c r="L1332" s="22">
        <v>0</v>
      </c>
      <c r="M1332" s="22">
        <v>0</v>
      </c>
      <c r="N1332" s="22">
        <v>0</v>
      </c>
      <c r="O1332" s="22"/>
      <c r="P1332" s="22">
        <v>39.6</v>
      </c>
      <c r="Q1332" s="22" t="str">
        <f>IF(OR(L1332&lt;$Y$18,L1332&gt;$Y$19),"Outlier","Normal")</f>
        <v>Normal</v>
      </c>
      <c r="R1332" s="26" t="str">
        <f>A1332&amp;B1332&amp;C1332&amp;D1332&amp;E1332&amp;F1332&amp;G1332&amp;H1332&amp;I1332&amp;J1332&amp;K1332&amp;L1332&amp;M1332&amp;N1332&amp;O1332&amp;P1332</f>
        <v>USR-10133145679TreatmentSouthTabletOrganicFree000000039.6</v>
      </c>
      <c r="S1332" s="22" t="str">
        <f>IF(COUNTIF($R$2:$R$1409,R1332)=1,"OK",IF(COUNTIF($R$2:$R$1409,R1332)&gt;1,"Exact Duplicate","Review Required"))</f>
        <v>OK</v>
      </c>
      <c r="T1332" s="22" t="s">
        <v>34</v>
      </c>
      <c r="U1332" s="22" t="s">
        <v>25</v>
      </c>
      <c r="V1332" s="22"/>
    </row>
    <row r="1333" spans="1:22" ht="41.4">
      <c r="A1333" s="22" t="s">
        <v>1364</v>
      </c>
      <c r="B1333" s="25">
        <v>45684</v>
      </c>
      <c r="C1333" s="22" t="s">
        <v>723</v>
      </c>
      <c r="D1333" s="22" t="s">
        <v>32</v>
      </c>
      <c r="E1333" s="22" t="s">
        <v>24</v>
      </c>
      <c r="F1333" s="22" t="s">
        <v>25</v>
      </c>
      <c r="G1333" s="22" t="s">
        <v>21</v>
      </c>
      <c r="H1333" s="22">
        <v>1</v>
      </c>
      <c r="I1333" s="22">
        <v>0</v>
      </c>
      <c r="J1333" s="22">
        <v>0</v>
      </c>
      <c r="K1333" s="22">
        <v>0</v>
      </c>
      <c r="L1333" s="22">
        <v>0</v>
      </c>
      <c r="M1333" s="22">
        <v>0</v>
      </c>
      <c r="N1333" s="22">
        <v>0</v>
      </c>
      <c r="O1333" s="22"/>
      <c r="P1333" s="22">
        <v>52.5</v>
      </c>
      <c r="Q1333" s="22" t="str">
        <f>IF(OR(L1333&lt;$Y$18,L1333&gt;$Y$19),"Outlier","Normal")</f>
        <v>Normal</v>
      </c>
      <c r="R1333" s="26" t="str">
        <f>A1333&amp;B1333&amp;C1333&amp;D1333&amp;E1333&amp;F1333&amp;G1333&amp;H1333&amp;I1333&amp;J1333&amp;K1333&amp;L1333&amp;M1333&amp;N1333&amp;O1333&amp;P1333</f>
        <v>USR-10133245684TreatmentSouthMobileOrganicBasic100000052.5</v>
      </c>
      <c r="S1333" s="22" t="str">
        <f>IF(COUNTIF($R$2:$R$1409,R1333)=1,"OK",IF(COUNTIF($R$2:$R$1409,R1333)&gt;1,"Exact Duplicate","Review Required"))</f>
        <v>OK</v>
      </c>
      <c r="T1333" s="22" t="s">
        <v>24</v>
      </c>
      <c r="U1333" s="22" t="s">
        <v>25</v>
      </c>
      <c r="V1333" s="22"/>
    </row>
    <row r="1334" spans="1:22" ht="41.4">
      <c r="A1334" s="22" t="s">
        <v>1365</v>
      </c>
      <c r="B1334" s="25">
        <v>45679</v>
      </c>
      <c r="C1334" s="22" t="s">
        <v>723</v>
      </c>
      <c r="D1334" s="22" t="s">
        <v>28</v>
      </c>
      <c r="E1334" s="22" t="s">
        <v>24</v>
      </c>
      <c r="F1334" s="22" t="s">
        <v>41</v>
      </c>
      <c r="G1334" s="22" t="s">
        <v>30</v>
      </c>
      <c r="H1334" s="22">
        <v>1</v>
      </c>
      <c r="I1334" s="22">
        <v>0</v>
      </c>
      <c r="J1334" s="22">
        <v>0</v>
      </c>
      <c r="K1334" s="22">
        <v>0</v>
      </c>
      <c r="L1334" s="22">
        <v>0</v>
      </c>
      <c r="M1334" s="22">
        <v>0</v>
      </c>
      <c r="N1334" s="22">
        <v>0</v>
      </c>
      <c r="O1334" s="22"/>
      <c r="P1334" s="22">
        <v>73.5</v>
      </c>
      <c r="Q1334" s="22" t="str">
        <f>IF(OR(L1334&lt;$Y$18,L1334&gt;$Y$19),"Outlier","Normal")</f>
        <v>Normal</v>
      </c>
      <c r="R1334" s="26" t="str">
        <f>A1334&amp;B1334&amp;C1334&amp;D1334&amp;E1334&amp;F1334&amp;G1334&amp;H1334&amp;I1334&amp;J1334&amp;K1334&amp;L1334&amp;M1334&amp;N1334&amp;O1334&amp;P1334</f>
        <v>USR-10133345679TreatmentEastMobileSocialPremium100000073.5</v>
      </c>
      <c r="S1334" s="22" t="str">
        <f>IF(COUNTIF($R$2:$R$1409,R1334)=1,"OK",IF(COUNTIF($R$2:$R$1409,R1334)&gt;1,"Exact Duplicate","Review Required"))</f>
        <v>OK</v>
      </c>
      <c r="T1334" s="22" t="s">
        <v>24</v>
      </c>
      <c r="U1334" s="22" t="s">
        <v>41</v>
      </c>
      <c r="V1334" s="22"/>
    </row>
    <row r="1335" spans="1:22" ht="41.4">
      <c r="A1335" s="22" t="s">
        <v>1366</v>
      </c>
      <c r="B1335" s="25">
        <v>45663</v>
      </c>
      <c r="C1335" s="22" t="s">
        <v>723</v>
      </c>
      <c r="D1335" s="22" t="s">
        <v>23</v>
      </c>
      <c r="E1335" s="22" t="s">
        <v>19</v>
      </c>
      <c r="F1335" s="22" t="s">
        <v>29</v>
      </c>
      <c r="G1335" s="22" t="s">
        <v>26</v>
      </c>
      <c r="H1335" s="22">
        <v>0</v>
      </c>
      <c r="I1335" s="22">
        <v>0</v>
      </c>
      <c r="J1335" s="22">
        <v>0</v>
      </c>
      <c r="K1335" s="22">
        <v>0</v>
      </c>
      <c r="L1335" s="22">
        <v>0</v>
      </c>
      <c r="M1335" s="22">
        <v>0</v>
      </c>
      <c r="N1335" s="22">
        <v>0</v>
      </c>
      <c r="O1335" s="22"/>
      <c r="P1335" s="22">
        <v>62.5</v>
      </c>
      <c r="Q1335" s="22" t="str">
        <f>IF(OR(L1335&lt;$Y$18,L1335&gt;$Y$19),"Outlier","Normal")</f>
        <v>Normal</v>
      </c>
      <c r="R1335" s="26" t="str">
        <f>A1335&amp;B1335&amp;C1335&amp;D1335&amp;E1335&amp;F1335&amp;G1335&amp;H1335&amp;I1335&amp;J1335&amp;K1335&amp;L1335&amp;M1335&amp;N1335&amp;O1335&amp;P1335</f>
        <v>USR-10133445663TreatmentWestDesktopPaid SearchFree000000062.5</v>
      </c>
      <c r="S1335" s="22" t="str">
        <f>IF(COUNTIF($R$2:$R$1409,R1335)=1,"OK",IF(COUNTIF($R$2:$R$1409,R1335)&gt;1,"Exact Duplicate","Review Required"))</f>
        <v>OK</v>
      </c>
      <c r="T1335" s="22" t="s">
        <v>19</v>
      </c>
      <c r="U1335" s="22" t="s">
        <v>29</v>
      </c>
      <c r="V1335" s="22"/>
    </row>
    <row r="1336" spans="1:22" ht="41.4">
      <c r="A1336" s="22" t="s">
        <v>1367</v>
      </c>
      <c r="B1336" s="25">
        <v>45763</v>
      </c>
      <c r="C1336" s="22" t="s">
        <v>723</v>
      </c>
      <c r="D1336" s="22" t="s">
        <v>32</v>
      </c>
      <c r="E1336" s="22" t="s">
        <v>1482</v>
      </c>
      <c r="F1336" s="22" t="s">
        <v>25</v>
      </c>
      <c r="G1336" s="22" t="s">
        <v>26</v>
      </c>
      <c r="H1336" s="22">
        <v>1</v>
      </c>
      <c r="I1336" s="22">
        <v>0</v>
      </c>
      <c r="J1336" s="22">
        <v>0</v>
      </c>
      <c r="K1336" s="22">
        <v>0</v>
      </c>
      <c r="L1336" s="22">
        <v>0</v>
      </c>
      <c r="M1336" s="22">
        <v>0</v>
      </c>
      <c r="N1336" s="22">
        <v>0</v>
      </c>
      <c r="O1336" s="22"/>
      <c r="P1336" s="22">
        <v>76.900000000000006</v>
      </c>
      <c r="Q1336" s="22" t="str">
        <f>IF(OR(L1336&lt;$Y$18,L1336&gt;$Y$19),"Outlier","Normal")</f>
        <v>Normal</v>
      </c>
      <c r="R1336" s="26" t="str">
        <f>A1336&amp;B1336&amp;C1336&amp;D1336&amp;E1336&amp;F1336&amp;G1336&amp;H1336&amp;I1336&amp;J1336&amp;K1336&amp;L1336&amp;M1336&amp;N1336&amp;O1336&amp;P1336</f>
        <v>USR-10133545763TreatmentSouthUnknownOrganicFree100000076.9</v>
      </c>
      <c r="S1336" s="22" t="str">
        <f>IF(COUNTIF($R$2:$R$1409,R1336)=1,"OK",IF(COUNTIF($R$2:$R$1409,R1336)&gt;1,"Exact Duplicate","Review Required"))</f>
        <v>OK</v>
      </c>
      <c r="T1336" s="22"/>
      <c r="U1336" s="22" t="s">
        <v>25</v>
      </c>
      <c r="V1336" s="22"/>
    </row>
    <row r="1337" spans="1:22" ht="41.4">
      <c r="A1337" s="22" t="s">
        <v>1368</v>
      </c>
      <c r="B1337" s="25">
        <v>45761</v>
      </c>
      <c r="C1337" s="22" t="s">
        <v>723</v>
      </c>
      <c r="D1337" s="22" t="s">
        <v>32</v>
      </c>
      <c r="E1337" s="22" t="s">
        <v>24</v>
      </c>
      <c r="F1337" s="22" t="s">
        <v>25</v>
      </c>
      <c r="G1337" s="22" t="s">
        <v>26</v>
      </c>
      <c r="H1337" s="22">
        <v>1</v>
      </c>
      <c r="I1337" s="22">
        <v>0</v>
      </c>
      <c r="J1337" s="22">
        <v>0</v>
      </c>
      <c r="K1337" s="22">
        <v>0</v>
      </c>
      <c r="L1337" s="22">
        <v>0</v>
      </c>
      <c r="M1337" s="22">
        <v>0</v>
      </c>
      <c r="N1337" s="22">
        <v>0</v>
      </c>
      <c r="O1337" s="22"/>
      <c r="P1337" s="22">
        <v>51.4</v>
      </c>
      <c r="Q1337" s="22" t="str">
        <f>IF(OR(L1337&lt;$Y$18,L1337&gt;$Y$19),"Outlier","Normal")</f>
        <v>Normal</v>
      </c>
      <c r="R1337" s="26" t="str">
        <f>A1337&amp;B1337&amp;C1337&amp;D1337&amp;E1337&amp;F1337&amp;G1337&amp;H1337&amp;I1337&amp;J1337&amp;K1337&amp;L1337&amp;M1337&amp;N1337&amp;O1337&amp;P1337</f>
        <v>USR-10133645761TreatmentSouthMobileOrganicFree100000051.4</v>
      </c>
      <c r="S1337" s="22" t="str">
        <f>IF(COUNTIF($R$2:$R$1409,R1337)=1,"OK",IF(COUNTIF($R$2:$R$1409,R1337)&gt;1,"Exact Duplicate","Review Required"))</f>
        <v>OK</v>
      </c>
      <c r="T1337" s="22" t="s">
        <v>24</v>
      </c>
      <c r="U1337" s="22" t="s">
        <v>25</v>
      </c>
      <c r="V1337" s="22"/>
    </row>
    <row r="1338" spans="1:22" ht="41.4">
      <c r="A1338" s="22" t="s">
        <v>1369</v>
      </c>
      <c r="B1338" s="25">
        <v>45710</v>
      </c>
      <c r="C1338" s="22" t="s">
        <v>723</v>
      </c>
      <c r="D1338" s="22" t="s">
        <v>23</v>
      </c>
      <c r="E1338" s="22" t="s">
        <v>24</v>
      </c>
      <c r="F1338" s="22" t="s">
        <v>29</v>
      </c>
      <c r="G1338" s="22" t="s">
        <v>21</v>
      </c>
      <c r="H1338" s="22">
        <v>1</v>
      </c>
      <c r="I1338" s="22">
        <v>0</v>
      </c>
      <c r="J1338" s="22">
        <v>0</v>
      </c>
      <c r="K1338" s="22">
        <v>0</v>
      </c>
      <c r="L1338" s="22">
        <v>0</v>
      </c>
      <c r="M1338" s="22">
        <v>0</v>
      </c>
      <c r="N1338" s="22">
        <v>0</v>
      </c>
      <c r="O1338" s="22"/>
      <c r="P1338" s="22">
        <v>59.3</v>
      </c>
      <c r="Q1338" s="22" t="str">
        <f>IF(OR(L1338&lt;$Y$18,L1338&gt;$Y$19),"Outlier","Normal")</f>
        <v>Normal</v>
      </c>
      <c r="R1338" s="26" t="str">
        <f>A1338&amp;B1338&amp;C1338&amp;D1338&amp;E1338&amp;F1338&amp;G1338&amp;H1338&amp;I1338&amp;J1338&amp;K1338&amp;L1338&amp;M1338&amp;N1338&amp;O1338&amp;P1338</f>
        <v>USR-10133745710TreatmentWestMobilePaid SearchBasic100000059.3</v>
      </c>
      <c r="S1338" s="22" t="str">
        <f>IF(COUNTIF($R$2:$R$1409,R1338)=1,"OK",IF(COUNTIF($R$2:$R$1409,R1338)&gt;1,"Exact Duplicate","Review Required"))</f>
        <v>OK</v>
      </c>
      <c r="T1338" s="22" t="s">
        <v>24</v>
      </c>
      <c r="U1338" s="22" t="s">
        <v>29</v>
      </c>
      <c r="V1338" s="22"/>
    </row>
    <row r="1339" spans="1:22" ht="41.4">
      <c r="A1339" s="22" t="s">
        <v>1370</v>
      </c>
      <c r="B1339" s="25">
        <v>45725</v>
      </c>
      <c r="C1339" s="22" t="s">
        <v>723</v>
      </c>
      <c r="D1339" s="22" t="s">
        <v>18</v>
      </c>
      <c r="E1339" s="22" t="s">
        <v>24</v>
      </c>
      <c r="F1339" s="22" t="s">
        <v>25</v>
      </c>
      <c r="G1339" s="22" t="s">
        <v>21</v>
      </c>
      <c r="H1339" s="22">
        <v>0</v>
      </c>
      <c r="I1339" s="22">
        <v>0</v>
      </c>
      <c r="J1339" s="22">
        <v>0</v>
      </c>
      <c r="K1339" s="22">
        <v>0</v>
      </c>
      <c r="L1339" s="22">
        <v>0</v>
      </c>
      <c r="M1339" s="22">
        <v>0</v>
      </c>
      <c r="N1339" s="22">
        <v>0</v>
      </c>
      <c r="O1339" s="22"/>
      <c r="P1339" s="22">
        <v>74.900000000000006</v>
      </c>
      <c r="Q1339" s="22" t="str">
        <f>IF(OR(L1339&lt;$Y$18,L1339&gt;$Y$19),"Outlier","Normal")</f>
        <v>Normal</v>
      </c>
      <c r="R1339" s="26" t="str">
        <f>A1339&amp;B1339&amp;C1339&amp;D1339&amp;E1339&amp;F1339&amp;G1339&amp;H1339&amp;I1339&amp;J1339&amp;K1339&amp;L1339&amp;M1339&amp;N1339&amp;O1339&amp;P1339</f>
        <v>USR-10133845725TreatmentNorthMobileOrganicBasic000000074.9</v>
      </c>
      <c r="S1339" s="22" t="str">
        <f>IF(COUNTIF($R$2:$R$1409,R1339)=1,"OK",IF(COUNTIF($R$2:$R$1409,R1339)&gt;1,"Exact Duplicate","Review Required"))</f>
        <v>OK</v>
      </c>
      <c r="T1339" s="22" t="s">
        <v>24</v>
      </c>
      <c r="U1339" s="22" t="s">
        <v>25</v>
      </c>
      <c r="V1339" s="22"/>
    </row>
    <row r="1340" spans="1:22" ht="41.4">
      <c r="A1340" s="22" t="s">
        <v>1371</v>
      </c>
      <c r="B1340" s="25">
        <v>45767</v>
      </c>
      <c r="C1340" s="22" t="s">
        <v>723</v>
      </c>
      <c r="D1340" s="22" t="s">
        <v>23</v>
      </c>
      <c r="E1340" s="22" t="s">
        <v>19</v>
      </c>
      <c r="F1340" s="22" t="s">
        <v>25</v>
      </c>
      <c r="G1340" s="22" t="s">
        <v>26</v>
      </c>
      <c r="H1340" s="22">
        <v>1</v>
      </c>
      <c r="I1340" s="22">
        <v>0</v>
      </c>
      <c r="J1340" s="22">
        <v>0</v>
      </c>
      <c r="K1340" s="22">
        <v>0</v>
      </c>
      <c r="L1340" s="22">
        <v>0</v>
      </c>
      <c r="M1340" s="22">
        <v>0</v>
      </c>
      <c r="N1340" s="22">
        <v>0</v>
      </c>
      <c r="O1340" s="22"/>
      <c r="P1340" s="22">
        <v>67</v>
      </c>
      <c r="Q1340" s="22" t="str">
        <f>IF(OR(L1340&lt;$Y$18,L1340&gt;$Y$19),"Outlier","Normal")</f>
        <v>Normal</v>
      </c>
      <c r="R1340" s="26" t="str">
        <f>A1340&amp;B1340&amp;C1340&amp;D1340&amp;E1340&amp;F1340&amp;G1340&amp;H1340&amp;I1340&amp;J1340&amp;K1340&amp;L1340&amp;M1340&amp;N1340&amp;O1340&amp;P1340</f>
        <v>USR-10133945767TreatmentWestDesktopOrganicFree100000067</v>
      </c>
      <c r="S1340" s="22" t="str">
        <f>IF(COUNTIF($R$2:$R$1409,R1340)=1,"OK",IF(COUNTIF($R$2:$R$1409,R1340)&gt;1,"Exact Duplicate","Review Required"))</f>
        <v>OK</v>
      </c>
      <c r="T1340" s="22" t="s">
        <v>19</v>
      </c>
      <c r="U1340" s="22" t="s">
        <v>25</v>
      </c>
      <c r="V1340" s="22"/>
    </row>
    <row r="1341" spans="1:22" ht="41.4">
      <c r="A1341" s="22" t="s">
        <v>1372</v>
      </c>
      <c r="B1341" s="25">
        <v>45726</v>
      </c>
      <c r="C1341" s="22" t="s">
        <v>723</v>
      </c>
      <c r="D1341" s="22" t="s">
        <v>32</v>
      </c>
      <c r="E1341" s="22" t="s">
        <v>24</v>
      </c>
      <c r="F1341" s="22" t="s">
        <v>20</v>
      </c>
      <c r="G1341" s="22" t="s">
        <v>26</v>
      </c>
      <c r="H1341" s="22">
        <v>0</v>
      </c>
      <c r="I1341" s="22">
        <v>0</v>
      </c>
      <c r="J1341" s="22">
        <v>0</v>
      </c>
      <c r="K1341" s="22">
        <v>0</v>
      </c>
      <c r="L1341" s="22">
        <v>0</v>
      </c>
      <c r="M1341" s="22">
        <v>0</v>
      </c>
      <c r="N1341" s="22">
        <v>0</v>
      </c>
      <c r="O1341" s="22"/>
      <c r="P1341" s="22">
        <v>63.6</v>
      </c>
      <c r="Q1341" s="22" t="str">
        <f>IF(OR(L1341&lt;$Y$18,L1341&gt;$Y$19),"Outlier","Normal")</f>
        <v>Normal</v>
      </c>
      <c r="R1341" s="26" t="str">
        <f>A1341&amp;B1341&amp;C1341&amp;D1341&amp;E1341&amp;F1341&amp;G1341&amp;H1341&amp;I1341&amp;J1341&amp;K1341&amp;L1341&amp;M1341&amp;N1341&amp;O1341&amp;P1341</f>
        <v>USR-10134045726TreatmentSouthMobileEmailFree000000063.6</v>
      </c>
      <c r="S1341" s="22" t="str">
        <f>IF(COUNTIF($R$2:$R$1409,R1341)=1,"OK",IF(COUNTIF($R$2:$R$1409,R1341)&gt;1,"Exact Duplicate","Review Required"))</f>
        <v>OK</v>
      </c>
      <c r="T1341" s="22" t="s">
        <v>24</v>
      </c>
      <c r="U1341" s="22" t="s">
        <v>20</v>
      </c>
      <c r="V1341" s="22"/>
    </row>
    <row r="1342" spans="1:22" ht="41.4">
      <c r="A1342" s="22" t="s">
        <v>1373</v>
      </c>
      <c r="B1342" s="25">
        <v>45709</v>
      </c>
      <c r="C1342" s="22" t="s">
        <v>723</v>
      </c>
      <c r="D1342" s="22" t="s">
        <v>32</v>
      </c>
      <c r="E1342" s="22" t="s">
        <v>24</v>
      </c>
      <c r="F1342" s="22" t="s">
        <v>20</v>
      </c>
      <c r="G1342" s="22" t="s">
        <v>26</v>
      </c>
      <c r="H1342" s="22">
        <v>1</v>
      </c>
      <c r="I1342" s="22">
        <v>1</v>
      </c>
      <c r="J1342" s="22">
        <v>0</v>
      </c>
      <c r="K1342" s="22">
        <v>0</v>
      </c>
      <c r="L1342" s="22">
        <v>0</v>
      </c>
      <c r="M1342" s="22">
        <v>1</v>
      </c>
      <c r="N1342" s="22">
        <v>0</v>
      </c>
      <c r="O1342" s="22"/>
      <c r="P1342" s="22">
        <v>58.4</v>
      </c>
      <c r="Q1342" s="22" t="str">
        <f>IF(OR(L1342&lt;$Y$18,L1342&gt;$Y$19),"Outlier","Normal")</f>
        <v>Normal</v>
      </c>
      <c r="R1342" s="26" t="str">
        <f>A1342&amp;B1342&amp;C1342&amp;D1342&amp;E1342&amp;F1342&amp;G1342&amp;H1342&amp;I1342&amp;J1342&amp;K1342&amp;L1342&amp;M1342&amp;N1342&amp;O1342&amp;P1342</f>
        <v>USR-10134145709TreatmentSouthMobileEmailFree110001058.4</v>
      </c>
      <c r="S1342" s="22" t="str">
        <f>IF(COUNTIF($R$2:$R$1409,R1342)=1,"OK",IF(COUNTIF($R$2:$R$1409,R1342)&gt;1,"Exact Duplicate","Review Required"))</f>
        <v>OK</v>
      </c>
      <c r="T1342" s="22" t="s">
        <v>24</v>
      </c>
      <c r="U1342" s="22" t="s">
        <v>20</v>
      </c>
      <c r="V1342" s="22"/>
    </row>
    <row r="1343" spans="1:22" ht="41.4">
      <c r="A1343" s="22" t="s">
        <v>1374</v>
      </c>
      <c r="B1343" s="25">
        <v>45663</v>
      </c>
      <c r="C1343" s="22" t="s">
        <v>723</v>
      </c>
      <c r="D1343" s="22" t="s">
        <v>18</v>
      </c>
      <c r="E1343" s="22" t="s">
        <v>19</v>
      </c>
      <c r="F1343" s="22" t="s">
        <v>41</v>
      </c>
      <c r="G1343" s="22" t="s">
        <v>26</v>
      </c>
      <c r="H1343" s="22">
        <v>1</v>
      </c>
      <c r="I1343" s="22">
        <v>0</v>
      </c>
      <c r="J1343" s="22">
        <v>0</v>
      </c>
      <c r="K1343" s="22">
        <v>0</v>
      </c>
      <c r="L1343" s="22">
        <v>0</v>
      </c>
      <c r="M1343" s="22">
        <v>0</v>
      </c>
      <c r="N1343" s="22">
        <v>0</v>
      </c>
      <c r="O1343" s="22"/>
      <c r="P1343" s="22">
        <v>36.799999999999997</v>
      </c>
      <c r="Q1343" s="22" t="str">
        <f>IF(OR(L1343&lt;$Y$18,L1343&gt;$Y$19),"Outlier","Normal")</f>
        <v>Normal</v>
      </c>
      <c r="R1343" s="26" t="str">
        <f>A1343&amp;B1343&amp;C1343&amp;D1343&amp;E1343&amp;F1343&amp;G1343&amp;H1343&amp;I1343&amp;J1343&amp;K1343&amp;L1343&amp;M1343&amp;N1343&amp;O1343&amp;P1343</f>
        <v>USR-10134245663TreatmentNorthDesktopSocialFree100000036.8</v>
      </c>
      <c r="S1343" s="22" t="str">
        <f>IF(COUNTIF($R$2:$R$1409,R1343)=1,"OK",IF(COUNTIF($R$2:$R$1409,R1343)&gt;1,"Exact Duplicate","Review Required"))</f>
        <v>OK</v>
      </c>
      <c r="T1343" s="22" t="s">
        <v>19</v>
      </c>
      <c r="U1343" s="22" t="s">
        <v>41</v>
      </c>
      <c r="V1343" s="22"/>
    </row>
    <row r="1344" spans="1:22" ht="41.4">
      <c r="A1344" s="22" t="s">
        <v>1375</v>
      </c>
      <c r="B1344" s="25">
        <v>45764</v>
      </c>
      <c r="C1344" s="22" t="s">
        <v>723</v>
      </c>
      <c r="D1344" s="22" t="s">
        <v>32</v>
      </c>
      <c r="E1344" s="22" t="s">
        <v>24</v>
      </c>
      <c r="F1344" s="22" t="s">
        <v>25</v>
      </c>
      <c r="G1344" s="22" t="s">
        <v>30</v>
      </c>
      <c r="H1344" s="22">
        <v>1</v>
      </c>
      <c r="I1344" s="22">
        <v>0</v>
      </c>
      <c r="J1344" s="22">
        <v>0</v>
      </c>
      <c r="K1344" s="22">
        <v>0</v>
      </c>
      <c r="L1344" s="22">
        <v>0</v>
      </c>
      <c r="M1344" s="22">
        <v>0</v>
      </c>
      <c r="N1344" s="22">
        <v>0</v>
      </c>
      <c r="O1344" s="22"/>
      <c r="P1344" s="22">
        <v>71.599999999999994</v>
      </c>
      <c r="Q1344" s="22" t="str">
        <f>IF(OR(L1344&lt;$Y$18,L1344&gt;$Y$19),"Outlier","Normal")</f>
        <v>Normal</v>
      </c>
      <c r="R1344" s="26" t="str">
        <f>A1344&amp;B1344&amp;C1344&amp;D1344&amp;E1344&amp;F1344&amp;G1344&amp;H1344&amp;I1344&amp;J1344&amp;K1344&amp;L1344&amp;M1344&amp;N1344&amp;O1344&amp;P1344</f>
        <v>USR-10134345764TreatmentSouthMobileOrganicPremium100000071.6</v>
      </c>
      <c r="S1344" s="22" t="str">
        <f>IF(COUNTIF($R$2:$R$1409,R1344)=1,"OK",IF(COUNTIF($R$2:$R$1409,R1344)&gt;1,"Exact Duplicate","Review Required"))</f>
        <v>OK</v>
      </c>
      <c r="T1344" s="22" t="s">
        <v>24</v>
      </c>
      <c r="U1344" s="22" t="s">
        <v>25</v>
      </c>
      <c r="V1344" s="22"/>
    </row>
    <row r="1345" spans="1:22" ht="41.4">
      <c r="A1345" s="22" t="s">
        <v>1376</v>
      </c>
      <c r="B1345" s="25">
        <v>45800</v>
      </c>
      <c r="C1345" s="22" t="s">
        <v>723</v>
      </c>
      <c r="D1345" s="22" t="s">
        <v>32</v>
      </c>
      <c r="E1345" s="22" t="s">
        <v>24</v>
      </c>
      <c r="F1345" s="22" t="s">
        <v>20</v>
      </c>
      <c r="G1345" s="22" t="s">
        <v>21</v>
      </c>
      <c r="H1345" s="22">
        <v>1</v>
      </c>
      <c r="I1345" s="22">
        <v>1</v>
      </c>
      <c r="J1345" s="22">
        <v>0</v>
      </c>
      <c r="K1345" s="22">
        <v>0</v>
      </c>
      <c r="L1345" s="22">
        <v>0</v>
      </c>
      <c r="M1345" s="22">
        <v>1</v>
      </c>
      <c r="N1345" s="22">
        <v>0</v>
      </c>
      <c r="O1345" s="22"/>
      <c r="P1345" s="22">
        <v>79.7</v>
      </c>
      <c r="Q1345" s="22" t="str">
        <f>IF(OR(L1345&lt;$Y$18,L1345&gt;$Y$19),"Outlier","Normal")</f>
        <v>Normal</v>
      </c>
      <c r="R1345" s="26" t="str">
        <f>A1345&amp;B1345&amp;C1345&amp;D1345&amp;E1345&amp;F1345&amp;G1345&amp;H1345&amp;I1345&amp;J1345&amp;K1345&amp;L1345&amp;M1345&amp;N1345&amp;O1345&amp;P1345</f>
        <v>USR-10134445800TreatmentSouthMobileEmailBasic110001079.7</v>
      </c>
      <c r="S1345" s="22" t="str">
        <f>IF(COUNTIF($R$2:$R$1409,R1345)=1,"OK",IF(COUNTIF($R$2:$R$1409,R1345)&gt;1,"Exact Duplicate","Review Required"))</f>
        <v>OK</v>
      </c>
      <c r="T1345" s="22" t="s">
        <v>24</v>
      </c>
      <c r="U1345" s="22" t="s">
        <v>20</v>
      </c>
      <c r="V1345" s="22"/>
    </row>
    <row r="1346" spans="1:22" ht="41.4">
      <c r="A1346" s="22" t="s">
        <v>1377</v>
      </c>
      <c r="B1346" s="25">
        <v>45730</v>
      </c>
      <c r="C1346" s="22" t="s">
        <v>723</v>
      </c>
      <c r="D1346" s="22" t="s">
        <v>23</v>
      </c>
      <c r="E1346" s="22" t="s">
        <v>19</v>
      </c>
      <c r="F1346" s="22" t="s">
        <v>25</v>
      </c>
      <c r="G1346" s="22" t="s">
        <v>21</v>
      </c>
      <c r="H1346" s="22">
        <v>1</v>
      </c>
      <c r="I1346" s="22">
        <v>0</v>
      </c>
      <c r="J1346" s="22">
        <v>0</v>
      </c>
      <c r="K1346" s="22">
        <v>0</v>
      </c>
      <c r="L1346" s="22">
        <v>0</v>
      </c>
      <c r="M1346" s="22">
        <v>1</v>
      </c>
      <c r="N1346" s="22">
        <v>0</v>
      </c>
      <c r="O1346" s="22"/>
      <c r="P1346" s="22">
        <v>56.5</v>
      </c>
      <c r="Q1346" s="22" t="str">
        <f>IF(OR(L1346&lt;$Y$18,L1346&gt;$Y$19),"Outlier","Normal")</f>
        <v>Normal</v>
      </c>
      <c r="R1346" s="26" t="str">
        <f>A1346&amp;B1346&amp;C1346&amp;D1346&amp;E1346&amp;F1346&amp;G1346&amp;H1346&amp;I1346&amp;J1346&amp;K1346&amp;L1346&amp;M1346&amp;N1346&amp;O1346&amp;P1346</f>
        <v>USR-10134545730TreatmentWestDesktopOrganicBasic100001056.5</v>
      </c>
      <c r="S1346" s="22" t="str">
        <f>IF(COUNTIF($R$2:$R$1409,R1346)=1,"OK",IF(COUNTIF($R$2:$R$1409,R1346)&gt;1,"Exact Duplicate","Review Required"))</f>
        <v>OK</v>
      </c>
      <c r="T1346" s="22" t="s">
        <v>19</v>
      </c>
      <c r="U1346" s="22" t="s">
        <v>25</v>
      </c>
      <c r="V1346" s="22"/>
    </row>
    <row r="1347" spans="1:22" ht="41.4">
      <c r="A1347" s="22" t="s">
        <v>1378</v>
      </c>
      <c r="B1347" s="25">
        <v>45768</v>
      </c>
      <c r="C1347" s="22" t="s">
        <v>723</v>
      </c>
      <c r="D1347" s="22" t="s">
        <v>18</v>
      </c>
      <c r="E1347" s="22" t="s">
        <v>24</v>
      </c>
      <c r="F1347" s="22" t="s">
        <v>41</v>
      </c>
      <c r="G1347" s="22" t="s">
        <v>30</v>
      </c>
      <c r="H1347" s="22">
        <v>1</v>
      </c>
      <c r="I1347" s="22">
        <v>0</v>
      </c>
      <c r="J1347" s="22">
        <v>0</v>
      </c>
      <c r="K1347" s="22">
        <v>0</v>
      </c>
      <c r="L1347" s="22">
        <v>0</v>
      </c>
      <c r="M1347" s="22">
        <v>0</v>
      </c>
      <c r="N1347" s="22">
        <v>0</v>
      </c>
      <c r="O1347" s="22"/>
      <c r="P1347" s="22">
        <v>44.7</v>
      </c>
      <c r="Q1347" s="22" t="str">
        <f>IF(OR(L1347&lt;$Y$18,L1347&gt;$Y$19),"Outlier","Normal")</f>
        <v>Normal</v>
      </c>
      <c r="R1347" s="26" t="str">
        <f>A1347&amp;B1347&amp;C1347&amp;D1347&amp;E1347&amp;F1347&amp;G1347&amp;H1347&amp;I1347&amp;J1347&amp;K1347&amp;L1347&amp;M1347&amp;N1347&amp;O1347&amp;P1347</f>
        <v>USR-10134645768TreatmentNorthMobileSocialPremium100000044.7</v>
      </c>
      <c r="S1347" s="22" t="str">
        <f>IF(COUNTIF($R$2:$R$1409,R1347)=1,"OK",IF(COUNTIF($R$2:$R$1409,R1347)&gt;1,"Exact Duplicate","Review Required"))</f>
        <v>OK</v>
      </c>
      <c r="T1347" s="22" t="s">
        <v>24</v>
      </c>
      <c r="U1347" s="22" t="s">
        <v>41</v>
      </c>
      <c r="V1347" s="22"/>
    </row>
    <row r="1348" spans="1:22" ht="41.4">
      <c r="A1348" s="22" t="s">
        <v>1379</v>
      </c>
      <c r="B1348" s="25">
        <v>45660</v>
      </c>
      <c r="C1348" s="22" t="s">
        <v>723</v>
      </c>
      <c r="D1348" s="22" t="s">
        <v>32</v>
      </c>
      <c r="E1348" s="22" t="s">
        <v>24</v>
      </c>
      <c r="F1348" s="22" t="s">
        <v>41</v>
      </c>
      <c r="G1348" s="22" t="s">
        <v>26</v>
      </c>
      <c r="H1348" s="22">
        <v>1</v>
      </c>
      <c r="I1348" s="22">
        <v>1</v>
      </c>
      <c r="J1348" s="22">
        <v>1</v>
      </c>
      <c r="K1348" s="22">
        <v>0</v>
      </c>
      <c r="L1348" s="22">
        <v>0</v>
      </c>
      <c r="M1348" s="22">
        <v>1</v>
      </c>
      <c r="N1348" s="22">
        <v>0</v>
      </c>
      <c r="O1348" s="22"/>
      <c r="P1348" s="22">
        <v>66</v>
      </c>
      <c r="Q1348" s="22" t="str">
        <f>IF(OR(L1348&lt;$Y$18,L1348&gt;$Y$19),"Outlier","Normal")</f>
        <v>Normal</v>
      </c>
      <c r="R1348" s="26" t="str">
        <f>A1348&amp;B1348&amp;C1348&amp;D1348&amp;E1348&amp;F1348&amp;G1348&amp;H1348&amp;I1348&amp;J1348&amp;K1348&amp;L1348&amp;M1348&amp;N1348&amp;O1348&amp;P1348</f>
        <v>USR-10134745660TreatmentSouthMobileSocialFree111001066</v>
      </c>
      <c r="S1348" s="22" t="str">
        <f>IF(COUNTIF($R$2:$R$1409,R1348)=1,"OK",IF(COUNTIF($R$2:$R$1409,R1348)&gt;1,"Exact Duplicate","Review Required"))</f>
        <v>OK</v>
      </c>
      <c r="T1348" s="22" t="s">
        <v>24</v>
      </c>
      <c r="U1348" s="22" t="s">
        <v>41</v>
      </c>
      <c r="V1348" s="22"/>
    </row>
    <row r="1349" spans="1:22" ht="41.4">
      <c r="A1349" s="22" t="s">
        <v>1380</v>
      </c>
      <c r="B1349" s="25">
        <v>45786</v>
      </c>
      <c r="C1349" s="22" t="s">
        <v>723</v>
      </c>
      <c r="D1349" s="22" t="s">
        <v>18</v>
      </c>
      <c r="E1349" s="22" t="s">
        <v>19</v>
      </c>
      <c r="F1349" s="22" t="s">
        <v>25</v>
      </c>
      <c r="G1349" s="22" t="s">
        <v>21</v>
      </c>
      <c r="H1349" s="22">
        <v>1</v>
      </c>
      <c r="I1349" s="22">
        <v>0</v>
      </c>
      <c r="J1349" s="22">
        <v>0</v>
      </c>
      <c r="K1349" s="22">
        <v>0</v>
      </c>
      <c r="L1349" s="22">
        <v>0</v>
      </c>
      <c r="M1349" s="22">
        <v>0</v>
      </c>
      <c r="N1349" s="22">
        <v>0</v>
      </c>
      <c r="O1349" s="22"/>
      <c r="P1349" s="22">
        <v>73</v>
      </c>
      <c r="Q1349" s="22" t="str">
        <f>IF(OR(L1349&lt;$Y$18,L1349&gt;$Y$19),"Outlier","Normal")</f>
        <v>Normal</v>
      </c>
      <c r="R1349" s="26" t="str">
        <f>A1349&amp;B1349&amp;C1349&amp;D1349&amp;E1349&amp;F1349&amp;G1349&amp;H1349&amp;I1349&amp;J1349&amp;K1349&amp;L1349&amp;M1349&amp;N1349&amp;O1349&amp;P1349</f>
        <v>USR-10134845786TreatmentNorthDesktopOrganicBasic100000073</v>
      </c>
      <c r="S1349" s="22" t="str">
        <f>IF(COUNTIF($R$2:$R$1409,R1349)=1,"OK",IF(COUNTIF($R$2:$R$1409,R1349)&gt;1,"Exact Duplicate","Review Required"))</f>
        <v>OK</v>
      </c>
      <c r="T1349" s="22" t="s">
        <v>19</v>
      </c>
      <c r="U1349" s="22" t="s">
        <v>25</v>
      </c>
      <c r="V1349" s="22"/>
    </row>
    <row r="1350" spans="1:22" ht="41.4">
      <c r="A1350" s="22" t="s">
        <v>1381</v>
      </c>
      <c r="B1350" s="25">
        <v>45799</v>
      </c>
      <c r="C1350" s="22" t="s">
        <v>723</v>
      </c>
      <c r="D1350" s="22" t="s">
        <v>32</v>
      </c>
      <c r="E1350" s="22" t="s">
        <v>24</v>
      </c>
      <c r="F1350" s="22" t="s">
        <v>25</v>
      </c>
      <c r="G1350" s="22" t="s">
        <v>21</v>
      </c>
      <c r="H1350" s="22">
        <v>1</v>
      </c>
      <c r="I1350" s="22">
        <v>1</v>
      </c>
      <c r="J1350" s="22">
        <v>1</v>
      </c>
      <c r="K1350" s="22">
        <v>0</v>
      </c>
      <c r="L1350" s="22">
        <v>0</v>
      </c>
      <c r="M1350" s="22">
        <v>1</v>
      </c>
      <c r="N1350" s="22">
        <v>0</v>
      </c>
      <c r="O1350" s="22"/>
      <c r="P1350" s="22">
        <v>72.5</v>
      </c>
      <c r="Q1350" s="22" t="str">
        <f>IF(OR(L1350&lt;$Y$18,L1350&gt;$Y$19),"Outlier","Normal")</f>
        <v>Normal</v>
      </c>
      <c r="R1350" s="26" t="str">
        <f>A1350&amp;B1350&amp;C1350&amp;D1350&amp;E1350&amp;F1350&amp;G1350&amp;H1350&amp;I1350&amp;J1350&amp;K1350&amp;L1350&amp;M1350&amp;N1350&amp;O1350&amp;P1350</f>
        <v>USR-10134945799TreatmentSouthMobileOrganicBasic111001072.5</v>
      </c>
      <c r="S1350" s="22" t="str">
        <f>IF(COUNTIF($R$2:$R$1409,R1350)=1,"OK",IF(COUNTIF($R$2:$R$1409,R1350)&gt;1,"Exact Duplicate","Review Required"))</f>
        <v>OK</v>
      </c>
      <c r="T1350" s="22" t="s">
        <v>24</v>
      </c>
      <c r="U1350" s="22" t="s">
        <v>25</v>
      </c>
      <c r="V1350" s="22"/>
    </row>
    <row r="1351" spans="1:22" ht="55.2">
      <c r="A1351" s="22" t="s">
        <v>1382</v>
      </c>
      <c r="B1351" s="25">
        <v>45784</v>
      </c>
      <c r="C1351" s="22" t="s">
        <v>723</v>
      </c>
      <c r="D1351" s="22" t="s">
        <v>32</v>
      </c>
      <c r="E1351" s="22" t="s">
        <v>19</v>
      </c>
      <c r="F1351" s="22" t="s">
        <v>29</v>
      </c>
      <c r="G1351" s="22" t="s">
        <v>26</v>
      </c>
      <c r="H1351" s="22">
        <v>1</v>
      </c>
      <c r="I1351" s="22">
        <v>1</v>
      </c>
      <c r="J1351" s="22">
        <v>1</v>
      </c>
      <c r="K1351" s="22">
        <v>1</v>
      </c>
      <c r="L1351" s="22">
        <v>323.60000000000002</v>
      </c>
      <c r="M1351" s="22">
        <v>0</v>
      </c>
      <c r="N1351" s="22">
        <v>0</v>
      </c>
      <c r="O1351" s="22">
        <v>6</v>
      </c>
      <c r="P1351" s="22">
        <v>100</v>
      </c>
      <c r="Q1351" s="22" t="str">
        <f>IF(OR(L1351&lt;$Y$18,L1351&gt;$Y$19),"Outlier","Normal")</f>
        <v>Normal</v>
      </c>
      <c r="R1351" s="26" t="str">
        <f>A1351&amp;B1351&amp;C1351&amp;D1351&amp;E1351&amp;F1351&amp;G1351&amp;H1351&amp;I1351&amp;J1351&amp;K1351&amp;L1351&amp;M1351&amp;N1351&amp;O1351&amp;P1351</f>
        <v>USR-10135045784TreatmentSouthDesktopPaid SearchFree1111323.6006100</v>
      </c>
      <c r="S1351" s="22" t="str">
        <f>IF(COUNTIF($R$2:$R$1409,R1351)=1,"OK",IF(COUNTIF($R$2:$R$1409,R1351)&gt;1,"Exact Duplicate","Review Required"))</f>
        <v>OK</v>
      </c>
      <c r="T1351" s="22" t="s">
        <v>19</v>
      </c>
      <c r="U1351" s="22" t="s">
        <v>29</v>
      </c>
      <c r="V1351" s="22"/>
    </row>
    <row r="1352" spans="1:22" ht="41.4">
      <c r="A1352" s="22" t="s">
        <v>1383</v>
      </c>
      <c r="B1352" s="25">
        <v>45696</v>
      </c>
      <c r="C1352" s="22" t="s">
        <v>723</v>
      </c>
      <c r="D1352" s="22" t="s">
        <v>28</v>
      </c>
      <c r="E1352" s="22" t="s">
        <v>24</v>
      </c>
      <c r="F1352" s="22" t="s">
        <v>41</v>
      </c>
      <c r="G1352" s="22" t="s">
        <v>26</v>
      </c>
      <c r="H1352" s="22">
        <v>0</v>
      </c>
      <c r="I1352" s="22">
        <v>0</v>
      </c>
      <c r="J1352" s="22">
        <v>0</v>
      </c>
      <c r="K1352" s="22">
        <v>0</v>
      </c>
      <c r="L1352" s="22">
        <v>0</v>
      </c>
      <c r="M1352" s="22">
        <v>1</v>
      </c>
      <c r="N1352" s="22">
        <v>0</v>
      </c>
      <c r="O1352" s="22"/>
      <c r="P1352" s="22">
        <v>90.5</v>
      </c>
      <c r="Q1352" s="22" t="str">
        <f>IF(OR(L1352&lt;$Y$18,L1352&gt;$Y$19),"Outlier","Normal")</f>
        <v>Normal</v>
      </c>
      <c r="R1352" s="26" t="str">
        <f>A1352&amp;B1352&amp;C1352&amp;D1352&amp;E1352&amp;F1352&amp;G1352&amp;H1352&amp;I1352&amp;J1352&amp;K1352&amp;L1352&amp;M1352&amp;N1352&amp;O1352&amp;P1352</f>
        <v>USR-10135145696TreatmentEastMobileSocialFree000001090.5</v>
      </c>
      <c r="S1352" s="22" t="str">
        <f>IF(COUNTIF($R$2:$R$1409,R1352)=1,"OK",IF(COUNTIF($R$2:$R$1409,R1352)&gt;1,"Exact Duplicate","Review Required"))</f>
        <v>OK</v>
      </c>
      <c r="T1352" s="22" t="s">
        <v>24</v>
      </c>
      <c r="U1352" s="22" t="s">
        <v>41</v>
      </c>
      <c r="V1352" s="22"/>
    </row>
    <row r="1353" spans="1:22" ht="41.4">
      <c r="A1353" s="22" t="s">
        <v>1384</v>
      </c>
      <c r="B1353" s="25">
        <v>45750</v>
      </c>
      <c r="C1353" s="22" t="s">
        <v>723</v>
      </c>
      <c r="D1353" s="22" t="s">
        <v>18</v>
      </c>
      <c r="E1353" s="22" t="s">
        <v>34</v>
      </c>
      <c r="F1353" s="22" t="s">
        <v>41</v>
      </c>
      <c r="G1353" s="22" t="s">
        <v>21</v>
      </c>
      <c r="H1353" s="22">
        <v>1</v>
      </c>
      <c r="I1353" s="22">
        <v>0</v>
      </c>
      <c r="J1353" s="22">
        <v>0</v>
      </c>
      <c r="K1353" s="22">
        <v>0</v>
      </c>
      <c r="L1353" s="22">
        <v>0</v>
      </c>
      <c r="M1353" s="22">
        <v>0</v>
      </c>
      <c r="N1353" s="22">
        <v>0</v>
      </c>
      <c r="O1353" s="22"/>
      <c r="P1353" s="22">
        <v>70.2</v>
      </c>
      <c r="Q1353" s="22" t="str">
        <f>IF(OR(L1353&lt;$Y$18,L1353&gt;$Y$19),"Outlier","Normal")</f>
        <v>Normal</v>
      </c>
      <c r="R1353" s="26" t="str">
        <f>A1353&amp;B1353&amp;C1353&amp;D1353&amp;E1353&amp;F1353&amp;G1353&amp;H1353&amp;I1353&amp;J1353&amp;K1353&amp;L1353&amp;M1353&amp;N1353&amp;O1353&amp;P1353</f>
        <v>USR-10135245750TreatmentNorthTabletSocialBasic100000070.2</v>
      </c>
      <c r="S1353" s="22" t="str">
        <f>IF(COUNTIF($R$2:$R$1409,R1353)=1,"OK",IF(COUNTIF($R$2:$R$1409,R1353)&gt;1,"Exact Duplicate","Review Required"))</f>
        <v>OK</v>
      </c>
      <c r="T1353" s="22" t="s">
        <v>34</v>
      </c>
      <c r="U1353" s="22" t="s">
        <v>41</v>
      </c>
      <c r="V1353" s="22"/>
    </row>
    <row r="1354" spans="1:22" ht="41.4">
      <c r="A1354" s="22" t="s">
        <v>1385</v>
      </c>
      <c r="B1354" s="25">
        <v>45764</v>
      </c>
      <c r="C1354" s="22" t="s">
        <v>723</v>
      </c>
      <c r="D1354" s="22" t="s">
        <v>28</v>
      </c>
      <c r="E1354" s="22" t="s">
        <v>19</v>
      </c>
      <c r="F1354" s="22" t="s">
        <v>29</v>
      </c>
      <c r="G1354" s="22" t="s">
        <v>26</v>
      </c>
      <c r="H1354" s="22">
        <v>1</v>
      </c>
      <c r="I1354" s="22">
        <v>0</v>
      </c>
      <c r="J1354" s="22">
        <v>0</v>
      </c>
      <c r="K1354" s="22">
        <v>0</v>
      </c>
      <c r="L1354" s="22">
        <v>0</v>
      </c>
      <c r="M1354" s="22">
        <v>1</v>
      </c>
      <c r="N1354" s="22">
        <v>0</v>
      </c>
      <c r="O1354" s="22"/>
      <c r="P1354" s="22">
        <v>67.099999999999994</v>
      </c>
      <c r="Q1354" s="22" t="str">
        <f>IF(OR(L1354&lt;$Y$18,L1354&gt;$Y$19),"Outlier","Normal")</f>
        <v>Normal</v>
      </c>
      <c r="R1354" s="26" t="str">
        <f>A1354&amp;B1354&amp;C1354&amp;D1354&amp;E1354&amp;F1354&amp;G1354&amp;H1354&amp;I1354&amp;J1354&amp;K1354&amp;L1354&amp;M1354&amp;N1354&amp;O1354&amp;P1354</f>
        <v>USR-10135345764TreatmentEastDesktopPaid SearchFree100001067.1</v>
      </c>
      <c r="S1354" s="22" t="str">
        <f>IF(COUNTIF($R$2:$R$1409,R1354)=1,"OK",IF(COUNTIF($R$2:$R$1409,R1354)&gt;1,"Exact Duplicate","Review Required"))</f>
        <v>OK</v>
      </c>
      <c r="T1354" s="22" t="s">
        <v>19</v>
      </c>
      <c r="U1354" s="22" t="s">
        <v>29</v>
      </c>
      <c r="V1354" s="22"/>
    </row>
    <row r="1355" spans="1:22" ht="41.4">
      <c r="A1355" s="22" t="s">
        <v>1386</v>
      </c>
      <c r="B1355" s="25">
        <v>45781</v>
      </c>
      <c r="C1355" s="22" t="s">
        <v>723</v>
      </c>
      <c r="D1355" s="22" t="s">
        <v>28</v>
      </c>
      <c r="E1355" s="22" t="s">
        <v>24</v>
      </c>
      <c r="F1355" s="22" t="s">
        <v>25</v>
      </c>
      <c r="G1355" s="22" t="s">
        <v>26</v>
      </c>
      <c r="H1355" s="22">
        <v>0</v>
      </c>
      <c r="I1355" s="22">
        <v>0</v>
      </c>
      <c r="J1355" s="22">
        <v>0</v>
      </c>
      <c r="K1355" s="22">
        <v>0</v>
      </c>
      <c r="L1355" s="22">
        <v>0</v>
      </c>
      <c r="M1355" s="22">
        <v>0</v>
      </c>
      <c r="N1355" s="22">
        <v>0</v>
      </c>
      <c r="O1355" s="22"/>
      <c r="P1355" s="22">
        <v>54.5</v>
      </c>
      <c r="Q1355" s="22" t="str">
        <f>IF(OR(L1355&lt;$Y$18,L1355&gt;$Y$19),"Outlier","Normal")</f>
        <v>Normal</v>
      </c>
      <c r="R1355" s="26" t="str">
        <f>A1355&amp;B1355&amp;C1355&amp;D1355&amp;E1355&amp;F1355&amp;G1355&amp;H1355&amp;I1355&amp;J1355&amp;K1355&amp;L1355&amp;M1355&amp;N1355&amp;O1355&amp;P1355</f>
        <v>USR-10135445781TreatmentEastMobileOrganicFree000000054.5</v>
      </c>
      <c r="S1355" s="22" t="str">
        <f>IF(COUNTIF($R$2:$R$1409,R1355)=1,"OK",IF(COUNTIF($R$2:$R$1409,R1355)&gt;1,"Exact Duplicate","Review Required"))</f>
        <v>OK</v>
      </c>
      <c r="T1355" s="22" t="s">
        <v>24</v>
      </c>
      <c r="U1355" s="22" t="s">
        <v>25</v>
      </c>
      <c r="V1355" s="22"/>
    </row>
    <row r="1356" spans="1:22" ht="41.4">
      <c r="A1356" s="22" t="s">
        <v>1387</v>
      </c>
      <c r="B1356" s="25">
        <v>45788</v>
      </c>
      <c r="C1356" s="22" t="s">
        <v>723</v>
      </c>
      <c r="D1356" s="22" t="s">
        <v>23</v>
      </c>
      <c r="E1356" s="22" t="s">
        <v>19</v>
      </c>
      <c r="F1356" s="22" t="s">
        <v>25</v>
      </c>
      <c r="G1356" s="22" t="s">
        <v>26</v>
      </c>
      <c r="H1356" s="22">
        <v>1</v>
      </c>
      <c r="I1356" s="22">
        <v>0</v>
      </c>
      <c r="J1356" s="22">
        <v>0</v>
      </c>
      <c r="K1356" s="22">
        <v>0</v>
      </c>
      <c r="L1356" s="22">
        <v>0</v>
      </c>
      <c r="M1356" s="22">
        <v>0</v>
      </c>
      <c r="N1356" s="22">
        <v>0</v>
      </c>
      <c r="O1356" s="22"/>
      <c r="P1356" s="22">
        <v>63.4</v>
      </c>
      <c r="Q1356" s="22" t="str">
        <f>IF(OR(L1356&lt;$Y$18,L1356&gt;$Y$19),"Outlier","Normal")</f>
        <v>Normal</v>
      </c>
      <c r="R1356" s="26" t="str">
        <f>A1356&amp;B1356&amp;C1356&amp;D1356&amp;E1356&amp;F1356&amp;G1356&amp;H1356&amp;I1356&amp;J1356&amp;K1356&amp;L1356&amp;M1356&amp;N1356&amp;O1356&amp;P1356</f>
        <v>USR-10135545788TreatmentWestDesktopOrganicFree100000063.4</v>
      </c>
      <c r="S1356" s="22" t="str">
        <f>IF(COUNTIF($R$2:$R$1409,R1356)=1,"OK",IF(COUNTIF($R$2:$R$1409,R1356)&gt;1,"Exact Duplicate","Review Required"))</f>
        <v>OK</v>
      </c>
      <c r="T1356" s="22" t="s">
        <v>19</v>
      </c>
      <c r="U1356" s="22" t="s">
        <v>25</v>
      </c>
      <c r="V1356" s="22"/>
    </row>
    <row r="1357" spans="1:22" ht="41.4">
      <c r="A1357" s="22" t="s">
        <v>1388</v>
      </c>
      <c r="B1357" s="25">
        <v>45717</v>
      </c>
      <c r="C1357" s="22" t="s">
        <v>723</v>
      </c>
      <c r="D1357" s="22" t="s">
        <v>18</v>
      </c>
      <c r="E1357" s="22" t="s">
        <v>19</v>
      </c>
      <c r="F1357" s="22" t="s">
        <v>1482</v>
      </c>
      <c r="G1357" s="22" t="s">
        <v>26</v>
      </c>
      <c r="H1357" s="22">
        <v>1</v>
      </c>
      <c r="I1357" s="22">
        <v>1</v>
      </c>
      <c r="J1357" s="22">
        <v>1</v>
      </c>
      <c r="K1357" s="22">
        <v>0</v>
      </c>
      <c r="L1357" s="22">
        <v>0</v>
      </c>
      <c r="M1357" s="22">
        <v>0</v>
      </c>
      <c r="N1357" s="22">
        <v>0</v>
      </c>
      <c r="O1357" s="22"/>
      <c r="P1357" s="22">
        <v>84.3</v>
      </c>
      <c r="Q1357" s="22" t="str">
        <f>IF(OR(L1357&lt;$Y$18,L1357&gt;$Y$19),"Outlier","Normal")</f>
        <v>Normal</v>
      </c>
      <c r="R1357" s="26" t="str">
        <f>A1357&amp;B1357&amp;C1357&amp;D1357&amp;E1357&amp;F1357&amp;G1357&amp;H1357&amp;I1357&amp;J1357&amp;K1357&amp;L1357&amp;M1357&amp;N1357&amp;O1357&amp;P1357</f>
        <v>USR-10135645717TreatmentNorthDesktopUnknownFree111000084.3</v>
      </c>
      <c r="S1357" s="22" t="str">
        <f>IF(COUNTIF($R$2:$R$1409,R1357)=1,"OK",IF(COUNTIF($R$2:$R$1409,R1357)&gt;1,"Exact Duplicate","Review Required"))</f>
        <v>OK</v>
      </c>
      <c r="T1357" s="22" t="s">
        <v>19</v>
      </c>
      <c r="U1357" s="22"/>
      <c r="V1357" s="22"/>
    </row>
    <row r="1358" spans="1:22" ht="41.4">
      <c r="A1358" s="22" t="s">
        <v>1389</v>
      </c>
      <c r="B1358" s="25">
        <v>45708</v>
      </c>
      <c r="C1358" s="22" t="s">
        <v>723</v>
      </c>
      <c r="D1358" s="22" t="s">
        <v>23</v>
      </c>
      <c r="E1358" s="22" t="s">
        <v>19</v>
      </c>
      <c r="F1358" s="22" t="s">
        <v>25</v>
      </c>
      <c r="G1358" s="22" t="s">
        <v>26</v>
      </c>
      <c r="H1358" s="22">
        <v>1</v>
      </c>
      <c r="I1358" s="22">
        <v>0</v>
      </c>
      <c r="J1358" s="22">
        <v>0</v>
      </c>
      <c r="K1358" s="22">
        <v>0</v>
      </c>
      <c r="L1358" s="22">
        <v>0</v>
      </c>
      <c r="M1358" s="22">
        <v>1</v>
      </c>
      <c r="N1358" s="22">
        <v>0</v>
      </c>
      <c r="O1358" s="22"/>
      <c r="P1358" s="22">
        <v>55</v>
      </c>
      <c r="Q1358" s="22" t="str">
        <f>IF(OR(L1358&lt;$Y$18,L1358&gt;$Y$19),"Outlier","Normal")</f>
        <v>Normal</v>
      </c>
      <c r="R1358" s="26" t="str">
        <f>A1358&amp;B1358&amp;C1358&amp;D1358&amp;E1358&amp;F1358&amp;G1358&amp;H1358&amp;I1358&amp;J1358&amp;K1358&amp;L1358&amp;M1358&amp;N1358&amp;O1358&amp;P1358</f>
        <v>USR-10135745708TreatmentWestDesktopOrganicFree100001055</v>
      </c>
      <c r="S1358" s="22" t="str">
        <f>IF(COUNTIF($R$2:$R$1409,R1358)=1,"OK",IF(COUNTIF($R$2:$R$1409,R1358)&gt;1,"Exact Duplicate","Review Required"))</f>
        <v>OK</v>
      </c>
      <c r="T1358" s="22" t="s">
        <v>19</v>
      </c>
      <c r="U1358" s="22" t="s">
        <v>25</v>
      </c>
      <c r="V1358" s="22"/>
    </row>
    <row r="1359" spans="1:22" ht="41.4">
      <c r="A1359" s="22" t="s">
        <v>1390</v>
      </c>
      <c r="B1359" s="25">
        <v>45786</v>
      </c>
      <c r="C1359" s="22" t="s">
        <v>723</v>
      </c>
      <c r="D1359" s="22" t="s">
        <v>23</v>
      </c>
      <c r="E1359" s="22" t="s">
        <v>24</v>
      </c>
      <c r="F1359" s="22" t="s">
        <v>41</v>
      </c>
      <c r="G1359" s="22" t="s">
        <v>26</v>
      </c>
      <c r="H1359" s="22">
        <v>1</v>
      </c>
      <c r="I1359" s="22">
        <v>0</v>
      </c>
      <c r="J1359" s="22">
        <v>0</v>
      </c>
      <c r="K1359" s="22">
        <v>0</v>
      </c>
      <c r="L1359" s="22">
        <v>0</v>
      </c>
      <c r="M1359" s="22">
        <v>0</v>
      </c>
      <c r="N1359" s="22">
        <v>0</v>
      </c>
      <c r="O1359" s="22"/>
      <c r="P1359" s="22">
        <v>63.6</v>
      </c>
      <c r="Q1359" s="22" t="str">
        <f>IF(OR(L1359&lt;$Y$18,L1359&gt;$Y$19),"Outlier","Normal")</f>
        <v>Normal</v>
      </c>
      <c r="R1359" s="26" t="str">
        <f>A1359&amp;B1359&amp;C1359&amp;D1359&amp;E1359&amp;F1359&amp;G1359&amp;H1359&amp;I1359&amp;J1359&amp;K1359&amp;L1359&amp;M1359&amp;N1359&amp;O1359&amp;P1359</f>
        <v>USR-10135845786TreatmentWestMobileSocialFree100000063.6</v>
      </c>
      <c r="S1359" s="22" t="str">
        <f>IF(COUNTIF($R$2:$R$1409,R1359)=1,"OK",IF(COUNTIF($R$2:$R$1409,R1359)&gt;1,"Exact Duplicate","Review Required"))</f>
        <v>OK</v>
      </c>
      <c r="T1359" s="22" t="s">
        <v>24</v>
      </c>
      <c r="U1359" s="22" t="s">
        <v>41</v>
      </c>
      <c r="V1359" s="22"/>
    </row>
    <row r="1360" spans="1:22" ht="41.4">
      <c r="A1360" s="22" t="s">
        <v>1391</v>
      </c>
      <c r="B1360" s="25">
        <v>45777</v>
      </c>
      <c r="C1360" s="22" t="s">
        <v>723</v>
      </c>
      <c r="D1360" s="22" t="s">
        <v>23</v>
      </c>
      <c r="E1360" s="22" t="s">
        <v>24</v>
      </c>
      <c r="F1360" s="22" t="s">
        <v>25</v>
      </c>
      <c r="G1360" s="22" t="s">
        <v>26</v>
      </c>
      <c r="H1360" s="22">
        <v>1</v>
      </c>
      <c r="I1360" s="22">
        <v>0</v>
      </c>
      <c r="J1360" s="22">
        <v>0</v>
      </c>
      <c r="K1360" s="22">
        <v>0</v>
      </c>
      <c r="L1360" s="22">
        <v>0</v>
      </c>
      <c r="M1360" s="22">
        <v>0</v>
      </c>
      <c r="N1360" s="22">
        <v>0</v>
      </c>
      <c r="O1360" s="22"/>
      <c r="P1360" s="22">
        <v>55.5</v>
      </c>
      <c r="Q1360" s="22" t="str">
        <f>IF(OR(L1360&lt;$Y$18,L1360&gt;$Y$19),"Outlier","Normal")</f>
        <v>Normal</v>
      </c>
      <c r="R1360" s="26" t="str">
        <f>A1360&amp;B1360&amp;C1360&amp;D1360&amp;E1360&amp;F1360&amp;G1360&amp;H1360&amp;I1360&amp;J1360&amp;K1360&amp;L1360&amp;M1360&amp;N1360&amp;O1360&amp;P1360</f>
        <v>USR-10135945777TreatmentWestMobileOrganicFree100000055.5</v>
      </c>
      <c r="S1360" s="22" t="str">
        <f>IF(COUNTIF($R$2:$R$1409,R1360)=1,"OK",IF(COUNTIF($R$2:$R$1409,R1360)&gt;1,"Exact Duplicate","Review Required"))</f>
        <v>OK</v>
      </c>
      <c r="T1360" s="22" t="s">
        <v>24</v>
      </c>
      <c r="U1360" s="22" t="s">
        <v>25</v>
      </c>
      <c r="V1360" s="22"/>
    </row>
    <row r="1361" spans="1:22" ht="41.4">
      <c r="A1361" s="22" t="s">
        <v>1392</v>
      </c>
      <c r="B1361" s="25">
        <v>45664</v>
      </c>
      <c r="C1361" s="22" t="s">
        <v>723</v>
      </c>
      <c r="D1361" s="22" t="s">
        <v>32</v>
      </c>
      <c r="E1361" s="22" t="s">
        <v>24</v>
      </c>
      <c r="F1361" s="22" t="s">
        <v>41</v>
      </c>
      <c r="G1361" s="22" t="s">
        <v>21</v>
      </c>
      <c r="H1361" s="22">
        <v>0</v>
      </c>
      <c r="I1361" s="22">
        <v>0</v>
      </c>
      <c r="J1361" s="22">
        <v>0</v>
      </c>
      <c r="K1361" s="22">
        <v>0</v>
      </c>
      <c r="L1361" s="22">
        <v>0</v>
      </c>
      <c r="M1361" s="22">
        <v>0</v>
      </c>
      <c r="N1361" s="22">
        <v>0</v>
      </c>
      <c r="O1361" s="22"/>
      <c r="P1361" s="22">
        <v>50.5</v>
      </c>
      <c r="Q1361" s="22" t="str">
        <f>IF(OR(L1361&lt;$Y$18,L1361&gt;$Y$19),"Outlier","Normal")</f>
        <v>Normal</v>
      </c>
      <c r="R1361" s="26" t="str">
        <f>A1361&amp;B1361&amp;C1361&amp;D1361&amp;E1361&amp;F1361&amp;G1361&amp;H1361&amp;I1361&amp;J1361&amp;K1361&amp;L1361&amp;M1361&amp;N1361&amp;O1361&amp;P1361</f>
        <v>USR-10136045664TreatmentSouthMobileSocialBasic000000050.5</v>
      </c>
      <c r="S1361" s="22" t="str">
        <f>IF(COUNTIF($R$2:$R$1409,R1361)=1,"OK",IF(COUNTIF($R$2:$R$1409,R1361)&gt;1,"Exact Duplicate","Review Required"))</f>
        <v>OK</v>
      </c>
      <c r="T1361" s="22" t="s">
        <v>24</v>
      </c>
      <c r="U1361" s="22" t="s">
        <v>41</v>
      </c>
      <c r="V1361" s="22"/>
    </row>
    <row r="1362" spans="1:22" ht="41.4">
      <c r="A1362" s="22" t="s">
        <v>1393</v>
      </c>
      <c r="B1362" s="25">
        <v>45777</v>
      </c>
      <c r="C1362" s="22" t="s">
        <v>723</v>
      </c>
      <c r="D1362" s="22" t="s">
        <v>18</v>
      </c>
      <c r="E1362" s="22" t="s">
        <v>24</v>
      </c>
      <c r="F1362" s="22" t="s">
        <v>41</v>
      </c>
      <c r="G1362" s="22" t="s">
        <v>21</v>
      </c>
      <c r="H1362" s="22">
        <v>1</v>
      </c>
      <c r="I1362" s="22">
        <v>0</v>
      </c>
      <c r="J1362" s="22">
        <v>0</v>
      </c>
      <c r="K1362" s="22">
        <v>0</v>
      </c>
      <c r="L1362" s="22">
        <v>0</v>
      </c>
      <c r="M1362" s="22">
        <v>0</v>
      </c>
      <c r="N1362" s="22">
        <v>0</v>
      </c>
      <c r="O1362" s="22"/>
      <c r="P1362" s="22">
        <v>45.3</v>
      </c>
      <c r="Q1362" s="22" t="str">
        <f>IF(OR(L1362&lt;$Y$18,L1362&gt;$Y$19),"Outlier","Normal")</f>
        <v>Normal</v>
      </c>
      <c r="R1362" s="26" t="str">
        <f>A1362&amp;B1362&amp;C1362&amp;D1362&amp;E1362&amp;F1362&amp;G1362&amp;H1362&amp;I1362&amp;J1362&amp;K1362&amp;L1362&amp;M1362&amp;N1362&amp;O1362&amp;P1362</f>
        <v>USR-10136145777TreatmentNorthMobileSocialBasic100000045.3</v>
      </c>
      <c r="S1362" s="22" t="str">
        <f>IF(COUNTIF($R$2:$R$1409,R1362)=1,"OK",IF(COUNTIF($R$2:$R$1409,R1362)&gt;1,"Exact Duplicate","Review Required"))</f>
        <v>OK</v>
      </c>
      <c r="T1362" s="22" t="s">
        <v>24</v>
      </c>
      <c r="U1362" s="22" t="s">
        <v>41</v>
      </c>
      <c r="V1362" s="22"/>
    </row>
    <row r="1363" spans="1:22" ht="41.4">
      <c r="A1363" s="22" t="s">
        <v>1394</v>
      </c>
      <c r="B1363" s="25">
        <v>45800</v>
      </c>
      <c r="C1363" s="22" t="s">
        <v>723</v>
      </c>
      <c r="D1363" s="22" t="s">
        <v>28</v>
      </c>
      <c r="E1363" s="22" t="s">
        <v>24</v>
      </c>
      <c r="F1363" s="22" t="s">
        <v>25</v>
      </c>
      <c r="G1363" s="22" t="s">
        <v>21</v>
      </c>
      <c r="H1363" s="22">
        <v>1</v>
      </c>
      <c r="I1363" s="22">
        <v>0</v>
      </c>
      <c r="J1363" s="22">
        <v>0</v>
      </c>
      <c r="K1363" s="22">
        <v>0</v>
      </c>
      <c r="L1363" s="22">
        <v>0</v>
      </c>
      <c r="M1363" s="22">
        <v>0</v>
      </c>
      <c r="N1363" s="22">
        <v>0</v>
      </c>
      <c r="O1363" s="22"/>
      <c r="P1363" s="22">
        <v>33.6</v>
      </c>
      <c r="Q1363" s="22" t="str">
        <f>IF(OR(L1363&lt;$Y$18,L1363&gt;$Y$19),"Outlier","Normal")</f>
        <v>Normal</v>
      </c>
      <c r="R1363" s="26" t="str">
        <f>A1363&amp;B1363&amp;C1363&amp;D1363&amp;E1363&amp;F1363&amp;G1363&amp;H1363&amp;I1363&amp;J1363&amp;K1363&amp;L1363&amp;M1363&amp;N1363&amp;O1363&amp;P1363</f>
        <v>USR-10136245800TreatmentEastMobileOrganicBasic100000033.6</v>
      </c>
      <c r="S1363" s="22" t="str">
        <f>IF(COUNTIF($R$2:$R$1409,R1363)=1,"OK",IF(COUNTIF($R$2:$R$1409,R1363)&gt;1,"Exact Duplicate","Review Required"))</f>
        <v>OK</v>
      </c>
      <c r="T1363" s="22" t="s">
        <v>24</v>
      </c>
      <c r="U1363" s="22" t="s">
        <v>25</v>
      </c>
      <c r="V1363" s="22"/>
    </row>
    <row r="1364" spans="1:22" ht="41.4">
      <c r="A1364" s="22" t="s">
        <v>1395</v>
      </c>
      <c r="B1364" s="25">
        <v>45728</v>
      </c>
      <c r="C1364" s="22" t="s">
        <v>723</v>
      </c>
      <c r="D1364" s="22" t="s">
        <v>32</v>
      </c>
      <c r="E1364" s="22" t="s">
        <v>24</v>
      </c>
      <c r="F1364" s="22" t="s">
        <v>29</v>
      </c>
      <c r="G1364" s="22" t="s">
        <v>30</v>
      </c>
      <c r="H1364" s="22">
        <v>1</v>
      </c>
      <c r="I1364" s="22">
        <v>1</v>
      </c>
      <c r="J1364" s="22">
        <v>1</v>
      </c>
      <c r="K1364" s="22">
        <v>0</v>
      </c>
      <c r="L1364" s="22">
        <v>0</v>
      </c>
      <c r="M1364" s="22">
        <v>0</v>
      </c>
      <c r="N1364" s="22">
        <v>0</v>
      </c>
      <c r="O1364" s="22"/>
      <c r="P1364" s="22">
        <v>88.2</v>
      </c>
      <c r="Q1364" s="22" t="str">
        <f>IF(OR(L1364&lt;$Y$18,L1364&gt;$Y$19),"Outlier","Normal")</f>
        <v>Normal</v>
      </c>
      <c r="R1364" s="26" t="str">
        <f>A1364&amp;B1364&amp;C1364&amp;D1364&amp;E1364&amp;F1364&amp;G1364&amp;H1364&amp;I1364&amp;J1364&amp;K1364&amp;L1364&amp;M1364&amp;N1364&amp;O1364&amp;P1364</f>
        <v>USR-10136345728TreatmentSouthMobilePaid SearchPremium111000088.2</v>
      </c>
      <c r="S1364" s="22" t="str">
        <f>IF(COUNTIF($R$2:$R$1409,R1364)=1,"OK",IF(COUNTIF($R$2:$R$1409,R1364)&gt;1,"Exact Duplicate","Review Required"))</f>
        <v>OK</v>
      </c>
      <c r="T1364" s="22" t="s">
        <v>24</v>
      </c>
      <c r="U1364" s="22" t="s">
        <v>29</v>
      </c>
      <c r="V1364" s="22"/>
    </row>
    <row r="1365" spans="1:22" ht="41.4">
      <c r="A1365" s="22" t="s">
        <v>1396</v>
      </c>
      <c r="B1365" s="25">
        <v>45705</v>
      </c>
      <c r="C1365" s="22" t="s">
        <v>723</v>
      </c>
      <c r="D1365" s="22" t="s">
        <v>18</v>
      </c>
      <c r="E1365" s="22" t="s">
        <v>24</v>
      </c>
      <c r="F1365" s="22" t="s">
        <v>25</v>
      </c>
      <c r="G1365" s="22" t="s">
        <v>30</v>
      </c>
      <c r="H1365" s="22">
        <v>1</v>
      </c>
      <c r="I1365" s="22">
        <v>0</v>
      </c>
      <c r="J1365" s="22">
        <v>0</v>
      </c>
      <c r="K1365" s="22">
        <v>0</v>
      </c>
      <c r="L1365" s="22">
        <v>0</v>
      </c>
      <c r="M1365" s="22">
        <v>0</v>
      </c>
      <c r="N1365" s="22">
        <v>0</v>
      </c>
      <c r="O1365" s="22"/>
      <c r="P1365" s="22">
        <v>51.8</v>
      </c>
      <c r="Q1365" s="22" t="str">
        <f>IF(OR(L1365&lt;$Y$18,L1365&gt;$Y$19),"Outlier","Normal")</f>
        <v>Normal</v>
      </c>
      <c r="R1365" s="26" t="str">
        <f>A1365&amp;B1365&amp;C1365&amp;D1365&amp;E1365&amp;F1365&amp;G1365&amp;H1365&amp;I1365&amp;J1365&amp;K1365&amp;L1365&amp;M1365&amp;N1365&amp;O1365&amp;P1365</f>
        <v>USR-10136445705TreatmentNorthMobileOrganicPremium100000051.8</v>
      </c>
      <c r="S1365" s="22" t="str">
        <f>IF(COUNTIF($R$2:$R$1409,R1365)=1,"OK",IF(COUNTIF($R$2:$R$1409,R1365)&gt;1,"Exact Duplicate","Review Required"))</f>
        <v>OK</v>
      </c>
      <c r="T1365" s="22" t="s">
        <v>24</v>
      </c>
      <c r="U1365" s="22" t="s">
        <v>25</v>
      </c>
      <c r="V1365" s="22"/>
    </row>
    <row r="1366" spans="1:22" ht="41.4">
      <c r="A1366" s="22" t="s">
        <v>1397</v>
      </c>
      <c r="B1366" s="25">
        <v>45804</v>
      </c>
      <c r="C1366" s="22" t="s">
        <v>723</v>
      </c>
      <c r="D1366" s="22" t="s">
        <v>18</v>
      </c>
      <c r="E1366" s="22" t="s">
        <v>19</v>
      </c>
      <c r="F1366" s="22" t="s">
        <v>25</v>
      </c>
      <c r="G1366" s="22" t="s">
        <v>21</v>
      </c>
      <c r="H1366" s="22">
        <v>0</v>
      </c>
      <c r="I1366" s="22">
        <v>0</v>
      </c>
      <c r="J1366" s="22">
        <v>0</v>
      </c>
      <c r="K1366" s="22">
        <v>0</v>
      </c>
      <c r="L1366" s="22">
        <v>0</v>
      </c>
      <c r="M1366" s="22">
        <v>0</v>
      </c>
      <c r="N1366" s="22">
        <v>0</v>
      </c>
      <c r="O1366" s="22"/>
      <c r="P1366" s="22">
        <v>87.9</v>
      </c>
      <c r="Q1366" s="22" t="str">
        <f>IF(OR(L1366&lt;$Y$18,L1366&gt;$Y$19),"Outlier","Normal")</f>
        <v>Normal</v>
      </c>
      <c r="R1366" s="26" t="str">
        <f>A1366&amp;B1366&amp;C1366&amp;D1366&amp;E1366&amp;F1366&amp;G1366&amp;H1366&amp;I1366&amp;J1366&amp;K1366&amp;L1366&amp;M1366&amp;N1366&amp;O1366&amp;P1366</f>
        <v>USR-10136545804TreatmentNorthDesktopOrganicBasic000000087.9</v>
      </c>
      <c r="S1366" s="22" t="str">
        <f>IF(COUNTIF($R$2:$R$1409,R1366)=1,"OK",IF(COUNTIF($R$2:$R$1409,R1366)&gt;1,"Exact Duplicate","Review Required"))</f>
        <v>OK</v>
      </c>
      <c r="T1366" s="22" t="s">
        <v>19</v>
      </c>
      <c r="U1366" s="22" t="s">
        <v>25</v>
      </c>
      <c r="V1366" s="22"/>
    </row>
    <row r="1367" spans="1:22" ht="41.4">
      <c r="A1367" s="22" t="s">
        <v>1398</v>
      </c>
      <c r="B1367" s="25">
        <v>45787</v>
      </c>
      <c r="C1367" s="22" t="s">
        <v>723</v>
      </c>
      <c r="D1367" s="22" t="s">
        <v>32</v>
      </c>
      <c r="E1367" s="22" t="s">
        <v>24</v>
      </c>
      <c r="F1367" s="22" t="s">
        <v>41</v>
      </c>
      <c r="G1367" s="22" t="s">
        <v>30</v>
      </c>
      <c r="H1367" s="22">
        <v>1</v>
      </c>
      <c r="I1367" s="22">
        <v>0</v>
      </c>
      <c r="J1367" s="22">
        <v>0</v>
      </c>
      <c r="K1367" s="22">
        <v>0</v>
      </c>
      <c r="L1367" s="22">
        <v>0</v>
      </c>
      <c r="M1367" s="22">
        <v>2</v>
      </c>
      <c r="N1367" s="22">
        <v>0</v>
      </c>
      <c r="O1367" s="22"/>
      <c r="P1367" s="22">
        <v>70.5</v>
      </c>
      <c r="Q1367" s="22" t="str">
        <f>IF(OR(L1367&lt;$Y$18,L1367&gt;$Y$19),"Outlier","Normal")</f>
        <v>Normal</v>
      </c>
      <c r="R1367" s="26" t="str">
        <f>A1367&amp;B1367&amp;C1367&amp;D1367&amp;E1367&amp;F1367&amp;G1367&amp;H1367&amp;I1367&amp;J1367&amp;K1367&amp;L1367&amp;M1367&amp;N1367&amp;O1367&amp;P1367</f>
        <v>USR-10136645787TreatmentSouthMobileSocialPremium100002070.5</v>
      </c>
      <c r="S1367" s="22" t="str">
        <f>IF(COUNTIF($R$2:$R$1409,R1367)=1,"OK",IF(COUNTIF($R$2:$R$1409,R1367)&gt;1,"Exact Duplicate","Review Required"))</f>
        <v>OK</v>
      </c>
      <c r="T1367" s="22" t="s">
        <v>24</v>
      </c>
      <c r="U1367" s="22" t="s">
        <v>41</v>
      </c>
      <c r="V1367" s="22"/>
    </row>
    <row r="1368" spans="1:22" ht="41.4">
      <c r="A1368" s="22" t="s">
        <v>1399</v>
      </c>
      <c r="B1368" s="25">
        <v>45677</v>
      </c>
      <c r="C1368" s="22" t="s">
        <v>723</v>
      </c>
      <c r="D1368" s="22" t="s">
        <v>18</v>
      </c>
      <c r="E1368" s="22" t="s">
        <v>24</v>
      </c>
      <c r="F1368" s="22" t="s">
        <v>25</v>
      </c>
      <c r="G1368" s="22" t="s">
        <v>21</v>
      </c>
      <c r="H1368" s="22">
        <v>1</v>
      </c>
      <c r="I1368" s="22">
        <v>1</v>
      </c>
      <c r="J1368" s="22">
        <v>0</v>
      </c>
      <c r="K1368" s="22">
        <v>0</v>
      </c>
      <c r="L1368" s="22">
        <v>0</v>
      </c>
      <c r="M1368" s="22">
        <v>2</v>
      </c>
      <c r="N1368" s="22">
        <v>0</v>
      </c>
      <c r="O1368" s="22"/>
      <c r="P1368" s="22">
        <v>58.5</v>
      </c>
      <c r="Q1368" s="22" t="str">
        <f>IF(OR(L1368&lt;$Y$18,L1368&gt;$Y$19),"Outlier","Normal")</f>
        <v>Normal</v>
      </c>
      <c r="R1368" s="26" t="str">
        <f>A1368&amp;B1368&amp;C1368&amp;D1368&amp;E1368&amp;F1368&amp;G1368&amp;H1368&amp;I1368&amp;J1368&amp;K1368&amp;L1368&amp;M1368&amp;N1368&amp;O1368&amp;P1368</f>
        <v>USR-10136745677TreatmentNorthMobileOrganicBasic110002058.5</v>
      </c>
      <c r="S1368" s="22" t="str">
        <f>IF(COUNTIF($R$2:$R$1409,R1368)=1,"OK",IF(COUNTIF($R$2:$R$1409,R1368)&gt;1,"Exact Duplicate","Review Required"))</f>
        <v>OK</v>
      </c>
      <c r="T1368" s="22" t="s">
        <v>24</v>
      </c>
      <c r="U1368" s="22" t="s">
        <v>25</v>
      </c>
      <c r="V1368" s="22"/>
    </row>
    <row r="1369" spans="1:22" ht="41.4">
      <c r="A1369" s="22" t="s">
        <v>1400</v>
      </c>
      <c r="B1369" s="25">
        <v>45676</v>
      </c>
      <c r="C1369" s="22" t="s">
        <v>723</v>
      </c>
      <c r="D1369" s="22" t="s">
        <v>28</v>
      </c>
      <c r="E1369" s="22" t="s">
        <v>24</v>
      </c>
      <c r="F1369" s="22" t="s">
        <v>39</v>
      </c>
      <c r="G1369" s="22" t="s">
        <v>26</v>
      </c>
      <c r="H1369" s="22">
        <v>1</v>
      </c>
      <c r="I1369" s="22">
        <v>0</v>
      </c>
      <c r="J1369" s="22">
        <v>0</v>
      </c>
      <c r="K1369" s="22">
        <v>0</v>
      </c>
      <c r="L1369" s="22">
        <v>0</v>
      </c>
      <c r="M1369" s="22">
        <v>0</v>
      </c>
      <c r="N1369" s="22">
        <v>0</v>
      </c>
      <c r="O1369" s="22"/>
      <c r="P1369" s="22">
        <v>65.599999999999994</v>
      </c>
      <c r="Q1369" s="22" t="str">
        <f>IF(OR(L1369&lt;$Y$18,L1369&gt;$Y$19),"Outlier","Normal")</f>
        <v>Normal</v>
      </c>
      <c r="R1369" s="26" t="str">
        <f>A1369&amp;B1369&amp;C1369&amp;D1369&amp;E1369&amp;F1369&amp;G1369&amp;H1369&amp;I1369&amp;J1369&amp;K1369&amp;L1369&amp;M1369&amp;N1369&amp;O1369&amp;P1369</f>
        <v>USR-10136845676TreatmentEastMobileReferralFree100000065.6</v>
      </c>
      <c r="S1369" s="22" t="str">
        <f>IF(COUNTIF($R$2:$R$1409,R1369)=1,"OK",IF(COUNTIF($R$2:$R$1409,R1369)&gt;1,"Exact Duplicate","Review Required"))</f>
        <v>OK</v>
      </c>
      <c r="T1369" s="22" t="s">
        <v>24</v>
      </c>
      <c r="U1369" s="22" t="s">
        <v>39</v>
      </c>
      <c r="V1369" s="22"/>
    </row>
    <row r="1370" spans="1:22" ht="41.4">
      <c r="A1370" s="22" t="s">
        <v>1401</v>
      </c>
      <c r="B1370" s="25">
        <v>45723</v>
      </c>
      <c r="C1370" s="22" t="s">
        <v>723</v>
      </c>
      <c r="D1370" s="22" t="s">
        <v>23</v>
      </c>
      <c r="E1370" s="22" t="s">
        <v>19</v>
      </c>
      <c r="F1370" s="22" t="s">
        <v>29</v>
      </c>
      <c r="G1370" s="22" t="s">
        <v>21</v>
      </c>
      <c r="H1370" s="22">
        <v>1</v>
      </c>
      <c r="I1370" s="22">
        <v>1</v>
      </c>
      <c r="J1370" s="22">
        <v>0</v>
      </c>
      <c r="K1370" s="22">
        <v>0</v>
      </c>
      <c r="L1370" s="22">
        <v>0</v>
      </c>
      <c r="M1370" s="22">
        <v>0</v>
      </c>
      <c r="N1370" s="22">
        <v>0</v>
      </c>
      <c r="O1370" s="22"/>
      <c r="P1370" s="22">
        <v>62.7</v>
      </c>
      <c r="Q1370" s="22" t="str">
        <f>IF(OR(L1370&lt;$Y$18,L1370&gt;$Y$19),"Outlier","Normal")</f>
        <v>Normal</v>
      </c>
      <c r="R1370" s="26" t="str">
        <f>A1370&amp;B1370&amp;C1370&amp;D1370&amp;E1370&amp;F1370&amp;G1370&amp;H1370&amp;I1370&amp;J1370&amp;K1370&amp;L1370&amp;M1370&amp;N1370&amp;O1370&amp;P1370</f>
        <v>USR-10136945723TreatmentWestDesktopPaid SearchBasic110000062.7</v>
      </c>
      <c r="S1370" s="22" t="str">
        <f>IF(COUNTIF($R$2:$R$1409,R1370)=1,"OK",IF(COUNTIF($R$2:$R$1409,R1370)&gt;1,"Exact Duplicate","Review Required"))</f>
        <v>OK</v>
      </c>
      <c r="T1370" s="22" t="s">
        <v>19</v>
      </c>
      <c r="U1370" s="22" t="s">
        <v>29</v>
      </c>
      <c r="V1370" s="22"/>
    </row>
    <row r="1371" spans="1:22" ht="41.4">
      <c r="A1371" s="22" t="s">
        <v>1402</v>
      </c>
      <c r="B1371" s="25">
        <v>45690</v>
      </c>
      <c r="C1371" s="22" t="s">
        <v>723</v>
      </c>
      <c r="D1371" s="22" t="s">
        <v>28</v>
      </c>
      <c r="E1371" s="22" t="s">
        <v>24</v>
      </c>
      <c r="F1371" s="22" t="s">
        <v>25</v>
      </c>
      <c r="G1371" s="22" t="s">
        <v>26</v>
      </c>
      <c r="H1371" s="22">
        <v>0</v>
      </c>
      <c r="I1371" s="22">
        <v>0</v>
      </c>
      <c r="J1371" s="22">
        <v>0</v>
      </c>
      <c r="K1371" s="22">
        <v>0</v>
      </c>
      <c r="L1371" s="22">
        <v>0</v>
      </c>
      <c r="M1371" s="22">
        <v>1</v>
      </c>
      <c r="N1371" s="22">
        <v>0</v>
      </c>
      <c r="O1371" s="22"/>
      <c r="P1371" s="22">
        <v>50.9</v>
      </c>
      <c r="Q1371" s="22" t="str">
        <f>IF(OR(L1371&lt;$Y$18,L1371&gt;$Y$19),"Outlier","Normal")</f>
        <v>Normal</v>
      </c>
      <c r="R1371" s="26" t="str">
        <f>A1371&amp;B1371&amp;C1371&amp;D1371&amp;E1371&amp;F1371&amp;G1371&amp;H1371&amp;I1371&amp;J1371&amp;K1371&amp;L1371&amp;M1371&amp;N1371&amp;O1371&amp;P1371</f>
        <v>USR-10137045690TreatmentEastMobileOrganicFree000001050.9</v>
      </c>
      <c r="S1371" s="22" t="str">
        <f>IF(COUNTIF($R$2:$R$1409,R1371)=1,"OK",IF(COUNTIF($R$2:$R$1409,R1371)&gt;1,"Exact Duplicate","Review Required"))</f>
        <v>OK</v>
      </c>
      <c r="T1371" s="22" t="s">
        <v>24</v>
      </c>
      <c r="U1371" s="22" t="s">
        <v>25</v>
      </c>
      <c r="V1371" s="22"/>
    </row>
    <row r="1372" spans="1:22" ht="41.4">
      <c r="A1372" s="22" t="s">
        <v>1403</v>
      </c>
      <c r="B1372" s="25">
        <v>45723</v>
      </c>
      <c r="C1372" s="22" t="s">
        <v>723</v>
      </c>
      <c r="D1372" s="22" t="s">
        <v>18</v>
      </c>
      <c r="E1372" s="22" t="s">
        <v>24</v>
      </c>
      <c r="F1372" s="22" t="s">
        <v>25</v>
      </c>
      <c r="G1372" s="22" t="s">
        <v>26</v>
      </c>
      <c r="H1372" s="22">
        <v>0</v>
      </c>
      <c r="I1372" s="22">
        <v>0</v>
      </c>
      <c r="J1372" s="22">
        <v>0</v>
      </c>
      <c r="K1372" s="22">
        <v>0</v>
      </c>
      <c r="L1372" s="22">
        <v>0</v>
      </c>
      <c r="M1372" s="22">
        <v>1</v>
      </c>
      <c r="N1372" s="22">
        <v>0</v>
      </c>
      <c r="O1372" s="22"/>
      <c r="P1372" s="22">
        <v>60.6</v>
      </c>
      <c r="Q1372" s="22" t="str">
        <f>IF(OR(L1372&lt;$Y$18,L1372&gt;$Y$19),"Outlier","Normal")</f>
        <v>Normal</v>
      </c>
      <c r="R1372" s="26" t="str">
        <f>A1372&amp;B1372&amp;C1372&amp;D1372&amp;E1372&amp;F1372&amp;G1372&amp;H1372&amp;I1372&amp;J1372&amp;K1372&amp;L1372&amp;M1372&amp;N1372&amp;O1372&amp;P1372</f>
        <v>USR-10137145723TreatmentNorthMobileOrganicFree000001060.6</v>
      </c>
      <c r="S1372" s="22" t="str">
        <f>IF(COUNTIF($R$2:$R$1409,R1372)=1,"OK",IF(COUNTIF($R$2:$R$1409,R1372)&gt;1,"Exact Duplicate","Review Required"))</f>
        <v>OK</v>
      </c>
      <c r="T1372" s="22" t="s">
        <v>24</v>
      </c>
      <c r="U1372" s="22" t="s">
        <v>25</v>
      </c>
      <c r="V1372" s="22"/>
    </row>
    <row r="1373" spans="1:22" ht="41.4">
      <c r="A1373" s="22" t="s">
        <v>1404</v>
      </c>
      <c r="B1373" s="25">
        <v>45746</v>
      </c>
      <c r="C1373" s="22" t="s">
        <v>723</v>
      </c>
      <c r="D1373" s="22" t="s">
        <v>28</v>
      </c>
      <c r="E1373" s="22" t="s">
        <v>19</v>
      </c>
      <c r="F1373" s="22" t="s">
        <v>25</v>
      </c>
      <c r="G1373" s="22" t="s">
        <v>26</v>
      </c>
      <c r="H1373" s="22">
        <v>1</v>
      </c>
      <c r="I1373" s="22">
        <v>1</v>
      </c>
      <c r="J1373" s="22">
        <v>1</v>
      </c>
      <c r="K1373" s="22">
        <v>0</v>
      </c>
      <c r="L1373" s="22">
        <v>0</v>
      </c>
      <c r="M1373" s="22">
        <v>0</v>
      </c>
      <c r="N1373" s="22">
        <v>0</v>
      </c>
      <c r="O1373" s="22"/>
      <c r="P1373" s="22">
        <v>76.599999999999994</v>
      </c>
      <c r="Q1373" s="22" t="str">
        <f>IF(OR(L1373&lt;$Y$18,L1373&gt;$Y$19),"Outlier","Normal")</f>
        <v>Normal</v>
      </c>
      <c r="R1373" s="26" t="str">
        <f>A1373&amp;B1373&amp;C1373&amp;D1373&amp;E1373&amp;F1373&amp;G1373&amp;H1373&amp;I1373&amp;J1373&amp;K1373&amp;L1373&amp;M1373&amp;N1373&amp;O1373&amp;P1373</f>
        <v>USR-10137245746TreatmentEastDesktopOrganicFree111000076.6</v>
      </c>
      <c r="S1373" s="22" t="str">
        <f>IF(COUNTIF($R$2:$R$1409,R1373)=1,"OK",IF(COUNTIF($R$2:$R$1409,R1373)&gt;1,"Exact Duplicate","Review Required"))</f>
        <v>OK</v>
      </c>
      <c r="T1373" s="22" t="s">
        <v>19</v>
      </c>
      <c r="U1373" s="22" t="s">
        <v>25</v>
      </c>
      <c r="V1373" s="22"/>
    </row>
    <row r="1374" spans="1:22" ht="41.4">
      <c r="A1374" s="22" t="s">
        <v>1405</v>
      </c>
      <c r="B1374" s="25">
        <v>45782</v>
      </c>
      <c r="C1374" s="22" t="s">
        <v>723</v>
      </c>
      <c r="D1374" s="22" t="s">
        <v>28</v>
      </c>
      <c r="E1374" s="22" t="s">
        <v>19</v>
      </c>
      <c r="F1374" s="22" t="s">
        <v>29</v>
      </c>
      <c r="G1374" s="22" t="s">
        <v>26</v>
      </c>
      <c r="H1374" s="22">
        <v>1</v>
      </c>
      <c r="I1374" s="22">
        <v>1</v>
      </c>
      <c r="J1374" s="22">
        <v>1</v>
      </c>
      <c r="K1374" s="22">
        <v>0</v>
      </c>
      <c r="L1374" s="22">
        <v>0</v>
      </c>
      <c r="M1374" s="22">
        <v>0</v>
      </c>
      <c r="N1374" s="22">
        <v>0</v>
      </c>
      <c r="O1374" s="22"/>
      <c r="P1374" s="22">
        <v>54.4</v>
      </c>
      <c r="Q1374" s="22" t="str">
        <f>IF(OR(L1374&lt;$Y$18,L1374&gt;$Y$19),"Outlier","Normal")</f>
        <v>Normal</v>
      </c>
      <c r="R1374" s="26" t="str">
        <f>A1374&amp;B1374&amp;C1374&amp;D1374&amp;E1374&amp;F1374&amp;G1374&amp;H1374&amp;I1374&amp;J1374&amp;K1374&amp;L1374&amp;M1374&amp;N1374&amp;O1374&amp;P1374</f>
        <v>USR-10137345782TreatmentEastDesktopPaid SearchFree111000054.4</v>
      </c>
      <c r="S1374" s="22" t="str">
        <f>IF(COUNTIF($R$2:$R$1409,R1374)=1,"OK",IF(COUNTIF($R$2:$R$1409,R1374)&gt;1,"Exact Duplicate","Review Required"))</f>
        <v>OK</v>
      </c>
      <c r="T1374" s="22" t="s">
        <v>19</v>
      </c>
      <c r="U1374" s="22" t="s">
        <v>29</v>
      </c>
      <c r="V1374" s="22"/>
    </row>
    <row r="1375" spans="1:22" ht="41.4">
      <c r="A1375" s="22" t="s">
        <v>1406</v>
      </c>
      <c r="B1375" s="25">
        <v>45758</v>
      </c>
      <c r="C1375" s="22" t="s">
        <v>723</v>
      </c>
      <c r="D1375" s="22" t="s">
        <v>32</v>
      </c>
      <c r="E1375" s="22" t="s">
        <v>24</v>
      </c>
      <c r="F1375" s="22" t="s">
        <v>41</v>
      </c>
      <c r="G1375" s="22" t="s">
        <v>26</v>
      </c>
      <c r="H1375" s="22">
        <v>1</v>
      </c>
      <c r="I1375" s="22">
        <v>0</v>
      </c>
      <c r="J1375" s="22">
        <v>0</v>
      </c>
      <c r="K1375" s="22">
        <v>0</v>
      </c>
      <c r="L1375" s="22">
        <v>0</v>
      </c>
      <c r="M1375" s="22">
        <v>0</v>
      </c>
      <c r="N1375" s="22">
        <v>0</v>
      </c>
      <c r="O1375" s="22"/>
      <c r="P1375" s="22">
        <v>31.2</v>
      </c>
      <c r="Q1375" s="22" t="str">
        <f>IF(OR(L1375&lt;$Y$18,L1375&gt;$Y$19),"Outlier","Normal")</f>
        <v>Normal</v>
      </c>
      <c r="R1375" s="26" t="str">
        <f>A1375&amp;B1375&amp;C1375&amp;D1375&amp;E1375&amp;F1375&amp;G1375&amp;H1375&amp;I1375&amp;J1375&amp;K1375&amp;L1375&amp;M1375&amp;N1375&amp;O1375&amp;P1375</f>
        <v>USR-10137445758TreatmentSouthMobileSocialFree100000031.2</v>
      </c>
      <c r="S1375" s="22" t="str">
        <f>IF(COUNTIF($R$2:$R$1409,R1375)=1,"OK",IF(COUNTIF($R$2:$R$1409,R1375)&gt;1,"Exact Duplicate","Review Required"))</f>
        <v>OK</v>
      </c>
      <c r="T1375" s="22" t="s">
        <v>24</v>
      </c>
      <c r="U1375" s="22" t="s">
        <v>41</v>
      </c>
      <c r="V1375" s="22"/>
    </row>
    <row r="1376" spans="1:22" ht="41.4">
      <c r="A1376" s="22" t="s">
        <v>1407</v>
      </c>
      <c r="B1376" s="25">
        <v>45741</v>
      </c>
      <c r="C1376" s="22" t="s">
        <v>723</v>
      </c>
      <c r="D1376" s="22" t="s">
        <v>23</v>
      </c>
      <c r="E1376" s="22" t="s">
        <v>19</v>
      </c>
      <c r="F1376" s="22" t="s">
        <v>20</v>
      </c>
      <c r="G1376" s="22" t="s">
        <v>30</v>
      </c>
      <c r="H1376" s="22">
        <v>1</v>
      </c>
      <c r="I1376" s="22">
        <v>0</v>
      </c>
      <c r="J1376" s="22">
        <v>0</v>
      </c>
      <c r="K1376" s="22">
        <v>0</v>
      </c>
      <c r="L1376" s="22">
        <v>0</v>
      </c>
      <c r="M1376" s="22">
        <v>0</v>
      </c>
      <c r="N1376" s="22">
        <v>0</v>
      </c>
      <c r="O1376" s="22"/>
      <c r="P1376" s="22">
        <v>72.400000000000006</v>
      </c>
      <c r="Q1376" s="22" t="str">
        <f>IF(OR(L1376&lt;$Y$18,L1376&gt;$Y$19),"Outlier","Normal")</f>
        <v>Normal</v>
      </c>
      <c r="R1376" s="26" t="str">
        <f>A1376&amp;B1376&amp;C1376&amp;D1376&amp;E1376&amp;F1376&amp;G1376&amp;H1376&amp;I1376&amp;J1376&amp;K1376&amp;L1376&amp;M1376&amp;N1376&amp;O1376&amp;P1376</f>
        <v>USR-10137545741TreatmentWestDesktopEmailPremium100000072.4</v>
      </c>
      <c r="S1376" s="22" t="str">
        <f>IF(COUNTIF($R$2:$R$1409,R1376)=1,"OK",IF(COUNTIF($R$2:$R$1409,R1376)&gt;1,"Exact Duplicate","Review Required"))</f>
        <v>OK</v>
      </c>
      <c r="T1376" s="22" t="s">
        <v>19</v>
      </c>
      <c r="U1376" s="22" t="s">
        <v>20</v>
      </c>
      <c r="V1376" s="22"/>
    </row>
    <row r="1377" spans="1:22" ht="41.4">
      <c r="A1377" s="22" t="s">
        <v>1408</v>
      </c>
      <c r="B1377" s="25">
        <v>45740</v>
      </c>
      <c r="C1377" s="22" t="s">
        <v>723</v>
      </c>
      <c r="D1377" s="22" t="s">
        <v>18</v>
      </c>
      <c r="E1377" s="22" t="s">
        <v>24</v>
      </c>
      <c r="F1377" s="22" t="s">
        <v>25</v>
      </c>
      <c r="G1377" s="22" t="s">
        <v>30</v>
      </c>
      <c r="H1377" s="22">
        <v>1</v>
      </c>
      <c r="I1377" s="22">
        <v>0</v>
      </c>
      <c r="J1377" s="22">
        <v>0</v>
      </c>
      <c r="K1377" s="22">
        <v>0</v>
      </c>
      <c r="L1377" s="22">
        <v>0</v>
      </c>
      <c r="M1377" s="22">
        <v>0</v>
      </c>
      <c r="N1377" s="22">
        <v>0</v>
      </c>
      <c r="O1377" s="22"/>
      <c r="P1377" s="22">
        <v>74.5</v>
      </c>
      <c r="Q1377" s="22" t="str">
        <f>IF(OR(L1377&lt;$Y$18,L1377&gt;$Y$19),"Outlier","Normal")</f>
        <v>Normal</v>
      </c>
      <c r="R1377" s="26" t="str">
        <f>A1377&amp;B1377&amp;C1377&amp;D1377&amp;E1377&amp;F1377&amp;G1377&amp;H1377&amp;I1377&amp;J1377&amp;K1377&amp;L1377&amp;M1377&amp;N1377&amp;O1377&amp;P1377</f>
        <v>USR-10137645740TreatmentNorthMobileOrganicPremium100000074.5</v>
      </c>
      <c r="S1377" s="22" t="str">
        <f>IF(COUNTIF($R$2:$R$1409,R1377)=1,"OK",IF(COUNTIF($R$2:$R$1409,R1377)&gt;1,"Exact Duplicate","Review Required"))</f>
        <v>OK</v>
      </c>
      <c r="T1377" s="22" t="s">
        <v>24</v>
      </c>
      <c r="U1377" s="22" t="s">
        <v>25</v>
      </c>
      <c r="V1377" s="22"/>
    </row>
    <row r="1378" spans="1:22" ht="41.4">
      <c r="A1378" s="22" t="s">
        <v>1409</v>
      </c>
      <c r="B1378" s="25">
        <v>45774</v>
      </c>
      <c r="C1378" s="22" t="s">
        <v>723</v>
      </c>
      <c r="D1378" s="22" t="s">
        <v>28</v>
      </c>
      <c r="E1378" s="22" t="s">
        <v>24</v>
      </c>
      <c r="F1378" s="22" t="s">
        <v>25</v>
      </c>
      <c r="G1378" s="22" t="s">
        <v>21</v>
      </c>
      <c r="H1378" s="22">
        <v>0</v>
      </c>
      <c r="I1378" s="22">
        <v>0</v>
      </c>
      <c r="J1378" s="22">
        <v>0</v>
      </c>
      <c r="K1378" s="22">
        <v>0</v>
      </c>
      <c r="L1378" s="22">
        <v>0</v>
      </c>
      <c r="M1378" s="22">
        <v>0</v>
      </c>
      <c r="N1378" s="22">
        <v>0</v>
      </c>
      <c r="O1378" s="22"/>
      <c r="P1378" s="22">
        <v>52.6</v>
      </c>
      <c r="Q1378" s="22" t="str">
        <f>IF(OR(L1378&lt;$Y$18,L1378&gt;$Y$19),"Outlier","Normal")</f>
        <v>Normal</v>
      </c>
      <c r="R1378" s="26" t="str">
        <f>A1378&amp;B1378&amp;C1378&amp;D1378&amp;E1378&amp;F1378&amp;G1378&amp;H1378&amp;I1378&amp;J1378&amp;K1378&amp;L1378&amp;M1378&amp;N1378&amp;O1378&amp;P1378</f>
        <v>USR-10137745774TreatmentEastMobileOrganicBasic000000052.6</v>
      </c>
      <c r="S1378" s="22" t="str">
        <f>IF(COUNTIF($R$2:$R$1409,R1378)=1,"OK",IF(COUNTIF($R$2:$R$1409,R1378)&gt;1,"Exact Duplicate","Review Required"))</f>
        <v>OK</v>
      </c>
      <c r="T1378" s="22" t="s">
        <v>24</v>
      </c>
      <c r="U1378" s="22" t="s">
        <v>25</v>
      </c>
      <c r="V1378" s="22"/>
    </row>
    <row r="1379" spans="1:22" ht="41.4">
      <c r="A1379" s="22" t="s">
        <v>1410</v>
      </c>
      <c r="B1379" s="25">
        <v>45682</v>
      </c>
      <c r="C1379" s="22" t="s">
        <v>723</v>
      </c>
      <c r="D1379" s="22" t="s">
        <v>18</v>
      </c>
      <c r="E1379" s="22" t="s">
        <v>19</v>
      </c>
      <c r="F1379" s="22" t="s">
        <v>29</v>
      </c>
      <c r="G1379" s="22" t="s">
        <v>26</v>
      </c>
      <c r="H1379" s="22">
        <v>1</v>
      </c>
      <c r="I1379" s="22">
        <v>0</v>
      </c>
      <c r="J1379" s="22">
        <v>0</v>
      </c>
      <c r="K1379" s="22">
        <v>0</v>
      </c>
      <c r="L1379" s="22">
        <v>0</v>
      </c>
      <c r="M1379" s="22">
        <v>0</v>
      </c>
      <c r="N1379" s="22">
        <v>0</v>
      </c>
      <c r="O1379" s="22"/>
      <c r="P1379" s="22">
        <v>75.400000000000006</v>
      </c>
      <c r="Q1379" s="22" t="str">
        <f>IF(OR(L1379&lt;$Y$18,L1379&gt;$Y$19),"Outlier","Normal")</f>
        <v>Normal</v>
      </c>
      <c r="R1379" s="26" t="str">
        <f>A1379&amp;B1379&amp;C1379&amp;D1379&amp;E1379&amp;F1379&amp;G1379&amp;H1379&amp;I1379&amp;J1379&amp;K1379&amp;L1379&amp;M1379&amp;N1379&amp;O1379&amp;P1379</f>
        <v>USR-10137845682TreatmentNorthDesktopPaid SearchFree100000075.4</v>
      </c>
      <c r="S1379" s="22" t="str">
        <f>IF(COUNTIF($R$2:$R$1409,R1379)=1,"OK",IF(COUNTIF($R$2:$R$1409,R1379)&gt;1,"Exact Duplicate","Review Required"))</f>
        <v>OK</v>
      </c>
      <c r="T1379" s="22" t="s">
        <v>19</v>
      </c>
      <c r="U1379" s="22" t="s">
        <v>29</v>
      </c>
      <c r="V1379" s="22"/>
    </row>
    <row r="1380" spans="1:22" ht="41.4">
      <c r="A1380" s="22" t="s">
        <v>1411</v>
      </c>
      <c r="B1380" s="25">
        <v>45705</v>
      </c>
      <c r="C1380" s="22" t="s">
        <v>723</v>
      </c>
      <c r="D1380" s="22" t="s">
        <v>18</v>
      </c>
      <c r="E1380" s="22" t="s">
        <v>34</v>
      </c>
      <c r="F1380" s="22" t="s">
        <v>41</v>
      </c>
      <c r="G1380" s="22" t="s">
        <v>21</v>
      </c>
      <c r="H1380" s="22">
        <v>1</v>
      </c>
      <c r="I1380" s="22">
        <v>1</v>
      </c>
      <c r="J1380" s="22">
        <v>1</v>
      </c>
      <c r="K1380" s="22">
        <v>1</v>
      </c>
      <c r="L1380" s="22">
        <v>751.33</v>
      </c>
      <c r="M1380" s="22">
        <v>0</v>
      </c>
      <c r="N1380" s="22">
        <v>0</v>
      </c>
      <c r="O1380" s="22">
        <v>9</v>
      </c>
      <c r="P1380" s="22">
        <v>34</v>
      </c>
      <c r="Q1380" s="22" t="str">
        <f>IF(OR(L1380&lt;$Y$18,L1380&gt;$Y$19),"Outlier","Normal")</f>
        <v>Normal</v>
      </c>
      <c r="R1380" s="26" t="str">
        <f>A1380&amp;B1380&amp;C1380&amp;D1380&amp;E1380&amp;F1380&amp;G1380&amp;H1380&amp;I1380&amp;J1380&amp;K1380&amp;L1380&amp;M1380&amp;N1380&amp;O1380&amp;P1380</f>
        <v>USR-10137945705TreatmentNorthTabletSocialBasic1111751.3300934</v>
      </c>
      <c r="S1380" s="22" t="str">
        <f>IF(COUNTIF($R$2:$R$1409,R1380)=1,"OK",IF(COUNTIF($R$2:$R$1409,R1380)&gt;1,"Exact Duplicate","Review Required"))</f>
        <v>OK</v>
      </c>
      <c r="T1380" s="22" t="s">
        <v>34</v>
      </c>
      <c r="U1380" s="22" t="s">
        <v>41</v>
      </c>
      <c r="V1380" s="22"/>
    </row>
    <row r="1381" spans="1:22" ht="41.4">
      <c r="A1381" s="22" t="s">
        <v>1412</v>
      </c>
      <c r="B1381" s="25">
        <v>45760</v>
      </c>
      <c r="C1381" s="22" t="s">
        <v>723</v>
      </c>
      <c r="D1381" s="22" t="s">
        <v>32</v>
      </c>
      <c r="E1381" s="22" t="s">
        <v>19</v>
      </c>
      <c r="F1381" s="22" t="s">
        <v>25</v>
      </c>
      <c r="G1381" s="22" t="s">
        <v>26</v>
      </c>
      <c r="H1381" s="22">
        <v>1</v>
      </c>
      <c r="I1381" s="22">
        <v>0</v>
      </c>
      <c r="J1381" s="22">
        <v>0</v>
      </c>
      <c r="K1381" s="22">
        <v>0</v>
      </c>
      <c r="L1381" s="22">
        <v>0</v>
      </c>
      <c r="M1381" s="22">
        <v>0</v>
      </c>
      <c r="N1381" s="22">
        <v>0</v>
      </c>
      <c r="O1381" s="22"/>
      <c r="P1381" s="22">
        <v>67.099999999999994</v>
      </c>
      <c r="Q1381" s="22" t="str">
        <f>IF(OR(L1381&lt;$Y$18,L1381&gt;$Y$19),"Outlier","Normal")</f>
        <v>Normal</v>
      </c>
      <c r="R1381" s="26" t="str">
        <f>A1381&amp;B1381&amp;C1381&amp;D1381&amp;E1381&amp;F1381&amp;G1381&amp;H1381&amp;I1381&amp;J1381&amp;K1381&amp;L1381&amp;M1381&amp;N1381&amp;O1381&amp;P1381</f>
        <v>USR-10138045760TreatmentSouthDesktopOrganicFree100000067.1</v>
      </c>
      <c r="S1381" s="22" t="str">
        <f>IF(COUNTIF($R$2:$R$1409,R1381)=1,"OK",IF(COUNTIF($R$2:$R$1409,R1381)&gt;1,"Exact Duplicate","Review Required"))</f>
        <v>OK</v>
      </c>
      <c r="T1381" s="22" t="s">
        <v>19</v>
      </c>
      <c r="U1381" s="22" t="s">
        <v>25</v>
      </c>
      <c r="V1381" s="22"/>
    </row>
    <row r="1382" spans="1:22" ht="41.4">
      <c r="A1382" s="22" t="s">
        <v>1413</v>
      </c>
      <c r="B1382" s="25">
        <v>45780</v>
      </c>
      <c r="C1382" s="22" t="s">
        <v>723</v>
      </c>
      <c r="D1382" s="22" t="s">
        <v>23</v>
      </c>
      <c r="E1382" s="22" t="s">
        <v>19</v>
      </c>
      <c r="F1382" s="22" t="s">
        <v>29</v>
      </c>
      <c r="G1382" s="22" t="s">
        <v>30</v>
      </c>
      <c r="H1382" s="22">
        <v>1</v>
      </c>
      <c r="I1382" s="22">
        <v>0</v>
      </c>
      <c r="J1382" s="22">
        <v>0</v>
      </c>
      <c r="K1382" s="22">
        <v>0</v>
      </c>
      <c r="L1382" s="22">
        <v>0</v>
      </c>
      <c r="M1382" s="22">
        <v>0</v>
      </c>
      <c r="N1382" s="22">
        <v>0</v>
      </c>
      <c r="O1382" s="22"/>
      <c r="P1382" s="22">
        <v>37.299999999999997</v>
      </c>
      <c r="Q1382" s="22" t="str">
        <f>IF(OR(L1382&lt;$Y$18,L1382&gt;$Y$19),"Outlier","Normal")</f>
        <v>Normal</v>
      </c>
      <c r="R1382" s="26" t="str">
        <f>A1382&amp;B1382&amp;C1382&amp;D1382&amp;E1382&amp;F1382&amp;G1382&amp;H1382&amp;I1382&amp;J1382&amp;K1382&amp;L1382&amp;M1382&amp;N1382&amp;O1382&amp;P1382</f>
        <v>USR-10138145780TreatmentWestDesktopPaid SearchPremium100000037.3</v>
      </c>
      <c r="S1382" s="22" t="str">
        <f>IF(COUNTIF($R$2:$R$1409,R1382)=1,"OK",IF(COUNTIF($R$2:$R$1409,R1382)&gt;1,"Exact Duplicate","Review Required"))</f>
        <v>OK</v>
      </c>
      <c r="T1382" s="22" t="s">
        <v>19</v>
      </c>
      <c r="U1382" s="22" t="s">
        <v>29</v>
      </c>
      <c r="V1382" s="22"/>
    </row>
    <row r="1383" spans="1:22" ht="41.4">
      <c r="A1383" s="22" t="s">
        <v>1414</v>
      </c>
      <c r="B1383" s="25">
        <v>45776</v>
      </c>
      <c r="C1383" s="22" t="s">
        <v>723</v>
      </c>
      <c r="D1383" s="22" t="s">
        <v>23</v>
      </c>
      <c r="E1383" s="22" t="s">
        <v>24</v>
      </c>
      <c r="F1383" s="22" t="s">
        <v>20</v>
      </c>
      <c r="G1383" s="22" t="s">
        <v>26</v>
      </c>
      <c r="H1383" s="22">
        <v>1</v>
      </c>
      <c r="I1383" s="22">
        <v>0</v>
      </c>
      <c r="J1383" s="22">
        <v>0</v>
      </c>
      <c r="K1383" s="22">
        <v>0</v>
      </c>
      <c r="L1383" s="22">
        <v>0</v>
      </c>
      <c r="M1383" s="22">
        <v>0</v>
      </c>
      <c r="N1383" s="22">
        <v>0</v>
      </c>
      <c r="O1383" s="22"/>
      <c r="P1383" s="22">
        <v>54.7</v>
      </c>
      <c r="Q1383" s="22" t="str">
        <f>IF(OR(L1383&lt;$Y$18,L1383&gt;$Y$19),"Outlier","Normal")</f>
        <v>Normal</v>
      </c>
      <c r="R1383" s="26" t="str">
        <f>A1383&amp;B1383&amp;C1383&amp;D1383&amp;E1383&amp;F1383&amp;G1383&amp;H1383&amp;I1383&amp;J1383&amp;K1383&amp;L1383&amp;M1383&amp;N1383&amp;O1383&amp;P1383</f>
        <v>USR-10138245776TreatmentWestMobileEmailFree100000054.7</v>
      </c>
      <c r="S1383" s="22" t="str">
        <f>IF(COUNTIF($R$2:$R$1409,R1383)=1,"OK",IF(COUNTIF($R$2:$R$1409,R1383)&gt;1,"Exact Duplicate","Review Required"))</f>
        <v>OK</v>
      </c>
      <c r="T1383" s="22" t="s">
        <v>24</v>
      </c>
      <c r="U1383" s="22" t="s">
        <v>20</v>
      </c>
      <c r="V1383" s="22"/>
    </row>
    <row r="1384" spans="1:22" ht="41.4">
      <c r="A1384" s="22" t="s">
        <v>1415</v>
      </c>
      <c r="B1384" s="25">
        <v>45780</v>
      </c>
      <c r="C1384" s="22" t="s">
        <v>723</v>
      </c>
      <c r="D1384" s="22" t="s">
        <v>28</v>
      </c>
      <c r="E1384" s="22" t="s">
        <v>19</v>
      </c>
      <c r="F1384" s="22" t="s">
        <v>29</v>
      </c>
      <c r="G1384" s="22" t="s">
        <v>26</v>
      </c>
      <c r="H1384" s="22">
        <v>1</v>
      </c>
      <c r="I1384" s="22">
        <v>0</v>
      </c>
      <c r="J1384" s="22">
        <v>0</v>
      </c>
      <c r="K1384" s="22">
        <v>0</v>
      </c>
      <c r="L1384" s="22">
        <v>0</v>
      </c>
      <c r="M1384" s="22">
        <v>0</v>
      </c>
      <c r="N1384" s="22">
        <v>0</v>
      </c>
      <c r="O1384" s="22"/>
      <c r="P1384" s="22">
        <v>51.8</v>
      </c>
      <c r="Q1384" s="22" t="str">
        <f>IF(OR(L1384&lt;$Y$18,L1384&gt;$Y$19),"Outlier","Normal")</f>
        <v>Normal</v>
      </c>
      <c r="R1384" s="26" t="str">
        <f>A1384&amp;B1384&amp;C1384&amp;D1384&amp;E1384&amp;F1384&amp;G1384&amp;H1384&amp;I1384&amp;J1384&amp;K1384&amp;L1384&amp;M1384&amp;N1384&amp;O1384&amp;P1384</f>
        <v>USR-10138345780TreatmentEastDesktopPaid SearchFree100000051.8</v>
      </c>
      <c r="S1384" s="22" t="str">
        <f>IF(COUNTIF($R$2:$R$1409,R1384)=1,"OK",IF(COUNTIF($R$2:$R$1409,R1384)&gt;1,"Exact Duplicate","Review Required"))</f>
        <v>OK</v>
      </c>
      <c r="T1384" s="22" t="s">
        <v>19</v>
      </c>
      <c r="U1384" s="22" t="s">
        <v>29</v>
      </c>
      <c r="V1384" s="22"/>
    </row>
    <row r="1385" spans="1:22" ht="41.4">
      <c r="A1385" s="22" t="s">
        <v>1416</v>
      </c>
      <c r="B1385" s="25">
        <v>45775</v>
      </c>
      <c r="C1385" s="22" t="s">
        <v>723</v>
      </c>
      <c r="D1385" s="22" t="s">
        <v>23</v>
      </c>
      <c r="E1385" s="22" t="s">
        <v>24</v>
      </c>
      <c r="F1385" s="22" t="s">
        <v>29</v>
      </c>
      <c r="G1385" s="22" t="s">
        <v>26</v>
      </c>
      <c r="H1385" s="22">
        <v>0</v>
      </c>
      <c r="I1385" s="22">
        <v>0</v>
      </c>
      <c r="J1385" s="22">
        <v>0</v>
      </c>
      <c r="K1385" s="22">
        <v>0</v>
      </c>
      <c r="L1385" s="22">
        <v>0</v>
      </c>
      <c r="M1385" s="22">
        <v>0</v>
      </c>
      <c r="N1385" s="22">
        <v>0</v>
      </c>
      <c r="O1385" s="22"/>
      <c r="P1385" s="22">
        <v>49.2</v>
      </c>
      <c r="Q1385" s="22" t="str">
        <f>IF(OR(L1385&lt;$Y$18,L1385&gt;$Y$19),"Outlier","Normal")</f>
        <v>Normal</v>
      </c>
      <c r="R1385" s="26" t="str">
        <f>A1385&amp;B1385&amp;C1385&amp;D1385&amp;E1385&amp;F1385&amp;G1385&amp;H1385&amp;I1385&amp;J1385&amp;K1385&amp;L1385&amp;M1385&amp;N1385&amp;O1385&amp;P1385</f>
        <v>USR-10138445775TreatmentWestMobilePaid SearchFree000000049.2</v>
      </c>
      <c r="S1385" s="22" t="str">
        <f>IF(COUNTIF($R$2:$R$1409,R1385)=1,"OK",IF(COUNTIF($R$2:$R$1409,R1385)&gt;1,"Exact Duplicate","Review Required"))</f>
        <v>OK</v>
      </c>
      <c r="T1385" s="22" t="s">
        <v>24</v>
      </c>
      <c r="U1385" s="22" t="s">
        <v>29</v>
      </c>
      <c r="V1385" s="22"/>
    </row>
    <row r="1386" spans="1:22" ht="41.4">
      <c r="A1386" s="22" t="s">
        <v>1417</v>
      </c>
      <c r="B1386" s="25">
        <v>45678</v>
      </c>
      <c r="C1386" s="22" t="s">
        <v>723</v>
      </c>
      <c r="D1386" s="22" t="s">
        <v>23</v>
      </c>
      <c r="E1386" s="22" t="s">
        <v>24</v>
      </c>
      <c r="F1386" s="22" t="s">
        <v>25</v>
      </c>
      <c r="G1386" s="22" t="s">
        <v>26</v>
      </c>
      <c r="H1386" s="22">
        <v>1</v>
      </c>
      <c r="I1386" s="22">
        <v>0</v>
      </c>
      <c r="J1386" s="22">
        <v>0</v>
      </c>
      <c r="K1386" s="22">
        <v>0</v>
      </c>
      <c r="L1386" s="22">
        <v>0</v>
      </c>
      <c r="M1386" s="22">
        <v>2</v>
      </c>
      <c r="N1386" s="22">
        <v>0</v>
      </c>
      <c r="O1386" s="22"/>
      <c r="P1386" s="22">
        <v>58.8</v>
      </c>
      <c r="Q1386" s="22" t="str">
        <f>IF(OR(L1386&lt;$Y$18,L1386&gt;$Y$19),"Outlier","Normal")</f>
        <v>Normal</v>
      </c>
      <c r="R1386" s="26" t="str">
        <f>A1386&amp;B1386&amp;C1386&amp;D1386&amp;E1386&amp;F1386&amp;G1386&amp;H1386&amp;I1386&amp;J1386&amp;K1386&amp;L1386&amp;M1386&amp;N1386&amp;O1386&amp;P1386</f>
        <v>USR-10138545678TreatmentWestMobileOrganicFree100002058.8</v>
      </c>
      <c r="S1386" s="22" t="str">
        <f>IF(COUNTIF($R$2:$R$1409,R1386)=1,"OK",IF(COUNTIF($R$2:$R$1409,R1386)&gt;1,"Exact Duplicate","Review Required"))</f>
        <v>OK</v>
      </c>
      <c r="T1386" s="22" t="s">
        <v>24</v>
      </c>
      <c r="U1386" s="22" t="s">
        <v>25</v>
      </c>
      <c r="V1386" s="22"/>
    </row>
    <row r="1387" spans="1:22" ht="41.4">
      <c r="A1387" s="22" t="s">
        <v>1418</v>
      </c>
      <c r="B1387" s="25">
        <v>45678</v>
      </c>
      <c r="C1387" s="22" t="s">
        <v>723</v>
      </c>
      <c r="D1387" s="22" t="s">
        <v>18</v>
      </c>
      <c r="E1387" s="22" t="s">
        <v>34</v>
      </c>
      <c r="F1387" s="22" t="s">
        <v>29</v>
      </c>
      <c r="G1387" s="22" t="s">
        <v>21</v>
      </c>
      <c r="H1387" s="22">
        <v>0</v>
      </c>
      <c r="I1387" s="22">
        <v>0</v>
      </c>
      <c r="J1387" s="22">
        <v>0</v>
      </c>
      <c r="K1387" s="22">
        <v>0</v>
      </c>
      <c r="L1387" s="22">
        <v>0</v>
      </c>
      <c r="M1387" s="22">
        <v>1</v>
      </c>
      <c r="N1387" s="22">
        <v>0</v>
      </c>
      <c r="O1387" s="22"/>
      <c r="P1387" s="22">
        <v>59.1</v>
      </c>
      <c r="Q1387" s="22" t="str">
        <f>IF(OR(L1387&lt;$Y$18,L1387&gt;$Y$19),"Outlier","Normal")</f>
        <v>Normal</v>
      </c>
      <c r="R1387" s="26" t="str">
        <f>A1387&amp;B1387&amp;C1387&amp;D1387&amp;E1387&amp;F1387&amp;G1387&amp;H1387&amp;I1387&amp;J1387&amp;K1387&amp;L1387&amp;M1387&amp;N1387&amp;O1387&amp;P1387</f>
        <v>USR-10138645678TreatmentNorthTabletPaid SearchBasic000001059.1</v>
      </c>
      <c r="S1387" s="22" t="str">
        <f>IF(COUNTIF($R$2:$R$1409,R1387)=1,"OK",IF(COUNTIF($R$2:$R$1409,R1387)&gt;1,"Exact Duplicate","Review Required"))</f>
        <v>OK</v>
      </c>
      <c r="T1387" s="22" t="s">
        <v>34</v>
      </c>
      <c r="U1387" s="22" t="s">
        <v>29</v>
      </c>
      <c r="V1387" s="22"/>
    </row>
    <row r="1388" spans="1:22" ht="41.4">
      <c r="A1388" s="22" t="s">
        <v>1419</v>
      </c>
      <c r="B1388" s="25">
        <v>45798</v>
      </c>
      <c r="C1388" s="22" t="s">
        <v>723</v>
      </c>
      <c r="D1388" s="22" t="s">
        <v>23</v>
      </c>
      <c r="E1388" s="22" t="s">
        <v>19</v>
      </c>
      <c r="F1388" s="22" t="s">
        <v>29</v>
      </c>
      <c r="G1388" s="22" t="s">
        <v>26</v>
      </c>
      <c r="H1388" s="22">
        <v>1</v>
      </c>
      <c r="I1388" s="22">
        <v>0</v>
      </c>
      <c r="J1388" s="22">
        <v>0</v>
      </c>
      <c r="K1388" s="22">
        <v>0</v>
      </c>
      <c r="L1388" s="22">
        <v>0</v>
      </c>
      <c r="M1388" s="22">
        <v>2</v>
      </c>
      <c r="N1388" s="22">
        <v>0</v>
      </c>
      <c r="O1388" s="22"/>
      <c r="P1388" s="22">
        <v>49.6</v>
      </c>
      <c r="Q1388" s="22" t="str">
        <f>IF(OR(L1388&lt;$Y$18,L1388&gt;$Y$19),"Outlier","Normal")</f>
        <v>Normal</v>
      </c>
      <c r="R1388" s="26" t="str">
        <f>A1388&amp;B1388&amp;C1388&amp;D1388&amp;E1388&amp;F1388&amp;G1388&amp;H1388&amp;I1388&amp;J1388&amp;K1388&amp;L1388&amp;M1388&amp;N1388&amp;O1388&amp;P1388</f>
        <v>USR-10138745798TreatmentWestDesktopPaid SearchFree100002049.6</v>
      </c>
      <c r="S1388" s="22" t="str">
        <f>IF(COUNTIF($R$2:$R$1409,R1388)=1,"OK",IF(COUNTIF($R$2:$R$1409,R1388)&gt;1,"Exact Duplicate","Review Required"))</f>
        <v>OK</v>
      </c>
      <c r="T1388" s="22" t="s">
        <v>19</v>
      </c>
      <c r="U1388" s="22" t="s">
        <v>29</v>
      </c>
      <c r="V1388" s="22"/>
    </row>
    <row r="1389" spans="1:22" ht="41.4">
      <c r="A1389" s="22" t="s">
        <v>1420</v>
      </c>
      <c r="B1389" s="25">
        <v>45662</v>
      </c>
      <c r="C1389" s="22" t="s">
        <v>723</v>
      </c>
      <c r="D1389" s="22" t="s">
        <v>18</v>
      </c>
      <c r="E1389" s="22" t="s">
        <v>24</v>
      </c>
      <c r="F1389" s="22" t="s">
        <v>39</v>
      </c>
      <c r="G1389" s="22" t="s">
        <v>26</v>
      </c>
      <c r="H1389" s="22">
        <v>0</v>
      </c>
      <c r="I1389" s="22">
        <v>0</v>
      </c>
      <c r="J1389" s="22">
        <v>0</v>
      </c>
      <c r="K1389" s="22">
        <v>0</v>
      </c>
      <c r="L1389" s="22">
        <v>0</v>
      </c>
      <c r="M1389" s="22">
        <v>0</v>
      </c>
      <c r="N1389" s="22">
        <v>0</v>
      </c>
      <c r="O1389" s="22"/>
      <c r="P1389" s="22">
        <v>58.2</v>
      </c>
      <c r="Q1389" s="22" t="str">
        <f>IF(OR(L1389&lt;$Y$18,L1389&gt;$Y$19),"Outlier","Normal")</f>
        <v>Normal</v>
      </c>
      <c r="R1389" s="26" t="str">
        <f>A1389&amp;B1389&amp;C1389&amp;D1389&amp;E1389&amp;F1389&amp;G1389&amp;H1389&amp;I1389&amp;J1389&amp;K1389&amp;L1389&amp;M1389&amp;N1389&amp;O1389&amp;P1389</f>
        <v>USR-10138845662TreatmentNorthMobileReferralFree000000058.2</v>
      </c>
      <c r="S1389" s="22" t="str">
        <f>IF(COUNTIF($R$2:$R$1409,R1389)=1,"OK",IF(COUNTIF($R$2:$R$1409,R1389)&gt;1,"Exact Duplicate","Review Required"))</f>
        <v>OK</v>
      </c>
      <c r="T1389" s="22" t="s">
        <v>24</v>
      </c>
      <c r="U1389" s="22" t="s">
        <v>39</v>
      </c>
      <c r="V1389" s="22"/>
    </row>
    <row r="1390" spans="1:22" ht="41.4">
      <c r="A1390" s="22" t="s">
        <v>1421</v>
      </c>
      <c r="B1390" s="25">
        <v>45722</v>
      </c>
      <c r="C1390" s="22" t="s">
        <v>723</v>
      </c>
      <c r="D1390" s="22" t="s">
        <v>32</v>
      </c>
      <c r="E1390" s="22" t="s">
        <v>19</v>
      </c>
      <c r="F1390" s="22" t="s">
        <v>25</v>
      </c>
      <c r="G1390" s="22" t="s">
        <v>26</v>
      </c>
      <c r="H1390" s="22">
        <v>1</v>
      </c>
      <c r="I1390" s="22">
        <v>0</v>
      </c>
      <c r="J1390" s="22">
        <v>0</v>
      </c>
      <c r="K1390" s="22">
        <v>0</v>
      </c>
      <c r="L1390" s="22">
        <v>0</v>
      </c>
      <c r="M1390" s="22">
        <v>0</v>
      </c>
      <c r="N1390" s="22">
        <v>0</v>
      </c>
      <c r="O1390" s="22"/>
      <c r="P1390" s="22">
        <v>66.8</v>
      </c>
      <c r="Q1390" s="22" t="str">
        <f>IF(OR(L1390&lt;$Y$18,L1390&gt;$Y$19),"Outlier","Normal")</f>
        <v>Normal</v>
      </c>
      <c r="R1390" s="26" t="str">
        <f>A1390&amp;B1390&amp;C1390&amp;D1390&amp;E1390&amp;F1390&amp;G1390&amp;H1390&amp;I1390&amp;J1390&amp;K1390&amp;L1390&amp;M1390&amp;N1390&amp;O1390&amp;P1390</f>
        <v>USR-10138945722TreatmentSouthDesktopOrganicFree100000066.8</v>
      </c>
      <c r="S1390" s="22" t="str">
        <f>IF(COUNTIF($R$2:$R$1409,R1390)=1,"OK",IF(COUNTIF($R$2:$R$1409,R1390)&gt;1,"Exact Duplicate","Review Required"))</f>
        <v>OK</v>
      </c>
      <c r="T1390" s="22" t="s">
        <v>19</v>
      </c>
      <c r="U1390" s="22" t="s">
        <v>25</v>
      </c>
      <c r="V1390" s="22"/>
    </row>
    <row r="1391" spans="1:22" ht="41.4">
      <c r="A1391" s="22" t="s">
        <v>1422</v>
      </c>
      <c r="B1391" s="25">
        <v>45765</v>
      </c>
      <c r="C1391" s="22" t="s">
        <v>723</v>
      </c>
      <c r="D1391" s="22" t="s">
        <v>18</v>
      </c>
      <c r="E1391" s="22" t="s">
        <v>24</v>
      </c>
      <c r="F1391" s="22" t="s">
        <v>29</v>
      </c>
      <c r="G1391" s="22" t="s">
        <v>26</v>
      </c>
      <c r="H1391" s="22">
        <v>1</v>
      </c>
      <c r="I1391" s="22">
        <v>0</v>
      </c>
      <c r="J1391" s="22">
        <v>0</v>
      </c>
      <c r="K1391" s="22">
        <v>0</v>
      </c>
      <c r="L1391" s="22">
        <v>0</v>
      </c>
      <c r="M1391" s="22">
        <v>3</v>
      </c>
      <c r="N1391" s="22">
        <v>0</v>
      </c>
      <c r="O1391" s="22"/>
      <c r="P1391" s="22">
        <v>58.3</v>
      </c>
      <c r="Q1391" s="22" t="str">
        <f>IF(OR(L1391&lt;$Y$18,L1391&gt;$Y$19),"Outlier","Normal")</f>
        <v>Normal</v>
      </c>
      <c r="R1391" s="26" t="str">
        <f>A1391&amp;B1391&amp;C1391&amp;D1391&amp;E1391&amp;F1391&amp;G1391&amp;H1391&amp;I1391&amp;J1391&amp;K1391&amp;L1391&amp;M1391&amp;N1391&amp;O1391&amp;P1391</f>
        <v>USR-10139045765TreatmentNorthMobilePaid SearchFree100003058.3</v>
      </c>
      <c r="S1391" s="22" t="str">
        <f>IF(COUNTIF($R$2:$R$1409,R1391)=1,"OK",IF(COUNTIF($R$2:$R$1409,R1391)&gt;1,"Exact Duplicate","Review Required"))</f>
        <v>OK</v>
      </c>
      <c r="T1391" s="22" t="s">
        <v>24</v>
      </c>
      <c r="U1391" s="22" t="s">
        <v>29</v>
      </c>
      <c r="V1391" s="22"/>
    </row>
    <row r="1392" spans="1:22" ht="41.4">
      <c r="A1392" s="22" t="s">
        <v>1423</v>
      </c>
      <c r="B1392" s="25">
        <v>45762</v>
      </c>
      <c r="C1392" s="22" t="s">
        <v>723</v>
      </c>
      <c r="D1392" s="22" t="s">
        <v>23</v>
      </c>
      <c r="E1392" s="22" t="s">
        <v>24</v>
      </c>
      <c r="F1392" s="22" t="s">
        <v>25</v>
      </c>
      <c r="G1392" s="22" t="s">
        <v>21</v>
      </c>
      <c r="H1392" s="22">
        <v>1</v>
      </c>
      <c r="I1392" s="22">
        <v>1</v>
      </c>
      <c r="J1392" s="22">
        <v>1</v>
      </c>
      <c r="K1392" s="22">
        <v>0</v>
      </c>
      <c r="L1392" s="22">
        <v>0</v>
      </c>
      <c r="M1392" s="22">
        <v>0</v>
      </c>
      <c r="N1392" s="22">
        <v>0</v>
      </c>
      <c r="O1392" s="22"/>
      <c r="P1392" s="22">
        <v>38.5</v>
      </c>
      <c r="Q1392" s="22" t="str">
        <f>IF(OR(L1392&lt;$Y$18,L1392&gt;$Y$19),"Outlier","Normal")</f>
        <v>Normal</v>
      </c>
      <c r="R1392" s="26" t="str">
        <f>A1392&amp;B1392&amp;C1392&amp;D1392&amp;E1392&amp;F1392&amp;G1392&amp;H1392&amp;I1392&amp;J1392&amp;K1392&amp;L1392&amp;M1392&amp;N1392&amp;O1392&amp;P1392</f>
        <v>USR-10139145762TreatmentWestMobileOrganicBasic111000038.5</v>
      </c>
      <c r="S1392" s="22" t="str">
        <f>IF(COUNTIF($R$2:$R$1409,R1392)=1,"OK",IF(COUNTIF($R$2:$R$1409,R1392)&gt;1,"Exact Duplicate","Review Required"))</f>
        <v>OK</v>
      </c>
      <c r="T1392" s="22" t="s">
        <v>24</v>
      </c>
      <c r="U1392" s="22" t="s">
        <v>25</v>
      </c>
      <c r="V1392" s="22"/>
    </row>
    <row r="1393" spans="1:22" ht="41.4">
      <c r="A1393" s="22" t="s">
        <v>1424</v>
      </c>
      <c r="B1393" s="25">
        <v>45698</v>
      </c>
      <c r="C1393" s="22" t="s">
        <v>723</v>
      </c>
      <c r="D1393" s="22" t="s">
        <v>28</v>
      </c>
      <c r="E1393" s="22" t="s">
        <v>24</v>
      </c>
      <c r="F1393" s="22" t="s">
        <v>29</v>
      </c>
      <c r="G1393" s="22" t="s">
        <v>26</v>
      </c>
      <c r="H1393" s="22">
        <v>1</v>
      </c>
      <c r="I1393" s="22">
        <v>0</v>
      </c>
      <c r="J1393" s="22">
        <v>0</v>
      </c>
      <c r="K1393" s="22">
        <v>0</v>
      </c>
      <c r="L1393" s="22">
        <v>0</v>
      </c>
      <c r="M1393" s="22">
        <v>0</v>
      </c>
      <c r="N1393" s="22">
        <v>0</v>
      </c>
      <c r="O1393" s="22"/>
      <c r="P1393" s="22">
        <v>76.900000000000006</v>
      </c>
      <c r="Q1393" s="22" t="str">
        <f>IF(OR(L1393&lt;$Y$18,L1393&gt;$Y$19),"Outlier","Normal")</f>
        <v>Normal</v>
      </c>
      <c r="R1393" s="26" t="str">
        <f>A1393&amp;B1393&amp;C1393&amp;D1393&amp;E1393&amp;F1393&amp;G1393&amp;H1393&amp;I1393&amp;J1393&amp;K1393&amp;L1393&amp;M1393&amp;N1393&amp;O1393&amp;P1393</f>
        <v>USR-10139245698TreatmentEastMobilePaid SearchFree100000076.9</v>
      </c>
      <c r="S1393" s="22" t="str">
        <f>IF(COUNTIF($R$2:$R$1409,R1393)=1,"OK",IF(COUNTIF($R$2:$R$1409,R1393)&gt;1,"Exact Duplicate","Review Required"))</f>
        <v>OK</v>
      </c>
      <c r="T1393" s="22" t="s">
        <v>24</v>
      </c>
      <c r="U1393" s="22" t="s">
        <v>29</v>
      </c>
      <c r="V1393" s="22"/>
    </row>
    <row r="1394" spans="1:22" ht="41.4">
      <c r="A1394" s="22" t="s">
        <v>1425</v>
      </c>
      <c r="B1394" s="25">
        <v>45785</v>
      </c>
      <c r="C1394" s="22" t="s">
        <v>723</v>
      </c>
      <c r="D1394" s="22" t="s">
        <v>28</v>
      </c>
      <c r="E1394" s="22" t="s">
        <v>24</v>
      </c>
      <c r="F1394" s="22" t="s">
        <v>25</v>
      </c>
      <c r="G1394" s="22" t="s">
        <v>26</v>
      </c>
      <c r="H1394" s="22">
        <v>1</v>
      </c>
      <c r="I1394" s="22">
        <v>0</v>
      </c>
      <c r="J1394" s="22">
        <v>0</v>
      </c>
      <c r="K1394" s="22">
        <v>0</v>
      </c>
      <c r="L1394" s="22">
        <v>0</v>
      </c>
      <c r="M1394" s="22">
        <v>0</v>
      </c>
      <c r="N1394" s="22">
        <v>0</v>
      </c>
      <c r="O1394" s="22"/>
      <c r="P1394" s="22">
        <v>54</v>
      </c>
      <c r="Q1394" s="22" t="str">
        <f>IF(OR(L1394&lt;$Y$18,L1394&gt;$Y$19),"Outlier","Normal")</f>
        <v>Normal</v>
      </c>
      <c r="R1394" s="26" t="str">
        <f>A1394&amp;B1394&amp;C1394&amp;D1394&amp;E1394&amp;F1394&amp;G1394&amp;H1394&amp;I1394&amp;J1394&amp;K1394&amp;L1394&amp;M1394&amp;N1394&amp;O1394&amp;P1394</f>
        <v>USR-10139345785TreatmentEastMobileOrganicFree100000054</v>
      </c>
      <c r="S1394" s="22" t="str">
        <f>IF(COUNTIF($R$2:$R$1409,R1394)=1,"OK",IF(COUNTIF($R$2:$R$1409,R1394)&gt;1,"Exact Duplicate","Review Required"))</f>
        <v>OK</v>
      </c>
      <c r="T1394" s="22" t="s">
        <v>24</v>
      </c>
      <c r="U1394" s="22" t="s">
        <v>25</v>
      </c>
      <c r="V1394" s="22"/>
    </row>
    <row r="1395" spans="1:22" ht="41.4">
      <c r="A1395" s="22" t="s">
        <v>1426</v>
      </c>
      <c r="B1395" s="25">
        <v>45805</v>
      </c>
      <c r="C1395" s="22" t="s">
        <v>723</v>
      </c>
      <c r="D1395" s="22" t="s">
        <v>28</v>
      </c>
      <c r="E1395" s="22" t="s">
        <v>34</v>
      </c>
      <c r="F1395" s="22" t="s">
        <v>25</v>
      </c>
      <c r="G1395" s="22" t="s">
        <v>26</v>
      </c>
      <c r="H1395" s="22">
        <v>1</v>
      </c>
      <c r="I1395" s="22">
        <v>0</v>
      </c>
      <c r="J1395" s="22">
        <v>0</v>
      </c>
      <c r="K1395" s="22">
        <v>0</v>
      </c>
      <c r="L1395" s="22">
        <v>0</v>
      </c>
      <c r="M1395" s="22">
        <v>0</v>
      </c>
      <c r="N1395" s="22">
        <v>0</v>
      </c>
      <c r="O1395" s="22"/>
      <c r="P1395" s="22">
        <v>70.599999999999994</v>
      </c>
      <c r="Q1395" s="22" t="str">
        <f>IF(OR(L1395&lt;$Y$18,L1395&gt;$Y$19),"Outlier","Normal")</f>
        <v>Normal</v>
      </c>
      <c r="R1395" s="26" t="str">
        <f>A1395&amp;B1395&amp;C1395&amp;D1395&amp;E1395&amp;F1395&amp;G1395&amp;H1395&amp;I1395&amp;J1395&amp;K1395&amp;L1395&amp;M1395&amp;N1395&amp;O1395&amp;P1395</f>
        <v>USR-10139445805TreatmentEastTabletOrganicFree100000070.6</v>
      </c>
      <c r="S1395" s="22" t="str">
        <f>IF(COUNTIF($R$2:$R$1409,R1395)=1,"OK",IF(COUNTIF($R$2:$R$1409,R1395)&gt;1,"Exact Duplicate","Review Required"))</f>
        <v>OK</v>
      </c>
      <c r="T1395" s="22" t="s">
        <v>34</v>
      </c>
      <c r="U1395" s="22" t="s">
        <v>25</v>
      </c>
      <c r="V1395" s="22"/>
    </row>
    <row r="1396" spans="1:22" ht="41.4">
      <c r="A1396" s="22" t="s">
        <v>1427</v>
      </c>
      <c r="B1396" s="25">
        <v>45772</v>
      </c>
      <c r="C1396" s="22" t="s">
        <v>723</v>
      </c>
      <c r="D1396" s="22" t="s">
        <v>18</v>
      </c>
      <c r="E1396" s="22" t="s">
        <v>34</v>
      </c>
      <c r="F1396" s="22" t="s">
        <v>39</v>
      </c>
      <c r="G1396" s="22" t="s">
        <v>30</v>
      </c>
      <c r="H1396" s="22">
        <v>1</v>
      </c>
      <c r="I1396" s="22">
        <v>1</v>
      </c>
      <c r="J1396" s="22">
        <v>1</v>
      </c>
      <c r="K1396" s="22">
        <v>0</v>
      </c>
      <c r="L1396" s="22">
        <v>0</v>
      </c>
      <c r="M1396" s="22">
        <v>1</v>
      </c>
      <c r="N1396" s="22">
        <v>0</v>
      </c>
      <c r="O1396" s="22"/>
      <c r="P1396" s="22">
        <v>69.400000000000006</v>
      </c>
      <c r="Q1396" s="22" t="str">
        <f>IF(OR(L1396&lt;$Y$18,L1396&gt;$Y$19),"Outlier","Normal")</f>
        <v>Normal</v>
      </c>
      <c r="R1396" s="26" t="str">
        <f>A1396&amp;B1396&amp;C1396&amp;D1396&amp;E1396&amp;F1396&amp;G1396&amp;H1396&amp;I1396&amp;J1396&amp;K1396&amp;L1396&amp;M1396&amp;N1396&amp;O1396&amp;P1396</f>
        <v>USR-10139545772TreatmentNorthTabletReferralPremium111001069.4</v>
      </c>
      <c r="S1396" s="22" t="str">
        <f>IF(COUNTIF($R$2:$R$1409,R1396)=1,"OK",IF(COUNTIF($R$2:$R$1409,R1396)&gt;1,"Exact Duplicate","Review Required"))</f>
        <v>OK</v>
      </c>
      <c r="T1396" s="22" t="s">
        <v>34</v>
      </c>
      <c r="U1396" s="22" t="s">
        <v>39</v>
      </c>
      <c r="V1396" s="22"/>
    </row>
    <row r="1397" spans="1:22" ht="55.2">
      <c r="A1397" s="22" t="s">
        <v>1428</v>
      </c>
      <c r="B1397" s="25">
        <v>45699</v>
      </c>
      <c r="C1397" s="22" t="s">
        <v>723</v>
      </c>
      <c r="D1397" s="22" t="s">
        <v>32</v>
      </c>
      <c r="E1397" s="22" t="s">
        <v>24</v>
      </c>
      <c r="F1397" s="22" t="s">
        <v>1482</v>
      </c>
      <c r="G1397" s="22" t="s">
        <v>30</v>
      </c>
      <c r="H1397" s="22">
        <v>1</v>
      </c>
      <c r="I1397" s="22">
        <v>1</v>
      </c>
      <c r="J1397" s="22">
        <v>1</v>
      </c>
      <c r="K1397" s="22">
        <v>1</v>
      </c>
      <c r="L1397" s="22">
        <v>1009.9</v>
      </c>
      <c r="M1397" s="22">
        <v>0</v>
      </c>
      <c r="N1397" s="22">
        <v>0</v>
      </c>
      <c r="O1397" s="22">
        <v>6</v>
      </c>
      <c r="P1397" s="22">
        <v>89.7</v>
      </c>
      <c r="Q1397" s="22" t="str">
        <f>IF(OR(L1397&lt;$Y$18,L1397&gt;$Y$19),"Outlier","Normal")</f>
        <v>Normal</v>
      </c>
      <c r="R1397" s="26" t="str">
        <f>A1397&amp;B1397&amp;C1397&amp;D1397&amp;E1397&amp;F1397&amp;G1397&amp;H1397&amp;I1397&amp;J1397&amp;K1397&amp;L1397&amp;M1397&amp;N1397&amp;O1397&amp;P1397</f>
        <v>USR-10139645699TreatmentSouthMobileUnknownPremium11111009.900689.7</v>
      </c>
      <c r="S1397" s="22" t="str">
        <f>IF(COUNTIF($R$2:$R$1409,R1397)=1,"OK",IF(COUNTIF($R$2:$R$1409,R1397)&gt;1,"Exact Duplicate","Review Required"))</f>
        <v>OK</v>
      </c>
      <c r="T1397" s="22" t="s">
        <v>24</v>
      </c>
      <c r="U1397" s="22"/>
      <c r="V1397" s="22"/>
    </row>
    <row r="1398" spans="1:22" ht="41.4">
      <c r="A1398" s="22" t="s">
        <v>1429</v>
      </c>
      <c r="B1398" s="25">
        <v>45761</v>
      </c>
      <c r="C1398" s="22" t="s">
        <v>723</v>
      </c>
      <c r="D1398" s="22" t="s">
        <v>23</v>
      </c>
      <c r="E1398" s="22" t="s">
        <v>24</v>
      </c>
      <c r="F1398" s="22" t="s">
        <v>25</v>
      </c>
      <c r="G1398" s="22" t="s">
        <v>26</v>
      </c>
      <c r="H1398" s="22">
        <v>1</v>
      </c>
      <c r="I1398" s="22">
        <v>0</v>
      </c>
      <c r="J1398" s="22">
        <v>0</v>
      </c>
      <c r="K1398" s="22">
        <v>0</v>
      </c>
      <c r="L1398" s="22">
        <v>0</v>
      </c>
      <c r="M1398" s="22">
        <v>0</v>
      </c>
      <c r="N1398" s="22">
        <v>0</v>
      </c>
      <c r="O1398" s="22"/>
      <c r="P1398" s="22">
        <v>62.4</v>
      </c>
      <c r="Q1398" s="22" t="str">
        <f>IF(OR(L1398&lt;$Y$18,L1398&gt;$Y$19),"Outlier","Normal")</f>
        <v>Normal</v>
      </c>
      <c r="R1398" s="26" t="str">
        <f>A1398&amp;B1398&amp;C1398&amp;D1398&amp;E1398&amp;F1398&amp;G1398&amp;H1398&amp;I1398&amp;J1398&amp;K1398&amp;L1398&amp;M1398&amp;N1398&amp;O1398&amp;P1398</f>
        <v>USR-10139745761TreatmentWestMobileOrganicFree100000062.4</v>
      </c>
      <c r="S1398" s="22" t="str">
        <f>IF(COUNTIF($R$2:$R$1409,R1398)=1,"OK",IF(COUNTIF($R$2:$R$1409,R1398)&gt;1,"Exact Duplicate","Review Required"))</f>
        <v>OK</v>
      </c>
      <c r="T1398" s="22" t="s">
        <v>24</v>
      </c>
      <c r="U1398" s="22" t="s">
        <v>25</v>
      </c>
      <c r="V1398" s="22"/>
    </row>
    <row r="1399" spans="1:22" ht="41.4">
      <c r="A1399" s="22" t="s">
        <v>1430</v>
      </c>
      <c r="B1399" s="25">
        <v>45692</v>
      </c>
      <c r="C1399" s="22" t="s">
        <v>723</v>
      </c>
      <c r="D1399" s="22" t="s">
        <v>23</v>
      </c>
      <c r="E1399" s="22" t="s">
        <v>34</v>
      </c>
      <c r="F1399" s="22" t="s">
        <v>25</v>
      </c>
      <c r="G1399" s="22" t="s">
        <v>30</v>
      </c>
      <c r="H1399" s="22">
        <v>0</v>
      </c>
      <c r="I1399" s="22">
        <v>0</v>
      </c>
      <c r="J1399" s="22">
        <v>0</v>
      </c>
      <c r="K1399" s="22">
        <v>0</v>
      </c>
      <c r="L1399" s="22">
        <v>0</v>
      </c>
      <c r="M1399" s="22">
        <v>0</v>
      </c>
      <c r="N1399" s="22">
        <v>0</v>
      </c>
      <c r="O1399" s="22"/>
      <c r="P1399" s="22">
        <v>67.3</v>
      </c>
      <c r="Q1399" s="22" t="str">
        <f>IF(OR(L1399&lt;$Y$18,L1399&gt;$Y$19),"Outlier","Normal")</f>
        <v>Normal</v>
      </c>
      <c r="R1399" s="26" t="str">
        <f>A1399&amp;B1399&amp;C1399&amp;D1399&amp;E1399&amp;F1399&amp;G1399&amp;H1399&amp;I1399&amp;J1399&amp;K1399&amp;L1399&amp;M1399&amp;N1399&amp;O1399&amp;P1399</f>
        <v>USR-10139845692TreatmentWestTabletOrganicPremium000000067.3</v>
      </c>
      <c r="S1399" s="22" t="str">
        <f>IF(COUNTIF($R$2:$R$1409,R1399)=1,"OK",IF(COUNTIF($R$2:$R$1409,R1399)&gt;1,"Exact Duplicate","Review Required"))</f>
        <v>OK</v>
      </c>
      <c r="T1399" s="22" t="s">
        <v>34</v>
      </c>
      <c r="U1399" s="22" t="s">
        <v>25</v>
      </c>
      <c r="V1399" s="22"/>
    </row>
    <row r="1400" spans="1:22" ht="41.4">
      <c r="A1400" s="22" t="s">
        <v>1431</v>
      </c>
      <c r="B1400" s="25">
        <v>45738</v>
      </c>
      <c r="C1400" s="22" t="s">
        <v>723</v>
      </c>
      <c r="D1400" s="22" t="s">
        <v>28</v>
      </c>
      <c r="E1400" s="22" t="s">
        <v>24</v>
      </c>
      <c r="F1400" s="22" t="s">
        <v>39</v>
      </c>
      <c r="G1400" s="22" t="s">
        <v>26</v>
      </c>
      <c r="H1400" s="22">
        <v>1</v>
      </c>
      <c r="I1400" s="22">
        <v>0</v>
      </c>
      <c r="J1400" s="22">
        <v>0</v>
      </c>
      <c r="K1400" s="22">
        <v>0</v>
      </c>
      <c r="L1400" s="22">
        <v>0</v>
      </c>
      <c r="M1400" s="22">
        <v>0</v>
      </c>
      <c r="N1400" s="22">
        <v>0</v>
      </c>
      <c r="O1400" s="22"/>
      <c r="P1400" s="22">
        <v>54.9</v>
      </c>
      <c r="Q1400" s="22" t="str">
        <f>IF(OR(L1400&lt;$Y$18,L1400&gt;$Y$19),"Outlier","Normal")</f>
        <v>Normal</v>
      </c>
      <c r="R1400" s="26" t="str">
        <f>A1400&amp;B1400&amp;C1400&amp;D1400&amp;E1400&amp;F1400&amp;G1400&amp;H1400&amp;I1400&amp;J1400&amp;K1400&amp;L1400&amp;M1400&amp;N1400&amp;O1400&amp;P1400</f>
        <v>USR-10139945738TreatmentEastMobileReferralFree100000054.9</v>
      </c>
      <c r="S1400" s="22" t="str">
        <f>IF(COUNTIF($R$2:$R$1409,R1400)=1,"OK",IF(COUNTIF($R$2:$R$1409,R1400)&gt;1,"Exact Duplicate","Review Required"))</f>
        <v>OK</v>
      </c>
      <c r="T1400" s="22" t="s">
        <v>24</v>
      </c>
      <c r="U1400" s="22" t="s">
        <v>39</v>
      </c>
      <c r="V1400" s="22"/>
    </row>
    <row r="1401" spans="1:22" ht="41.4">
      <c r="A1401" s="22" t="s">
        <v>1432</v>
      </c>
      <c r="B1401" s="25">
        <v>45765</v>
      </c>
      <c r="C1401" s="22" t="s">
        <v>723</v>
      </c>
      <c r="D1401" s="22" t="s">
        <v>28</v>
      </c>
      <c r="E1401" s="22" t="s">
        <v>19</v>
      </c>
      <c r="F1401" s="22" t="s">
        <v>41</v>
      </c>
      <c r="G1401" s="22" t="s">
        <v>26</v>
      </c>
      <c r="H1401" s="22">
        <v>0</v>
      </c>
      <c r="I1401" s="22">
        <v>0</v>
      </c>
      <c r="J1401" s="22">
        <v>0</v>
      </c>
      <c r="K1401" s="22">
        <v>0</v>
      </c>
      <c r="L1401" s="22">
        <v>0</v>
      </c>
      <c r="M1401" s="22">
        <v>0</v>
      </c>
      <c r="N1401" s="22">
        <v>0</v>
      </c>
      <c r="O1401" s="22"/>
      <c r="P1401" s="22">
        <v>55.7</v>
      </c>
      <c r="Q1401" s="22" t="str">
        <f>IF(OR(L1401&lt;$Y$18,L1401&gt;$Y$19),"Outlier","Normal")</f>
        <v>Normal</v>
      </c>
      <c r="R1401" s="26" t="str">
        <f>A1401&amp;B1401&amp;C1401&amp;D1401&amp;E1401&amp;F1401&amp;G1401&amp;H1401&amp;I1401&amp;J1401&amp;K1401&amp;L1401&amp;M1401&amp;N1401&amp;O1401&amp;P1401</f>
        <v>USR-10140045765TreatmentEastDesktopSocialFree000000055.7</v>
      </c>
      <c r="S1401" s="22" t="str">
        <f>IF(COUNTIF($R$2:$R$1409,R1401)=1,"OK",IF(COUNTIF($R$2:$R$1409,R1401)&gt;1,"Exact Duplicate","Review Required"))</f>
        <v>OK</v>
      </c>
      <c r="T1401" s="22" t="s">
        <v>19</v>
      </c>
      <c r="U1401" s="22" t="s">
        <v>41</v>
      </c>
      <c r="V1401" s="22"/>
    </row>
    <row r="1402" spans="1:22">
      <c r="A1402"/>
      <c r="B1402"/>
      <c r="C1402"/>
      <c r="D1402"/>
      <c r="E1402"/>
      <c r="F1402"/>
      <c r="G1402"/>
      <c r="H1402"/>
      <c r="I1402"/>
      <c r="J1402"/>
      <c r="K1402"/>
      <c r="L1402"/>
      <c r="M1402"/>
      <c r="N1402"/>
      <c r="O1402"/>
      <c r="P1402"/>
      <c r="Q1402"/>
      <c r="R1402"/>
      <c r="S1402"/>
      <c r="T1402"/>
      <c r="U1402"/>
      <c r="V1402" s="22"/>
    </row>
    <row r="1403" spans="1:22">
      <c r="A1403"/>
      <c r="B1403"/>
      <c r="C1403"/>
      <c r="D1403"/>
      <c r="E1403"/>
      <c r="F1403"/>
      <c r="G1403"/>
      <c r="H1403"/>
      <c r="I1403"/>
      <c r="J1403"/>
      <c r="K1403"/>
      <c r="L1403"/>
      <c r="M1403"/>
      <c r="N1403"/>
      <c r="O1403"/>
      <c r="P1403"/>
      <c r="Q1403"/>
      <c r="R1403"/>
      <c r="S1403"/>
      <c r="T1403"/>
      <c r="U1403"/>
      <c r="V1403" s="22"/>
    </row>
    <row r="1404" spans="1:22">
      <c r="A1404"/>
      <c r="B1404"/>
      <c r="C1404"/>
      <c r="D1404"/>
      <c r="E1404"/>
      <c r="F1404"/>
      <c r="G1404"/>
      <c r="H1404"/>
      <c r="I1404"/>
      <c r="J1404"/>
      <c r="K1404"/>
      <c r="L1404"/>
      <c r="M1404"/>
      <c r="N1404"/>
      <c r="O1404"/>
      <c r="P1404"/>
      <c r="Q1404"/>
      <c r="R1404"/>
      <c r="S1404"/>
      <c r="T1404"/>
      <c r="U1404"/>
      <c r="V1404" s="22"/>
    </row>
    <row r="1405" spans="1:22">
      <c r="A1405"/>
      <c r="B1405"/>
      <c r="C1405"/>
      <c r="D1405"/>
      <c r="E1405"/>
      <c r="F1405"/>
      <c r="G1405"/>
      <c r="H1405"/>
      <c r="I1405"/>
      <c r="J1405"/>
      <c r="K1405"/>
      <c r="L1405"/>
      <c r="M1405"/>
      <c r="N1405"/>
      <c r="O1405"/>
      <c r="P1405"/>
      <c r="Q1405"/>
      <c r="R1405"/>
      <c r="S1405"/>
      <c r="T1405"/>
      <c r="U1405"/>
      <c r="V1405" s="22"/>
    </row>
    <row r="1406" spans="1:22">
      <c r="A1406"/>
      <c r="B1406"/>
      <c r="C1406"/>
      <c r="D1406"/>
      <c r="E1406"/>
      <c r="F1406"/>
      <c r="G1406"/>
      <c r="H1406"/>
      <c r="I1406"/>
      <c r="J1406"/>
      <c r="K1406"/>
      <c r="L1406"/>
      <c r="M1406"/>
      <c r="N1406"/>
      <c r="O1406"/>
      <c r="P1406"/>
      <c r="Q1406"/>
      <c r="R1406"/>
      <c r="S1406"/>
      <c r="T1406"/>
      <c r="U1406"/>
      <c r="V1406" s="22"/>
    </row>
    <row r="1407" spans="1:22">
      <c r="A1407"/>
      <c r="B1407"/>
      <c r="C1407"/>
      <c r="D1407"/>
      <c r="E1407"/>
      <c r="F1407"/>
      <c r="G1407"/>
      <c r="H1407"/>
      <c r="I1407"/>
      <c r="J1407"/>
      <c r="K1407"/>
      <c r="L1407"/>
      <c r="M1407"/>
      <c r="N1407"/>
      <c r="O1407"/>
      <c r="P1407"/>
      <c r="Q1407"/>
      <c r="R1407"/>
      <c r="S1407"/>
      <c r="T1407"/>
      <c r="U1407"/>
      <c r="V1407" s="22"/>
    </row>
    <row r="1408" spans="1:22">
      <c r="A1408"/>
      <c r="B1408"/>
      <c r="C1408"/>
      <c r="D1408"/>
      <c r="E1408"/>
      <c r="F1408"/>
      <c r="G1408"/>
      <c r="H1408"/>
      <c r="I1408"/>
      <c r="J1408"/>
      <c r="K1408"/>
      <c r="L1408"/>
      <c r="M1408"/>
      <c r="N1408"/>
      <c r="O1408"/>
      <c r="P1408"/>
      <c r="Q1408"/>
      <c r="R1408"/>
      <c r="S1408"/>
      <c r="T1408"/>
      <c r="U1408"/>
      <c r="V1408" s="22"/>
    </row>
    <row r="1409" spans="1:22">
      <c r="A1409"/>
      <c r="B1409"/>
      <c r="C1409"/>
      <c r="D1409"/>
      <c r="E1409"/>
      <c r="F1409"/>
      <c r="G1409"/>
      <c r="H1409"/>
      <c r="I1409"/>
      <c r="J1409"/>
      <c r="K1409"/>
      <c r="L1409"/>
      <c r="M1409"/>
      <c r="N1409"/>
      <c r="O1409"/>
      <c r="P1409"/>
      <c r="Q1409"/>
      <c r="R1409"/>
      <c r="S1409"/>
      <c r="T1409"/>
      <c r="U1409"/>
      <c r="V1409" s="22"/>
    </row>
  </sheetData>
  <autoFilter ref="A1:U1401" xr:uid="{964070CD-BA1D-4503-A253-44C7E7BD395E}"/>
  <mergeCells count="3">
    <mergeCell ref="X3:Y3"/>
    <mergeCell ref="X7:Y7"/>
    <mergeCell ref="X14:Y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A91D1-0527-4250-940D-A75036EEB24D}">
  <dimension ref="A1:C52"/>
  <sheetViews>
    <sheetView zoomScale="65" zoomScaleNormal="65" workbookViewId="0">
      <selection activeCell="B46" sqref="B46"/>
    </sheetView>
  </sheetViews>
  <sheetFormatPr defaultRowHeight="13.8"/>
  <cols>
    <col min="1" max="1" width="41.19921875" bestFit="1" customWidth="1"/>
    <col min="2" max="2" width="21" bestFit="1" customWidth="1"/>
  </cols>
  <sheetData>
    <row r="1" spans="1:3">
      <c r="A1" s="56" t="s">
        <v>1534</v>
      </c>
      <c r="B1" s="56"/>
      <c r="C1" s="56"/>
    </row>
    <row r="2" spans="1:3" s="37" customFormat="1"/>
    <row r="3" spans="1:3" s="37" customFormat="1">
      <c r="A3" s="57" t="s">
        <v>1535</v>
      </c>
    </row>
    <row r="4" spans="1:3" s="37" customFormat="1">
      <c r="A4" s="37" t="s">
        <v>1538</v>
      </c>
      <c r="B4" s="37" t="s">
        <v>1539</v>
      </c>
    </row>
    <row r="5" spans="1:3" s="37" customFormat="1">
      <c r="A5" s="37" t="s">
        <v>1536</v>
      </c>
      <c r="B5" s="37" t="s">
        <v>1537</v>
      </c>
    </row>
    <row r="6" spans="1:3" s="37" customFormat="1">
      <c r="A6" s="37" t="s">
        <v>1540</v>
      </c>
      <c r="B6" s="37" t="s">
        <v>1541</v>
      </c>
    </row>
    <row r="7" spans="1:3" s="37" customFormat="1">
      <c r="A7" s="37" t="s">
        <v>1542</v>
      </c>
      <c r="B7" s="37" t="s">
        <v>1543</v>
      </c>
    </row>
    <row r="8" spans="1:3" s="37" customFormat="1">
      <c r="A8" s="37" t="s">
        <v>1544</v>
      </c>
      <c r="B8" s="37">
        <v>0.05</v>
      </c>
    </row>
    <row r="9" spans="1:3" s="37" customFormat="1">
      <c r="A9" s="37" t="s">
        <v>1545</v>
      </c>
      <c r="B9" s="37">
        <v>0</v>
      </c>
    </row>
    <row r="10" spans="1:3" s="37" customFormat="1">
      <c r="A10" s="37" t="s">
        <v>1546</v>
      </c>
      <c r="B10" s="37" t="s">
        <v>1547</v>
      </c>
    </row>
    <row r="11" spans="1:3" s="37" customFormat="1"/>
    <row r="12" spans="1:3" s="37" customFormat="1" ht="14.4" thickBot="1">
      <c r="A12" s="57" t="s">
        <v>1548</v>
      </c>
    </row>
    <row r="13" spans="1:3" ht="14.4">
      <c r="A13" s="46"/>
      <c r="B13" s="46">
        <v>0</v>
      </c>
      <c r="C13" s="46">
        <v>0</v>
      </c>
    </row>
    <row r="14" spans="1:3">
      <c r="A14" s="44" t="s">
        <v>1512</v>
      </c>
      <c r="B14" s="44">
        <v>3.1930333817126268E-2</v>
      </c>
      <c r="C14" s="44">
        <v>7.0521861777150918E-2</v>
      </c>
    </row>
    <row r="15" spans="1:3">
      <c r="A15" s="44" t="s">
        <v>1513</v>
      </c>
      <c r="B15" s="44">
        <v>3.0955716069801194E-2</v>
      </c>
      <c r="C15" s="44">
        <v>6.5641111456415893E-2</v>
      </c>
    </row>
    <row r="16" spans="1:3">
      <c r="A16" s="44" t="s">
        <v>1514</v>
      </c>
      <c r="B16" s="44">
        <v>689</v>
      </c>
      <c r="C16" s="44">
        <v>709</v>
      </c>
    </row>
    <row r="17" spans="1:3">
      <c r="A17" s="44" t="s">
        <v>1515</v>
      </c>
      <c r="B17" s="44">
        <v>0</v>
      </c>
      <c r="C17" s="44"/>
    </row>
    <row r="18" spans="1:3">
      <c r="A18" s="44" t="s">
        <v>1516</v>
      </c>
      <c r="B18" s="44">
        <v>1257</v>
      </c>
      <c r="C18" s="44"/>
    </row>
    <row r="19" spans="1:3">
      <c r="A19" s="44" t="s">
        <v>1517</v>
      </c>
      <c r="B19" s="44">
        <v>-3.2909632736979892</v>
      </c>
      <c r="C19" s="44"/>
    </row>
    <row r="20" spans="1:3">
      <c r="A20" s="44" t="s">
        <v>1518</v>
      </c>
      <c r="B20" s="44">
        <v>5.1307943090096047E-4</v>
      </c>
      <c r="C20" s="44"/>
    </row>
    <row r="21" spans="1:3">
      <c r="A21" s="44" t="s">
        <v>1519</v>
      </c>
      <c r="B21" s="44">
        <v>1.6460667531290636</v>
      </c>
      <c r="C21" s="44"/>
    </row>
    <row r="22" spans="1:3">
      <c r="A22" s="44" t="s">
        <v>1520</v>
      </c>
      <c r="B22" s="44">
        <v>1.0261588618019209E-3</v>
      </c>
      <c r="C22" s="44"/>
    </row>
    <row r="23" spans="1:3" ht="14.4" thickBot="1">
      <c r="A23" s="45" t="s">
        <v>1521</v>
      </c>
      <c r="B23" s="45">
        <v>1.9618530205569311</v>
      </c>
      <c r="C23" s="45"/>
    </row>
    <row r="24" spans="1:3">
      <c r="A24" s="44"/>
      <c r="B24" s="44"/>
      <c r="C24" s="44"/>
    </row>
    <row r="25" spans="1:3">
      <c r="A25" s="57" t="s">
        <v>1549</v>
      </c>
      <c r="B25" s="44"/>
      <c r="C25" s="44"/>
    </row>
    <row r="26" spans="1:3">
      <c r="A26" s="49" t="s">
        <v>1533</v>
      </c>
      <c r="B26" s="16"/>
    </row>
    <row r="29" spans="1:3">
      <c r="A29" s="56" t="s">
        <v>1524</v>
      </c>
    </row>
    <row r="30" spans="1:3">
      <c r="B30" s="37"/>
    </row>
    <row r="31" spans="1:3">
      <c r="A31" s="57" t="s">
        <v>1535</v>
      </c>
      <c r="B31" s="37"/>
    </row>
    <row r="32" spans="1:3">
      <c r="A32" t="s">
        <v>1550</v>
      </c>
      <c r="B32" s="37" t="s">
        <v>1551</v>
      </c>
    </row>
    <row r="33" spans="1:2">
      <c r="A33" t="s">
        <v>1536</v>
      </c>
      <c r="B33" s="37" t="s">
        <v>1537</v>
      </c>
    </row>
    <row r="34" spans="1:2">
      <c r="A34" s="5" t="s">
        <v>1552</v>
      </c>
      <c r="B34" s="5">
        <v>690</v>
      </c>
    </row>
    <row r="35" spans="1:2">
      <c r="A35" s="5" t="s">
        <v>1531</v>
      </c>
      <c r="B35" s="5">
        <v>22</v>
      </c>
    </row>
    <row r="36" spans="1:2">
      <c r="A36" s="5" t="s">
        <v>1553</v>
      </c>
      <c r="B36" s="5">
        <v>710</v>
      </c>
    </row>
    <row r="37" spans="1:2">
      <c r="A37" s="5" t="s">
        <v>1532</v>
      </c>
      <c r="B37" s="5">
        <v>50</v>
      </c>
    </row>
    <row r="38" spans="1:2">
      <c r="A38" s="5" t="s">
        <v>1554</v>
      </c>
      <c r="B38" s="5">
        <v>0.05</v>
      </c>
    </row>
    <row r="39" spans="1:2">
      <c r="A39" s="5" t="s">
        <v>1555</v>
      </c>
      <c r="B39" s="6" t="s">
        <v>1547</v>
      </c>
    </row>
    <row r="40" spans="1:2">
      <c r="A40" s="5"/>
      <c r="B40" s="6"/>
    </row>
    <row r="41" spans="1:2">
      <c r="A41" s="57" t="s">
        <v>1548</v>
      </c>
      <c r="B41" s="5"/>
    </row>
    <row r="42" spans="1:2">
      <c r="A42" s="5" t="s">
        <v>1525</v>
      </c>
      <c r="B42" s="48">
        <f>B35/B34</f>
        <v>3.1884057971014491E-2</v>
      </c>
    </row>
    <row r="43" spans="1:2">
      <c r="A43" s="5" t="s">
        <v>1526</v>
      </c>
      <c r="B43" s="48">
        <f>B37/B36</f>
        <v>7.0422535211267609E-2</v>
      </c>
    </row>
    <row r="44" spans="1:2">
      <c r="A44" s="5" t="s">
        <v>1527</v>
      </c>
      <c r="B44" s="48">
        <f>(B35+B37)/(B34+B36)</f>
        <v>5.1428571428571428E-2</v>
      </c>
    </row>
    <row r="45" spans="1:2">
      <c r="A45" s="5" t="s">
        <v>1528</v>
      </c>
      <c r="B45" s="48" cm="1">
        <f t="array" ref="B45">_xlfn._xlws.SORT(B44*(1-B44)*(1/B34+1/B36))</f>
        <v>1.3941037529524976E-4</v>
      </c>
    </row>
    <row r="46" spans="1:2">
      <c r="A46" s="5" t="s">
        <v>1529</v>
      </c>
      <c r="B46" s="48">
        <f>(B43-B42)/B45</f>
        <v>276.43908969210179</v>
      </c>
    </row>
    <row r="47" spans="1:2">
      <c r="A47" s="47" t="s">
        <v>1530</v>
      </c>
      <c r="B47" s="52">
        <f>1-_xlfn.NORM.S.DIST(B46,TRUE)</f>
        <v>0</v>
      </c>
    </row>
    <row r="48" spans="1:2">
      <c r="A48" s="50" t="s">
        <v>1549</v>
      </c>
      <c r="B48" s="51" t="str">
        <f>IF(B47&lt;0.05,"Reject Null Hypothesis","Fail to Reject Null Hypothesis")</f>
        <v>Reject Null Hypothesis</v>
      </c>
    </row>
    <row r="51" spans="1:1">
      <c r="A51" s="58" t="s">
        <v>1557</v>
      </c>
    </row>
    <row r="52" spans="1:1" ht="96.6">
      <c r="A52" s="59" t="s">
        <v>1556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82589-3402-4F09-9D0B-52D443136FF0}">
  <dimension ref="A1:J1409"/>
  <sheetViews>
    <sheetView workbookViewId="0">
      <selection activeCell="I1" sqref="I1:J1"/>
    </sheetView>
  </sheetViews>
  <sheetFormatPr defaultRowHeight="13.8"/>
  <cols>
    <col min="1" max="1" width="16" style="7" customWidth="1"/>
    <col min="2" max="2" width="29.59765625" style="7" customWidth="1"/>
    <col min="3" max="5" width="16" style="7" customWidth="1"/>
    <col min="9" max="9" width="16.296875" customWidth="1"/>
    <col min="10" max="10" width="23.59765625" customWidth="1"/>
  </cols>
  <sheetData>
    <row r="1" spans="1:10" ht="27.6">
      <c r="A1" s="1" t="s">
        <v>0</v>
      </c>
      <c r="B1" s="1" t="s">
        <v>2</v>
      </c>
      <c r="C1" s="11" t="s">
        <v>5</v>
      </c>
      <c r="D1" s="1" t="s">
        <v>10</v>
      </c>
      <c r="E1" s="1" t="s">
        <v>11</v>
      </c>
      <c r="I1" s="55" t="s">
        <v>1522</v>
      </c>
      <c r="J1" s="55" t="s">
        <v>1523</v>
      </c>
    </row>
    <row r="2" spans="1:10">
      <c r="A2" s="22" t="s">
        <v>16</v>
      </c>
      <c r="B2" s="22" t="s">
        <v>17</v>
      </c>
      <c r="C2" s="22" t="s">
        <v>20</v>
      </c>
      <c r="D2" s="22">
        <v>0</v>
      </c>
      <c r="E2" s="22">
        <v>0</v>
      </c>
      <c r="I2" s="53">
        <v>0</v>
      </c>
      <c r="J2" s="53">
        <v>0</v>
      </c>
    </row>
    <row r="3" spans="1:10">
      <c r="A3" s="22" t="s">
        <v>22</v>
      </c>
      <c r="B3" s="22" t="s">
        <v>17</v>
      </c>
      <c r="C3" s="22" t="s">
        <v>25</v>
      </c>
      <c r="D3" s="22">
        <v>0</v>
      </c>
      <c r="E3" s="22">
        <v>0</v>
      </c>
      <c r="I3" s="53">
        <v>0</v>
      </c>
      <c r="J3" s="53">
        <v>0</v>
      </c>
    </row>
    <row r="4" spans="1:10">
      <c r="A4" s="22" t="s">
        <v>27</v>
      </c>
      <c r="B4" s="22" t="s">
        <v>17</v>
      </c>
      <c r="C4" s="22" t="s">
        <v>29</v>
      </c>
      <c r="D4" s="22">
        <v>0</v>
      </c>
      <c r="E4" s="22">
        <v>0</v>
      </c>
      <c r="I4" s="53">
        <v>0</v>
      </c>
      <c r="J4" s="53">
        <v>0</v>
      </c>
    </row>
    <row r="5" spans="1:10">
      <c r="A5" s="22" t="s">
        <v>31</v>
      </c>
      <c r="B5" s="22" t="s">
        <v>17</v>
      </c>
      <c r="C5" s="22" t="s">
        <v>20</v>
      </c>
      <c r="D5" s="22">
        <v>0</v>
      </c>
      <c r="E5" s="22">
        <v>0</v>
      </c>
      <c r="I5" s="53">
        <v>0</v>
      </c>
      <c r="J5" s="53">
        <v>0</v>
      </c>
    </row>
    <row r="6" spans="1:10">
      <c r="A6" s="22" t="s">
        <v>33</v>
      </c>
      <c r="B6" s="22" t="s">
        <v>17</v>
      </c>
      <c r="C6" s="22" t="s">
        <v>25</v>
      </c>
      <c r="D6" s="22">
        <v>0</v>
      </c>
      <c r="E6" s="22">
        <v>0</v>
      </c>
      <c r="I6" s="53">
        <v>0</v>
      </c>
      <c r="J6" s="53">
        <v>0</v>
      </c>
    </row>
    <row r="7" spans="1:10">
      <c r="A7" s="22" t="s">
        <v>35</v>
      </c>
      <c r="B7" s="22" t="s">
        <v>17</v>
      </c>
      <c r="C7" s="22" t="s">
        <v>25</v>
      </c>
      <c r="D7" s="22">
        <v>0</v>
      </c>
      <c r="E7" s="22">
        <v>0</v>
      </c>
      <c r="I7" s="53">
        <v>0</v>
      </c>
      <c r="J7" s="53">
        <v>0</v>
      </c>
    </row>
    <row r="8" spans="1:10">
      <c r="A8" s="22" t="s">
        <v>36</v>
      </c>
      <c r="B8" s="22" t="s">
        <v>17</v>
      </c>
      <c r="C8" s="22" t="s">
        <v>29</v>
      </c>
      <c r="D8" s="22">
        <v>0</v>
      </c>
      <c r="E8" s="22">
        <v>0</v>
      </c>
      <c r="I8" s="53">
        <v>0</v>
      </c>
      <c r="J8" s="53">
        <v>0</v>
      </c>
    </row>
    <row r="9" spans="1:10">
      <c r="A9" s="22" t="s">
        <v>37</v>
      </c>
      <c r="B9" s="22" t="s">
        <v>17</v>
      </c>
      <c r="C9" s="22" t="s">
        <v>29</v>
      </c>
      <c r="D9" s="22">
        <v>0</v>
      </c>
      <c r="E9" s="22">
        <v>0</v>
      </c>
      <c r="I9" s="53">
        <v>0</v>
      </c>
      <c r="J9" s="53">
        <v>0</v>
      </c>
    </row>
    <row r="10" spans="1:10">
      <c r="A10" s="22" t="s">
        <v>38</v>
      </c>
      <c r="B10" s="22" t="s">
        <v>17</v>
      </c>
      <c r="C10" s="22" t="s">
        <v>39</v>
      </c>
      <c r="D10" s="22">
        <v>0</v>
      </c>
      <c r="E10" s="22">
        <v>0</v>
      </c>
      <c r="I10" s="53">
        <v>0</v>
      </c>
      <c r="J10" s="53">
        <v>0</v>
      </c>
    </row>
    <row r="11" spans="1:10">
      <c r="A11" s="22" t="s">
        <v>40</v>
      </c>
      <c r="B11" s="22" t="s">
        <v>17</v>
      </c>
      <c r="C11" s="22" t="s">
        <v>41</v>
      </c>
      <c r="D11" s="22">
        <v>0</v>
      </c>
      <c r="E11" s="22">
        <v>0</v>
      </c>
      <c r="I11" s="53">
        <v>0</v>
      </c>
      <c r="J11" s="53">
        <v>0</v>
      </c>
    </row>
    <row r="12" spans="1:10">
      <c r="A12" s="22" t="s">
        <v>42</v>
      </c>
      <c r="B12" s="22" t="s">
        <v>17</v>
      </c>
      <c r="C12" s="22" t="s">
        <v>29</v>
      </c>
      <c r="D12" s="22">
        <v>0</v>
      </c>
      <c r="E12" s="22">
        <v>0</v>
      </c>
      <c r="I12" s="53">
        <v>0</v>
      </c>
      <c r="J12" s="53">
        <v>1</v>
      </c>
    </row>
    <row r="13" spans="1:10">
      <c r="A13" s="22" t="s">
        <v>43</v>
      </c>
      <c r="B13" s="22" t="s">
        <v>17</v>
      </c>
      <c r="C13" s="22" t="s">
        <v>41</v>
      </c>
      <c r="D13" s="22">
        <v>0</v>
      </c>
      <c r="E13" s="22">
        <v>0</v>
      </c>
      <c r="I13" s="53">
        <v>0</v>
      </c>
      <c r="J13" s="53">
        <v>0</v>
      </c>
    </row>
    <row r="14" spans="1:10">
      <c r="A14" s="22" t="s">
        <v>44</v>
      </c>
      <c r="B14" s="22" t="s">
        <v>17</v>
      </c>
      <c r="C14" s="22" t="s">
        <v>20</v>
      </c>
      <c r="D14" s="22">
        <v>0</v>
      </c>
      <c r="E14" s="22">
        <v>0</v>
      </c>
      <c r="I14" s="53">
        <v>0</v>
      </c>
      <c r="J14" s="53">
        <v>0</v>
      </c>
    </row>
    <row r="15" spans="1:10">
      <c r="A15" s="22" t="s">
        <v>45</v>
      </c>
      <c r="B15" s="22" t="s">
        <v>17</v>
      </c>
      <c r="C15" s="22" t="s">
        <v>41</v>
      </c>
      <c r="D15" s="22">
        <v>0</v>
      </c>
      <c r="E15" s="22">
        <v>0</v>
      </c>
      <c r="I15" s="53">
        <v>0</v>
      </c>
      <c r="J15" s="53">
        <v>0</v>
      </c>
    </row>
    <row r="16" spans="1:10">
      <c r="A16" s="22" t="s">
        <v>46</v>
      </c>
      <c r="B16" s="22" t="s">
        <v>17</v>
      </c>
      <c r="C16" s="22" t="s">
        <v>25</v>
      </c>
      <c r="D16" s="22">
        <v>0</v>
      </c>
      <c r="E16" s="22">
        <v>0</v>
      </c>
      <c r="I16" s="53">
        <v>0</v>
      </c>
      <c r="J16" s="53">
        <v>0</v>
      </c>
    </row>
    <row r="17" spans="1:10">
      <c r="A17" s="22" t="s">
        <v>47</v>
      </c>
      <c r="B17" s="22" t="s">
        <v>17</v>
      </c>
      <c r="C17" s="22" t="s">
        <v>41</v>
      </c>
      <c r="D17" s="22">
        <v>0</v>
      </c>
      <c r="E17" s="22">
        <v>0</v>
      </c>
      <c r="I17" s="53">
        <v>0</v>
      </c>
      <c r="J17" s="53">
        <v>0</v>
      </c>
    </row>
    <row r="18" spans="1:10">
      <c r="A18" s="22" t="s">
        <v>48</v>
      </c>
      <c r="B18" s="22" t="s">
        <v>17</v>
      </c>
      <c r="C18" s="22" t="s">
        <v>29</v>
      </c>
      <c r="D18" s="22">
        <v>0</v>
      </c>
      <c r="E18" s="22">
        <v>0</v>
      </c>
      <c r="I18" s="53">
        <v>0</v>
      </c>
      <c r="J18" s="53">
        <v>0</v>
      </c>
    </row>
    <row r="19" spans="1:10">
      <c r="A19" s="22" t="s">
        <v>49</v>
      </c>
      <c r="B19" s="22" t="s">
        <v>17</v>
      </c>
      <c r="C19" s="22" t="s">
        <v>29</v>
      </c>
      <c r="D19" s="22">
        <v>0</v>
      </c>
      <c r="E19" s="22">
        <v>0</v>
      </c>
      <c r="I19" s="53">
        <v>0</v>
      </c>
      <c r="J19" s="53">
        <v>0</v>
      </c>
    </row>
    <row r="20" spans="1:10">
      <c r="A20" s="22" t="s">
        <v>50</v>
      </c>
      <c r="B20" s="22" t="s">
        <v>17</v>
      </c>
      <c r="C20" s="22" t="s">
        <v>29</v>
      </c>
      <c r="D20" s="22">
        <v>0</v>
      </c>
      <c r="E20" s="22">
        <v>0</v>
      </c>
      <c r="I20" s="53">
        <v>0</v>
      </c>
      <c r="J20" s="53">
        <v>0</v>
      </c>
    </row>
    <row r="21" spans="1:10">
      <c r="A21" s="22" t="s">
        <v>51</v>
      </c>
      <c r="B21" s="22" t="s">
        <v>17</v>
      </c>
      <c r="C21" s="22" t="s">
        <v>25</v>
      </c>
      <c r="D21" s="22">
        <v>0</v>
      </c>
      <c r="E21" s="22">
        <v>0</v>
      </c>
      <c r="I21" s="53">
        <v>0</v>
      </c>
      <c r="J21" s="53">
        <v>0</v>
      </c>
    </row>
    <row r="22" spans="1:10">
      <c r="A22" s="22" t="s">
        <v>52</v>
      </c>
      <c r="B22" s="22" t="s">
        <v>17</v>
      </c>
      <c r="C22" s="22" t="s">
        <v>41</v>
      </c>
      <c r="D22" s="22">
        <v>0</v>
      </c>
      <c r="E22" s="22">
        <v>0</v>
      </c>
      <c r="I22" s="53">
        <v>0</v>
      </c>
      <c r="J22" s="53">
        <v>0</v>
      </c>
    </row>
    <row r="23" spans="1:10">
      <c r="A23" s="22" t="s">
        <v>53</v>
      </c>
      <c r="B23" s="22" t="s">
        <v>17</v>
      </c>
      <c r="C23" s="22" t="s">
        <v>29</v>
      </c>
      <c r="D23" s="22">
        <v>0</v>
      </c>
      <c r="E23" s="22">
        <v>0</v>
      </c>
      <c r="I23" s="53">
        <v>0</v>
      </c>
      <c r="J23" s="53">
        <v>0</v>
      </c>
    </row>
    <row r="24" spans="1:10">
      <c r="A24" s="22" t="s">
        <v>54</v>
      </c>
      <c r="B24" s="22" t="s">
        <v>17</v>
      </c>
      <c r="C24" s="22" t="s">
        <v>25</v>
      </c>
      <c r="D24" s="22">
        <v>0</v>
      </c>
      <c r="E24" s="22">
        <v>0</v>
      </c>
      <c r="I24" s="53">
        <v>0</v>
      </c>
      <c r="J24" s="53">
        <v>1</v>
      </c>
    </row>
    <row r="25" spans="1:10">
      <c r="A25" s="22" t="s">
        <v>55</v>
      </c>
      <c r="B25" s="22" t="s">
        <v>17</v>
      </c>
      <c r="C25" s="22" t="s">
        <v>29</v>
      </c>
      <c r="D25" s="22">
        <v>0</v>
      </c>
      <c r="E25" s="22">
        <v>0</v>
      </c>
      <c r="I25" s="53">
        <v>0</v>
      </c>
      <c r="J25" s="53">
        <v>1</v>
      </c>
    </row>
    <row r="26" spans="1:10">
      <c r="A26" s="22" t="s">
        <v>56</v>
      </c>
      <c r="B26" s="22" t="s">
        <v>17</v>
      </c>
      <c r="C26" s="22" t="s">
        <v>29</v>
      </c>
      <c r="D26" s="22">
        <v>0</v>
      </c>
      <c r="E26" s="22">
        <v>0</v>
      </c>
      <c r="I26" s="53">
        <v>0</v>
      </c>
      <c r="J26" s="53">
        <v>0</v>
      </c>
    </row>
    <row r="27" spans="1:10">
      <c r="A27" s="22" t="s">
        <v>57</v>
      </c>
      <c r="B27" s="22" t="s">
        <v>17</v>
      </c>
      <c r="C27" s="22" t="s">
        <v>25</v>
      </c>
      <c r="D27" s="22">
        <v>0</v>
      </c>
      <c r="E27" s="22">
        <v>0</v>
      </c>
      <c r="I27" s="53">
        <v>0</v>
      </c>
      <c r="J27" s="53">
        <v>0</v>
      </c>
    </row>
    <row r="28" spans="1:10">
      <c r="A28" s="22" t="s">
        <v>58</v>
      </c>
      <c r="B28" s="22" t="s">
        <v>17</v>
      </c>
      <c r="C28" s="22" t="s">
        <v>25</v>
      </c>
      <c r="D28" s="22">
        <v>0</v>
      </c>
      <c r="E28" s="22">
        <v>0</v>
      </c>
      <c r="I28" s="53">
        <v>0</v>
      </c>
      <c r="J28" s="53">
        <v>0</v>
      </c>
    </row>
    <row r="29" spans="1:10">
      <c r="A29" s="22" t="s">
        <v>59</v>
      </c>
      <c r="B29" s="22" t="s">
        <v>17</v>
      </c>
      <c r="C29" s="22" t="s">
        <v>25</v>
      </c>
      <c r="D29" s="22">
        <v>0</v>
      </c>
      <c r="E29" s="22">
        <v>0</v>
      </c>
      <c r="I29" s="53">
        <v>0</v>
      </c>
      <c r="J29" s="53">
        <v>0</v>
      </c>
    </row>
    <row r="30" spans="1:10">
      <c r="A30" s="22" t="s">
        <v>60</v>
      </c>
      <c r="B30" s="22" t="s">
        <v>17</v>
      </c>
      <c r="C30" s="22" t="s">
        <v>25</v>
      </c>
      <c r="D30" s="22">
        <v>0</v>
      </c>
      <c r="E30" s="22">
        <v>0</v>
      </c>
      <c r="I30" s="53">
        <v>0</v>
      </c>
      <c r="J30" s="53">
        <v>0</v>
      </c>
    </row>
    <row r="31" spans="1:10">
      <c r="A31" s="22" t="s">
        <v>61</v>
      </c>
      <c r="B31" s="22" t="s">
        <v>17</v>
      </c>
      <c r="C31" s="22" t="s">
        <v>41</v>
      </c>
      <c r="D31" s="22">
        <v>0</v>
      </c>
      <c r="E31" s="22">
        <v>0</v>
      </c>
      <c r="I31" s="53">
        <v>0</v>
      </c>
      <c r="J31" s="53">
        <v>0</v>
      </c>
    </row>
    <row r="32" spans="1:10">
      <c r="A32" s="22" t="s">
        <v>62</v>
      </c>
      <c r="B32" s="22" t="s">
        <v>17</v>
      </c>
      <c r="C32" s="22" t="s">
        <v>25</v>
      </c>
      <c r="D32" s="22">
        <v>0</v>
      </c>
      <c r="E32" s="22">
        <v>0</v>
      </c>
      <c r="I32" s="53">
        <v>0</v>
      </c>
      <c r="J32" s="53">
        <v>0</v>
      </c>
    </row>
    <row r="33" spans="1:10">
      <c r="A33" s="22" t="s">
        <v>63</v>
      </c>
      <c r="B33" s="22" t="s">
        <v>17</v>
      </c>
      <c r="C33" s="22" t="s">
        <v>25</v>
      </c>
      <c r="D33" s="22">
        <v>0</v>
      </c>
      <c r="E33" s="22">
        <v>0</v>
      </c>
      <c r="I33" s="53">
        <v>0</v>
      </c>
      <c r="J33" s="53">
        <v>0</v>
      </c>
    </row>
    <row r="34" spans="1:10">
      <c r="A34" s="22" t="s">
        <v>64</v>
      </c>
      <c r="B34" s="22" t="s">
        <v>17</v>
      </c>
      <c r="C34" s="22" t="s">
        <v>39</v>
      </c>
      <c r="D34" s="22">
        <v>0</v>
      </c>
      <c r="E34" s="22">
        <v>0</v>
      </c>
      <c r="I34" s="53">
        <v>0</v>
      </c>
      <c r="J34" s="53">
        <v>0</v>
      </c>
    </row>
    <row r="35" spans="1:10">
      <c r="A35" s="22" t="s">
        <v>65</v>
      </c>
      <c r="B35" s="22" t="s">
        <v>17</v>
      </c>
      <c r="C35" s="22" t="s">
        <v>29</v>
      </c>
      <c r="D35" s="22">
        <v>0</v>
      </c>
      <c r="E35" s="22">
        <v>0</v>
      </c>
      <c r="I35" s="53">
        <v>0</v>
      </c>
      <c r="J35" s="53">
        <v>0</v>
      </c>
    </row>
    <row r="36" spans="1:10">
      <c r="A36" s="22" t="s">
        <v>66</v>
      </c>
      <c r="B36" s="22" t="s">
        <v>17</v>
      </c>
      <c r="C36" s="22" t="s">
        <v>25</v>
      </c>
      <c r="D36" s="22">
        <v>0</v>
      </c>
      <c r="E36" s="22">
        <v>0</v>
      </c>
      <c r="I36" s="53">
        <v>0</v>
      </c>
      <c r="J36" s="53">
        <v>0</v>
      </c>
    </row>
    <row r="37" spans="1:10">
      <c r="A37" s="22" t="s">
        <v>67</v>
      </c>
      <c r="B37" s="22" t="s">
        <v>17</v>
      </c>
      <c r="C37" s="22" t="s">
        <v>25</v>
      </c>
      <c r="D37" s="22">
        <v>0</v>
      </c>
      <c r="E37" s="22">
        <v>0</v>
      </c>
      <c r="I37" s="53">
        <v>0</v>
      </c>
      <c r="J37" s="53">
        <v>0</v>
      </c>
    </row>
    <row r="38" spans="1:10">
      <c r="A38" s="22" t="s">
        <v>68</v>
      </c>
      <c r="B38" s="22" t="s">
        <v>17</v>
      </c>
      <c r="C38" s="22" t="s">
        <v>25</v>
      </c>
      <c r="D38" s="22">
        <v>0</v>
      </c>
      <c r="E38" s="22">
        <v>0</v>
      </c>
      <c r="I38" s="53">
        <v>0</v>
      </c>
      <c r="J38" s="53">
        <v>0</v>
      </c>
    </row>
    <row r="39" spans="1:10">
      <c r="A39" s="22" t="s">
        <v>69</v>
      </c>
      <c r="B39" s="22" t="s">
        <v>17</v>
      </c>
      <c r="C39" s="22" t="s">
        <v>25</v>
      </c>
      <c r="D39" s="22">
        <v>0</v>
      </c>
      <c r="E39" s="22">
        <v>0</v>
      </c>
      <c r="I39" s="53">
        <v>0</v>
      </c>
      <c r="J39" s="53">
        <v>1</v>
      </c>
    </row>
    <row r="40" spans="1:10">
      <c r="A40" s="22" t="s">
        <v>70</v>
      </c>
      <c r="B40" s="22" t="s">
        <v>17</v>
      </c>
      <c r="C40" s="22" t="s">
        <v>20</v>
      </c>
      <c r="D40" s="22">
        <v>0</v>
      </c>
      <c r="E40" s="22">
        <v>0</v>
      </c>
      <c r="I40" s="53">
        <v>0</v>
      </c>
      <c r="J40" s="53">
        <v>0</v>
      </c>
    </row>
    <row r="41" spans="1:10">
      <c r="A41" s="22" t="s">
        <v>71</v>
      </c>
      <c r="B41" s="22" t="s">
        <v>17</v>
      </c>
      <c r="C41" s="22" t="s">
        <v>25</v>
      </c>
      <c r="D41" s="22">
        <v>0</v>
      </c>
      <c r="E41" s="22">
        <v>0</v>
      </c>
      <c r="I41" s="53">
        <v>0</v>
      </c>
      <c r="J41" s="53">
        <v>0</v>
      </c>
    </row>
    <row r="42" spans="1:10">
      <c r="A42" s="22" t="s">
        <v>72</v>
      </c>
      <c r="B42" s="22" t="s">
        <v>17</v>
      </c>
      <c r="C42" s="22" t="s">
        <v>25</v>
      </c>
      <c r="D42" s="22">
        <v>0</v>
      </c>
      <c r="E42" s="22">
        <v>0</v>
      </c>
      <c r="I42" s="53">
        <v>0</v>
      </c>
      <c r="J42" s="53">
        <v>0</v>
      </c>
    </row>
    <row r="43" spans="1:10">
      <c r="A43" s="22" t="s">
        <v>73</v>
      </c>
      <c r="B43" s="22" t="s">
        <v>17</v>
      </c>
      <c r="C43" s="22" t="s">
        <v>20</v>
      </c>
      <c r="D43" s="22">
        <v>0</v>
      </c>
      <c r="E43" s="22">
        <v>0</v>
      </c>
      <c r="I43" s="53">
        <v>0</v>
      </c>
      <c r="J43" s="53">
        <v>1</v>
      </c>
    </row>
    <row r="44" spans="1:10">
      <c r="A44" s="22" t="s">
        <v>74</v>
      </c>
      <c r="B44" s="22" t="s">
        <v>17</v>
      </c>
      <c r="C44" s="22" t="s">
        <v>25</v>
      </c>
      <c r="D44" s="22">
        <v>0</v>
      </c>
      <c r="E44" s="22">
        <v>0</v>
      </c>
      <c r="I44" s="53">
        <v>0</v>
      </c>
      <c r="J44" s="53">
        <v>0</v>
      </c>
    </row>
    <row r="45" spans="1:10">
      <c r="A45" s="22" t="s">
        <v>75</v>
      </c>
      <c r="B45" s="22" t="s">
        <v>17</v>
      </c>
      <c r="C45" s="22" t="s">
        <v>20</v>
      </c>
      <c r="D45" s="22">
        <v>0</v>
      </c>
      <c r="E45" s="22">
        <v>0</v>
      </c>
      <c r="I45" s="53">
        <v>0</v>
      </c>
      <c r="J45" s="53">
        <v>0</v>
      </c>
    </row>
    <row r="46" spans="1:10">
      <c r="A46" s="22" t="s">
        <v>76</v>
      </c>
      <c r="B46" s="22" t="s">
        <v>17</v>
      </c>
      <c r="C46" s="22" t="s">
        <v>41</v>
      </c>
      <c r="D46" s="22">
        <v>0</v>
      </c>
      <c r="E46" s="22">
        <v>0</v>
      </c>
      <c r="I46" s="53">
        <v>0</v>
      </c>
      <c r="J46" s="53">
        <v>0</v>
      </c>
    </row>
    <row r="47" spans="1:10">
      <c r="A47" s="22" t="s">
        <v>77</v>
      </c>
      <c r="B47" s="22" t="s">
        <v>17</v>
      </c>
      <c r="C47" s="22" t="s">
        <v>39</v>
      </c>
      <c r="D47" s="22">
        <v>0</v>
      </c>
      <c r="E47" s="22">
        <v>0</v>
      </c>
      <c r="I47" s="53">
        <v>0</v>
      </c>
      <c r="J47" s="53">
        <v>0</v>
      </c>
    </row>
    <row r="48" spans="1:10">
      <c r="A48" s="22" t="s">
        <v>78</v>
      </c>
      <c r="B48" s="22" t="s">
        <v>17</v>
      </c>
      <c r="C48" s="22" t="s">
        <v>25</v>
      </c>
      <c r="D48" s="22">
        <v>0</v>
      </c>
      <c r="E48" s="22">
        <v>0</v>
      </c>
      <c r="I48" s="53">
        <v>0</v>
      </c>
      <c r="J48" s="53">
        <v>0</v>
      </c>
    </row>
    <row r="49" spans="1:10">
      <c r="A49" s="22" t="s">
        <v>79</v>
      </c>
      <c r="B49" s="22" t="s">
        <v>17</v>
      </c>
      <c r="C49" s="22" t="s">
        <v>25</v>
      </c>
      <c r="D49" s="22">
        <v>0</v>
      </c>
      <c r="E49" s="22">
        <v>0</v>
      </c>
      <c r="I49" s="53">
        <v>0</v>
      </c>
      <c r="J49" s="53">
        <v>0</v>
      </c>
    </row>
    <row r="50" spans="1:10">
      <c r="A50" s="22" t="s">
        <v>80</v>
      </c>
      <c r="B50" s="22" t="s">
        <v>17</v>
      </c>
      <c r="C50" s="22" t="s">
        <v>41</v>
      </c>
      <c r="D50" s="22">
        <v>0</v>
      </c>
      <c r="E50" s="22">
        <v>0</v>
      </c>
      <c r="I50" s="53">
        <v>0</v>
      </c>
      <c r="J50" s="53">
        <v>0</v>
      </c>
    </row>
    <row r="51" spans="1:10">
      <c r="A51" s="22" t="s">
        <v>81</v>
      </c>
      <c r="B51" s="22" t="s">
        <v>17</v>
      </c>
      <c r="C51" s="22" t="s">
        <v>29</v>
      </c>
      <c r="D51" s="22">
        <v>0</v>
      </c>
      <c r="E51" s="22">
        <v>0</v>
      </c>
      <c r="I51" s="53">
        <v>0</v>
      </c>
      <c r="J51" s="53">
        <v>0</v>
      </c>
    </row>
    <row r="52" spans="1:10">
      <c r="A52" s="22" t="s">
        <v>82</v>
      </c>
      <c r="B52" s="22" t="s">
        <v>17</v>
      </c>
      <c r="C52" s="22" t="s">
        <v>41</v>
      </c>
      <c r="D52" s="22">
        <v>0</v>
      </c>
      <c r="E52" s="22">
        <v>0</v>
      </c>
      <c r="I52" s="53">
        <v>0</v>
      </c>
      <c r="J52" s="53">
        <v>0</v>
      </c>
    </row>
    <row r="53" spans="1:10">
      <c r="A53" s="22" t="s">
        <v>83</v>
      </c>
      <c r="B53" s="22" t="s">
        <v>17</v>
      </c>
      <c r="C53" s="22" t="s">
        <v>20</v>
      </c>
      <c r="D53" s="22">
        <v>0</v>
      </c>
      <c r="E53" s="22">
        <v>0</v>
      </c>
      <c r="I53" s="53">
        <v>0</v>
      </c>
      <c r="J53" s="53">
        <v>0</v>
      </c>
    </row>
    <row r="54" spans="1:10">
      <c r="A54" s="22" t="s">
        <v>84</v>
      </c>
      <c r="B54" s="22" t="s">
        <v>17</v>
      </c>
      <c r="C54" s="22" t="s">
        <v>25</v>
      </c>
      <c r="D54" s="22">
        <v>0</v>
      </c>
      <c r="E54" s="22">
        <v>0</v>
      </c>
      <c r="I54" s="53">
        <v>0</v>
      </c>
      <c r="J54" s="53">
        <v>0</v>
      </c>
    </row>
    <row r="55" spans="1:10">
      <c r="A55" s="22" t="s">
        <v>85</v>
      </c>
      <c r="B55" s="22" t="s">
        <v>17</v>
      </c>
      <c r="C55" s="22" t="s">
        <v>25</v>
      </c>
      <c r="D55" s="22">
        <v>0</v>
      </c>
      <c r="E55" s="22">
        <v>0</v>
      </c>
      <c r="I55" s="53">
        <v>0</v>
      </c>
      <c r="J55" s="53">
        <v>0</v>
      </c>
    </row>
    <row r="56" spans="1:10">
      <c r="A56" s="22" t="s">
        <v>86</v>
      </c>
      <c r="B56" s="22" t="s">
        <v>17</v>
      </c>
      <c r="C56" s="22" t="s">
        <v>25</v>
      </c>
      <c r="D56" s="22">
        <v>0</v>
      </c>
      <c r="E56" s="22">
        <v>0</v>
      </c>
      <c r="I56" s="53">
        <v>0</v>
      </c>
      <c r="J56" s="53">
        <v>0</v>
      </c>
    </row>
    <row r="57" spans="1:10">
      <c r="A57" s="22" t="s">
        <v>87</v>
      </c>
      <c r="B57" s="22" t="s">
        <v>17</v>
      </c>
      <c r="C57" s="22" t="s">
        <v>41</v>
      </c>
      <c r="D57" s="22">
        <v>0</v>
      </c>
      <c r="E57" s="22">
        <v>0</v>
      </c>
      <c r="I57" s="53">
        <v>0</v>
      </c>
      <c r="J57" s="53">
        <v>0</v>
      </c>
    </row>
    <row r="58" spans="1:10">
      <c r="A58" s="22" t="s">
        <v>88</v>
      </c>
      <c r="B58" s="22" t="s">
        <v>17</v>
      </c>
      <c r="C58" s="22" t="s">
        <v>41</v>
      </c>
      <c r="D58" s="22">
        <v>0</v>
      </c>
      <c r="E58" s="22">
        <v>0</v>
      </c>
      <c r="I58" s="53">
        <v>0</v>
      </c>
      <c r="J58" s="53">
        <v>0</v>
      </c>
    </row>
    <row r="59" spans="1:10">
      <c r="A59" s="22" t="s">
        <v>89</v>
      </c>
      <c r="B59" s="22" t="s">
        <v>17</v>
      </c>
      <c r="C59" s="22" t="s">
        <v>25</v>
      </c>
      <c r="D59" s="22">
        <v>0</v>
      </c>
      <c r="E59" s="22">
        <v>0</v>
      </c>
      <c r="I59" s="53">
        <v>0</v>
      </c>
      <c r="J59" s="53">
        <v>0</v>
      </c>
    </row>
    <row r="60" spans="1:10">
      <c r="A60" s="22" t="s">
        <v>90</v>
      </c>
      <c r="B60" s="22" t="s">
        <v>17</v>
      </c>
      <c r="C60" s="22" t="s">
        <v>41</v>
      </c>
      <c r="D60" s="22">
        <v>0</v>
      </c>
      <c r="E60" s="22">
        <v>0</v>
      </c>
      <c r="I60" s="53">
        <v>0</v>
      </c>
      <c r="J60" s="53">
        <v>0</v>
      </c>
    </row>
    <row r="61" spans="1:10">
      <c r="A61" s="22" t="s">
        <v>91</v>
      </c>
      <c r="B61" s="22" t="s">
        <v>17</v>
      </c>
      <c r="C61" s="22" t="s">
        <v>41</v>
      </c>
      <c r="D61" s="22">
        <v>1</v>
      </c>
      <c r="E61" s="22">
        <v>240.42</v>
      </c>
      <c r="I61" s="53">
        <v>1</v>
      </c>
      <c r="J61" s="53">
        <v>0</v>
      </c>
    </row>
    <row r="62" spans="1:10">
      <c r="A62" s="22" t="s">
        <v>92</v>
      </c>
      <c r="B62" s="22" t="s">
        <v>17</v>
      </c>
      <c r="C62" s="22" t="s">
        <v>39</v>
      </c>
      <c r="D62" s="22">
        <v>0</v>
      </c>
      <c r="E62" s="22">
        <v>0</v>
      </c>
      <c r="I62" s="53">
        <v>0</v>
      </c>
      <c r="J62" s="53">
        <v>0</v>
      </c>
    </row>
    <row r="63" spans="1:10">
      <c r="A63" s="22" t="s">
        <v>93</v>
      </c>
      <c r="B63" s="22" t="s">
        <v>17</v>
      </c>
      <c r="C63" s="22" t="s">
        <v>41</v>
      </c>
      <c r="D63" s="22">
        <v>0</v>
      </c>
      <c r="E63" s="22">
        <v>0</v>
      </c>
      <c r="I63" s="53">
        <v>0</v>
      </c>
      <c r="J63" s="53">
        <v>0</v>
      </c>
    </row>
    <row r="64" spans="1:10">
      <c r="A64" s="22" t="s">
        <v>94</v>
      </c>
      <c r="B64" s="22" t="s">
        <v>17</v>
      </c>
      <c r="C64" s="22" t="s">
        <v>25</v>
      </c>
      <c r="D64" s="22">
        <v>0</v>
      </c>
      <c r="E64" s="22">
        <v>0</v>
      </c>
      <c r="I64" s="53">
        <v>0</v>
      </c>
      <c r="J64" s="53">
        <v>0</v>
      </c>
    </row>
    <row r="65" spans="1:10">
      <c r="A65" s="22" t="s">
        <v>95</v>
      </c>
      <c r="B65" s="22" t="s">
        <v>17</v>
      </c>
      <c r="C65" s="22" t="s">
        <v>25</v>
      </c>
      <c r="D65" s="22">
        <v>0</v>
      </c>
      <c r="E65" s="22">
        <v>0</v>
      </c>
      <c r="I65" s="53">
        <v>0</v>
      </c>
      <c r="J65" s="53">
        <v>0</v>
      </c>
    </row>
    <row r="66" spans="1:10">
      <c r="A66" s="22" t="s">
        <v>96</v>
      </c>
      <c r="B66" s="22" t="s">
        <v>17</v>
      </c>
      <c r="C66" s="22" t="s">
        <v>29</v>
      </c>
      <c r="D66" s="22">
        <v>0</v>
      </c>
      <c r="E66" s="22">
        <v>0</v>
      </c>
      <c r="I66" s="53">
        <v>0</v>
      </c>
      <c r="J66" s="53">
        <v>0</v>
      </c>
    </row>
    <row r="67" spans="1:10">
      <c r="A67" s="22" t="s">
        <v>97</v>
      </c>
      <c r="B67" s="22" t="s">
        <v>17</v>
      </c>
      <c r="C67" s="22" t="s">
        <v>25</v>
      </c>
      <c r="D67" s="22">
        <v>0</v>
      </c>
      <c r="E67" s="22">
        <v>0</v>
      </c>
      <c r="I67" s="53">
        <v>0</v>
      </c>
      <c r="J67" s="53">
        <v>0</v>
      </c>
    </row>
    <row r="68" spans="1:10">
      <c r="A68" s="22" t="s">
        <v>98</v>
      </c>
      <c r="B68" s="22" t="s">
        <v>17</v>
      </c>
      <c r="C68" s="22" t="s">
        <v>25</v>
      </c>
      <c r="D68" s="22">
        <v>0</v>
      </c>
      <c r="E68" s="22">
        <v>0</v>
      </c>
      <c r="I68" s="53">
        <v>0</v>
      </c>
      <c r="J68" s="53">
        <v>0</v>
      </c>
    </row>
    <row r="69" spans="1:10">
      <c r="A69" s="22" t="s">
        <v>99</v>
      </c>
      <c r="B69" s="22" t="s">
        <v>17</v>
      </c>
      <c r="C69" s="22" t="s">
        <v>41</v>
      </c>
      <c r="D69" s="22">
        <v>0</v>
      </c>
      <c r="E69" s="22">
        <v>0</v>
      </c>
      <c r="I69" s="53">
        <v>0</v>
      </c>
      <c r="J69" s="53">
        <v>1</v>
      </c>
    </row>
    <row r="70" spans="1:10">
      <c r="A70" s="22" t="s">
        <v>100</v>
      </c>
      <c r="B70" s="22" t="s">
        <v>17</v>
      </c>
      <c r="C70" s="22" t="s">
        <v>20</v>
      </c>
      <c r="D70" s="22">
        <v>0</v>
      </c>
      <c r="E70" s="22">
        <v>0</v>
      </c>
      <c r="I70" s="53">
        <v>0</v>
      </c>
      <c r="J70" s="53">
        <v>0</v>
      </c>
    </row>
    <row r="71" spans="1:10">
      <c r="A71" s="22" t="s">
        <v>101</v>
      </c>
      <c r="B71" s="22" t="s">
        <v>17</v>
      </c>
      <c r="C71" s="22" t="s">
        <v>25</v>
      </c>
      <c r="D71" s="22">
        <v>0</v>
      </c>
      <c r="E71" s="22">
        <v>0</v>
      </c>
      <c r="I71" s="53">
        <v>0</v>
      </c>
      <c r="J71" s="53">
        <v>0</v>
      </c>
    </row>
    <row r="72" spans="1:10">
      <c r="A72" s="22" t="s">
        <v>102</v>
      </c>
      <c r="B72" s="22" t="s">
        <v>17</v>
      </c>
      <c r="C72" s="22" t="s">
        <v>20</v>
      </c>
      <c r="D72" s="22">
        <v>0</v>
      </c>
      <c r="E72" s="22">
        <v>0</v>
      </c>
      <c r="I72" s="53">
        <v>0</v>
      </c>
      <c r="J72" s="53">
        <v>0</v>
      </c>
    </row>
    <row r="73" spans="1:10">
      <c r="A73" s="22" t="s">
        <v>103</v>
      </c>
      <c r="B73" s="22" t="s">
        <v>17</v>
      </c>
      <c r="C73" s="22" t="s">
        <v>20</v>
      </c>
      <c r="D73" s="22">
        <v>0</v>
      </c>
      <c r="E73" s="22">
        <v>0</v>
      </c>
      <c r="I73" s="53">
        <v>0</v>
      </c>
      <c r="J73" s="53">
        <v>0</v>
      </c>
    </row>
    <row r="74" spans="1:10">
      <c r="A74" s="22" t="s">
        <v>104</v>
      </c>
      <c r="B74" s="22" t="s">
        <v>17</v>
      </c>
      <c r="C74" s="22" t="s">
        <v>29</v>
      </c>
      <c r="D74" s="22">
        <v>0</v>
      </c>
      <c r="E74" s="22">
        <v>0</v>
      </c>
      <c r="I74" s="53">
        <v>0</v>
      </c>
      <c r="J74" s="53">
        <v>0</v>
      </c>
    </row>
    <row r="75" spans="1:10">
      <c r="A75" s="22" t="s">
        <v>105</v>
      </c>
      <c r="B75" s="22" t="s">
        <v>17</v>
      </c>
      <c r="C75" s="22" t="s">
        <v>29</v>
      </c>
      <c r="D75" s="22">
        <v>0</v>
      </c>
      <c r="E75" s="22">
        <v>0</v>
      </c>
      <c r="I75" s="53">
        <v>0</v>
      </c>
      <c r="J75" s="53">
        <v>0</v>
      </c>
    </row>
    <row r="76" spans="1:10">
      <c r="A76" s="22" t="s">
        <v>106</v>
      </c>
      <c r="B76" s="22" t="s">
        <v>17</v>
      </c>
      <c r="C76" s="22" t="s">
        <v>25</v>
      </c>
      <c r="D76" s="22">
        <v>0</v>
      </c>
      <c r="E76" s="22">
        <v>0</v>
      </c>
      <c r="I76" s="53">
        <v>0</v>
      </c>
      <c r="J76" s="53">
        <v>0</v>
      </c>
    </row>
    <row r="77" spans="1:10">
      <c r="A77" s="22" t="s">
        <v>107</v>
      </c>
      <c r="B77" s="22" t="s">
        <v>17</v>
      </c>
      <c r="C77" s="22" t="s">
        <v>20</v>
      </c>
      <c r="D77" s="22">
        <v>0</v>
      </c>
      <c r="E77" s="22">
        <v>0</v>
      </c>
      <c r="I77" s="53">
        <v>0</v>
      </c>
      <c r="J77" s="53">
        <v>0</v>
      </c>
    </row>
    <row r="78" spans="1:10">
      <c r="A78" s="22" t="s">
        <v>108</v>
      </c>
      <c r="B78" s="22" t="s">
        <v>17</v>
      </c>
      <c r="C78" s="22" t="s">
        <v>39</v>
      </c>
      <c r="D78" s="22">
        <v>0</v>
      </c>
      <c r="E78" s="22">
        <v>0</v>
      </c>
      <c r="I78" s="53">
        <v>0</v>
      </c>
      <c r="J78" s="53">
        <v>0</v>
      </c>
    </row>
    <row r="79" spans="1:10">
      <c r="A79" s="22" t="s">
        <v>109</v>
      </c>
      <c r="B79" s="22" t="s">
        <v>17</v>
      </c>
      <c r="C79" s="22" t="s">
        <v>25</v>
      </c>
      <c r="D79" s="22">
        <v>0</v>
      </c>
      <c r="E79" s="22">
        <v>0</v>
      </c>
      <c r="I79" s="53">
        <v>0</v>
      </c>
      <c r="J79" s="53">
        <v>0</v>
      </c>
    </row>
    <row r="80" spans="1:10">
      <c r="A80" s="22" t="s">
        <v>110</v>
      </c>
      <c r="B80" s="22" t="s">
        <v>17</v>
      </c>
      <c r="C80" s="22" t="s">
        <v>25</v>
      </c>
      <c r="D80" s="22">
        <v>1</v>
      </c>
      <c r="E80" s="22">
        <v>457.51</v>
      </c>
      <c r="I80" s="53">
        <v>1</v>
      </c>
      <c r="J80" s="53">
        <v>0</v>
      </c>
    </row>
    <row r="81" spans="1:10">
      <c r="A81" s="22" t="s">
        <v>111</v>
      </c>
      <c r="B81" s="22" t="s">
        <v>17</v>
      </c>
      <c r="C81" s="22" t="s">
        <v>41</v>
      </c>
      <c r="D81" s="22">
        <v>0</v>
      </c>
      <c r="E81" s="22">
        <v>0</v>
      </c>
      <c r="I81" s="53">
        <v>0</v>
      </c>
      <c r="J81" s="53">
        <v>0</v>
      </c>
    </row>
    <row r="82" spans="1:10">
      <c r="A82" s="22" t="s">
        <v>112</v>
      </c>
      <c r="B82" s="22" t="s">
        <v>17</v>
      </c>
      <c r="C82" s="22" t="s">
        <v>25</v>
      </c>
      <c r="D82" s="22">
        <v>0</v>
      </c>
      <c r="E82" s="22">
        <v>0</v>
      </c>
      <c r="I82" s="53">
        <v>0</v>
      </c>
      <c r="J82" s="53">
        <v>0</v>
      </c>
    </row>
    <row r="83" spans="1:10">
      <c r="A83" s="22" t="s">
        <v>113</v>
      </c>
      <c r="B83" s="22" t="s">
        <v>17</v>
      </c>
      <c r="C83" s="22" t="s">
        <v>39</v>
      </c>
      <c r="D83" s="22">
        <v>0</v>
      </c>
      <c r="E83" s="22">
        <v>0</v>
      </c>
      <c r="I83" s="53">
        <v>0</v>
      </c>
      <c r="J83" s="53">
        <v>0</v>
      </c>
    </row>
    <row r="84" spans="1:10">
      <c r="A84" s="22" t="s">
        <v>114</v>
      </c>
      <c r="B84" s="22" t="s">
        <v>17</v>
      </c>
      <c r="C84" s="22" t="s">
        <v>20</v>
      </c>
      <c r="D84" s="22">
        <v>0</v>
      </c>
      <c r="E84" s="22">
        <v>0</v>
      </c>
      <c r="I84" s="53">
        <v>0</v>
      </c>
      <c r="J84" s="53">
        <v>0</v>
      </c>
    </row>
    <row r="85" spans="1:10">
      <c r="A85" s="22" t="s">
        <v>115</v>
      </c>
      <c r="B85" s="22" t="s">
        <v>17</v>
      </c>
      <c r="C85" s="22" t="s">
        <v>41</v>
      </c>
      <c r="D85" s="22">
        <v>0</v>
      </c>
      <c r="E85" s="22">
        <v>0</v>
      </c>
      <c r="I85" s="53">
        <v>0</v>
      </c>
      <c r="J85" s="53">
        <v>0</v>
      </c>
    </row>
    <row r="86" spans="1:10">
      <c r="A86" s="22" t="s">
        <v>116</v>
      </c>
      <c r="B86" s="22" t="s">
        <v>17</v>
      </c>
      <c r="C86" s="22" t="s">
        <v>29</v>
      </c>
      <c r="D86" s="22">
        <v>0</v>
      </c>
      <c r="E86" s="22">
        <v>0</v>
      </c>
      <c r="I86" s="53">
        <v>0</v>
      </c>
      <c r="J86" s="53">
        <v>0</v>
      </c>
    </row>
    <row r="87" spans="1:10">
      <c r="A87" s="22" t="s">
        <v>117</v>
      </c>
      <c r="B87" s="22" t="s">
        <v>17</v>
      </c>
      <c r="C87" s="22" t="s">
        <v>25</v>
      </c>
      <c r="D87" s="22">
        <v>0</v>
      </c>
      <c r="E87" s="22">
        <v>0</v>
      </c>
      <c r="I87" s="53">
        <v>0</v>
      </c>
      <c r="J87" s="53">
        <v>0</v>
      </c>
    </row>
    <row r="88" spans="1:10">
      <c r="A88" s="22" t="s">
        <v>118</v>
      </c>
      <c r="B88" s="22" t="s">
        <v>17</v>
      </c>
      <c r="C88" s="22" t="s">
        <v>41</v>
      </c>
      <c r="D88" s="22">
        <v>0</v>
      </c>
      <c r="E88" s="22">
        <v>0</v>
      </c>
      <c r="I88" s="53">
        <v>0</v>
      </c>
      <c r="J88" s="53">
        <v>0</v>
      </c>
    </row>
    <row r="89" spans="1:10">
      <c r="A89" s="22" t="s">
        <v>119</v>
      </c>
      <c r="B89" s="22" t="s">
        <v>17</v>
      </c>
      <c r="C89" s="22" t="s">
        <v>20</v>
      </c>
      <c r="D89" s="22">
        <v>0</v>
      </c>
      <c r="E89" s="22">
        <v>0</v>
      </c>
      <c r="I89" s="53">
        <v>0</v>
      </c>
      <c r="J89" s="53">
        <v>0</v>
      </c>
    </row>
    <row r="90" spans="1:10">
      <c r="A90" s="22" t="s">
        <v>120</v>
      </c>
      <c r="B90" s="22" t="s">
        <v>17</v>
      </c>
      <c r="C90" s="22" t="s">
        <v>39</v>
      </c>
      <c r="D90" s="22">
        <v>0</v>
      </c>
      <c r="E90" s="22">
        <v>0</v>
      </c>
      <c r="I90" s="53">
        <v>0</v>
      </c>
      <c r="J90" s="53">
        <v>0</v>
      </c>
    </row>
    <row r="91" spans="1:10">
      <c r="A91" s="22" t="s">
        <v>121</v>
      </c>
      <c r="B91" s="22" t="s">
        <v>17</v>
      </c>
      <c r="C91" s="22" t="s">
        <v>25</v>
      </c>
      <c r="D91" s="22">
        <v>0</v>
      </c>
      <c r="E91" s="22">
        <v>0</v>
      </c>
      <c r="I91" s="53">
        <v>0</v>
      </c>
      <c r="J91" s="53">
        <v>0</v>
      </c>
    </row>
    <row r="92" spans="1:10">
      <c r="A92" s="22" t="s">
        <v>122</v>
      </c>
      <c r="B92" s="22" t="s">
        <v>17</v>
      </c>
      <c r="C92" s="22" t="s">
        <v>25</v>
      </c>
      <c r="D92" s="22">
        <v>0</v>
      </c>
      <c r="E92" s="22">
        <v>0</v>
      </c>
      <c r="I92" s="53">
        <v>0</v>
      </c>
      <c r="J92" s="53">
        <v>0</v>
      </c>
    </row>
    <row r="93" spans="1:10">
      <c r="A93" s="22" t="s">
        <v>123</v>
      </c>
      <c r="B93" s="22" t="s">
        <v>17</v>
      </c>
      <c r="C93" s="22" t="s">
        <v>41</v>
      </c>
      <c r="D93" s="22">
        <v>0</v>
      </c>
      <c r="E93" s="22">
        <v>0</v>
      </c>
      <c r="I93" s="53">
        <v>0</v>
      </c>
      <c r="J93" s="53">
        <v>0</v>
      </c>
    </row>
    <row r="94" spans="1:10">
      <c r="A94" s="22" t="s">
        <v>124</v>
      </c>
      <c r="B94" s="22" t="s">
        <v>17</v>
      </c>
      <c r="C94" s="22" t="s">
        <v>25</v>
      </c>
      <c r="D94" s="22">
        <v>0</v>
      </c>
      <c r="E94" s="22">
        <v>0</v>
      </c>
      <c r="I94" s="53">
        <v>0</v>
      </c>
      <c r="J94" s="53">
        <v>0</v>
      </c>
    </row>
    <row r="95" spans="1:10">
      <c r="A95" s="22" t="s">
        <v>125</v>
      </c>
      <c r="B95" s="22" t="s">
        <v>17</v>
      </c>
      <c r="C95" s="22" t="s">
        <v>25</v>
      </c>
      <c r="D95" s="22">
        <v>0</v>
      </c>
      <c r="E95" s="22">
        <v>0</v>
      </c>
      <c r="I95" s="53">
        <v>0</v>
      </c>
      <c r="J95" s="53">
        <v>0</v>
      </c>
    </row>
    <row r="96" spans="1:10">
      <c r="A96" s="22" t="s">
        <v>126</v>
      </c>
      <c r="B96" s="22" t="s">
        <v>17</v>
      </c>
      <c r="C96" s="22" t="s">
        <v>25</v>
      </c>
      <c r="D96" s="22">
        <v>0</v>
      </c>
      <c r="E96" s="22">
        <v>0</v>
      </c>
      <c r="I96" s="53">
        <v>0</v>
      </c>
      <c r="J96" s="53">
        <v>0</v>
      </c>
    </row>
    <row r="97" spans="1:10">
      <c r="A97" s="22" t="s">
        <v>127</v>
      </c>
      <c r="B97" s="22" t="s">
        <v>17</v>
      </c>
      <c r="C97" s="22" t="s">
        <v>41</v>
      </c>
      <c r="D97" s="22">
        <v>0</v>
      </c>
      <c r="E97" s="22">
        <v>0</v>
      </c>
      <c r="I97" s="53">
        <v>0</v>
      </c>
      <c r="J97" s="53">
        <v>0</v>
      </c>
    </row>
    <row r="98" spans="1:10">
      <c r="A98" s="22" t="s">
        <v>128</v>
      </c>
      <c r="B98" s="22" t="s">
        <v>17</v>
      </c>
      <c r="C98" s="22" t="s">
        <v>25</v>
      </c>
      <c r="D98" s="22">
        <v>0</v>
      </c>
      <c r="E98" s="22">
        <v>0</v>
      </c>
      <c r="I98" s="53">
        <v>0</v>
      </c>
      <c r="J98" s="53">
        <v>0</v>
      </c>
    </row>
    <row r="99" spans="1:10">
      <c r="A99" s="22" t="s">
        <v>129</v>
      </c>
      <c r="B99" s="22" t="s">
        <v>17</v>
      </c>
      <c r="C99" s="22" t="s">
        <v>25</v>
      </c>
      <c r="D99" s="22">
        <v>0</v>
      </c>
      <c r="E99" s="22">
        <v>0</v>
      </c>
      <c r="I99" s="53">
        <v>0</v>
      </c>
      <c r="J99" s="53">
        <v>0</v>
      </c>
    </row>
    <row r="100" spans="1:10">
      <c r="A100" s="22" t="s">
        <v>130</v>
      </c>
      <c r="B100" s="22" t="s">
        <v>17</v>
      </c>
      <c r="C100" s="22" t="s">
        <v>41</v>
      </c>
      <c r="D100" s="22">
        <v>1</v>
      </c>
      <c r="E100" s="22">
        <v>363.32</v>
      </c>
      <c r="I100" s="53">
        <v>1</v>
      </c>
      <c r="J100" s="53">
        <v>0</v>
      </c>
    </row>
    <row r="101" spans="1:10">
      <c r="A101" s="22" t="s">
        <v>131</v>
      </c>
      <c r="B101" s="22" t="s">
        <v>17</v>
      </c>
      <c r="C101" s="22" t="s">
        <v>25</v>
      </c>
      <c r="D101" s="22">
        <v>0</v>
      </c>
      <c r="E101" s="22">
        <v>0</v>
      </c>
      <c r="I101" s="53">
        <v>0</v>
      </c>
      <c r="J101" s="53">
        <v>0</v>
      </c>
    </row>
    <row r="102" spans="1:10">
      <c r="A102" s="22" t="s">
        <v>132</v>
      </c>
      <c r="B102" s="22" t="s">
        <v>17</v>
      </c>
      <c r="C102" s="22" t="s">
        <v>29</v>
      </c>
      <c r="D102" s="22">
        <v>0</v>
      </c>
      <c r="E102" s="22">
        <v>0</v>
      </c>
      <c r="I102" s="53">
        <v>0</v>
      </c>
      <c r="J102" s="53">
        <v>0</v>
      </c>
    </row>
    <row r="103" spans="1:10">
      <c r="A103" s="22" t="s">
        <v>133</v>
      </c>
      <c r="B103" s="22" t="s">
        <v>17</v>
      </c>
      <c r="C103" s="22" t="s">
        <v>29</v>
      </c>
      <c r="D103" s="22">
        <v>0</v>
      </c>
      <c r="E103" s="22">
        <v>0</v>
      </c>
      <c r="I103" s="53">
        <v>0</v>
      </c>
      <c r="J103" s="53">
        <v>0</v>
      </c>
    </row>
    <row r="104" spans="1:10">
      <c r="A104" s="22" t="s">
        <v>134</v>
      </c>
      <c r="B104" s="22" t="s">
        <v>17</v>
      </c>
      <c r="C104" s="22" t="s">
        <v>41</v>
      </c>
      <c r="D104" s="22">
        <v>1</v>
      </c>
      <c r="E104" s="22">
        <v>3887.98</v>
      </c>
      <c r="I104" s="53">
        <v>1</v>
      </c>
      <c r="J104" s="53">
        <v>0</v>
      </c>
    </row>
    <row r="105" spans="1:10">
      <c r="A105" s="22" t="s">
        <v>135</v>
      </c>
      <c r="B105" s="22" t="s">
        <v>17</v>
      </c>
      <c r="C105" s="22" t="s">
        <v>20</v>
      </c>
      <c r="D105" s="22">
        <v>0</v>
      </c>
      <c r="E105" s="22">
        <v>0</v>
      </c>
      <c r="I105" s="53">
        <v>0</v>
      </c>
      <c r="J105" s="53">
        <v>0</v>
      </c>
    </row>
    <row r="106" spans="1:10">
      <c r="A106" s="22" t="s">
        <v>136</v>
      </c>
      <c r="B106" s="22" t="s">
        <v>17</v>
      </c>
      <c r="C106" s="22" t="s">
        <v>41</v>
      </c>
      <c r="D106" s="22">
        <v>0</v>
      </c>
      <c r="E106" s="22">
        <v>0</v>
      </c>
      <c r="I106" s="53">
        <v>0</v>
      </c>
      <c r="J106" s="53">
        <v>0</v>
      </c>
    </row>
    <row r="107" spans="1:10">
      <c r="A107" s="22" t="s">
        <v>137</v>
      </c>
      <c r="B107" s="22" t="s">
        <v>17</v>
      </c>
      <c r="C107" s="22" t="s">
        <v>41</v>
      </c>
      <c r="D107" s="22">
        <v>1</v>
      </c>
      <c r="E107" s="22">
        <v>8610.7199999999993</v>
      </c>
      <c r="I107" s="53">
        <v>1</v>
      </c>
      <c r="J107" s="53">
        <v>0</v>
      </c>
    </row>
    <row r="108" spans="1:10">
      <c r="A108" s="22" t="s">
        <v>138</v>
      </c>
      <c r="B108" s="22" t="s">
        <v>17</v>
      </c>
      <c r="C108" s="22" t="s">
        <v>20</v>
      </c>
      <c r="D108" s="22">
        <v>0</v>
      </c>
      <c r="E108" s="22">
        <v>0</v>
      </c>
      <c r="I108" s="53">
        <v>0</v>
      </c>
      <c r="J108" s="53">
        <v>0</v>
      </c>
    </row>
    <row r="109" spans="1:10">
      <c r="A109" s="22" t="s">
        <v>139</v>
      </c>
      <c r="B109" s="22" t="s">
        <v>17</v>
      </c>
      <c r="C109" s="22" t="s">
        <v>39</v>
      </c>
      <c r="D109" s="22">
        <v>0</v>
      </c>
      <c r="E109" s="22">
        <v>0</v>
      </c>
      <c r="I109" s="53">
        <v>0</v>
      </c>
      <c r="J109" s="53">
        <v>0</v>
      </c>
    </row>
    <row r="110" spans="1:10">
      <c r="A110" s="22" t="s">
        <v>140</v>
      </c>
      <c r="B110" s="22" t="s">
        <v>17</v>
      </c>
      <c r="C110" s="22" t="s">
        <v>39</v>
      </c>
      <c r="D110" s="22">
        <v>0</v>
      </c>
      <c r="E110" s="22">
        <v>0</v>
      </c>
      <c r="I110" s="53">
        <v>0</v>
      </c>
      <c r="J110" s="53">
        <v>0</v>
      </c>
    </row>
    <row r="111" spans="1:10">
      <c r="A111" s="22" t="s">
        <v>141</v>
      </c>
      <c r="B111" s="22" t="s">
        <v>17</v>
      </c>
      <c r="C111" s="22" t="s">
        <v>29</v>
      </c>
      <c r="D111" s="22">
        <v>0</v>
      </c>
      <c r="E111" s="22">
        <v>0</v>
      </c>
      <c r="I111" s="53">
        <v>0</v>
      </c>
      <c r="J111" s="53">
        <v>0</v>
      </c>
    </row>
    <row r="112" spans="1:10">
      <c r="A112" s="22" t="s">
        <v>142</v>
      </c>
      <c r="B112" s="22" t="s">
        <v>17</v>
      </c>
      <c r="C112" s="22" t="s">
        <v>25</v>
      </c>
      <c r="D112" s="22">
        <v>0</v>
      </c>
      <c r="E112" s="22">
        <v>0</v>
      </c>
      <c r="I112" s="53">
        <v>0</v>
      </c>
      <c r="J112" s="53">
        <v>0</v>
      </c>
    </row>
    <row r="113" spans="1:10">
      <c r="A113" s="22" t="s">
        <v>143</v>
      </c>
      <c r="B113" s="22" t="s">
        <v>17</v>
      </c>
      <c r="C113" s="22" t="s">
        <v>25</v>
      </c>
      <c r="D113" s="22">
        <v>0</v>
      </c>
      <c r="E113" s="22">
        <v>0</v>
      </c>
      <c r="I113" s="53">
        <v>0</v>
      </c>
      <c r="J113" s="53">
        <v>0</v>
      </c>
    </row>
    <row r="114" spans="1:10">
      <c r="A114" s="22" t="s">
        <v>144</v>
      </c>
      <c r="B114" s="22" t="s">
        <v>17</v>
      </c>
      <c r="C114" s="22" t="s">
        <v>29</v>
      </c>
      <c r="D114" s="22">
        <v>0</v>
      </c>
      <c r="E114" s="22">
        <v>0</v>
      </c>
      <c r="I114" s="53">
        <v>0</v>
      </c>
      <c r="J114" s="53">
        <v>0</v>
      </c>
    </row>
    <row r="115" spans="1:10">
      <c r="A115" s="22" t="s">
        <v>145</v>
      </c>
      <c r="B115" s="22" t="s">
        <v>17</v>
      </c>
      <c r="C115" s="22" t="s">
        <v>41</v>
      </c>
      <c r="D115" s="22">
        <v>0</v>
      </c>
      <c r="E115" s="22">
        <v>0</v>
      </c>
      <c r="I115" s="53">
        <v>0</v>
      </c>
      <c r="J115" s="53">
        <v>0</v>
      </c>
    </row>
    <row r="116" spans="1:10">
      <c r="A116" s="22" t="s">
        <v>146</v>
      </c>
      <c r="B116" s="22" t="s">
        <v>17</v>
      </c>
      <c r="C116" s="22" t="s">
        <v>41</v>
      </c>
      <c r="D116" s="22">
        <v>0</v>
      </c>
      <c r="E116" s="22">
        <v>0</v>
      </c>
      <c r="I116" s="53">
        <v>0</v>
      </c>
      <c r="J116" s="53">
        <v>1</v>
      </c>
    </row>
    <row r="117" spans="1:10">
      <c r="A117" s="22" t="s">
        <v>147</v>
      </c>
      <c r="B117" s="22" t="s">
        <v>17</v>
      </c>
      <c r="C117" s="22" t="s">
        <v>25</v>
      </c>
      <c r="D117" s="22">
        <v>0</v>
      </c>
      <c r="E117" s="22">
        <v>0</v>
      </c>
      <c r="I117" s="53">
        <v>0</v>
      </c>
      <c r="J117" s="53">
        <v>0</v>
      </c>
    </row>
    <row r="118" spans="1:10">
      <c r="A118" s="22" t="s">
        <v>148</v>
      </c>
      <c r="B118" s="22" t="s">
        <v>17</v>
      </c>
      <c r="C118" s="22" t="s">
        <v>39</v>
      </c>
      <c r="D118" s="22">
        <v>0</v>
      </c>
      <c r="E118" s="22">
        <v>0</v>
      </c>
      <c r="I118" s="53">
        <v>0</v>
      </c>
      <c r="J118" s="53">
        <v>0</v>
      </c>
    </row>
    <row r="119" spans="1:10">
      <c r="A119" s="22" t="s">
        <v>149</v>
      </c>
      <c r="B119" s="22" t="s">
        <v>17</v>
      </c>
      <c r="C119" s="22" t="s">
        <v>29</v>
      </c>
      <c r="D119" s="22">
        <v>0</v>
      </c>
      <c r="E119" s="22">
        <v>0</v>
      </c>
      <c r="I119" s="53">
        <v>0</v>
      </c>
      <c r="J119" s="53">
        <v>0</v>
      </c>
    </row>
    <row r="120" spans="1:10">
      <c r="A120" s="22" t="s">
        <v>150</v>
      </c>
      <c r="B120" s="22" t="s">
        <v>17</v>
      </c>
      <c r="C120" s="22" t="s">
        <v>41</v>
      </c>
      <c r="D120" s="22">
        <v>0</v>
      </c>
      <c r="E120" s="22">
        <v>0</v>
      </c>
      <c r="I120" s="53">
        <v>0</v>
      </c>
      <c r="J120" s="53">
        <v>0</v>
      </c>
    </row>
    <row r="121" spans="1:10">
      <c r="A121" s="22" t="s">
        <v>151</v>
      </c>
      <c r="B121" s="22" t="s">
        <v>17</v>
      </c>
      <c r="C121" s="22" t="s">
        <v>20</v>
      </c>
      <c r="D121" s="22">
        <v>0</v>
      </c>
      <c r="E121" s="22">
        <v>0</v>
      </c>
      <c r="I121" s="53">
        <v>0</v>
      </c>
      <c r="J121" s="53">
        <v>0</v>
      </c>
    </row>
    <row r="122" spans="1:10">
      <c r="A122" s="22" t="s">
        <v>152</v>
      </c>
      <c r="B122" s="22" t="s">
        <v>17</v>
      </c>
      <c r="C122" s="22" t="s">
        <v>29</v>
      </c>
      <c r="D122" s="22">
        <v>0</v>
      </c>
      <c r="E122" s="22">
        <v>0</v>
      </c>
      <c r="I122" s="53">
        <v>0</v>
      </c>
      <c r="J122" s="53">
        <v>0</v>
      </c>
    </row>
    <row r="123" spans="1:10">
      <c r="A123" s="22" t="s">
        <v>153</v>
      </c>
      <c r="B123" s="22" t="s">
        <v>17</v>
      </c>
      <c r="C123" s="22" t="s">
        <v>39</v>
      </c>
      <c r="D123" s="22">
        <v>0</v>
      </c>
      <c r="E123" s="22">
        <v>0</v>
      </c>
      <c r="I123" s="53">
        <v>0</v>
      </c>
      <c r="J123" s="53">
        <v>0</v>
      </c>
    </row>
    <row r="124" spans="1:10">
      <c r="A124" s="22" t="s">
        <v>154</v>
      </c>
      <c r="B124" s="22" t="s">
        <v>17</v>
      </c>
      <c r="C124" s="22" t="s">
        <v>39</v>
      </c>
      <c r="D124" s="22">
        <v>0</v>
      </c>
      <c r="E124" s="22">
        <v>0</v>
      </c>
      <c r="I124" s="53">
        <v>0</v>
      </c>
      <c r="J124" s="53">
        <v>0</v>
      </c>
    </row>
    <row r="125" spans="1:10">
      <c r="A125" s="22" t="s">
        <v>155</v>
      </c>
      <c r="B125" s="22" t="s">
        <v>17</v>
      </c>
      <c r="C125" s="22" t="s">
        <v>20</v>
      </c>
      <c r="D125" s="22">
        <v>0</v>
      </c>
      <c r="E125" s="22">
        <v>0</v>
      </c>
      <c r="I125" s="53">
        <v>0</v>
      </c>
      <c r="J125" s="53">
        <v>1</v>
      </c>
    </row>
    <row r="126" spans="1:10">
      <c r="A126" s="22" t="s">
        <v>156</v>
      </c>
      <c r="B126" s="22" t="s">
        <v>17</v>
      </c>
      <c r="C126" s="22" t="s">
        <v>25</v>
      </c>
      <c r="D126" s="22">
        <v>0</v>
      </c>
      <c r="E126" s="22">
        <v>0</v>
      </c>
      <c r="I126" s="53">
        <v>0</v>
      </c>
      <c r="J126" s="53">
        <v>0</v>
      </c>
    </row>
    <row r="127" spans="1:10">
      <c r="A127" s="22" t="s">
        <v>157</v>
      </c>
      <c r="B127" s="22" t="s">
        <v>17</v>
      </c>
      <c r="C127" s="22" t="s">
        <v>29</v>
      </c>
      <c r="D127" s="22">
        <v>0</v>
      </c>
      <c r="E127" s="22">
        <v>0</v>
      </c>
      <c r="I127" s="53">
        <v>0</v>
      </c>
      <c r="J127" s="53">
        <v>0</v>
      </c>
    </row>
    <row r="128" spans="1:10">
      <c r="A128" s="22" t="s">
        <v>158</v>
      </c>
      <c r="B128" s="22" t="s">
        <v>17</v>
      </c>
      <c r="C128" s="22" t="s">
        <v>20</v>
      </c>
      <c r="D128" s="22">
        <v>0</v>
      </c>
      <c r="E128" s="22">
        <v>0</v>
      </c>
      <c r="I128" s="53">
        <v>0</v>
      </c>
      <c r="J128" s="53">
        <v>0</v>
      </c>
    </row>
    <row r="129" spans="1:10">
      <c r="A129" s="22" t="s">
        <v>159</v>
      </c>
      <c r="B129" s="22" t="s">
        <v>17</v>
      </c>
      <c r="C129" s="22" t="s">
        <v>25</v>
      </c>
      <c r="D129" s="22">
        <v>0</v>
      </c>
      <c r="E129" s="22">
        <v>0</v>
      </c>
      <c r="I129" s="53">
        <v>0</v>
      </c>
      <c r="J129" s="53">
        <v>0</v>
      </c>
    </row>
    <row r="130" spans="1:10">
      <c r="A130" s="22" t="s">
        <v>160</v>
      </c>
      <c r="B130" s="22" t="s">
        <v>17</v>
      </c>
      <c r="C130" s="22" t="s">
        <v>39</v>
      </c>
      <c r="D130" s="22">
        <v>0</v>
      </c>
      <c r="E130" s="22">
        <v>0</v>
      </c>
      <c r="I130" s="53">
        <v>0</v>
      </c>
      <c r="J130" s="53">
        <v>1</v>
      </c>
    </row>
    <row r="131" spans="1:10">
      <c r="A131" s="22" t="s">
        <v>161</v>
      </c>
      <c r="B131" s="22" t="s">
        <v>17</v>
      </c>
      <c r="C131" s="22" t="s">
        <v>29</v>
      </c>
      <c r="D131" s="22">
        <v>0</v>
      </c>
      <c r="E131" s="22">
        <v>0</v>
      </c>
      <c r="I131" s="53">
        <v>0</v>
      </c>
      <c r="J131" s="53">
        <v>0</v>
      </c>
    </row>
    <row r="132" spans="1:10">
      <c r="A132" s="22" t="s">
        <v>162</v>
      </c>
      <c r="B132" s="22" t="s">
        <v>17</v>
      </c>
      <c r="C132" s="22" t="s">
        <v>25</v>
      </c>
      <c r="D132" s="22">
        <v>0</v>
      </c>
      <c r="E132" s="22">
        <v>0</v>
      </c>
      <c r="I132" s="53">
        <v>0</v>
      </c>
      <c r="J132" s="53">
        <v>0</v>
      </c>
    </row>
    <row r="133" spans="1:10">
      <c r="A133" s="22" t="s">
        <v>163</v>
      </c>
      <c r="B133" s="22" t="s">
        <v>17</v>
      </c>
      <c r="C133" s="22" t="s">
        <v>25</v>
      </c>
      <c r="D133" s="22">
        <v>0</v>
      </c>
      <c r="E133" s="22">
        <v>0</v>
      </c>
      <c r="I133" s="53">
        <v>0</v>
      </c>
      <c r="J133" s="53">
        <v>0</v>
      </c>
    </row>
    <row r="134" spans="1:10">
      <c r="A134" s="22" t="s">
        <v>164</v>
      </c>
      <c r="B134" s="22" t="s">
        <v>17</v>
      </c>
      <c r="C134" s="22" t="s">
        <v>29</v>
      </c>
      <c r="D134" s="22">
        <v>0</v>
      </c>
      <c r="E134" s="22">
        <v>0</v>
      </c>
      <c r="I134" s="53">
        <v>0</v>
      </c>
      <c r="J134" s="53">
        <v>0</v>
      </c>
    </row>
    <row r="135" spans="1:10">
      <c r="A135" s="22" t="s">
        <v>165</v>
      </c>
      <c r="B135" s="22" t="s">
        <v>17</v>
      </c>
      <c r="C135" s="22" t="s">
        <v>29</v>
      </c>
      <c r="D135" s="22">
        <v>0</v>
      </c>
      <c r="E135" s="22">
        <v>0</v>
      </c>
      <c r="I135" s="53">
        <v>0</v>
      </c>
      <c r="J135" s="53">
        <v>0</v>
      </c>
    </row>
    <row r="136" spans="1:10">
      <c r="A136" s="22" t="s">
        <v>166</v>
      </c>
      <c r="B136" s="22" t="s">
        <v>17</v>
      </c>
      <c r="C136" s="22" t="s">
        <v>25</v>
      </c>
      <c r="D136" s="22">
        <v>0</v>
      </c>
      <c r="E136" s="22">
        <v>0</v>
      </c>
      <c r="I136" s="53">
        <v>0</v>
      </c>
      <c r="J136" s="53">
        <v>1</v>
      </c>
    </row>
    <row r="137" spans="1:10">
      <c r="A137" s="22" t="s">
        <v>167</v>
      </c>
      <c r="B137" s="22" t="s">
        <v>17</v>
      </c>
      <c r="C137" s="22" t="s">
        <v>20</v>
      </c>
      <c r="D137" s="22">
        <v>0</v>
      </c>
      <c r="E137" s="22">
        <v>0</v>
      </c>
      <c r="I137" s="53">
        <v>0</v>
      </c>
      <c r="J137" s="53">
        <v>0</v>
      </c>
    </row>
    <row r="138" spans="1:10">
      <c r="A138" s="22" t="s">
        <v>168</v>
      </c>
      <c r="B138" s="22" t="s">
        <v>17</v>
      </c>
      <c r="C138" s="22" t="s">
        <v>29</v>
      </c>
      <c r="D138" s="22">
        <v>0</v>
      </c>
      <c r="E138" s="22">
        <v>0</v>
      </c>
      <c r="I138" s="53">
        <v>0</v>
      </c>
      <c r="J138" s="53">
        <v>0</v>
      </c>
    </row>
    <row r="139" spans="1:10">
      <c r="A139" s="22" t="s">
        <v>169</v>
      </c>
      <c r="B139" s="22" t="s">
        <v>17</v>
      </c>
      <c r="C139" s="22" t="s">
        <v>29</v>
      </c>
      <c r="D139" s="22">
        <v>0</v>
      </c>
      <c r="E139" s="22">
        <v>0</v>
      </c>
      <c r="I139" s="53">
        <v>0</v>
      </c>
      <c r="J139" s="53">
        <v>0</v>
      </c>
    </row>
    <row r="140" spans="1:10">
      <c r="A140" s="22" t="s">
        <v>170</v>
      </c>
      <c r="B140" s="22" t="s">
        <v>17</v>
      </c>
      <c r="C140" s="22" t="s">
        <v>41</v>
      </c>
      <c r="D140" s="22">
        <v>0</v>
      </c>
      <c r="E140" s="22">
        <v>0</v>
      </c>
      <c r="I140" s="53">
        <v>0</v>
      </c>
      <c r="J140" s="53">
        <v>0</v>
      </c>
    </row>
    <row r="141" spans="1:10">
      <c r="A141" s="22" t="s">
        <v>171</v>
      </c>
      <c r="B141" s="22" t="s">
        <v>17</v>
      </c>
      <c r="C141" s="22" t="s">
        <v>25</v>
      </c>
      <c r="D141" s="22">
        <v>0</v>
      </c>
      <c r="E141" s="22">
        <v>0</v>
      </c>
      <c r="I141" s="53">
        <v>0</v>
      </c>
      <c r="J141" s="53">
        <v>1</v>
      </c>
    </row>
    <row r="142" spans="1:10">
      <c r="A142" s="22" t="s">
        <v>172</v>
      </c>
      <c r="B142" s="22" t="s">
        <v>17</v>
      </c>
      <c r="C142" s="22" t="s">
        <v>25</v>
      </c>
      <c r="D142" s="22">
        <v>0</v>
      </c>
      <c r="E142" s="22">
        <v>0</v>
      </c>
      <c r="I142" s="53">
        <v>0</v>
      </c>
      <c r="J142" s="53">
        <v>0</v>
      </c>
    </row>
    <row r="143" spans="1:10">
      <c r="A143" s="22" t="s">
        <v>173</v>
      </c>
      <c r="B143" s="22" t="s">
        <v>17</v>
      </c>
      <c r="C143" s="22" t="s">
        <v>41</v>
      </c>
      <c r="D143" s="22">
        <v>1</v>
      </c>
      <c r="E143" s="22">
        <v>404.4</v>
      </c>
      <c r="I143" s="53">
        <v>1</v>
      </c>
      <c r="J143" s="53">
        <v>0</v>
      </c>
    </row>
    <row r="144" spans="1:10">
      <c r="A144" s="22" t="s">
        <v>174</v>
      </c>
      <c r="B144" s="22" t="s">
        <v>17</v>
      </c>
      <c r="C144" s="22" t="s">
        <v>29</v>
      </c>
      <c r="D144" s="22">
        <v>0</v>
      </c>
      <c r="E144" s="22">
        <v>0</v>
      </c>
      <c r="I144" s="53">
        <v>0</v>
      </c>
      <c r="J144" s="53">
        <v>1</v>
      </c>
    </row>
    <row r="145" spans="1:10">
      <c r="A145" s="22" t="s">
        <v>175</v>
      </c>
      <c r="B145" s="22" t="s">
        <v>17</v>
      </c>
      <c r="C145" s="22" t="s">
        <v>29</v>
      </c>
      <c r="D145" s="22">
        <v>0</v>
      </c>
      <c r="E145" s="22">
        <v>0</v>
      </c>
      <c r="I145" s="53">
        <v>0</v>
      </c>
      <c r="J145" s="53">
        <v>0</v>
      </c>
    </row>
    <row r="146" spans="1:10">
      <c r="A146" s="22" t="s">
        <v>176</v>
      </c>
      <c r="B146" s="22" t="s">
        <v>17</v>
      </c>
      <c r="C146" s="22" t="s">
        <v>25</v>
      </c>
      <c r="D146" s="22">
        <v>0</v>
      </c>
      <c r="E146" s="22">
        <v>0</v>
      </c>
      <c r="I146" s="53">
        <v>0</v>
      </c>
      <c r="J146" s="53">
        <v>0</v>
      </c>
    </row>
    <row r="147" spans="1:10">
      <c r="A147" s="22" t="s">
        <v>177</v>
      </c>
      <c r="B147" s="22" t="s">
        <v>17</v>
      </c>
      <c r="C147" s="22" t="s">
        <v>29</v>
      </c>
      <c r="D147" s="22">
        <v>0</v>
      </c>
      <c r="E147" s="22">
        <v>0</v>
      </c>
      <c r="I147" s="53">
        <v>0</v>
      </c>
      <c r="J147" s="53">
        <v>1</v>
      </c>
    </row>
    <row r="148" spans="1:10">
      <c r="A148" s="22" t="s">
        <v>178</v>
      </c>
      <c r="B148" s="22" t="s">
        <v>17</v>
      </c>
      <c r="C148" s="22" t="s">
        <v>25</v>
      </c>
      <c r="D148" s="22">
        <v>0</v>
      </c>
      <c r="E148" s="22">
        <v>0</v>
      </c>
      <c r="I148" s="53">
        <v>0</v>
      </c>
      <c r="J148" s="53">
        <v>1</v>
      </c>
    </row>
    <row r="149" spans="1:10">
      <c r="A149" s="22" t="s">
        <v>179</v>
      </c>
      <c r="B149" s="22" t="s">
        <v>17</v>
      </c>
      <c r="C149" s="22" t="s">
        <v>25</v>
      </c>
      <c r="D149" s="22">
        <v>0</v>
      </c>
      <c r="E149" s="22">
        <v>0</v>
      </c>
      <c r="I149" s="53">
        <v>0</v>
      </c>
      <c r="J149" s="53">
        <v>0</v>
      </c>
    </row>
    <row r="150" spans="1:10">
      <c r="A150" s="22" t="s">
        <v>180</v>
      </c>
      <c r="B150" s="22" t="s">
        <v>17</v>
      </c>
      <c r="C150" s="22" t="s">
        <v>25</v>
      </c>
      <c r="D150" s="22">
        <v>1</v>
      </c>
      <c r="E150" s="22">
        <v>577.94000000000005</v>
      </c>
      <c r="I150" s="53">
        <v>1</v>
      </c>
      <c r="J150" s="53">
        <v>0</v>
      </c>
    </row>
    <row r="151" spans="1:10">
      <c r="A151" s="22" t="s">
        <v>181</v>
      </c>
      <c r="B151" s="22" t="s">
        <v>17</v>
      </c>
      <c r="C151" s="22" t="s">
        <v>29</v>
      </c>
      <c r="D151" s="22">
        <v>0</v>
      </c>
      <c r="E151" s="22">
        <v>0</v>
      </c>
      <c r="I151" s="53">
        <v>0</v>
      </c>
      <c r="J151" s="53">
        <v>0</v>
      </c>
    </row>
    <row r="152" spans="1:10">
      <c r="A152" s="22" t="s">
        <v>182</v>
      </c>
      <c r="B152" s="22" t="s">
        <v>17</v>
      </c>
      <c r="C152" s="22" t="s">
        <v>41</v>
      </c>
      <c r="D152" s="22">
        <v>0</v>
      </c>
      <c r="E152" s="22">
        <v>0</v>
      </c>
      <c r="I152" s="53">
        <v>0</v>
      </c>
      <c r="J152" s="53">
        <v>0</v>
      </c>
    </row>
    <row r="153" spans="1:10">
      <c r="A153" s="22" t="s">
        <v>183</v>
      </c>
      <c r="B153" s="22" t="s">
        <v>17</v>
      </c>
      <c r="C153" s="22" t="s">
        <v>20</v>
      </c>
      <c r="D153" s="22">
        <v>0</v>
      </c>
      <c r="E153" s="22">
        <v>0</v>
      </c>
      <c r="I153" s="53">
        <v>0</v>
      </c>
      <c r="J153" s="53">
        <v>0</v>
      </c>
    </row>
    <row r="154" spans="1:10">
      <c r="A154" s="22" t="s">
        <v>184</v>
      </c>
      <c r="B154" s="22" t="s">
        <v>17</v>
      </c>
      <c r="C154" s="22" t="s">
        <v>29</v>
      </c>
      <c r="D154" s="22">
        <v>0</v>
      </c>
      <c r="E154" s="22">
        <v>0</v>
      </c>
      <c r="I154" s="53">
        <v>0</v>
      </c>
      <c r="J154" s="53">
        <v>0</v>
      </c>
    </row>
    <row r="155" spans="1:10">
      <c r="A155" s="22" t="s">
        <v>185</v>
      </c>
      <c r="B155" s="22" t="s">
        <v>17</v>
      </c>
      <c r="C155" s="22" t="s">
        <v>39</v>
      </c>
      <c r="D155" s="22">
        <v>0</v>
      </c>
      <c r="E155" s="22">
        <v>0</v>
      </c>
      <c r="I155" s="53">
        <v>0</v>
      </c>
      <c r="J155" s="53">
        <v>0</v>
      </c>
    </row>
    <row r="156" spans="1:10">
      <c r="A156" s="22" t="s">
        <v>186</v>
      </c>
      <c r="B156" s="22" t="s">
        <v>17</v>
      </c>
      <c r="C156" s="22" t="s">
        <v>29</v>
      </c>
      <c r="D156" s="22">
        <v>0</v>
      </c>
      <c r="E156" s="22">
        <v>0</v>
      </c>
      <c r="I156" s="53">
        <v>0</v>
      </c>
      <c r="J156" s="53">
        <v>0</v>
      </c>
    </row>
    <row r="157" spans="1:10">
      <c r="A157" s="22" t="s">
        <v>187</v>
      </c>
      <c r="B157" s="22" t="s">
        <v>17</v>
      </c>
      <c r="C157" s="22" t="s">
        <v>25</v>
      </c>
      <c r="D157" s="22">
        <v>0</v>
      </c>
      <c r="E157" s="22">
        <v>0</v>
      </c>
      <c r="I157" s="53">
        <v>0</v>
      </c>
      <c r="J157" s="53">
        <v>0</v>
      </c>
    </row>
    <row r="158" spans="1:10">
      <c r="A158" s="22" t="s">
        <v>188</v>
      </c>
      <c r="B158" s="22" t="s">
        <v>17</v>
      </c>
      <c r="C158" s="22" t="s">
        <v>25</v>
      </c>
      <c r="D158" s="22">
        <v>0</v>
      </c>
      <c r="E158" s="22">
        <v>0</v>
      </c>
      <c r="I158" s="53">
        <v>0</v>
      </c>
      <c r="J158" s="53">
        <v>0</v>
      </c>
    </row>
    <row r="159" spans="1:10">
      <c r="A159" s="22" t="s">
        <v>189</v>
      </c>
      <c r="B159" s="22" t="s">
        <v>17</v>
      </c>
      <c r="C159" s="22" t="s">
        <v>29</v>
      </c>
      <c r="D159" s="22">
        <v>0</v>
      </c>
      <c r="E159" s="22">
        <v>0</v>
      </c>
      <c r="I159" s="53">
        <v>0</v>
      </c>
      <c r="J159" s="53">
        <v>0</v>
      </c>
    </row>
    <row r="160" spans="1:10">
      <c r="A160" s="22" t="s">
        <v>190</v>
      </c>
      <c r="B160" s="22" t="s">
        <v>17</v>
      </c>
      <c r="C160" s="22" t="s">
        <v>25</v>
      </c>
      <c r="D160" s="22">
        <v>0</v>
      </c>
      <c r="E160" s="22">
        <v>0</v>
      </c>
      <c r="I160" s="53">
        <v>0</v>
      </c>
      <c r="J160" s="53">
        <v>0</v>
      </c>
    </row>
    <row r="161" spans="1:10">
      <c r="A161" s="22" t="s">
        <v>191</v>
      </c>
      <c r="B161" s="22" t="s">
        <v>17</v>
      </c>
      <c r="C161" s="22" t="s">
        <v>29</v>
      </c>
      <c r="D161" s="22">
        <v>0</v>
      </c>
      <c r="E161" s="22">
        <v>0</v>
      </c>
      <c r="I161" s="53">
        <v>0</v>
      </c>
      <c r="J161" s="53">
        <v>0</v>
      </c>
    </row>
    <row r="162" spans="1:10">
      <c r="A162" s="22" t="s">
        <v>192</v>
      </c>
      <c r="B162" s="22" t="s">
        <v>17</v>
      </c>
      <c r="C162" s="22" t="s">
        <v>41</v>
      </c>
      <c r="D162" s="22">
        <v>0</v>
      </c>
      <c r="E162" s="22">
        <v>0</v>
      </c>
      <c r="I162" s="53">
        <v>0</v>
      </c>
      <c r="J162" s="53">
        <v>0</v>
      </c>
    </row>
    <row r="163" spans="1:10">
      <c r="A163" s="22" t="s">
        <v>193</v>
      </c>
      <c r="B163" s="22" t="s">
        <v>17</v>
      </c>
      <c r="C163" s="22" t="s">
        <v>25</v>
      </c>
      <c r="D163" s="22">
        <v>0</v>
      </c>
      <c r="E163" s="22">
        <v>0</v>
      </c>
      <c r="I163" s="53">
        <v>0</v>
      </c>
      <c r="J163" s="53">
        <v>0</v>
      </c>
    </row>
    <row r="164" spans="1:10">
      <c r="A164" s="22" t="s">
        <v>194</v>
      </c>
      <c r="B164" s="22" t="s">
        <v>17</v>
      </c>
      <c r="C164" s="22" t="s">
        <v>25</v>
      </c>
      <c r="D164" s="22">
        <v>0</v>
      </c>
      <c r="E164" s="22">
        <v>0</v>
      </c>
      <c r="I164" s="53">
        <v>0</v>
      </c>
      <c r="J164" s="53">
        <v>0</v>
      </c>
    </row>
    <row r="165" spans="1:10">
      <c r="A165" s="22" t="s">
        <v>195</v>
      </c>
      <c r="B165" s="22" t="s">
        <v>17</v>
      </c>
      <c r="C165" s="22" t="s">
        <v>25</v>
      </c>
      <c r="D165" s="22">
        <v>0</v>
      </c>
      <c r="E165" s="22">
        <v>0</v>
      </c>
      <c r="I165" s="53">
        <v>0</v>
      </c>
      <c r="J165" s="53">
        <v>0</v>
      </c>
    </row>
    <row r="166" spans="1:10">
      <c r="A166" s="22" t="s">
        <v>196</v>
      </c>
      <c r="B166" s="22" t="s">
        <v>17</v>
      </c>
      <c r="C166" s="22" t="s">
        <v>41</v>
      </c>
      <c r="D166" s="22">
        <v>0</v>
      </c>
      <c r="E166" s="22">
        <v>0</v>
      </c>
      <c r="I166" s="53">
        <v>0</v>
      </c>
      <c r="J166" s="53">
        <v>1</v>
      </c>
    </row>
    <row r="167" spans="1:10">
      <c r="A167" s="22" t="s">
        <v>197</v>
      </c>
      <c r="B167" s="22" t="s">
        <v>17</v>
      </c>
      <c r="C167" s="22" t="s">
        <v>29</v>
      </c>
      <c r="D167" s="22">
        <v>1</v>
      </c>
      <c r="E167" s="22">
        <v>1281.25</v>
      </c>
      <c r="I167" s="53">
        <v>1</v>
      </c>
      <c r="J167" s="53">
        <v>0</v>
      </c>
    </row>
    <row r="168" spans="1:10">
      <c r="A168" s="22" t="s">
        <v>198</v>
      </c>
      <c r="B168" s="22" t="s">
        <v>17</v>
      </c>
      <c r="C168" s="22" t="s">
        <v>41</v>
      </c>
      <c r="D168" s="22">
        <v>0</v>
      </c>
      <c r="E168" s="22">
        <v>0</v>
      </c>
      <c r="I168" s="53">
        <v>0</v>
      </c>
      <c r="J168" s="53">
        <v>0</v>
      </c>
    </row>
    <row r="169" spans="1:10">
      <c r="A169" s="22" t="s">
        <v>199</v>
      </c>
      <c r="B169" s="22" t="s">
        <v>17</v>
      </c>
      <c r="C169" s="22" t="s">
        <v>29</v>
      </c>
      <c r="D169" s="22">
        <v>0</v>
      </c>
      <c r="E169" s="22">
        <v>0</v>
      </c>
      <c r="I169" s="53">
        <v>0</v>
      </c>
      <c r="J169" s="53">
        <v>0</v>
      </c>
    </row>
    <row r="170" spans="1:10">
      <c r="A170" s="22" t="s">
        <v>200</v>
      </c>
      <c r="B170" s="22" t="s">
        <v>17</v>
      </c>
      <c r="C170" s="22" t="s">
        <v>41</v>
      </c>
      <c r="D170" s="22">
        <v>0</v>
      </c>
      <c r="E170" s="22">
        <v>0</v>
      </c>
      <c r="I170" s="53">
        <v>0</v>
      </c>
      <c r="J170" s="53">
        <v>1</v>
      </c>
    </row>
    <row r="171" spans="1:10">
      <c r="A171" s="22" t="s">
        <v>201</v>
      </c>
      <c r="B171" s="22" t="s">
        <v>17</v>
      </c>
      <c r="C171" s="22" t="s">
        <v>25</v>
      </c>
      <c r="D171" s="22">
        <v>0</v>
      </c>
      <c r="E171" s="22">
        <v>0</v>
      </c>
      <c r="I171" s="53">
        <v>0</v>
      </c>
      <c r="J171" s="53">
        <v>0</v>
      </c>
    </row>
    <row r="172" spans="1:10">
      <c r="A172" s="22" t="s">
        <v>202</v>
      </c>
      <c r="B172" s="22" t="s">
        <v>17</v>
      </c>
      <c r="C172" s="22" t="s">
        <v>29</v>
      </c>
      <c r="D172" s="22">
        <v>0</v>
      </c>
      <c r="E172" s="22">
        <v>0</v>
      </c>
      <c r="I172" s="53">
        <v>0</v>
      </c>
      <c r="J172" s="53">
        <v>0</v>
      </c>
    </row>
    <row r="173" spans="1:10">
      <c r="A173" s="22" t="s">
        <v>203</v>
      </c>
      <c r="B173" s="22" t="s">
        <v>17</v>
      </c>
      <c r="C173" s="22" t="s">
        <v>25</v>
      </c>
      <c r="D173" s="22">
        <v>0</v>
      </c>
      <c r="E173" s="22">
        <v>0</v>
      </c>
      <c r="I173" s="53">
        <v>0</v>
      </c>
      <c r="J173" s="53">
        <v>0</v>
      </c>
    </row>
    <row r="174" spans="1:10">
      <c r="A174" s="22" t="s">
        <v>204</v>
      </c>
      <c r="B174" s="22" t="s">
        <v>17</v>
      </c>
      <c r="C174" s="22" t="s">
        <v>25</v>
      </c>
      <c r="D174" s="22">
        <v>0</v>
      </c>
      <c r="E174" s="22">
        <v>0</v>
      </c>
      <c r="I174" s="53">
        <v>0</v>
      </c>
      <c r="J174" s="53">
        <v>0</v>
      </c>
    </row>
    <row r="175" spans="1:10">
      <c r="A175" s="22" t="s">
        <v>205</v>
      </c>
      <c r="B175" s="22" t="s">
        <v>17</v>
      </c>
      <c r="C175" s="22" t="s">
        <v>20</v>
      </c>
      <c r="D175" s="22">
        <v>0</v>
      </c>
      <c r="E175" s="22">
        <v>0</v>
      </c>
      <c r="I175" s="53">
        <v>0</v>
      </c>
      <c r="J175" s="53">
        <v>0</v>
      </c>
    </row>
    <row r="176" spans="1:10">
      <c r="A176" s="22" t="s">
        <v>206</v>
      </c>
      <c r="B176" s="22" t="s">
        <v>17</v>
      </c>
      <c r="C176" s="22" t="s">
        <v>41</v>
      </c>
      <c r="D176" s="22">
        <v>0</v>
      </c>
      <c r="E176" s="22">
        <v>0</v>
      </c>
      <c r="I176" s="53">
        <v>0</v>
      </c>
      <c r="J176" s="53">
        <v>0</v>
      </c>
    </row>
    <row r="177" spans="1:10">
      <c r="A177" s="22" t="s">
        <v>207</v>
      </c>
      <c r="B177" s="22" t="s">
        <v>17</v>
      </c>
      <c r="C177" s="22" t="s">
        <v>39</v>
      </c>
      <c r="D177" s="22">
        <v>0</v>
      </c>
      <c r="E177" s="22">
        <v>0</v>
      </c>
      <c r="I177" s="53">
        <v>0</v>
      </c>
      <c r="J177" s="53">
        <v>0</v>
      </c>
    </row>
    <row r="178" spans="1:10">
      <c r="A178" s="22" t="s">
        <v>208</v>
      </c>
      <c r="B178" s="22" t="s">
        <v>17</v>
      </c>
      <c r="C178" s="22" t="s">
        <v>25</v>
      </c>
      <c r="D178" s="22">
        <v>0</v>
      </c>
      <c r="E178" s="22">
        <v>0</v>
      </c>
      <c r="I178" s="53">
        <v>0</v>
      </c>
      <c r="J178" s="53">
        <v>0</v>
      </c>
    </row>
    <row r="179" spans="1:10">
      <c r="A179" s="22" t="s">
        <v>209</v>
      </c>
      <c r="B179" s="22" t="s">
        <v>17</v>
      </c>
      <c r="C179" s="22" t="s">
        <v>25</v>
      </c>
      <c r="D179" s="22">
        <v>0</v>
      </c>
      <c r="E179" s="22">
        <v>0</v>
      </c>
      <c r="I179" s="53">
        <v>0</v>
      </c>
      <c r="J179" s="53">
        <v>0</v>
      </c>
    </row>
    <row r="180" spans="1:10">
      <c r="A180" s="22" t="s">
        <v>210</v>
      </c>
      <c r="B180" s="22" t="s">
        <v>17</v>
      </c>
      <c r="C180" s="22" t="s">
        <v>39</v>
      </c>
      <c r="D180" s="22">
        <v>0</v>
      </c>
      <c r="E180" s="22">
        <v>0</v>
      </c>
      <c r="I180" s="53">
        <v>0</v>
      </c>
      <c r="J180" s="53">
        <v>0</v>
      </c>
    </row>
    <row r="181" spans="1:10">
      <c r="A181" s="22" t="s">
        <v>211</v>
      </c>
      <c r="B181" s="22" t="s">
        <v>17</v>
      </c>
      <c r="C181" s="22" t="s">
        <v>29</v>
      </c>
      <c r="D181" s="22">
        <v>0</v>
      </c>
      <c r="E181" s="22">
        <v>0</v>
      </c>
      <c r="I181" s="53">
        <v>0</v>
      </c>
      <c r="J181" s="53">
        <v>0</v>
      </c>
    </row>
    <row r="182" spans="1:10">
      <c r="A182" s="22" t="s">
        <v>212</v>
      </c>
      <c r="B182" s="22" t="s">
        <v>17</v>
      </c>
      <c r="C182" s="22" t="s">
        <v>29</v>
      </c>
      <c r="D182" s="22">
        <v>0</v>
      </c>
      <c r="E182" s="22">
        <v>0</v>
      </c>
      <c r="I182" s="53">
        <v>0</v>
      </c>
      <c r="J182" s="53">
        <v>0</v>
      </c>
    </row>
    <row r="183" spans="1:10">
      <c r="A183" s="22" t="s">
        <v>213</v>
      </c>
      <c r="B183" s="22" t="s">
        <v>17</v>
      </c>
      <c r="C183" s="22" t="s">
        <v>25</v>
      </c>
      <c r="D183" s="22">
        <v>0</v>
      </c>
      <c r="E183" s="22">
        <v>0</v>
      </c>
      <c r="I183" s="53">
        <v>0</v>
      </c>
      <c r="J183" s="53">
        <v>0</v>
      </c>
    </row>
    <row r="184" spans="1:10">
      <c r="A184" s="22" t="s">
        <v>214</v>
      </c>
      <c r="B184" s="22" t="s">
        <v>17</v>
      </c>
      <c r="C184" s="22" t="s">
        <v>29</v>
      </c>
      <c r="D184" s="22">
        <v>0</v>
      </c>
      <c r="E184" s="22">
        <v>0</v>
      </c>
      <c r="I184" s="53">
        <v>0</v>
      </c>
      <c r="J184" s="53">
        <v>0</v>
      </c>
    </row>
    <row r="185" spans="1:10">
      <c r="A185" s="22" t="s">
        <v>215</v>
      </c>
      <c r="B185" s="22" t="s">
        <v>17</v>
      </c>
      <c r="C185" s="22" t="s">
        <v>25</v>
      </c>
      <c r="D185" s="22">
        <v>0</v>
      </c>
      <c r="E185" s="22">
        <v>0</v>
      </c>
      <c r="I185" s="53">
        <v>0</v>
      </c>
      <c r="J185" s="53">
        <v>0</v>
      </c>
    </row>
    <row r="186" spans="1:10">
      <c r="A186" s="22" t="s">
        <v>216</v>
      </c>
      <c r="B186" s="22" t="s">
        <v>17</v>
      </c>
      <c r="C186" s="22" t="s">
        <v>29</v>
      </c>
      <c r="D186" s="22">
        <v>0</v>
      </c>
      <c r="E186" s="22">
        <v>0</v>
      </c>
      <c r="I186" s="53">
        <v>0</v>
      </c>
      <c r="J186" s="53">
        <v>0</v>
      </c>
    </row>
    <row r="187" spans="1:10">
      <c r="A187" s="22" t="s">
        <v>217</v>
      </c>
      <c r="B187" s="22" t="s">
        <v>17</v>
      </c>
      <c r="C187" s="22" t="s">
        <v>20</v>
      </c>
      <c r="D187" s="22">
        <v>0</v>
      </c>
      <c r="E187" s="22">
        <v>0</v>
      </c>
      <c r="I187" s="53">
        <v>0</v>
      </c>
      <c r="J187" s="53">
        <v>0</v>
      </c>
    </row>
    <row r="188" spans="1:10">
      <c r="A188" s="22" t="s">
        <v>218</v>
      </c>
      <c r="B188" s="22" t="s">
        <v>17</v>
      </c>
      <c r="C188" s="22" t="s">
        <v>39</v>
      </c>
      <c r="D188" s="22">
        <v>0</v>
      </c>
      <c r="E188" s="22">
        <v>0</v>
      </c>
      <c r="I188" s="53">
        <v>0</v>
      </c>
      <c r="J188" s="53">
        <v>0</v>
      </c>
    </row>
    <row r="189" spans="1:10">
      <c r="A189" s="22" t="s">
        <v>219</v>
      </c>
      <c r="B189" s="22" t="s">
        <v>17</v>
      </c>
      <c r="C189" s="22" t="s">
        <v>29</v>
      </c>
      <c r="D189" s="22">
        <v>0</v>
      </c>
      <c r="E189" s="22">
        <v>0</v>
      </c>
      <c r="I189" s="53">
        <v>0</v>
      </c>
      <c r="J189" s="53">
        <v>0</v>
      </c>
    </row>
    <row r="190" spans="1:10">
      <c r="A190" s="22" t="s">
        <v>220</v>
      </c>
      <c r="B190" s="22" t="s">
        <v>17</v>
      </c>
      <c r="C190" s="22" t="s">
        <v>41</v>
      </c>
      <c r="D190" s="22">
        <v>0</v>
      </c>
      <c r="E190" s="22">
        <v>0</v>
      </c>
      <c r="I190" s="53">
        <v>0</v>
      </c>
      <c r="J190" s="53">
        <v>0</v>
      </c>
    </row>
    <row r="191" spans="1:10">
      <c r="A191" s="22" t="s">
        <v>221</v>
      </c>
      <c r="B191" s="22" t="s">
        <v>17</v>
      </c>
      <c r="C191" s="22" t="s">
        <v>20</v>
      </c>
      <c r="D191" s="22">
        <v>0</v>
      </c>
      <c r="E191" s="22">
        <v>0</v>
      </c>
      <c r="I191" s="53">
        <v>0</v>
      </c>
      <c r="J191" s="53">
        <v>0</v>
      </c>
    </row>
    <row r="192" spans="1:10">
      <c r="A192" s="22" t="s">
        <v>222</v>
      </c>
      <c r="B192" s="22" t="s">
        <v>17</v>
      </c>
      <c r="C192" s="22" t="s">
        <v>20</v>
      </c>
      <c r="D192" s="22">
        <v>0</v>
      </c>
      <c r="E192" s="22">
        <v>0</v>
      </c>
      <c r="I192" s="53">
        <v>0</v>
      </c>
      <c r="J192" s="53">
        <v>0</v>
      </c>
    </row>
    <row r="193" spans="1:10">
      <c r="A193" s="22" t="s">
        <v>223</v>
      </c>
      <c r="B193" s="22" t="s">
        <v>17</v>
      </c>
      <c r="C193" s="22" t="s">
        <v>25</v>
      </c>
      <c r="D193" s="22">
        <v>0</v>
      </c>
      <c r="E193" s="22">
        <v>0</v>
      </c>
      <c r="I193" s="53">
        <v>0</v>
      </c>
      <c r="J193" s="53">
        <v>0</v>
      </c>
    </row>
    <row r="194" spans="1:10">
      <c r="A194" s="22" t="s">
        <v>224</v>
      </c>
      <c r="B194" s="22" t="s">
        <v>17</v>
      </c>
      <c r="C194" s="22" t="s">
        <v>29</v>
      </c>
      <c r="D194" s="22">
        <v>0</v>
      </c>
      <c r="E194" s="22">
        <v>0</v>
      </c>
      <c r="I194" s="53">
        <v>0</v>
      </c>
      <c r="J194" s="53">
        <v>0</v>
      </c>
    </row>
    <row r="195" spans="1:10">
      <c r="A195" s="22" t="s">
        <v>225</v>
      </c>
      <c r="B195" s="22" t="s">
        <v>17</v>
      </c>
      <c r="C195" s="22" t="s">
        <v>29</v>
      </c>
      <c r="D195" s="22">
        <v>0</v>
      </c>
      <c r="E195" s="22">
        <v>0</v>
      </c>
      <c r="I195" s="53">
        <v>0</v>
      </c>
      <c r="J195" s="53">
        <v>0</v>
      </c>
    </row>
    <row r="196" spans="1:10">
      <c r="A196" s="22" t="s">
        <v>226</v>
      </c>
      <c r="B196" s="22" t="s">
        <v>17</v>
      </c>
      <c r="C196" s="22" t="s">
        <v>25</v>
      </c>
      <c r="D196" s="22">
        <v>0</v>
      </c>
      <c r="E196" s="22">
        <v>0</v>
      </c>
      <c r="I196" s="53">
        <v>0</v>
      </c>
      <c r="J196" s="53">
        <v>0</v>
      </c>
    </row>
    <row r="197" spans="1:10">
      <c r="A197" s="22" t="s">
        <v>227</v>
      </c>
      <c r="B197" s="22" t="s">
        <v>17</v>
      </c>
      <c r="C197" s="22" t="s">
        <v>39</v>
      </c>
      <c r="D197" s="22">
        <v>0</v>
      </c>
      <c r="E197" s="22">
        <v>0</v>
      </c>
      <c r="I197" s="53">
        <v>0</v>
      </c>
      <c r="J197" s="53">
        <v>0</v>
      </c>
    </row>
    <row r="198" spans="1:10">
      <c r="A198" s="22" t="s">
        <v>228</v>
      </c>
      <c r="B198" s="22" t="s">
        <v>17</v>
      </c>
      <c r="C198" s="22" t="s">
        <v>41</v>
      </c>
      <c r="D198" s="22">
        <v>1</v>
      </c>
      <c r="E198" s="22">
        <v>1052.8</v>
      </c>
      <c r="I198" s="53">
        <v>1</v>
      </c>
      <c r="J198" s="53">
        <v>0</v>
      </c>
    </row>
    <row r="199" spans="1:10">
      <c r="A199" s="22" t="s">
        <v>229</v>
      </c>
      <c r="B199" s="22" t="s">
        <v>17</v>
      </c>
      <c r="C199" s="22" t="s">
        <v>29</v>
      </c>
      <c r="D199" s="22">
        <v>0</v>
      </c>
      <c r="E199" s="22">
        <v>0</v>
      </c>
      <c r="I199" s="53">
        <v>0</v>
      </c>
      <c r="J199" s="53">
        <v>0</v>
      </c>
    </row>
    <row r="200" spans="1:10">
      <c r="A200" s="22" t="s">
        <v>230</v>
      </c>
      <c r="B200" s="22" t="s">
        <v>17</v>
      </c>
      <c r="C200" s="22" t="s">
        <v>25</v>
      </c>
      <c r="D200" s="22">
        <v>0</v>
      </c>
      <c r="E200" s="22">
        <v>0</v>
      </c>
      <c r="I200" s="53">
        <v>0</v>
      </c>
      <c r="J200" s="53">
        <v>1</v>
      </c>
    </row>
    <row r="201" spans="1:10">
      <c r="A201" s="22" t="s">
        <v>231</v>
      </c>
      <c r="B201" s="22" t="s">
        <v>17</v>
      </c>
      <c r="C201" s="22" t="s">
        <v>25</v>
      </c>
      <c r="D201" s="22">
        <v>0</v>
      </c>
      <c r="E201" s="22">
        <v>0</v>
      </c>
      <c r="I201" s="53">
        <v>0</v>
      </c>
      <c r="J201" s="53">
        <v>0</v>
      </c>
    </row>
    <row r="202" spans="1:10">
      <c r="A202" s="22" t="s">
        <v>232</v>
      </c>
      <c r="B202" s="22" t="s">
        <v>17</v>
      </c>
      <c r="C202" s="22" t="s">
        <v>25</v>
      </c>
      <c r="D202" s="22">
        <v>0</v>
      </c>
      <c r="E202" s="22">
        <v>0</v>
      </c>
      <c r="I202" s="53">
        <v>0</v>
      </c>
      <c r="J202" s="53">
        <v>0</v>
      </c>
    </row>
    <row r="203" spans="1:10">
      <c r="A203" s="22" t="s">
        <v>233</v>
      </c>
      <c r="B203" s="22" t="s">
        <v>17</v>
      </c>
      <c r="C203" s="22" t="s">
        <v>25</v>
      </c>
      <c r="D203" s="22">
        <v>0</v>
      </c>
      <c r="E203" s="22">
        <v>0</v>
      </c>
      <c r="I203" s="53">
        <v>0</v>
      </c>
      <c r="J203" s="53">
        <v>0</v>
      </c>
    </row>
    <row r="204" spans="1:10">
      <c r="A204" s="22" t="s">
        <v>234</v>
      </c>
      <c r="B204" s="22" t="s">
        <v>17</v>
      </c>
      <c r="C204" s="22" t="s">
        <v>29</v>
      </c>
      <c r="D204" s="22">
        <v>0</v>
      </c>
      <c r="E204" s="22">
        <v>0</v>
      </c>
      <c r="I204" s="53">
        <v>0</v>
      </c>
      <c r="J204" s="53">
        <v>0</v>
      </c>
    </row>
    <row r="205" spans="1:10">
      <c r="A205" s="22" t="s">
        <v>235</v>
      </c>
      <c r="B205" s="22" t="s">
        <v>17</v>
      </c>
      <c r="C205" s="22" t="s">
        <v>41</v>
      </c>
      <c r="D205" s="22">
        <v>0</v>
      </c>
      <c r="E205" s="22">
        <v>0</v>
      </c>
      <c r="I205" s="53">
        <v>0</v>
      </c>
      <c r="J205" s="53">
        <v>0</v>
      </c>
    </row>
    <row r="206" spans="1:10">
      <c r="A206" s="22" t="s">
        <v>236</v>
      </c>
      <c r="B206" s="22" t="s">
        <v>17</v>
      </c>
      <c r="C206" s="22" t="s">
        <v>25</v>
      </c>
      <c r="D206" s="22">
        <v>0</v>
      </c>
      <c r="E206" s="22">
        <v>0</v>
      </c>
      <c r="I206" s="53">
        <v>0</v>
      </c>
      <c r="J206" s="53">
        <v>0</v>
      </c>
    </row>
    <row r="207" spans="1:10">
      <c r="A207" s="22" t="s">
        <v>237</v>
      </c>
      <c r="B207" s="22" t="s">
        <v>17</v>
      </c>
      <c r="C207" s="22" t="s">
        <v>29</v>
      </c>
      <c r="D207" s="22">
        <v>0</v>
      </c>
      <c r="E207" s="22">
        <v>0</v>
      </c>
      <c r="I207" s="53">
        <v>0</v>
      </c>
      <c r="J207" s="53">
        <v>0</v>
      </c>
    </row>
    <row r="208" spans="1:10">
      <c r="A208" s="22" t="s">
        <v>238</v>
      </c>
      <c r="B208" s="22" t="s">
        <v>17</v>
      </c>
      <c r="C208" s="22" t="s">
        <v>29</v>
      </c>
      <c r="D208" s="22">
        <v>0</v>
      </c>
      <c r="E208" s="22">
        <v>0</v>
      </c>
      <c r="I208" s="53">
        <v>0</v>
      </c>
      <c r="J208" s="53">
        <v>0</v>
      </c>
    </row>
    <row r="209" spans="1:10">
      <c r="A209" s="22" t="s">
        <v>239</v>
      </c>
      <c r="B209" s="22" t="s">
        <v>17</v>
      </c>
      <c r="C209" s="22" t="s">
        <v>39</v>
      </c>
      <c r="D209" s="22">
        <v>0</v>
      </c>
      <c r="E209" s="22">
        <v>0</v>
      </c>
      <c r="I209" s="53">
        <v>0</v>
      </c>
      <c r="J209" s="53">
        <v>0</v>
      </c>
    </row>
    <row r="210" spans="1:10">
      <c r="A210" s="22" t="s">
        <v>240</v>
      </c>
      <c r="B210" s="22" t="s">
        <v>17</v>
      </c>
      <c r="C210" s="22" t="s">
        <v>25</v>
      </c>
      <c r="D210" s="22">
        <v>0</v>
      </c>
      <c r="E210" s="22">
        <v>0</v>
      </c>
      <c r="I210" s="53">
        <v>0</v>
      </c>
      <c r="J210" s="53">
        <v>0</v>
      </c>
    </row>
    <row r="211" spans="1:10">
      <c r="A211" s="22" t="s">
        <v>241</v>
      </c>
      <c r="B211" s="22" t="s">
        <v>17</v>
      </c>
      <c r="C211" s="22" t="s">
        <v>20</v>
      </c>
      <c r="D211" s="22">
        <v>0</v>
      </c>
      <c r="E211" s="22">
        <v>0</v>
      </c>
      <c r="I211" s="53">
        <v>0</v>
      </c>
      <c r="J211" s="53">
        <v>0</v>
      </c>
    </row>
    <row r="212" spans="1:10">
      <c r="A212" s="22" t="s">
        <v>242</v>
      </c>
      <c r="B212" s="22" t="s">
        <v>17</v>
      </c>
      <c r="C212" s="22" t="s">
        <v>39</v>
      </c>
      <c r="D212" s="22">
        <v>1</v>
      </c>
      <c r="E212" s="22">
        <v>553.37</v>
      </c>
      <c r="I212" s="53">
        <v>1</v>
      </c>
      <c r="J212" s="53">
        <v>0</v>
      </c>
    </row>
    <row r="213" spans="1:10">
      <c r="A213" s="22" t="s">
        <v>243</v>
      </c>
      <c r="B213" s="22" t="s">
        <v>17</v>
      </c>
      <c r="C213" s="22" t="s">
        <v>25</v>
      </c>
      <c r="D213" s="22">
        <v>0</v>
      </c>
      <c r="E213" s="22">
        <v>0</v>
      </c>
      <c r="I213" s="53">
        <v>0</v>
      </c>
      <c r="J213" s="53">
        <v>0</v>
      </c>
    </row>
    <row r="214" spans="1:10">
      <c r="A214" s="22" t="s">
        <v>244</v>
      </c>
      <c r="B214" s="22" t="s">
        <v>17</v>
      </c>
      <c r="C214" s="22" t="s">
        <v>25</v>
      </c>
      <c r="D214" s="22">
        <v>0</v>
      </c>
      <c r="E214" s="22">
        <v>0</v>
      </c>
      <c r="I214" s="53">
        <v>0</v>
      </c>
      <c r="J214" s="53">
        <v>0</v>
      </c>
    </row>
    <row r="215" spans="1:10">
      <c r="A215" s="22" t="s">
        <v>245</v>
      </c>
      <c r="B215" s="22" t="s">
        <v>17</v>
      </c>
      <c r="C215" s="22" t="s">
        <v>29</v>
      </c>
      <c r="D215" s="22">
        <v>0</v>
      </c>
      <c r="E215" s="22">
        <v>0</v>
      </c>
      <c r="I215" s="53">
        <v>0</v>
      </c>
      <c r="J215" s="53">
        <v>0</v>
      </c>
    </row>
    <row r="216" spans="1:10">
      <c r="A216" s="22" t="s">
        <v>246</v>
      </c>
      <c r="B216" s="22" t="s">
        <v>17</v>
      </c>
      <c r="C216" s="22" t="s">
        <v>20</v>
      </c>
      <c r="D216" s="22">
        <v>0</v>
      </c>
      <c r="E216" s="22">
        <v>0</v>
      </c>
      <c r="I216" s="53">
        <v>0</v>
      </c>
      <c r="J216" s="53">
        <v>1</v>
      </c>
    </row>
    <row r="217" spans="1:10">
      <c r="A217" s="22" t="s">
        <v>247</v>
      </c>
      <c r="B217" s="22" t="s">
        <v>17</v>
      </c>
      <c r="C217" s="22" t="s">
        <v>41</v>
      </c>
      <c r="D217" s="22">
        <v>0</v>
      </c>
      <c r="E217" s="22">
        <v>0</v>
      </c>
      <c r="I217" s="53">
        <v>0</v>
      </c>
      <c r="J217" s="53">
        <v>0</v>
      </c>
    </row>
    <row r="218" spans="1:10">
      <c r="A218" s="22" t="s">
        <v>248</v>
      </c>
      <c r="B218" s="22" t="s">
        <v>17</v>
      </c>
      <c r="C218" s="22" t="s">
        <v>29</v>
      </c>
      <c r="D218" s="22">
        <v>0</v>
      </c>
      <c r="E218" s="22">
        <v>0</v>
      </c>
      <c r="I218" s="53">
        <v>0</v>
      </c>
      <c r="J218" s="53">
        <v>0</v>
      </c>
    </row>
    <row r="219" spans="1:10">
      <c r="A219" s="22" t="s">
        <v>249</v>
      </c>
      <c r="B219" s="22" t="s">
        <v>17</v>
      </c>
      <c r="C219" s="22" t="s">
        <v>41</v>
      </c>
      <c r="D219" s="22">
        <v>0</v>
      </c>
      <c r="E219" s="22">
        <v>0</v>
      </c>
      <c r="I219" s="53">
        <v>0</v>
      </c>
      <c r="J219" s="53">
        <v>0</v>
      </c>
    </row>
    <row r="220" spans="1:10">
      <c r="A220" s="22" t="s">
        <v>250</v>
      </c>
      <c r="B220" s="22" t="s">
        <v>17</v>
      </c>
      <c r="C220" s="22" t="s">
        <v>29</v>
      </c>
      <c r="D220" s="22">
        <v>0</v>
      </c>
      <c r="E220" s="22">
        <v>0</v>
      </c>
      <c r="I220" s="53">
        <v>0</v>
      </c>
      <c r="J220" s="53">
        <v>0</v>
      </c>
    </row>
    <row r="221" spans="1:10">
      <c r="A221" s="22" t="s">
        <v>251</v>
      </c>
      <c r="B221" s="22" t="s">
        <v>17</v>
      </c>
      <c r="C221" s="22" t="s">
        <v>29</v>
      </c>
      <c r="D221" s="22">
        <v>0</v>
      </c>
      <c r="E221" s="22">
        <v>0</v>
      </c>
      <c r="I221" s="53">
        <v>0</v>
      </c>
      <c r="J221" s="53">
        <v>0</v>
      </c>
    </row>
    <row r="222" spans="1:10">
      <c r="A222" s="22" t="s">
        <v>252</v>
      </c>
      <c r="B222" s="22" t="s">
        <v>17</v>
      </c>
      <c r="C222" s="22" t="s">
        <v>39</v>
      </c>
      <c r="D222" s="22">
        <v>0</v>
      </c>
      <c r="E222" s="22">
        <v>0</v>
      </c>
      <c r="I222" s="53">
        <v>0</v>
      </c>
      <c r="J222" s="53">
        <v>0</v>
      </c>
    </row>
    <row r="223" spans="1:10">
      <c r="A223" s="22" t="s">
        <v>253</v>
      </c>
      <c r="B223" s="22" t="s">
        <v>17</v>
      </c>
      <c r="C223" s="22" t="s">
        <v>41</v>
      </c>
      <c r="D223" s="22">
        <v>0</v>
      </c>
      <c r="E223" s="22">
        <v>0</v>
      </c>
      <c r="I223" s="53">
        <v>0</v>
      </c>
      <c r="J223" s="53">
        <v>0</v>
      </c>
    </row>
    <row r="224" spans="1:10">
      <c r="A224" s="22" t="s">
        <v>254</v>
      </c>
      <c r="B224" s="22" t="s">
        <v>17</v>
      </c>
      <c r="C224" s="22" t="s">
        <v>20</v>
      </c>
      <c r="D224" s="22">
        <v>0</v>
      </c>
      <c r="E224" s="22">
        <v>0</v>
      </c>
      <c r="I224" s="53">
        <v>0</v>
      </c>
      <c r="J224" s="53">
        <v>0</v>
      </c>
    </row>
    <row r="225" spans="1:10">
      <c r="A225" s="22" t="s">
        <v>255</v>
      </c>
      <c r="B225" s="22" t="s">
        <v>17</v>
      </c>
      <c r="C225" s="22" t="s">
        <v>25</v>
      </c>
      <c r="D225" s="22">
        <v>0</v>
      </c>
      <c r="E225" s="22">
        <v>0</v>
      </c>
      <c r="I225" s="53">
        <v>0</v>
      </c>
      <c r="J225" s="53">
        <v>0</v>
      </c>
    </row>
    <row r="226" spans="1:10">
      <c r="A226" s="22" t="s">
        <v>256</v>
      </c>
      <c r="B226" s="22" t="s">
        <v>17</v>
      </c>
      <c r="C226" s="22" t="s">
        <v>39</v>
      </c>
      <c r="D226" s="22">
        <v>0</v>
      </c>
      <c r="E226" s="22">
        <v>0</v>
      </c>
      <c r="I226" s="53">
        <v>0</v>
      </c>
      <c r="J226" s="53">
        <v>0</v>
      </c>
    </row>
    <row r="227" spans="1:10">
      <c r="A227" s="22" t="s">
        <v>257</v>
      </c>
      <c r="B227" s="22" t="s">
        <v>17</v>
      </c>
      <c r="C227" s="22" t="s">
        <v>25</v>
      </c>
      <c r="D227" s="22">
        <v>0</v>
      </c>
      <c r="E227" s="22">
        <v>0</v>
      </c>
      <c r="I227" s="53">
        <v>0</v>
      </c>
      <c r="J227" s="53">
        <v>0</v>
      </c>
    </row>
    <row r="228" spans="1:10">
      <c r="A228" s="22" t="s">
        <v>258</v>
      </c>
      <c r="B228" s="22" t="s">
        <v>17</v>
      </c>
      <c r="C228" s="22" t="s">
        <v>20</v>
      </c>
      <c r="D228" s="22">
        <v>0</v>
      </c>
      <c r="E228" s="22">
        <v>0</v>
      </c>
      <c r="I228" s="53">
        <v>0</v>
      </c>
      <c r="J228" s="53">
        <v>0</v>
      </c>
    </row>
    <row r="229" spans="1:10">
      <c r="A229" s="22" t="s">
        <v>259</v>
      </c>
      <c r="B229" s="22" t="s">
        <v>17</v>
      </c>
      <c r="C229" s="22" t="s">
        <v>25</v>
      </c>
      <c r="D229" s="22">
        <v>0</v>
      </c>
      <c r="E229" s="22">
        <v>0</v>
      </c>
      <c r="I229" s="53">
        <v>0</v>
      </c>
      <c r="J229" s="53">
        <v>0</v>
      </c>
    </row>
    <row r="230" spans="1:10">
      <c r="A230" s="22" t="s">
        <v>260</v>
      </c>
      <c r="B230" s="22" t="s">
        <v>17</v>
      </c>
      <c r="C230" s="22" t="s">
        <v>25</v>
      </c>
      <c r="D230" s="22">
        <v>0</v>
      </c>
      <c r="E230" s="22">
        <v>0</v>
      </c>
      <c r="I230" s="53">
        <v>0</v>
      </c>
      <c r="J230" s="53">
        <v>0</v>
      </c>
    </row>
    <row r="231" spans="1:10">
      <c r="A231" s="22" t="s">
        <v>261</v>
      </c>
      <c r="B231" s="22" t="s">
        <v>17</v>
      </c>
      <c r="C231" s="22" t="s">
        <v>25</v>
      </c>
      <c r="D231" s="22">
        <v>0</v>
      </c>
      <c r="E231" s="22">
        <v>0</v>
      </c>
      <c r="I231" s="53">
        <v>0</v>
      </c>
      <c r="J231" s="53">
        <v>0</v>
      </c>
    </row>
    <row r="232" spans="1:10">
      <c r="A232" s="22" t="s">
        <v>262</v>
      </c>
      <c r="B232" s="22" t="s">
        <v>17</v>
      </c>
      <c r="C232" s="22" t="s">
        <v>41</v>
      </c>
      <c r="D232" s="22">
        <v>0</v>
      </c>
      <c r="E232" s="22">
        <v>0</v>
      </c>
      <c r="I232" s="53">
        <v>0</v>
      </c>
      <c r="J232" s="53">
        <v>1</v>
      </c>
    </row>
    <row r="233" spans="1:10">
      <c r="A233" s="22" t="s">
        <v>263</v>
      </c>
      <c r="B233" s="22" t="s">
        <v>17</v>
      </c>
      <c r="C233" s="22" t="s">
        <v>25</v>
      </c>
      <c r="D233" s="22">
        <v>0</v>
      </c>
      <c r="E233" s="22">
        <v>0</v>
      </c>
      <c r="I233" s="53">
        <v>0</v>
      </c>
      <c r="J233" s="53">
        <v>0</v>
      </c>
    </row>
    <row r="234" spans="1:10">
      <c r="A234" s="22" t="s">
        <v>264</v>
      </c>
      <c r="B234" s="22" t="s">
        <v>17</v>
      </c>
      <c r="C234" s="22" t="s">
        <v>25</v>
      </c>
      <c r="D234" s="22">
        <v>0</v>
      </c>
      <c r="E234" s="22">
        <v>0</v>
      </c>
      <c r="I234" s="53">
        <v>0</v>
      </c>
      <c r="J234" s="53">
        <v>0</v>
      </c>
    </row>
    <row r="235" spans="1:10">
      <c r="A235" s="22" t="s">
        <v>265</v>
      </c>
      <c r="B235" s="22" t="s">
        <v>17</v>
      </c>
      <c r="C235" s="22" t="s">
        <v>25</v>
      </c>
      <c r="D235" s="22">
        <v>0</v>
      </c>
      <c r="E235" s="22">
        <v>0</v>
      </c>
      <c r="I235" s="53">
        <v>0</v>
      </c>
      <c r="J235" s="53">
        <v>0</v>
      </c>
    </row>
    <row r="236" spans="1:10">
      <c r="A236" s="22" t="s">
        <v>266</v>
      </c>
      <c r="B236" s="22" t="s">
        <v>17</v>
      </c>
      <c r="C236" s="22" t="s">
        <v>25</v>
      </c>
      <c r="D236" s="22">
        <v>0</v>
      </c>
      <c r="E236" s="22">
        <v>0</v>
      </c>
      <c r="I236" s="53">
        <v>0</v>
      </c>
      <c r="J236" s="53">
        <v>0</v>
      </c>
    </row>
    <row r="237" spans="1:10">
      <c r="A237" s="22" t="s">
        <v>267</v>
      </c>
      <c r="B237" s="22" t="s">
        <v>17</v>
      </c>
      <c r="C237" s="22" t="s">
        <v>41</v>
      </c>
      <c r="D237" s="22">
        <v>0</v>
      </c>
      <c r="E237" s="22">
        <v>0</v>
      </c>
      <c r="I237" s="53">
        <v>0</v>
      </c>
      <c r="J237" s="53">
        <v>0</v>
      </c>
    </row>
    <row r="238" spans="1:10">
      <c r="A238" s="22" t="s">
        <v>268</v>
      </c>
      <c r="B238" s="22" t="s">
        <v>17</v>
      </c>
      <c r="C238" s="22" t="s">
        <v>25</v>
      </c>
      <c r="D238" s="22">
        <v>0</v>
      </c>
      <c r="E238" s="22">
        <v>0</v>
      </c>
      <c r="I238" s="53">
        <v>0</v>
      </c>
      <c r="J238" s="53">
        <v>0</v>
      </c>
    </row>
    <row r="239" spans="1:10">
      <c r="A239" s="22" t="s">
        <v>269</v>
      </c>
      <c r="B239" s="22" t="s">
        <v>17</v>
      </c>
      <c r="C239" s="22" t="s">
        <v>41</v>
      </c>
      <c r="D239" s="22">
        <v>0</v>
      </c>
      <c r="E239" s="22">
        <v>0</v>
      </c>
      <c r="I239" s="53">
        <v>0</v>
      </c>
      <c r="J239" s="53">
        <v>0</v>
      </c>
    </row>
    <row r="240" spans="1:10">
      <c r="A240" s="22" t="s">
        <v>270</v>
      </c>
      <c r="B240" s="22" t="s">
        <v>17</v>
      </c>
      <c r="C240" s="22" t="s">
        <v>41</v>
      </c>
      <c r="D240" s="22">
        <v>0</v>
      </c>
      <c r="E240" s="22">
        <v>0</v>
      </c>
      <c r="I240" s="53">
        <v>0</v>
      </c>
      <c r="J240" s="53">
        <v>0</v>
      </c>
    </row>
    <row r="241" spans="1:10">
      <c r="A241" s="22" t="s">
        <v>271</v>
      </c>
      <c r="B241" s="22" t="s">
        <v>17</v>
      </c>
      <c r="C241" s="22" t="s">
        <v>39</v>
      </c>
      <c r="D241" s="22">
        <v>0</v>
      </c>
      <c r="E241" s="22">
        <v>0</v>
      </c>
      <c r="I241" s="53">
        <v>0</v>
      </c>
      <c r="J241" s="53">
        <v>0</v>
      </c>
    </row>
    <row r="242" spans="1:10">
      <c r="A242" s="22" t="s">
        <v>272</v>
      </c>
      <c r="B242" s="22" t="s">
        <v>17</v>
      </c>
      <c r="C242" s="22" t="s">
        <v>20</v>
      </c>
      <c r="D242" s="22">
        <v>0</v>
      </c>
      <c r="E242" s="22">
        <v>0</v>
      </c>
      <c r="I242" s="53">
        <v>0</v>
      </c>
      <c r="J242" s="53">
        <v>1</v>
      </c>
    </row>
    <row r="243" spans="1:10">
      <c r="A243" s="22" t="s">
        <v>273</v>
      </c>
      <c r="B243" s="22" t="s">
        <v>17</v>
      </c>
      <c r="C243" s="22" t="s">
        <v>25</v>
      </c>
      <c r="D243" s="22">
        <v>0</v>
      </c>
      <c r="E243" s="22">
        <v>0</v>
      </c>
      <c r="I243" s="53">
        <v>0</v>
      </c>
      <c r="J243" s="53">
        <v>0</v>
      </c>
    </row>
    <row r="244" spans="1:10">
      <c r="A244" s="22" t="s">
        <v>274</v>
      </c>
      <c r="B244" s="22" t="s">
        <v>17</v>
      </c>
      <c r="C244" s="22" t="s">
        <v>25</v>
      </c>
      <c r="D244" s="22">
        <v>0</v>
      </c>
      <c r="E244" s="22">
        <v>0</v>
      </c>
      <c r="I244" s="53">
        <v>0</v>
      </c>
      <c r="J244" s="53">
        <v>0</v>
      </c>
    </row>
    <row r="245" spans="1:10">
      <c r="A245" s="22" t="s">
        <v>275</v>
      </c>
      <c r="B245" s="22" t="s">
        <v>17</v>
      </c>
      <c r="C245" s="22" t="s">
        <v>41</v>
      </c>
      <c r="D245" s="22">
        <v>0</v>
      </c>
      <c r="E245" s="22">
        <v>0</v>
      </c>
      <c r="I245" s="53">
        <v>0</v>
      </c>
      <c r="J245" s="53">
        <v>0</v>
      </c>
    </row>
    <row r="246" spans="1:10">
      <c r="A246" s="22" t="s">
        <v>276</v>
      </c>
      <c r="B246" s="22" t="s">
        <v>17</v>
      </c>
      <c r="C246" s="22" t="s">
        <v>41</v>
      </c>
      <c r="D246" s="22">
        <v>0</v>
      </c>
      <c r="E246" s="22">
        <v>0</v>
      </c>
      <c r="I246" s="53">
        <v>0</v>
      </c>
      <c r="J246" s="53">
        <v>0</v>
      </c>
    </row>
    <row r="247" spans="1:10">
      <c r="A247" s="22" t="s">
        <v>277</v>
      </c>
      <c r="B247" s="22" t="s">
        <v>17</v>
      </c>
      <c r="C247" s="22" t="s">
        <v>29</v>
      </c>
      <c r="D247" s="22">
        <v>0</v>
      </c>
      <c r="E247" s="22">
        <v>0</v>
      </c>
      <c r="I247" s="53">
        <v>0</v>
      </c>
      <c r="J247" s="53">
        <v>0</v>
      </c>
    </row>
    <row r="248" spans="1:10">
      <c r="A248" s="22" t="s">
        <v>278</v>
      </c>
      <c r="B248" s="22" t="s">
        <v>17</v>
      </c>
      <c r="C248" s="22" t="s">
        <v>39</v>
      </c>
      <c r="D248" s="22">
        <v>0</v>
      </c>
      <c r="E248" s="22">
        <v>0</v>
      </c>
      <c r="I248" s="53">
        <v>0</v>
      </c>
      <c r="J248" s="53">
        <v>0</v>
      </c>
    </row>
    <row r="249" spans="1:10">
      <c r="A249" s="22" t="s">
        <v>279</v>
      </c>
      <c r="B249" s="22" t="s">
        <v>17</v>
      </c>
      <c r="C249" s="22" t="s">
        <v>29</v>
      </c>
      <c r="D249" s="22">
        <v>0</v>
      </c>
      <c r="E249" s="22">
        <v>0</v>
      </c>
      <c r="I249" s="53">
        <v>0</v>
      </c>
      <c r="J249" s="53">
        <v>0</v>
      </c>
    </row>
    <row r="250" spans="1:10">
      <c r="A250" s="22" t="s">
        <v>280</v>
      </c>
      <c r="B250" s="22" t="s">
        <v>17</v>
      </c>
      <c r="C250" s="22" t="s">
        <v>41</v>
      </c>
      <c r="D250" s="22">
        <v>0</v>
      </c>
      <c r="E250" s="22">
        <v>0</v>
      </c>
      <c r="I250" s="53">
        <v>0</v>
      </c>
      <c r="J250" s="53">
        <v>0</v>
      </c>
    </row>
    <row r="251" spans="1:10">
      <c r="A251" s="22" t="s">
        <v>281</v>
      </c>
      <c r="B251" s="22" t="s">
        <v>17</v>
      </c>
      <c r="C251" s="22" t="s">
        <v>20</v>
      </c>
      <c r="D251" s="22">
        <v>0</v>
      </c>
      <c r="E251" s="22">
        <v>0</v>
      </c>
      <c r="I251" s="53">
        <v>0</v>
      </c>
      <c r="J251" s="53">
        <v>0</v>
      </c>
    </row>
    <row r="252" spans="1:10">
      <c r="A252" s="22" t="s">
        <v>282</v>
      </c>
      <c r="B252" s="22" t="s">
        <v>17</v>
      </c>
      <c r="C252" s="22" t="s">
        <v>20</v>
      </c>
      <c r="D252" s="22">
        <v>1</v>
      </c>
      <c r="E252" s="22">
        <v>1250.78</v>
      </c>
      <c r="I252" s="53">
        <v>1</v>
      </c>
      <c r="J252" s="53">
        <v>0</v>
      </c>
    </row>
    <row r="253" spans="1:10">
      <c r="A253" s="22" t="s">
        <v>283</v>
      </c>
      <c r="B253" s="22" t="s">
        <v>17</v>
      </c>
      <c r="C253" s="22" t="s">
        <v>25</v>
      </c>
      <c r="D253" s="22">
        <v>0</v>
      </c>
      <c r="E253" s="22">
        <v>0</v>
      </c>
      <c r="I253" s="53">
        <v>0</v>
      </c>
      <c r="J253" s="53">
        <v>0</v>
      </c>
    </row>
    <row r="254" spans="1:10">
      <c r="A254" s="22" t="s">
        <v>284</v>
      </c>
      <c r="B254" s="22" t="s">
        <v>17</v>
      </c>
      <c r="C254" s="22" t="s">
        <v>25</v>
      </c>
      <c r="D254" s="22">
        <v>0</v>
      </c>
      <c r="E254" s="22">
        <v>0</v>
      </c>
      <c r="I254" s="53">
        <v>0</v>
      </c>
      <c r="J254" s="53">
        <v>1</v>
      </c>
    </row>
    <row r="255" spans="1:10">
      <c r="A255" s="22" t="s">
        <v>285</v>
      </c>
      <c r="B255" s="22" t="s">
        <v>17</v>
      </c>
      <c r="C255" s="22" t="s">
        <v>29</v>
      </c>
      <c r="D255" s="22">
        <v>0</v>
      </c>
      <c r="E255" s="22">
        <v>0</v>
      </c>
      <c r="I255" s="53">
        <v>0</v>
      </c>
      <c r="J255" s="53">
        <v>0</v>
      </c>
    </row>
    <row r="256" spans="1:10">
      <c r="A256" s="22" t="s">
        <v>286</v>
      </c>
      <c r="B256" s="22" t="s">
        <v>17</v>
      </c>
      <c r="C256" s="22" t="s">
        <v>29</v>
      </c>
      <c r="D256" s="22">
        <v>0</v>
      </c>
      <c r="E256" s="22">
        <v>0</v>
      </c>
      <c r="I256" s="53">
        <v>0</v>
      </c>
      <c r="J256" s="53">
        <v>0</v>
      </c>
    </row>
    <row r="257" spans="1:10">
      <c r="A257" s="22" t="s">
        <v>287</v>
      </c>
      <c r="B257" s="22" t="s">
        <v>17</v>
      </c>
      <c r="C257" s="22" t="s">
        <v>29</v>
      </c>
      <c r="D257" s="22">
        <v>0</v>
      </c>
      <c r="E257" s="22">
        <v>0</v>
      </c>
      <c r="I257" s="53">
        <v>0</v>
      </c>
      <c r="J257" s="53">
        <v>0</v>
      </c>
    </row>
    <row r="258" spans="1:10">
      <c r="A258" s="22" t="s">
        <v>288</v>
      </c>
      <c r="B258" s="22" t="s">
        <v>17</v>
      </c>
      <c r="C258" s="22" t="s">
        <v>20</v>
      </c>
      <c r="D258" s="22">
        <v>0</v>
      </c>
      <c r="E258" s="22">
        <v>0</v>
      </c>
      <c r="I258" s="53">
        <v>0</v>
      </c>
      <c r="J258" s="53">
        <v>0</v>
      </c>
    </row>
    <row r="259" spans="1:10">
      <c r="A259" s="22" t="s">
        <v>289</v>
      </c>
      <c r="B259" s="22" t="s">
        <v>17</v>
      </c>
      <c r="C259" s="22" t="s">
        <v>29</v>
      </c>
      <c r="D259" s="22">
        <v>0</v>
      </c>
      <c r="E259" s="22">
        <v>0</v>
      </c>
      <c r="I259" s="53">
        <v>0</v>
      </c>
      <c r="J259" s="53">
        <v>1</v>
      </c>
    </row>
    <row r="260" spans="1:10">
      <c r="A260" s="22" t="s">
        <v>290</v>
      </c>
      <c r="B260" s="22" t="s">
        <v>17</v>
      </c>
      <c r="C260" s="22" t="s">
        <v>25</v>
      </c>
      <c r="D260" s="22">
        <v>0</v>
      </c>
      <c r="E260" s="22">
        <v>0</v>
      </c>
      <c r="I260" s="53">
        <v>0</v>
      </c>
      <c r="J260" s="53">
        <v>0</v>
      </c>
    </row>
    <row r="261" spans="1:10">
      <c r="A261" s="22" t="s">
        <v>291</v>
      </c>
      <c r="B261" s="22" t="s">
        <v>17</v>
      </c>
      <c r="C261" s="22" t="s">
        <v>29</v>
      </c>
      <c r="D261" s="22">
        <v>0</v>
      </c>
      <c r="E261" s="22">
        <v>0</v>
      </c>
      <c r="I261" s="53">
        <v>0</v>
      </c>
      <c r="J261" s="53">
        <v>0</v>
      </c>
    </row>
    <row r="262" spans="1:10">
      <c r="A262" s="22" t="s">
        <v>292</v>
      </c>
      <c r="B262" s="22" t="s">
        <v>17</v>
      </c>
      <c r="C262" s="22" t="s">
        <v>41</v>
      </c>
      <c r="D262" s="22">
        <v>0</v>
      </c>
      <c r="E262" s="22">
        <v>0</v>
      </c>
      <c r="I262" s="53">
        <v>0</v>
      </c>
      <c r="J262" s="53">
        <v>0</v>
      </c>
    </row>
    <row r="263" spans="1:10">
      <c r="A263" s="22" t="s">
        <v>293</v>
      </c>
      <c r="B263" s="22" t="s">
        <v>17</v>
      </c>
      <c r="C263" s="22" t="s">
        <v>39</v>
      </c>
      <c r="D263" s="22">
        <v>0</v>
      </c>
      <c r="E263" s="22">
        <v>0</v>
      </c>
      <c r="I263" s="53">
        <v>0</v>
      </c>
      <c r="J263" s="53">
        <v>0</v>
      </c>
    </row>
    <row r="264" spans="1:10">
      <c r="A264" s="22" t="s">
        <v>294</v>
      </c>
      <c r="B264" s="22" t="s">
        <v>17</v>
      </c>
      <c r="C264" s="22" t="s">
        <v>25</v>
      </c>
      <c r="D264" s="22">
        <v>0</v>
      </c>
      <c r="E264" s="22">
        <v>0</v>
      </c>
      <c r="I264" s="53">
        <v>0</v>
      </c>
      <c r="J264" s="53">
        <v>0</v>
      </c>
    </row>
    <row r="265" spans="1:10">
      <c r="A265" s="22" t="s">
        <v>295</v>
      </c>
      <c r="B265" s="22" t="s">
        <v>17</v>
      </c>
      <c r="C265" s="22" t="s">
        <v>25</v>
      </c>
      <c r="D265" s="22">
        <v>0</v>
      </c>
      <c r="E265" s="22">
        <v>0</v>
      </c>
      <c r="I265" s="53">
        <v>0</v>
      </c>
      <c r="J265" s="53">
        <v>0</v>
      </c>
    </row>
    <row r="266" spans="1:10">
      <c r="A266" s="22" t="s">
        <v>296</v>
      </c>
      <c r="B266" s="22" t="s">
        <v>17</v>
      </c>
      <c r="C266" s="22" t="s">
        <v>41</v>
      </c>
      <c r="D266" s="22">
        <v>0</v>
      </c>
      <c r="E266" s="22">
        <v>0</v>
      </c>
      <c r="I266" s="53">
        <v>0</v>
      </c>
      <c r="J266" s="53">
        <v>0</v>
      </c>
    </row>
    <row r="267" spans="1:10">
      <c r="A267" s="22" t="s">
        <v>297</v>
      </c>
      <c r="B267" s="22" t="s">
        <v>17</v>
      </c>
      <c r="C267" s="22" t="s">
        <v>39</v>
      </c>
      <c r="D267" s="22">
        <v>0</v>
      </c>
      <c r="E267" s="22">
        <v>0</v>
      </c>
      <c r="I267" s="53">
        <v>0</v>
      </c>
      <c r="J267" s="53">
        <v>0</v>
      </c>
    </row>
    <row r="268" spans="1:10">
      <c r="A268" s="22" t="s">
        <v>298</v>
      </c>
      <c r="B268" s="22" t="s">
        <v>17</v>
      </c>
      <c r="C268" s="22" t="s">
        <v>41</v>
      </c>
      <c r="D268" s="22">
        <v>0</v>
      </c>
      <c r="E268" s="22">
        <v>0</v>
      </c>
      <c r="I268" s="53">
        <v>0</v>
      </c>
      <c r="J268" s="53">
        <v>0</v>
      </c>
    </row>
    <row r="269" spans="1:10">
      <c r="A269" s="22" t="s">
        <v>299</v>
      </c>
      <c r="B269" s="22" t="s">
        <v>17</v>
      </c>
      <c r="C269" s="22" t="s">
        <v>25</v>
      </c>
      <c r="D269" s="22">
        <v>0</v>
      </c>
      <c r="E269" s="22">
        <v>0</v>
      </c>
      <c r="I269" s="53">
        <v>0</v>
      </c>
      <c r="J269" s="53">
        <v>0</v>
      </c>
    </row>
    <row r="270" spans="1:10">
      <c r="A270" s="22" t="s">
        <v>300</v>
      </c>
      <c r="B270" s="22" t="s">
        <v>17</v>
      </c>
      <c r="C270" s="22" t="s">
        <v>39</v>
      </c>
      <c r="D270" s="22">
        <v>0</v>
      </c>
      <c r="E270" s="22">
        <v>0</v>
      </c>
      <c r="I270" s="53">
        <v>0</v>
      </c>
      <c r="J270" s="53">
        <v>0</v>
      </c>
    </row>
    <row r="271" spans="1:10">
      <c r="A271" s="22" t="s">
        <v>301</v>
      </c>
      <c r="B271" s="22" t="s">
        <v>17</v>
      </c>
      <c r="C271" s="22" t="s">
        <v>29</v>
      </c>
      <c r="D271" s="22">
        <v>0</v>
      </c>
      <c r="E271" s="22">
        <v>0</v>
      </c>
      <c r="I271" s="53">
        <v>0</v>
      </c>
      <c r="J271" s="53">
        <v>0</v>
      </c>
    </row>
    <row r="272" spans="1:10">
      <c r="A272" s="22" t="s">
        <v>302</v>
      </c>
      <c r="B272" s="22" t="s">
        <v>17</v>
      </c>
      <c r="C272" s="22" t="s">
        <v>39</v>
      </c>
      <c r="D272" s="22">
        <v>0</v>
      </c>
      <c r="E272" s="22">
        <v>0</v>
      </c>
      <c r="I272" s="53">
        <v>0</v>
      </c>
      <c r="J272" s="53">
        <v>0</v>
      </c>
    </row>
    <row r="273" spans="1:10">
      <c r="A273" s="22" t="s">
        <v>303</v>
      </c>
      <c r="B273" s="22" t="s">
        <v>17</v>
      </c>
      <c r="C273" s="22" t="s">
        <v>25</v>
      </c>
      <c r="D273" s="22">
        <v>0</v>
      </c>
      <c r="E273" s="22">
        <v>0</v>
      </c>
      <c r="I273" s="53">
        <v>0</v>
      </c>
      <c r="J273" s="53">
        <v>0</v>
      </c>
    </row>
    <row r="274" spans="1:10">
      <c r="A274" s="22" t="s">
        <v>304</v>
      </c>
      <c r="B274" s="22" t="s">
        <v>17</v>
      </c>
      <c r="C274" s="22" t="s">
        <v>39</v>
      </c>
      <c r="D274" s="22">
        <v>0</v>
      </c>
      <c r="E274" s="22">
        <v>0</v>
      </c>
      <c r="I274" s="53">
        <v>0</v>
      </c>
      <c r="J274" s="53">
        <v>0</v>
      </c>
    </row>
    <row r="275" spans="1:10">
      <c r="A275" s="22" t="s">
        <v>305</v>
      </c>
      <c r="B275" s="22" t="s">
        <v>17</v>
      </c>
      <c r="C275" s="22" t="s">
        <v>29</v>
      </c>
      <c r="D275" s="22">
        <v>0</v>
      </c>
      <c r="E275" s="22">
        <v>0</v>
      </c>
      <c r="I275" s="53">
        <v>0</v>
      </c>
      <c r="J275" s="53">
        <v>0</v>
      </c>
    </row>
    <row r="276" spans="1:10">
      <c r="A276" s="22" t="s">
        <v>306</v>
      </c>
      <c r="B276" s="22" t="s">
        <v>17</v>
      </c>
      <c r="C276" s="22" t="s">
        <v>29</v>
      </c>
      <c r="D276" s="22">
        <v>0</v>
      </c>
      <c r="E276" s="22">
        <v>0</v>
      </c>
      <c r="I276" s="53">
        <v>0</v>
      </c>
      <c r="J276" s="53">
        <v>0</v>
      </c>
    </row>
    <row r="277" spans="1:10">
      <c r="A277" s="22" t="s">
        <v>307</v>
      </c>
      <c r="B277" s="22" t="s">
        <v>17</v>
      </c>
      <c r="C277" s="22" t="s">
        <v>25</v>
      </c>
      <c r="D277" s="22">
        <v>0</v>
      </c>
      <c r="E277" s="22">
        <v>0</v>
      </c>
      <c r="I277" s="53">
        <v>0</v>
      </c>
      <c r="J277" s="53">
        <v>0</v>
      </c>
    </row>
    <row r="278" spans="1:10">
      <c r="A278" s="22" t="s">
        <v>308</v>
      </c>
      <c r="B278" s="22" t="s">
        <v>17</v>
      </c>
      <c r="C278" s="22" t="s">
        <v>25</v>
      </c>
      <c r="D278" s="22">
        <v>0</v>
      </c>
      <c r="E278" s="22">
        <v>0</v>
      </c>
      <c r="I278" s="53">
        <v>0</v>
      </c>
      <c r="J278" s="53">
        <v>0</v>
      </c>
    </row>
    <row r="279" spans="1:10">
      <c r="A279" s="22" t="s">
        <v>309</v>
      </c>
      <c r="B279" s="22" t="s">
        <v>17</v>
      </c>
      <c r="C279" s="22" t="s">
        <v>20</v>
      </c>
      <c r="D279" s="22">
        <v>0</v>
      </c>
      <c r="E279" s="22">
        <v>0</v>
      </c>
      <c r="I279" s="53">
        <v>0</v>
      </c>
      <c r="J279" s="53">
        <v>0</v>
      </c>
    </row>
    <row r="280" spans="1:10">
      <c r="A280" s="22" t="s">
        <v>310</v>
      </c>
      <c r="B280" s="22" t="s">
        <v>17</v>
      </c>
      <c r="C280" s="22" t="s">
        <v>29</v>
      </c>
      <c r="D280" s="22">
        <v>0</v>
      </c>
      <c r="E280" s="22">
        <v>0</v>
      </c>
      <c r="I280" s="53">
        <v>0</v>
      </c>
      <c r="J280" s="53">
        <v>0</v>
      </c>
    </row>
    <row r="281" spans="1:10">
      <c r="A281" s="22" t="s">
        <v>311</v>
      </c>
      <c r="B281" s="22" t="s">
        <v>17</v>
      </c>
      <c r="C281" s="22" t="s">
        <v>25</v>
      </c>
      <c r="D281" s="22">
        <v>0</v>
      </c>
      <c r="E281" s="22">
        <v>0</v>
      </c>
      <c r="I281" s="53">
        <v>0</v>
      </c>
      <c r="J281" s="53">
        <v>0</v>
      </c>
    </row>
    <row r="282" spans="1:10">
      <c r="A282" s="22" t="s">
        <v>312</v>
      </c>
      <c r="B282" s="22" t="s">
        <v>17</v>
      </c>
      <c r="C282" s="22" t="s">
        <v>25</v>
      </c>
      <c r="D282" s="22">
        <v>0</v>
      </c>
      <c r="E282" s="22">
        <v>0</v>
      </c>
      <c r="I282" s="53">
        <v>0</v>
      </c>
      <c r="J282" s="53">
        <v>0</v>
      </c>
    </row>
    <row r="283" spans="1:10">
      <c r="A283" s="22" t="s">
        <v>313</v>
      </c>
      <c r="B283" s="22" t="s">
        <v>17</v>
      </c>
      <c r="C283" s="22" t="s">
        <v>29</v>
      </c>
      <c r="D283" s="22">
        <v>0</v>
      </c>
      <c r="E283" s="22">
        <v>0</v>
      </c>
      <c r="I283" s="53">
        <v>0</v>
      </c>
      <c r="J283" s="53">
        <v>0</v>
      </c>
    </row>
    <row r="284" spans="1:10">
      <c r="A284" s="22" t="s">
        <v>314</v>
      </c>
      <c r="B284" s="22" t="s">
        <v>17</v>
      </c>
      <c r="C284" s="22" t="s">
        <v>41</v>
      </c>
      <c r="D284" s="22">
        <v>0</v>
      </c>
      <c r="E284" s="22">
        <v>0</v>
      </c>
      <c r="I284" s="53">
        <v>0</v>
      </c>
      <c r="J284" s="53">
        <v>0</v>
      </c>
    </row>
    <row r="285" spans="1:10">
      <c r="A285" s="22" t="s">
        <v>315</v>
      </c>
      <c r="B285" s="22" t="s">
        <v>17</v>
      </c>
      <c r="C285" s="22" t="s">
        <v>39</v>
      </c>
      <c r="D285" s="22">
        <v>0</v>
      </c>
      <c r="E285" s="22">
        <v>0</v>
      </c>
      <c r="I285" s="53">
        <v>0</v>
      </c>
      <c r="J285" s="53">
        <v>0</v>
      </c>
    </row>
    <row r="286" spans="1:10">
      <c r="A286" s="22" t="s">
        <v>316</v>
      </c>
      <c r="B286" s="22" t="s">
        <v>17</v>
      </c>
      <c r="C286" s="22" t="s">
        <v>25</v>
      </c>
      <c r="D286" s="22">
        <v>0</v>
      </c>
      <c r="E286" s="22">
        <v>0</v>
      </c>
      <c r="I286" s="53">
        <v>0</v>
      </c>
      <c r="J286" s="53">
        <v>0</v>
      </c>
    </row>
    <row r="287" spans="1:10">
      <c r="A287" s="22" t="s">
        <v>317</v>
      </c>
      <c r="B287" s="22" t="s">
        <v>17</v>
      </c>
      <c r="C287" s="22" t="s">
        <v>29</v>
      </c>
      <c r="D287" s="22">
        <v>0</v>
      </c>
      <c r="E287" s="22">
        <v>0</v>
      </c>
      <c r="I287" s="53">
        <v>0</v>
      </c>
      <c r="J287" s="53">
        <v>0</v>
      </c>
    </row>
    <row r="288" spans="1:10">
      <c r="A288" s="22" t="s">
        <v>318</v>
      </c>
      <c r="B288" s="22" t="s">
        <v>17</v>
      </c>
      <c r="C288" s="22" t="s">
        <v>41</v>
      </c>
      <c r="D288" s="22">
        <v>0</v>
      </c>
      <c r="E288" s="22">
        <v>0</v>
      </c>
      <c r="I288" s="53">
        <v>0</v>
      </c>
      <c r="J288" s="53">
        <v>0</v>
      </c>
    </row>
    <row r="289" spans="1:10">
      <c r="A289" s="22" t="s">
        <v>319</v>
      </c>
      <c r="B289" s="22" t="s">
        <v>17</v>
      </c>
      <c r="C289" s="22" t="s">
        <v>20</v>
      </c>
      <c r="D289" s="22">
        <v>0</v>
      </c>
      <c r="E289" s="22">
        <v>0</v>
      </c>
      <c r="I289" s="53">
        <v>0</v>
      </c>
      <c r="J289" s="53">
        <v>0</v>
      </c>
    </row>
    <row r="290" spans="1:10">
      <c r="A290" s="22" t="s">
        <v>320</v>
      </c>
      <c r="B290" s="22" t="s">
        <v>17</v>
      </c>
      <c r="C290" s="22" t="s">
        <v>41</v>
      </c>
      <c r="D290" s="22">
        <v>0</v>
      </c>
      <c r="E290" s="22">
        <v>0</v>
      </c>
      <c r="I290" s="53">
        <v>0</v>
      </c>
      <c r="J290" s="53">
        <v>0</v>
      </c>
    </row>
    <row r="291" spans="1:10">
      <c r="A291" s="22" t="s">
        <v>321</v>
      </c>
      <c r="B291" s="22" t="s">
        <v>17</v>
      </c>
      <c r="C291" s="22" t="s">
        <v>41</v>
      </c>
      <c r="D291" s="22">
        <v>0</v>
      </c>
      <c r="E291" s="22">
        <v>0</v>
      </c>
      <c r="I291" s="53">
        <v>0</v>
      </c>
      <c r="J291" s="53">
        <v>0</v>
      </c>
    </row>
    <row r="292" spans="1:10">
      <c r="A292" s="22" t="s">
        <v>322</v>
      </c>
      <c r="B292" s="22" t="s">
        <v>17</v>
      </c>
      <c r="C292" s="22" t="s">
        <v>29</v>
      </c>
      <c r="D292" s="22">
        <v>0</v>
      </c>
      <c r="E292" s="22">
        <v>0</v>
      </c>
      <c r="I292" s="53">
        <v>0</v>
      </c>
      <c r="J292" s="53">
        <v>0</v>
      </c>
    </row>
    <row r="293" spans="1:10">
      <c r="A293" s="22" t="s">
        <v>323</v>
      </c>
      <c r="B293" s="22" t="s">
        <v>17</v>
      </c>
      <c r="C293" s="22" t="s">
        <v>41</v>
      </c>
      <c r="D293" s="22">
        <v>0</v>
      </c>
      <c r="E293" s="22">
        <v>0</v>
      </c>
      <c r="I293" s="53">
        <v>0</v>
      </c>
      <c r="J293" s="53">
        <v>0</v>
      </c>
    </row>
    <row r="294" spans="1:10">
      <c r="A294" s="22" t="s">
        <v>324</v>
      </c>
      <c r="B294" s="22" t="s">
        <v>17</v>
      </c>
      <c r="C294" s="22" t="s">
        <v>25</v>
      </c>
      <c r="D294" s="22">
        <v>0</v>
      </c>
      <c r="E294" s="22">
        <v>0</v>
      </c>
      <c r="I294" s="53">
        <v>0</v>
      </c>
      <c r="J294" s="53">
        <v>0</v>
      </c>
    </row>
    <row r="295" spans="1:10">
      <c r="A295" s="22" t="s">
        <v>325</v>
      </c>
      <c r="B295" s="22" t="s">
        <v>17</v>
      </c>
      <c r="C295" s="22" t="s">
        <v>20</v>
      </c>
      <c r="D295" s="22">
        <v>0</v>
      </c>
      <c r="E295" s="22">
        <v>0</v>
      </c>
      <c r="I295" s="53">
        <v>0</v>
      </c>
      <c r="J295" s="53">
        <v>0</v>
      </c>
    </row>
    <row r="296" spans="1:10">
      <c r="A296" s="22" t="s">
        <v>326</v>
      </c>
      <c r="B296" s="22" t="s">
        <v>17</v>
      </c>
      <c r="C296" s="22" t="s">
        <v>25</v>
      </c>
      <c r="D296" s="22">
        <v>0</v>
      </c>
      <c r="E296" s="22">
        <v>0</v>
      </c>
      <c r="I296" s="53">
        <v>0</v>
      </c>
      <c r="J296" s="53">
        <v>0</v>
      </c>
    </row>
    <row r="297" spans="1:10">
      <c r="A297" s="22" t="s">
        <v>327</v>
      </c>
      <c r="B297" s="22" t="s">
        <v>17</v>
      </c>
      <c r="C297" s="22" t="s">
        <v>29</v>
      </c>
      <c r="D297" s="22">
        <v>0</v>
      </c>
      <c r="E297" s="22">
        <v>0</v>
      </c>
      <c r="I297" s="53">
        <v>0</v>
      </c>
      <c r="J297" s="53">
        <v>0</v>
      </c>
    </row>
    <row r="298" spans="1:10">
      <c r="A298" s="22" t="s">
        <v>328</v>
      </c>
      <c r="B298" s="22" t="s">
        <v>17</v>
      </c>
      <c r="C298" s="22" t="s">
        <v>41</v>
      </c>
      <c r="D298" s="22">
        <v>0</v>
      </c>
      <c r="E298" s="22">
        <v>0</v>
      </c>
      <c r="I298" s="53">
        <v>0</v>
      </c>
      <c r="J298" s="53">
        <v>0</v>
      </c>
    </row>
    <row r="299" spans="1:10">
      <c r="A299" s="22" t="s">
        <v>329</v>
      </c>
      <c r="B299" s="22" t="s">
        <v>17</v>
      </c>
      <c r="C299" s="22" t="s">
        <v>20</v>
      </c>
      <c r="D299" s="22">
        <v>0</v>
      </c>
      <c r="E299" s="22">
        <v>0</v>
      </c>
      <c r="I299" s="53">
        <v>0</v>
      </c>
      <c r="J299" s="53">
        <v>0</v>
      </c>
    </row>
    <row r="300" spans="1:10">
      <c r="A300" s="22" t="s">
        <v>330</v>
      </c>
      <c r="B300" s="22" t="s">
        <v>17</v>
      </c>
      <c r="C300" s="22" t="s">
        <v>29</v>
      </c>
      <c r="D300" s="22">
        <v>0</v>
      </c>
      <c r="E300" s="22">
        <v>0</v>
      </c>
      <c r="I300" s="53">
        <v>0</v>
      </c>
      <c r="J300" s="53">
        <v>0</v>
      </c>
    </row>
    <row r="301" spans="1:10">
      <c r="A301" s="22" t="s">
        <v>331</v>
      </c>
      <c r="B301" s="22" t="s">
        <v>17</v>
      </c>
      <c r="C301" s="22" t="s">
        <v>1482</v>
      </c>
      <c r="D301" s="22">
        <v>1</v>
      </c>
      <c r="E301" s="22">
        <v>1198.69</v>
      </c>
      <c r="I301" s="53">
        <v>1</v>
      </c>
      <c r="J301" s="53">
        <v>0</v>
      </c>
    </row>
    <row r="302" spans="1:10">
      <c r="A302" s="22" t="s">
        <v>332</v>
      </c>
      <c r="B302" s="22" t="s">
        <v>17</v>
      </c>
      <c r="C302" s="22" t="s">
        <v>20</v>
      </c>
      <c r="D302" s="22">
        <v>0</v>
      </c>
      <c r="E302" s="22">
        <v>0</v>
      </c>
      <c r="I302" s="53">
        <v>0</v>
      </c>
      <c r="J302" s="53">
        <v>0</v>
      </c>
    </row>
    <row r="303" spans="1:10">
      <c r="A303" s="22" t="s">
        <v>333</v>
      </c>
      <c r="B303" s="22" t="s">
        <v>17</v>
      </c>
      <c r="C303" s="22" t="s">
        <v>25</v>
      </c>
      <c r="D303" s="22">
        <v>0</v>
      </c>
      <c r="E303" s="22">
        <v>0</v>
      </c>
      <c r="I303" s="53">
        <v>0</v>
      </c>
      <c r="J303" s="53">
        <v>0</v>
      </c>
    </row>
    <row r="304" spans="1:10">
      <c r="A304" s="22" t="s">
        <v>334</v>
      </c>
      <c r="B304" s="22" t="s">
        <v>17</v>
      </c>
      <c r="C304" s="22" t="s">
        <v>25</v>
      </c>
      <c r="D304" s="22">
        <v>1</v>
      </c>
      <c r="E304" s="22">
        <v>6788.95</v>
      </c>
      <c r="I304" s="53">
        <v>1</v>
      </c>
      <c r="J304" s="53">
        <v>1</v>
      </c>
    </row>
    <row r="305" spans="1:10">
      <c r="A305" s="22" t="s">
        <v>335</v>
      </c>
      <c r="B305" s="22" t="s">
        <v>17</v>
      </c>
      <c r="C305" s="22" t="s">
        <v>41</v>
      </c>
      <c r="D305" s="22">
        <v>0</v>
      </c>
      <c r="E305" s="22">
        <v>0</v>
      </c>
      <c r="I305" s="53">
        <v>0</v>
      </c>
      <c r="J305" s="53">
        <v>0</v>
      </c>
    </row>
    <row r="306" spans="1:10">
      <c r="A306" s="22" t="s">
        <v>336</v>
      </c>
      <c r="B306" s="22" t="s">
        <v>17</v>
      </c>
      <c r="C306" s="22" t="s">
        <v>41</v>
      </c>
      <c r="D306" s="22">
        <v>0</v>
      </c>
      <c r="E306" s="22">
        <v>0</v>
      </c>
      <c r="I306" s="53">
        <v>0</v>
      </c>
      <c r="J306" s="53">
        <v>0</v>
      </c>
    </row>
    <row r="307" spans="1:10">
      <c r="A307" s="22" t="s">
        <v>337</v>
      </c>
      <c r="B307" s="22" t="s">
        <v>17</v>
      </c>
      <c r="C307" s="22" t="s">
        <v>25</v>
      </c>
      <c r="D307" s="22">
        <v>0</v>
      </c>
      <c r="E307" s="22">
        <v>0</v>
      </c>
      <c r="I307" s="53">
        <v>0</v>
      </c>
      <c r="J307" s="53">
        <v>0</v>
      </c>
    </row>
    <row r="308" spans="1:10">
      <c r="A308" s="22" t="s">
        <v>338</v>
      </c>
      <c r="B308" s="22" t="s">
        <v>17</v>
      </c>
      <c r="C308" s="22" t="s">
        <v>41</v>
      </c>
      <c r="D308" s="22">
        <v>0</v>
      </c>
      <c r="E308" s="22">
        <v>0</v>
      </c>
      <c r="I308" s="53">
        <v>0</v>
      </c>
      <c r="J308" s="53">
        <v>1</v>
      </c>
    </row>
    <row r="309" spans="1:10">
      <c r="A309" s="22" t="s">
        <v>339</v>
      </c>
      <c r="B309" s="22" t="s">
        <v>17</v>
      </c>
      <c r="C309" s="22" t="s">
        <v>29</v>
      </c>
      <c r="D309" s="22">
        <v>1</v>
      </c>
      <c r="E309" s="22">
        <v>409.39</v>
      </c>
      <c r="I309" s="53">
        <v>1</v>
      </c>
      <c r="J309" s="53">
        <v>0</v>
      </c>
    </row>
    <row r="310" spans="1:10">
      <c r="A310" s="22" t="s">
        <v>340</v>
      </c>
      <c r="B310" s="22" t="s">
        <v>17</v>
      </c>
      <c r="C310" s="22" t="s">
        <v>20</v>
      </c>
      <c r="D310" s="22">
        <v>0</v>
      </c>
      <c r="E310" s="22">
        <v>0</v>
      </c>
      <c r="I310" s="53">
        <v>0</v>
      </c>
      <c r="J310" s="53">
        <v>0</v>
      </c>
    </row>
    <row r="311" spans="1:10">
      <c r="A311" s="22" t="s">
        <v>341</v>
      </c>
      <c r="B311" s="22" t="s">
        <v>17</v>
      </c>
      <c r="C311" s="22" t="s">
        <v>39</v>
      </c>
      <c r="D311" s="22">
        <v>0</v>
      </c>
      <c r="E311" s="22">
        <v>0</v>
      </c>
      <c r="I311" s="53">
        <v>0</v>
      </c>
      <c r="J311" s="53">
        <v>0</v>
      </c>
    </row>
    <row r="312" spans="1:10">
      <c r="A312" s="22" t="s">
        <v>342</v>
      </c>
      <c r="B312" s="22" t="s">
        <v>17</v>
      </c>
      <c r="C312" s="22" t="s">
        <v>25</v>
      </c>
      <c r="D312" s="22">
        <v>0</v>
      </c>
      <c r="E312" s="22">
        <v>0</v>
      </c>
      <c r="I312" s="53">
        <v>0</v>
      </c>
      <c r="J312" s="53">
        <v>0</v>
      </c>
    </row>
    <row r="313" spans="1:10">
      <c r="A313" s="22" t="s">
        <v>343</v>
      </c>
      <c r="B313" s="22" t="s">
        <v>17</v>
      </c>
      <c r="C313" s="22" t="s">
        <v>25</v>
      </c>
      <c r="D313" s="22">
        <v>0</v>
      </c>
      <c r="E313" s="22">
        <v>0</v>
      </c>
      <c r="I313" s="53">
        <v>0</v>
      </c>
      <c r="J313" s="53">
        <v>0</v>
      </c>
    </row>
    <row r="314" spans="1:10">
      <c r="A314" s="22" t="s">
        <v>344</v>
      </c>
      <c r="B314" s="22" t="s">
        <v>17</v>
      </c>
      <c r="C314" s="22" t="s">
        <v>25</v>
      </c>
      <c r="D314" s="22">
        <v>0</v>
      </c>
      <c r="E314" s="22">
        <v>0</v>
      </c>
      <c r="I314" s="53">
        <v>0</v>
      </c>
      <c r="J314" s="53">
        <v>0</v>
      </c>
    </row>
    <row r="315" spans="1:10">
      <c r="A315" s="22" t="s">
        <v>345</v>
      </c>
      <c r="B315" s="22" t="s">
        <v>17</v>
      </c>
      <c r="C315" s="22" t="s">
        <v>25</v>
      </c>
      <c r="D315" s="22">
        <v>0</v>
      </c>
      <c r="E315" s="22">
        <v>0</v>
      </c>
      <c r="I315" s="53">
        <v>0</v>
      </c>
      <c r="J315" s="53">
        <v>0</v>
      </c>
    </row>
    <row r="316" spans="1:10">
      <c r="A316" s="22" t="s">
        <v>346</v>
      </c>
      <c r="B316" s="22" t="s">
        <v>17</v>
      </c>
      <c r="C316" s="22" t="s">
        <v>25</v>
      </c>
      <c r="D316" s="22">
        <v>0</v>
      </c>
      <c r="E316" s="22">
        <v>0</v>
      </c>
      <c r="I316" s="53">
        <v>0</v>
      </c>
      <c r="J316" s="53">
        <v>0</v>
      </c>
    </row>
    <row r="317" spans="1:10">
      <c r="A317" s="22" t="s">
        <v>347</v>
      </c>
      <c r="B317" s="22" t="s">
        <v>17</v>
      </c>
      <c r="C317" s="22" t="s">
        <v>20</v>
      </c>
      <c r="D317" s="22">
        <v>0</v>
      </c>
      <c r="E317" s="22">
        <v>0</v>
      </c>
      <c r="I317" s="53">
        <v>0</v>
      </c>
      <c r="J317" s="53">
        <v>0</v>
      </c>
    </row>
    <row r="318" spans="1:10">
      <c r="A318" s="22" t="s">
        <v>348</v>
      </c>
      <c r="B318" s="22" t="s">
        <v>17</v>
      </c>
      <c r="C318" s="22" t="s">
        <v>25</v>
      </c>
      <c r="D318" s="22">
        <v>0</v>
      </c>
      <c r="E318" s="22">
        <v>0</v>
      </c>
      <c r="I318" s="53">
        <v>0</v>
      </c>
      <c r="J318" s="53">
        <v>0</v>
      </c>
    </row>
    <row r="319" spans="1:10">
      <c r="A319" s="22" t="s">
        <v>349</v>
      </c>
      <c r="B319" s="22" t="s">
        <v>17</v>
      </c>
      <c r="C319" s="22" t="s">
        <v>39</v>
      </c>
      <c r="D319" s="22">
        <v>0</v>
      </c>
      <c r="E319" s="22">
        <v>0</v>
      </c>
      <c r="I319" s="53">
        <v>0</v>
      </c>
      <c r="J319" s="53">
        <v>0</v>
      </c>
    </row>
    <row r="320" spans="1:10">
      <c r="A320" s="22" t="s">
        <v>350</v>
      </c>
      <c r="B320" s="22" t="s">
        <v>17</v>
      </c>
      <c r="C320" s="22" t="s">
        <v>25</v>
      </c>
      <c r="D320" s="22">
        <v>0</v>
      </c>
      <c r="E320" s="22">
        <v>0</v>
      </c>
      <c r="I320" s="53">
        <v>0</v>
      </c>
      <c r="J320" s="53">
        <v>0</v>
      </c>
    </row>
    <row r="321" spans="1:10">
      <c r="A321" s="22" t="s">
        <v>351</v>
      </c>
      <c r="B321" s="22" t="s">
        <v>17</v>
      </c>
      <c r="C321" s="22" t="s">
        <v>29</v>
      </c>
      <c r="D321" s="22">
        <v>0</v>
      </c>
      <c r="E321" s="22">
        <v>0</v>
      </c>
      <c r="I321" s="53">
        <v>0</v>
      </c>
      <c r="J321" s="53">
        <v>0</v>
      </c>
    </row>
    <row r="322" spans="1:10">
      <c r="A322" s="22" t="s">
        <v>352</v>
      </c>
      <c r="B322" s="22" t="s">
        <v>17</v>
      </c>
      <c r="C322" s="22" t="s">
        <v>39</v>
      </c>
      <c r="D322" s="22">
        <v>0</v>
      </c>
      <c r="E322" s="22">
        <v>0</v>
      </c>
      <c r="I322" s="53">
        <v>0</v>
      </c>
      <c r="J322" s="53">
        <v>0</v>
      </c>
    </row>
    <row r="323" spans="1:10">
      <c r="A323" s="22" t="s">
        <v>353</v>
      </c>
      <c r="B323" s="22" t="s">
        <v>17</v>
      </c>
      <c r="C323" s="22" t="s">
        <v>41</v>
      </c>
      <c r="D323" s="22">
        <v>0</v>
      </c>
      <c r="E323" s="22">
        <v>0</v>
      </c>
      <c r="I323" s="53">
        <v>0</v>
      </c>
      <c r="J323" s="53">
        <v>1</v>
      </c>
    </row>
    <row r="324" spans="1:10">
      <c r="A324" s="22" t="s">
        <v>354</v>
      </c>
      <c r="B324" s="22" t="s">
        <v>17</v>
      </c>
      <c r="C324" s="22" t="s">
        <v>25</v>
      </c>
      <c r="D324" s="22">
        <v>0</v>
      </c>
      <c r="E324" s="22">
        <v>0</v>
      </c>
      <c r="I324" s="53">
        <v>0</v>
      </c>
      <c r="J324" s="53">
        <v>0</v>
      </c>
    </row>
    <row r="325" spans="1:10">
      <c r="A325" s="22" t="s">
        <v>355</v>
      </c>
      <c r="B325" s="22" t="s">
        <v>17</v>
      </c>
      <c r="C325" s="22" t="s">
        <v>41</v>
      </c>
      <c r="D325" s="22">
        <v>0</v>
      </c>
      <c r="E325" s="22">
        <v>0</v>
      </c>
      <c r="I325" s="53">
        <v>0</v>
      </c>
      <c r="J325" s="53">
        <v>0</v>
      </c>
    </row>
    <row r="326" spans="1:10">
      <c r="A326" s="22" t="s">
        <v>356</v>
      </c>
      <c r="B326" s="22" t="s">
        <v>17</v>
      </c>
      <c r="C326" s="22" t="s">
        <v>29</v>
      </c>
      <c r="D326" s="22">
        <v>0</v>
      </c>
      <c r="E326" s="22">
        <v>0</v>
      </c>
      <c r="I326" s="53">
        <v>0</v>
      </c>
      <c r="J326" s="53">
        <v>0</v>
      </c>
    </row>
    <row r="327" spans="1:10">
      <c r="A327" s="22" t="s">
        <v>357</v>
      </c>
      <c r="B327" s="22" t="s">
        <v>17</v>
      </c>
      <c r="C327" s="22" t="s">
        <v>20</v>
      </c>
      <c r="D327" s="22">
        <v>0</v>
      </c>
      <c r="E327" s="22">
        <v>0</v>
      </c>
      <c r="I327" s="53">
        <v>0</v>
      </c>
      <c r="J327" s="53">
        <v>0</v>
      </c>
    </row>
    <row r="328" spans="1:10">
      <c r="A328" s="22" t="s">
        <v>358</v>
      </c>
      <c r="B328" s="22" t="s">
        <v>17</v>
      </c>
      <c r="C328" s="22" t="s">
        <v>20</v>
      </c>
      <c r="D328" s="22">
        <v>0</v>
      </c>
      <c r="E328" s="22">
        <v>0</v>
      </c>
      <c r="I328" s="53">
        <v>0</v>
      </c>
      <c r="J328" s="53">
        <v>0</v>
      </c>
    </row>
    <row r="329" spans="1:10">
      <c r="A329" s="22" t="s">
        <v>359</v>
      </c>
      <c r="B329" s="22" t="s">
        <v>17</v>
      </c>
      <c r="C329" s="22" t="s">
        <v>29</v>
      </c>
      <c r="D329" s="22">
        <v>0</v>
      </c>
      <c r="E329" s="22">
        <v>0</v>
      </c>
      <c r="I329" s="53">
        <v>0</v>
      </c>
      <c r="J329" s="53">
        <v>0</v>
      </c>
    </row>
    <row r="330" spans="1:10">
      <c r="A330" s="22" t="s">
        <v>360</v>
      </c>
      <c r="B330" s="22" t="s">
        <v>17</v>
      </c>
      <c r="C330" s="22" t="s">
        <v>29</v>
      </c>
      <c r="D330" s="22">
        <v>0</v>
      </c>
      <c r="E330" s="22">
        <v>0</v>
      </c>
      <c r="I330" s="53">
        <v>0</v>
      </c>
      <c r="J330" s="53">
        <v>0</v>
      </c>
    </row>
    <row r="331" spans="1:10">
      <c r="A331" s="22" t="s">
        <v>361</v>
      </c>
      <c r="B331" s="22" t="s">
        <v>17</v>
      </c>
      <c r="C331" s="22" t="s">
        <v>25</v>
      </c>
      <c r="D331" s="22">
        <v>0</v>
      </c>
      <c r="E331" s="22">
        <v>0</v>
      </c>
      <c r="I331" s="53">
        <v>0</v>
      </c>
      <c r="J331" s="53">
        <v>0</v>
      </c>
    </row>
    <row r="332" spans="1:10">
      <c r="A332" s="22" t="s">
        <v>362</v>
      </c>
      <c r="B332" s="22" t="s">
        <v>17</v>
      </c>
      <c r="C332" s="22" t="s">
        <v>25</v>
      </c>
      <c r="D332" s="22">
        <v>1</v>
      </c>
      <c r="E332" s="22">
        <v>426.82</v>
      </c>
      <c r="I332" s="53">
        <v>1</v>
      </c>
      <c r="J332" s="53">
        <v>0</v>
      </c>
    </row>
    <row r="333" spans="1:10">
      <c r="A333" s="22" t="s">
        <v>363</v>
      </c>
      <c r="B333" s="22" t="s">
        <v>17</v>
      </c>
      <c r="C333" s="22" t="s">
        <v>25</v>
      </c>
      <c r="D333" s="22">
        <v>0</v>
      </c>
      <c r="E333" s="22">
        <v>0</v>
      </c>
      <c r="I333" s="53">
        <v>0</v>
      </c>
      <c r="J333" s="53">
        <v>0</v>
      </c>
    </row>
    <row r="334" spans="1:10">
      <c r="A334" s="22" t="s">
        <v>364</v>
      </c>
      <c r="B334" s="22" t="s">
        <v>17</v>
      </c>
      <c r="C334" s="22" t="s">
        <v>25</v>
      </c>
      <c r="D334" s="22">
        <v>0</v>
      </c>
      <c r="E334" s="22">
        <v>0</v>
      </c>
      <c r="I334" s="53">
        <v>0</v>
      </c>
      <c r="J334" s="53">
        <v>0</v>
      </c>
    </row>
    <row r="335" spans="1:10">
      <c r="A335" s="22" t="s">
        <v>365</v>
      </c>
      <c r="B335" s="22" t="s">
        <v>17</v>
      </c>
      <c r="C335" s="22" t="s">
        <v>41</v>
      </c>
      <c r="D335" s="22">
        <v>0</v>
      </c>
      <c r="E335" s="22">
        <v>0</v>
      </c>
      <c r="I335" s="53">
        <v>0</v>
      </c>
      <c r="J335" s="53">
        <v>0</v>
      </c>
    </row>
    <row r="336" spans="1:10">
      <c r="A336" s="22" t="s">
        <v>366</v>
      </c>
      <c r="B336" s="22" t="s">
        <v>17</v>
      </c>
      <c r="C336" s="22" t="s">
        <v>20</v>
      </c>
      <c r="D336" s="22">
        <v>1</v>
      </c>
      <c r="E336" s="22">
        <v>874.55</v>
      </c>
      <c r="I336" s="53">
        <v>1</v>
      </c>
      <c r="J336" s="53">
        <v>1</v>
      </c>
    </row>
    <row r="337" spans="1:10">
      <c r="A337" s="22" t="s">
        <v>367</v>
      </c>
      <c r="B337" s="22" t="s">
        <v>17</v>
      </c>
      <c r="C337" s="22" t="s">
        <v>25</v>
      </c>
      <c r="D337" s="22">
        <v>1</v>
      </c>
      <c r="E337" s="22">
        <v>2206.88</v>
      </c>
      <c r="I337" s="53">
        <v>1</v>
      </c>
      <c r="J337" s="53">
        <v>0</v>
      </c>
    </row>
    <row r="338" spans="1:10">
      <c r="A338" s="22" t="s">
        <v>368</v>
      </c>
      <c r="B338" s="22" t="s">
        <v>17</v>
      </c>
      <c r="C338" s="22" t="s">
        <v>25</v>
      </c>
      <c r="D338" s="22">
        <v>0</v>
      </c>
      <c r="E338" s="22">
        <v>0</v>
      </c>
      <c r="I338" s="53">
        <v>0</v>
      </c>
      <c r="J338" s="53">
        <v>0</v>
      </c>
    </row>
    <row r="339" spans="1:10">
      <c r="A339" s="22" t="s">
        <v>369</v>
      </c>
      <c r="B339" s="22" t="s">
        <v>17</v>
      </c>
      <c r="C339" s="22" t="s">
        <v>29</v>
      </c>
      <c r="D339" s="22">
        <v>0</v>
      </c>
      <c r="E339" s="22">
        <v>0</v>
      </c>
      <c r="I339" s="53">
        <v>0</v>
      </c>
      <c r="J339" s="53">
        <v>0</v>
      </c>
    </row>
    <row r="340" spans="1:10">
      <c r="A340" s="22" t="s">
        <v>370</v>
      </c>
      <c r="B340" s="22" t="s">
        <v>17</v>
      </c>
      <c r="C340" s="22" t="s">
        <v>39</v>
      </c>
      <c r="D340" s="22">
        <v>0</v>
      </c>
      <c r="E340" s="22">
        <v>0</v>
      </c>
      <c r="I340" s="53">
        <v>0</v>
      </c>
      <c r="J340" s="53">
        <v>0</v>
      </c>
    </row>
    <row r="341" spans="1:10">
      <c r="A341" s="22" t="s">
        <v>371</v>
      </c>
      <c r="B341" s="22" t="s">
        <v>17</v>
      </c>
      <c r="C341" s="22" t="s">
        <v>39</v>
      </c>
      <c r="D341" s="22">
        <v>0</v>
      </c>
      <c r="E341" s="22">
        <v>0</v>
      </c>
      <c r="I341" s="53">
        <v>0</v>
      </c>
      <c r="J341" s="53">
        <v>0</v>
      </c>
    </row>
    <row r="342" spans="1:10">
      <c r="A342" s="22" t="s">
        <v>372</v>
      </c>
      <c r="B342" s="22" t="s">
        <v>17</v>
      </c>
      <c r="C342" s="22" t="s">
        <v>25</v>
      </c>
      <c r="D342" s="22">
        <v>0</v>
      </c>
      <c r="E342" s="22">
        <v>0</v>
      </c>
      <c r="I342" s="53">
        <v>0</v>
      </c>
      <c r="J342" s="53">
        <v>0</v>
      </c>
    </row>
    <row r="343" spans="1:10">
      <c r="A343" s="22" t="s">
        <v>373</v>
      </c>
      <c r="B343" s="22" t="s">
        <v>17</v>
      </c>
      <c r="C343" s="22" t="s">
        <v>29</v>
      </c>
      <c r="D343" s="22">
        <v>0</v>
      </c>
      <c r="E343" s="22">
        <v>0</v>
      </c>
      <c r="I343" s="53">
        <v>0</v>
      </c>
      <c r="J343" s="53">
        <v>0</v>
      </c>
    </row>
    <row r="344" spans="1:10">
      <c r="A344" s="22" t="s">
        <v>374</v>
      </c>
      <c r="B344" s="22" t="s">
        <v>17</v>
      </c>
      <c r="C344" s="22" t="s">
        <v>39</v>
      </c>
      <c r="D344" s="22">
        <v>0</v>
      </c>
      <c r="E344" s="22">
        <v>0</v>
      </c>
      <c r="I344" s="53">
        <v>0</v>
      </c>
      <c r="J344" s="53">
        <v>0</v>
      </c>
    </row>
    <row r="345" spans="1:10">
      <c r="A345" s="22" t="s">
        <v>375</v>
      </c>
      <c r="B345" s="22" t="s">
        <v>17</v>
      </c>
      <c r="C345" s="22" t="s">
        <v>25</v>
      </c>
      <c r="D345" s="22">
        <v>0</v>
      </c>
      <c r="E345" s="22">
        <v>0</v>
      </c>
      <c r="I345" s="53">
        <v>0</v>
      </c>
      <c r="J345" s="53">
        <v>0</v>
      </c>
    </row>
    <row r="346" spans="1:10">
      <c r="A346" s="22" t="s">
        <v>376</v>
      </c>
      <c r="B346" s="22" t="s">
        <v>17</v>
      </c>
      <c r="C346" s="22" t="s">
        <v>41</v>
      </c>
      <c r="D346" s="22">
        <v>0</v>
      </c>
      <c r="E346" s="22">
        <v>0</v>
      </c>
      <c r="I346" s="53">
        <v>0</v>
      </c>
      <c r="J346" s="53">
        <v>0</v>
      </c>
    </row>
    <row r="347" spans="1:10">
      <c r="A347" s="22" t="s">
        <v>377</v>
      </c>
      <c r="B347" s="22" t="s">
        <v>17</v>
      </c>
      <c r="C347" s="22" t="s">
        <v>29</v>
      </c>
      <c r="D347" s="22">
        <v>0</v>
      </c>
      <c r="E347" s="22">
        <v>0</v>
      </c>
      <c r="I347" s="53">
        <v>0</v>
      </c>
      <c r="J347" s="53">
        <v>0</v>
      </c>
    </row>
    <row r="348" spans="1:10">
      <c r="A348" s="22" t="s">
        <v>378</v>
      </c>
      <c r="B348" s="22" t="s">
        <v>17</v>
      </c>
      <c r="C348" s="22" t="s">
        <v>29</v>
      </c>
      <c r="D348" s="22">
        <v>0</v>
      </c>
      <c r="E348" s="22">
        <v>0</v>
      </c>
      <c r="I348" s="53">
        <v>0</v>
      </c>
      <c r="J348" s="53">
        <v>0</v>
      </c>
    </row>
    <row r="349" spans="1:10">
      <c r="A349" s="22" t="s">
        <v>379</v>
      </c>
      <c r="B349" s="22" t="s">
        <v>17</v>
      </c>
      <c r="C349" s="22" t="s">
        <v>41</v>
      </c>
      <c r="D349" s="22">
        <v>0</v>
      </c>
      <c r="E349" s="22">
        <v>0</v>
      </c>
      <c r="I349" s="53">
        <v>0</v>
      </c>
      <c r="J349" s="53">
        <v>0</v>
      </c>
    </row>
    <row r="350" spans="1:10">
      <c r="A350" s="22" t="s">
        <v>380</v>
      </c>
      <c r="B350" s="22" t="s">
        <v>17</v>
      </c>
      <c r="C350" s="22" t="s">
        <v>25</v>
      </c>
      <c r="D350" s="22">
        <v>0</v>
      </c>
      <c r="E350" s="22">
        <v>0</v>
      </c>
      <c r="I350" s="53">
        <v>0</v>
      </c>
      <c r="J350" s="53">
        <v>0</v>
      </c>
    </row>
    <row r="351" spans="1:10">
      <c r="A351" s="22" t="s">
        <v>381</v>
      </c>
      <c r="B351" s="22" t="s">
        <v>17</v>
      </c>
      <c r="C351" s="22" t="s">
        <v>41</v>
      </c>
      <c r="D351" s="22">
        <v>0</v>
      </c>
      <c r="E351" s="22">
        <v>0</v>
      </c>
      <c r="I351" s="53">
        <v>0</v>
      </c>
      <c r="J351" s="53">
        <v>0</v>
      </c>
    </row>
    <row r="352" spans="1:10">
      <c r="A352" s="22" t="s">
        <v>382</v>
      </c>
      <c r="B352" s="22" t="s">
        <v>17</v>
      </c>
      <c r="C352" s="22" t="s">
        <v>39</v>
      </c>
      <c r="D352" s="22">
        <v>0</v>
      </c>
      <c r="E352" s="22">
        <v>0</v>
      </c>
      <c r="I352" s="53">
        <v>0</v>
      </c>
      <c r="J352" s="53">
        <v>0</v>
      </c>
    </row>
    <row r="353" spans="1:10">
      <c r="A353" s="22" t="s">
        <v>383</v>
      </c>
      <c r="B353" s="22" t="s">
        <v>17</v>
      </c>
      <c r="C353" s="22" t="s">
        <v>25</v>
      </c>
      <c r="D353" s="22">
        <v>0</v>
      </c>
      <c r="E353" s="22">
        <v>0</v>
      </c>
      <c r="I353" s="53">
        <v>0</v>
      </c>
      <c r="J353" s="53">
        <v>0</v>
      </c>
    </row>
    <row r="354" spans="1:10">
      <c r="A354" s="22" t="s">
        <v>384</v>
      </c>
      <c r="B354" s="22" t="s">
        <v>17</v>
      </c>
      <c r="C354" s="22" t="s">
        <v>25</v>
      </c>
      <c r="D354" s="22">
        <v>0</v>
      </c>
      <c r="E354" s="22">
        <v>0</v>
      </c>
      <c r="I354" s="53">
        <v>0</v>
      </c>
      <c r="J354" s="53">
        <v>0</v>
      </c>
    </row>
    <row r="355" spans="1:10">
      <c r="A355" s="22" t="s">
        <v>385</v>
      </c>
      <c r="B355" s="22" t="s">
        <v>17</v>
      </c>
      <c r="C355" s="22" t="s">
        <v>41</v>
      </c>
      <c r="D355" s="22">
        <v>0</v>
      </c>
      <c r="E355" s="22">
        <v>0</v>
      </c>
      <c r="I355" s="53">
        <v>0</v>
      </c>
      <c r="J355" s="53">
        <v>0</v>
      </c>
    </row>
    <row r="356" spans="1:10">
      <c r="A356" s="22" t="s">
        <v>386</v>
      </c>
      <c r="B356" s="22" t="s">
        <v>17</v>
      </c>
      <c r="C356" s="22" t="s">
        <v>20</v>
      </c>
      <c r="D356" s="22">
        <v>0</v>
      </c>
      <c r="E356" s="22">
        <v>0</v>
      </c>
      <c r="I356" s="53">
        <v>0</v>
      </c>
      <c r="J356" s="53">
        <v>0</v>
      </c>
    </row>
    <row r="357" spans="1:10">
      <c r="A357" s="22" t="s">
        <v>387</v>
      </c>
      <c r="B357" s="22" t="s">
        <v>17</v>
      </c>
      <c r="C357" s="22" t="s">
        <v>41</v>
      </c>
      <c r="D357" s="22">
        <v>0</v>
      </c>
      <c r="E357" s="22">
        <v>0</v>
      </c>
      <c r="I357" s="53">
        <v>0</v>
      </c>
      <c r="J357" s="53">
        <v>0</v>
      </c>
    </row>
    <row r="358" spans="1:10">
      <c r="A358" s="22" t="s">
        <v>388</v>
      </c>
      <c r="B358" s="22" t="s">
        <v>17</v>
      </c>
      <c r="C358" s="22" t="s">
        <v>25</v>
      </c>
      <c r="D358" s="22">
        <v>0</v>
      </c>
      <c r="E358" s="22">
        <v>0</v>
      </c>
      <c r="I358" s="53">
        <v>0</v>
      </c>
      <c r="J358" s="53">
        <v>0</v>
      </c>
    </row>
    <row r="359" spans="1:10">
      <c r="A359" s="22" t="s">
        <v>389</v>
      </c>
      <c r="B359" s="22" t="s">
        <v>17</v>
      </c>
      <c r="C359" s="22" t="s">
        <v>25</v>
      </c>
      <c r="D359" s="22">
        <v>0</v>
      </c>
      <c r="E359" s="22">
        <v>0</v>
      </c>
      <c r="I359" s="53">
        <v>0</v>
      </c>
      <c r="J359" s="53">
        <v>0</v>
      </c>
    </row>
    <row r="360" spans="1:10">
      <c r="A360" s="22" t="s">
        <v>390</v>
      </c>
      <c r="B360" s="22" t="s">
        <v>17</v>
      </c>
      <c r="C360" s="22" t="s">
        <v>25</v>
      </c>
      <c r="D360" s="22">
        <v>0</v>
      </c>
      <c r="E360" s="22">
        <v>0</v>
      </c>
      <c r="I360" s="53">
        <v>0</v>
      </c>
      <c r="J360" s="53">
        <v>0</v>
      </c>
    </row>
    <row r="361" spans="1:10">
      <c r="A361" s="22" t="s">
        <v>391</v>
      </c>
      <c r="B361" s="22" t="s">
        <v>17</v>
      </c>
      <c r="C361" s="22" t="s">
        <v>25</v>
      </c>
      <c r="D361" s="22">
        <v>0</v>
      </c>
      <c r="E361" s="22">
        <v>0</v>
      </c>
      <c r="I361" s="53">
        <v>0</v>
      </c>
      <c r="J361" s="53">
        <v>0</v>
      </c>
    </row>
    <row r="362" spans="1:10">
      <c r="A362" s="22" t="s">
        <v>392</v>
      </c>
      <c r="B362" s="22" t="s">
        <v>17</v>
      </c>
      <c r="C362" s="22" t="s">
        <v>25</v>
      </c>
      <c r="D362" s="22">
        <v>0</v>
      </c>
      <c r="E362" s="22">
        <v>0</v>
      </c>
      <c r="I362" s="53">
        <v>0</v>
      </c>
      <c r="J362" s="53">
        <v>0</v>
      </c>
    </row>
    <row r="363" spans="1:10">
      <c r="A363" s="22" t="s">
        <v>393</v>
      </c>
      <c r="B363" s="22" t="s">
        <v>17</v>
      </c>
      <c r="C363" s="22" t="s">
        <v>41</v>
      </c>
      <c r="D363" s="22">
        <v>0</v>
      </c>
      <c r="E363" s="22">
        <v>0</v>
      </c>
      <c r="I363" s="53">
        <v>0</v>
      </c>
      <c r="J363" s="53">
        <v>0</v>
      </c>
    </row>
    <row r="364" spans="1:10">
      <c r="A364" s="22" t="s">
        <v>394</v>
      </c>
      <c r="B364" s="22" t="s">
        <v>17</v>
      </c>
      <c r="C364" s="22" t="s">
        <v>41</v>
      </c>
      <c r="D364" s="22">
        <v>0</v>
      </c>
      <c r="E364" s="22">
        <v>0</v>
      </c>
      <c r="I364" s="53">
        <v>0</v>
      </c>
      <c r="J364" s="53">
        <v>1</v>
      </c>
    </row>
    <row r="365" spans="1:10">
      <c r="A365" s="22" t="s">
        <v>395</v>
      </c>
      <c r="B365" s="22" t="s">
        <v>17</v>
      </c>
      <c r="C365" s="22" t="s">
        <v>41</v>
      </c>
      <c r="D365" s="22">
        <v>0</v>
      </c>
      <c r="E365" s="22">
        <v>0</v>
      </c>
      <c r="I365" s="53">
        <v>0</v>
      </c>
      <c r="J365" s="53">
        <v>0</v>
      </c>
    </row>
    <row r="366" spans="1:10">
      <c r="A366" s="22" t="s">
        <v>396</v>
      </c>
      <c r="B366" s="22" t="s">
        <v>17</v>
      </c>
      <c r="C366" s="22" t="s">
        <v>41</v>
      </c>
      <c r="D366" s="22">
        <v>0</v>
      </c>
      <c r="E366" s="22">
        <v>0</v>
      </c>
      <c r="I366" s="53">
        <v>0</v>
      </c>
      <c r="J366" s="53">
        <v>0</v>
      </c>
    </row>
    <row r="367" spans="1:10">
      <c r="A367" s="22" t="s">
        <v>397</v>
      </c>
      <c r="B367" s="22" t="s">
        <v>17</v>
      </c>
      <c r="C367" s="22" t="s">
        <v>25</v>
      </c>
      <c r="D367" s="22">
        <v>0</v>
      </c>
      <c r="E367" s="22">
        <v>0</v>
      </c>
      <c r="I367" s="53">
        <v>0</v>
      </c>
      <c r="J367" s="53">
        <v>0</v>
      </c>
    </row>
    <row r="368" spans="1:10">
      <c r="A368" s="22" t="s">
        <v>398</v>
      </c>
      <c r="B368" s="22" t="s">
        <v>17</v>
      </c>
      <c r="C368" s="22" t="s">
        <v>29</v>
      </c>
      <c r="D368" s="22">
        <v>0</v>
      </c>
      <c r="E368" s="22">
        <v>0</v>
      </c>
      <c r="I368" s="53">
        <v>0</v>
      </c>
      <c r="J368" s="53">
        <v>0</v>
      </c>
    </row>
    <row r="369" spans="1:10">
      <c r="A369" s="22" t="s">
        <v>399</v>
      </c>
      <c r="B369" s="22" t="s">
        <v>17</v>
      </c>
      <c r="C369" s="22" t="s">
        <v>25</v>
      </c>
      <c r="D369" s="22">
        <v>0</v>
      </c>
      <c r="E369" s="22">
        <v>0</v>
      </c>
      <c r="I369" s="53">
        <v>0</v>
      </c>
      <c r="J369" s="53">
        <v>0</v>
      </c>
    </row>
    <row r="370" spans="1:10">
      <c r="A370" s="22" t="s">
        <v>400</v>
      </c>
      <c r="B370" s="22" t="s">
        <v>17</v>
      </c>
      <c r="C370" s="22" t="s">
        <v>39</v>
      </c>
      <c r="D370" s="22">
        <v>0</v>
      </c>
      <c r="E370" s="22">
        <v>0</v>
      </c>
      <c r="I370" s="53">
        <v>0</v>
      </c>
      <c r="J370" s="53">
        <v>0</v>
      </c>
    </row>
    <row r="371" spans="1:10">
      <c r="A371" s="22" t="s">
        <v>401</v>
      </c>
      <c r="B371" s="22" t="s">
        <v>17</v>
      </c>
      <c r="C371" s="22" t="s">
        <v>39</v>
      </c>
      <c r="D371" s="22">
        <v>0</v>
      </c>
      <c r="E371" s="22">
        <v>0</v>
      </c>
      <c r="I371" s="53">
        <v>0</v>
      </c>
      <c r="J371" s="53">
        <v>0</v>
      </c>
    </row>
    <row r="372" spans="1:10">
      <c r="A372" s="22" t="s">
        <v>402</v>
      </c>
      <c r="B372" s="22" t="s">
        <v>17</v>
      </c>
      <c r="C372" s="22" t="s">
        <v>20</v>
      </c>
      <c r="D372" s="22">
        <v>0</v>
      </c>
      <c r="E372" s="22">
        <v>0</v>
      </c>
      <c r="I372" s="53">
        <v>0</v>
      </c>
      <c r="J372" s="53">
        <v>0</v>
      </c>
    </row>
    <row r="373" spans="1:10">
      <c r="A373" s="22" t="s">
        <v>403</v>
      </c>
      <c r="B373" s="22" t="s">
        <v>17</v>
      </c>
      <c r="C373" s="22" t="s">
        <v>29</v>
      </c>
      <c r="D373" s="22">
        <v>0</v>
      </c>
      <c r="E373" s="22">
        <v>0</v>
      </c>
      <c r="I373" s="53">
        <v>0</v>
      </c>
      <c r="J373" s="53">
        <v>1</v>
      </c>
    </row>
    <row r="374" spans="1:10">
      <c r="A374" s="22" t="s">
        <v>404</v>
      </c>
      <c r="B374" s="22" t="s">
        <v>17</v>
      </c>
      <c r="C374" s="22" t="s">
        <v>41</v>
      </c>
      <c r="D374" s="22">
        <v>0</v>
      </c>
      <c r="E374" s="22">
        <v>0</v>
      </c>
      <c r="I374" s="53">
        <v>0</v>
      </c>
      <c r="J374" s="53">
        <v>0</v>
      </c>
    </row>
    <row r="375" spans="1:10">
      <c r="A375" s="22" t="s">
        <v>405</v>
      </c>
      <c r="B375" s="22" t="s">
        <v>17</v>
      </c>
      <c r="C375" s="22" t="s">
        <v>39</v>
      </c>
      <c r="D375" s="22">
        <v>0</v>
      </c>
      <c r="E375" s="22">
        <v>0</v>
      </c>
      <c r="I375" s="53">
        <v>0</v>
      </c>
      <c r="J375" s="53">
        <v>0</v>
      </c>
    </row>
    <row r="376" spans="1:10">
      <c r="A376" s="22" t="s">
        <v>406</v>
      </c>
      <c r="B376" s="22" t="s">
        <v>17</v>
      </c>
      <c r="C376" s="22" t="s">
        <v>41</v>
      </c>
      <c r="D376" s="22">
        <v>0</v>
      </c>
      <c r="E376" s="22">
        <v>0</v>
      </c>
      <c r="I376" s="53">
        <v>0</v>
      </c>
      <c r="J376" s="53">
        <v>0</v>
      </c>
    </row>
    <row r="377" spans="1:10">
      <c r="A377" s="22" t="s">
        <v>407</v>
      </c>
      <c r="B377" s="22" t="s">
        <v>17</v>
      </c>
      <c r="C377" s="22" t="s">
        <v>25</v>
      </c>
      <c r="D377" s="22">
        <v>0</v>
      </c>
      <c r="E377" s="22">
        <v>0</v>
      </c>
      <c r="I377" s="53">
        <v>0</v>
      </c>
      <c r="J377" s="53">
        <v>0</v>
      </c>
    </row>
    <row r="378" spans="1:10">
      <c r="A378" s="22" t="s">
        <v>408</v>
      </c>
      <c r="B378" s="22" t="s">
        <v>17</v>
      </c>
      <c r="C378" s="22" t="s">
        <v>29</v>
      </c>
      <c r="D378" s="22">
        <v>0</v>
      </c>
      <c r="E378" s="22">
        <v>0</v>
      </c>
      <c r="I378" s="53">
        <v>0</v>
      </c>
      <c r="J378" s="53">
        <v>0</v>
      </c>
    </row>
    <row r="379" spans="1:10">
      <c r="A379" s="22" t="s">
        <v>409</v>
      </c>
      <c r="B379" s="22" t="s">
        <v>17</v>
      </c>
      <c r="C379" s="22" t="s">
        <v>39</v>
      </c>
      <c r="D379" s="22">
        <v>0</v>
      </c>
      <c r="E379" s="22">
        <v>0</v>
      </c>
      <c r="I379" s="53">
        <v>0</v>
      </c>
      <c r="J379" s="53">
        <v>0</v>
      </c>
    </row>
    <row r="380" spans="1:10">
      <c r="A380" s="22" t="s">
        <v>410</v>
      </c>
      <c r="B380" s="22" t="s">
        <v>17</v>
      </c>
      <c r="C380" s="22" t="s">
        <v>29</v>
      </c>
      <c r="D380" s="22">
        <v>0</v>
      </c>
      <c r="E380" s="22">
        <v>0</v>
      </c>
      <c r="I380" s="53">
        <v>0</v>
      </c>
      <c r="J380" s="53">
        <v>0</v>
      </c>
    </row>
    <row r="381" spans="1:10">
      <c r="A381" s="22" t="s">
        <v>411</v>
      </c>
      <c r="B381" s="22" t="s">
        <v>17</v>
      </c>
      <c r="C381" s="22" t="s">
        <v>29</v>
      </c>
      <c r="D381" s="22">
        <v>0</v>
      </c>
      <c r="E381" s="22">
        <v>0</v>
      </c>
      <c r="I381" s="53">
        <v>0</v>
      </c>
      <c r="J381" s="53">
        <v>0</v>
      </c>
    </row>
    <row r="382" spans="1:10">
      <c r="A382" s="22" t="s">
        <v>412</v>
      </c>
      <c r="B382" s="22" t="s">
        <v>17</v>
      </c>
      <c r="C382" s="22" t="s">
        <v>41</v>
      </c>
      <c r="D382" s="22">
        <v>0</v>
      </c>
      <c r="E382" s="22">
        <v>0</v>
      </c>
      <c r="I382" s="53">
        <v>0</v>
      </c>
      <c r="J382" s="53">
        <v>0</v>
      </c>
    </row>
    <row r="383" spans="1:10">
      <c r="A383" s="22" t="s">
        <v>413</v>
      </c>
      <c r="B383" s="22" t="s">
        <v>17</v>
      </c>
      <c r="C383" s="22" t="s">
        <v>39</v>
      </c>
      <c r="D383" s="22">
        <v>0</v>
      </c>
      <c r="E383" s="22">
        <v>0</v>
      </c>
      <c r="I383" s="53">
        <v>0</v>
      </c>
      <c r="J383" s="53">
        <v>0</v>
      </c>
    </row>
    <row r="384" spans="1:10">
      <c r="A384" s="22" t="s">
        <v>414</v>
      </c>
      <c r="B384" s="22" t="s">
        <v>17</v>
      </c>
      <c r="C384" s="22" t="s">
        <v>25</v>
      </c>
      <c r="D384" s="22">
        <v>0</v>
      </c>
      <c r="E384" s="22">
        <v>0</v>
      </c>
      <c r="I384" s="53">
        <v>0</v>
      </c>
      <c r="J384" s="53">
        <v>0</v>
      </c>
    </row>
    <row r="385" spans="1:10">
      <c r="A385" s="22" t="s">
        <v>415</v>
      </c>
      <c r="B385" s="22" t="s">
        <v>17</v>
      </c>
      <c r="C385" s="22" t="s">
        <v>41</v>
      </c>
      <c r="D385" s="22">
        <v>0</v>
      </c>
      <c r="E385" s="22">
        <v>0</v>
      </c>
      <c r="I385" s="53">
        <v>0</v>
      </c>
      <c r="J385" s="53">
        <v>1</v>
      </c>
    </row>
    <row r="386" spans="1:10">
      <c r="A386" s="22" t="s">
        <v>416</v>
      </c>
      <c r="B386" s="22" t="s">
        <v>17</v>
      </c>
      <c r="C386" s="22" t="s">
        <v>25</v>
      </c>
      <c r="D386" s="22">
        <v>0</v>
      </c>
      <c r="E386" s="22">
        <v>0</v>
      </c>
      <c r="I386" s="53">
        <v>0</v>
      </c>
      <c r="J386" s="53">
        <v>0</v>
      </c>
    </row>
    <row r="387" spans="1:10">
      <c r="A387" s="22" t="s">
        <v>417</v>
      </c>
      <c r="B387" s="22" t="s">
        <v>17</v>
      </c>
      <c r="C387" s="22" t="s">
        <v>25</v>
      </c>
      <c r="D387" s="22">
        <v>0</v>
      </c>
      <c r="E387" s="22">
        <v>0</v>
      </c>
      <c r="I387" s="53">
        <v>0</v>
      </c>
      <c r="J387" s="53">
        <v>0</v>
      </c>
    </row>
    <row r="388" spans="1:10">
      <c r="A388" s="22" t="s">
        <v>418</v>
      </c>
      <c r="B388" s="22" t="s">
        <v>17</v>
      </c>
      <c r="C388" s="22" t="s">
        <v>29</v>
      </c>
      <c r="D388" s="22">
        <v>0</v>
      </c>
      <c r="E388" s="22">
        <v>0</v>
      </c>
      <c r="I388" s="53">
        <v>0</v>
      </c>
      <c r="J388" s="53">
        <v>1</v>
      </c>
    </row>
    <row r="389" spans="1:10">
      <c r="A389" s="22" t="s">
        <v>419</v>
      </c>
      <c r="B389" s="22" t="s">
        <v>17</v>
      </c>
      <c r="C389" s="22" t="s">
        <v>25</v>
      </c>
      <c r="D389" s="22">
        <v>0</v>
      </c>
      <c r="E389" s="22">
        <v>0</v>
      </c>
      <c r="I389" s="53">
        <v>0</v>
      </c>
      <c r="J389" s="53">
        <v>1</v>
      </c>
    </row>
    <row r="390" spans="1:10">
      <c r="A390" s="22" t="s">
        <v>420</v>
      </c>
      <c r="B390" s="22" t="s">
        <v>17</v>
      </c>
      <c r="C390" s="22" t="s">
        <v>25</v>
      </c>
      <c r="D390" s="22">
        <v>0</v>
      </c>
      <c r="E390" s="22">
        <v>0</v>
      </c>
      <c r="I390" s="53">
        <v>0</v>
      </c>
      <c r="J390" s="53">
        <v>0</v>
      </c>
    </row>
    <row r="391" spans="1:10">
      <c r="A391" s="22" t="s">
        <v>421</v>
      </c>
      <c r="B391" s="22" t="s">
        <v>17</v>
      </c>
      <c r="C391" s="22" t="s">
        <v>29</v>
      </c>
      <c r="D391" s="22">
        <v>0</v>
      </c>
      <c r="E391" s="22">
        <v>0</v>
      </c>
      <c r="I391" s="53">
        <v>0</v>
      </c>
      <c r="J391" s="53">
        <v>0</v>
      </c>
    </row>
    <row r="392" spans="1:10">
      <c r="A392" s="22" t="s">
        <v>422</v>
      </c>
      <c r="B392" s="22" t="s">
        <v>17</v>
      </c>
      <c r="C392" s="22" t="s">
        <v>25</v>
      </c>
      <c r="D392" s="22">
        <v>0</v>
      </c>
      <c r="E392" s="22">
        <v>0</v>
      </c>
      <c r="I392" s="53">
        <v>0</v>
      </c>
      <c r="J392" s="53">
        <v>0</v>
      </c>
    </row>
    <row r="393" spans="1:10">
      <c r="A393" s="22" t="s">
        <v>423</v>
      </c>
      <c r="B393" s="22" t="s">
        <v>17</v>
      </c>
      <c r="C393" s="22" t="s">
        <v>25</v>
      </c>
      <c r="D393" s="22">
        <v>0</v>
      </c>
      <c r="E393" s="22">
        <v>0</v>
      </c>
      <c r="I393" s="53">
        <v>0</v>
      </c>
      <c r="J393" s="53">
        <v>0</v>
      </c>
    </row>
    <row r="394" spans="1:10">
      <c r="A394" s="22" t="s">
        <v>424</v>
      </c>
      <c r="B394" s="22" t="s">
        <v>17</v>
      </c>
      <c r="C394" s="22" t="s">
        <v>39</v>
      </c>
      <c r="D394" s="22">
        <v>0</v>
      </c>
      <c r="E394" s="22">
        <v>0</v>
      </c>
      <c r="I394" s="53">
        <v>0</v>
      </c>
      <c r="J394" s="53">
        <v>0</v>
      </c>
    </row>
    <row r="395" spans="1:10">
      <c r="A395" s="22" t="s">
        <v>425</v>
      </c>
      <c r="B395" s="22" t="s">
        <v>17</v>
      </c>
      <c r="C395" s="22" t="s">
        <v>25</v>
      </c>
      <c r="D395" s="22">
        <v>0</v>
      </c>
      <c r="E395" s="22">
        <v>0</v>
      </c>
      <c r="I395" s="53">
        <v>0</v>
      </c>
      <c r="J395" s="53">
        <v>0</v>
      </c>
    </row>
    <row r="396" spans="1:10">
      <c r="A396" s="22" t="s">
        <v>426</v>
      </c>
      <c r="B396" s="22" t="s">
        <v>17</v>
      </c>
      <c r="C396" s="22" t="s">
        <v>29</v>
      </c>
      <c r="D396" s="22">
        <v>0</v>
      </c>
      <c r="E396" s="22">
        <v>0</v>
      </c>
      <c r="I396" s="53">
        <v>0</v>
      </c>
      <c r="J396" s="53">
        <v>0</v>
      </c>
    </row>
    <row r="397" spans="1:10">
      <c r="A397" s="22" t="s">
        <v>427</v>
      </c>
      <c r="B397" s="22" t="s">
        <v>17</v>
      </c>
      <c r="C397" s="22" t="s">
        <v>20</v>
      </c>
      <c r="D397" s="22">
        <v>0</v>
      </c>
      <c r="E397" s="22">
        <v>0</v>
      </c>
      <c r="I397" s="53">
        <v>0</v>
      </c>
      <c r="J397" s="53">
        <v>0</v>
      </c>
    </row>
    <row r="398" spans="1:10">
      <c r="A398" s="22" t="s">
        <v>428</v>
      </c>
      <c r="B398" s="22" t="s">
        <v>17</v>
      </c>
      <c r="C398" s="22" t="s">
        <v>25</v>
      </c>
      <c r="D398" s="22">
        <v>0</v>
      </c>
      <c r="E398" s="22">
        <v>0</v>
      </c>
      <c r="I398" s="53">
        <v>0</v>
      </c>
      <c r="J398" s="53">
        <v>0</v>
      </c>
    </row>
    <row r="399" spans="1:10">
      <c r="A399" s="22" t="s">
        <v>429</v>
      </c>
      <c r="B399" s="22" t="s">
        <v>17</v>
      </c>
      <c r="C399" s="22" t="s">
        <v>25</v>
      </c>
      <c r="D399" s="22">
        <v>0</v>
      </c>
      <c r="E399" s="22">
        <v>0</v>
      </c>
      <c r="I399" s="53">
        <v>0</v>
      </c>
      <c r="J399" s="53">
        <v>0</v>
      </c>
    </row>
    <row r="400" spans="1:10">
      <c r="A400" s="22" t="s">
        <v>430</v>
      </c>
      <c r="B400" s="22" t="s">
        <v>17</v>
      </c>
      <c r="C400" s="22" t="s">
        <v>29</v>
      </c>
      <c r="D400" s="22">
        <v>0</v>
      </c>
      <c r="E400" s="22">
        <v>0</v>
      </c>
      <c r="I400" s="53">
        <v>0</v>
      </c>
      <c r="J400" s="53">
        <v>0</v>
      </c>
    </row>
    <row r="401" spans="1:10">
      <c r="A401" s="22" t="s">
        <v>431</v>
      </c>
      <c r="B401" s="22" t="s">
        <v>17</v>
      </c>
      <c r="C401" s="22" t="s">
        <v>25</v>
      </c>
      <c r="D401" s="22">
        <v>0</v>
      </c>
      <c r="E401" s="22">
        <v>0</v>
      </c>
      <c r="I401" s="53">
        <v>0</v>
      </c>
      <c r="J401" s="53">
        <v>0</v>
      </c>
    </row>
    <row r="402" spans="1:10">
      <c r="A402" s="22" t="s">
        <v>432</v>
      </c>
      <c r="B402" s="22" t="s">
        <v>17</v>
      </c>
      <c r="C402" s="22" t="s">
        <v>29</v>
      </c>
      <c r="D402" s="22">
        <v>0</v>
      </c>
      <c r="E402" s="22">
        <v>0</v>
      </c>
      <c r="I402" s="53">
        <v>0</v>
      </c>
      <c r="J402" s="53">
        <v>0</v>
      </c>
    </row>
    <row r="403" spans="1:10">
      <c r="A403" s="22" t="s">
        <v>433</v>
      </c>
      <c r="B403" s="22" t="s">
        <v>17</v>
      </c>
      <c r="C403" s="22" t="s">
        <v>41</v>
      </c>
      <c r="D403" s="22">
        <v>0</v>
      </c>
      <c r="E403" s="22">
        <v>0</v>
      </c>
      <c r="I403" s="53">
        <v>0</v>
      </c>
      <c r="J403" s="53">
        <v>0</v>
      </c>
    </row>
    <row r="404" spans="1:10">
      <c r="A404" s="22" t="s">
        <v>434</v>
      </c>
      <c r="B404" s="22" t="s">
        <v>17</v>
      </c>
      <c r="C404" s="22" t="s">
        <v>20</v>
      </c>
      <c r="D404" s="22">
        <v>0</v>
      </c>
      <c r="E404" s="22">
        <v>0</v>
      </c>
      <c r="I404" s="53">
        <v>0</v>
      </c>
      <c r="J404" s="53">
        <v>0</v>
      </c>
    </row>
    <row r="405" spans="1:10">
      <c r="A405" s="22" t="s">
        <v>435</v>
      </c>
      <c r="B405" s="22" t="s">
        <v>17</v>
      </c>
      <c r="C405" s="22" t="s">
        <v>20</v>
      </c>
      <c r="D405" s="22">
        <v>0</v>
      </c>
      <c r="E405" s="22">
        <v>0</v>
      </c>
      <c r="I405" s="53">
        <v>0</v>
      </c>
      <c r="J405" s="53">
        <v>0</v>
      </c>
    </row>
    <row r="406" spans="1:10">
      <c r="A406" s="22" t="s">
        <v>436</v>
      </c>
      <c r="B406" s="22" t="s">
        <v>17</v>
      </c>
      <c r="C406" s="22" t="s">
        <v>39</v>
      </c>
      <c r="D406" s="22">
        <v>0</v>
      </c>
      <c r="E406" s="22">
        <v>0</v>
      </c>
      <c r="I406" s="53">
        <v>0</v>
      </c>
      <c r="J406" s="53">
        <v>0</v>
      </c>
    </row>
    <row r="407" spans="1:10">
      <c r="A407" s="22" t="s">
        <v>437</v>
      </c>
      <c r="B407" s="22" t="s">
        <v>17</v>
      </c>
      <c r="C407" s="22" t="s">
        <v>25</v>
      </c>
      <c r="D407" s="22">
        <v>0</v>
      </c>
      <c r="E407" s="22">
        <v>0</v>
      </c>
      <c r="I407" s="53">
        <v>0</v>
      </c>
      <c r="J407" s="53">
        <v>0</v>
      </c>
    </row>
    <row r="408" spans="1:10">
      <c r="A408" s="22" t="s">
        <v>438</v>
      </c>
      <c r="B408" s="22" t="s">
        <v>17</v>
      </c>
      <c r="C408" s="22" t="s">
        <v>25</v>
      </c>
      <c r="D408" s="22">
        <v>0</v>
      </c>
      <c r="E408" s="22">
        <v>0</v>
      </c>
      <c r="I408" s="53">
        <v>0</v>
      </c>
      <c r="J408" s="53">
        <v>0</v>
      </c>
    </row>
    <row r="409" spans="1:10">
      <c r="A409" s="22" t="s">
        <v>439</v>
      </c>
      <c r="B409" s="22" t="s">
        <v>17</v>
      </c>
      <c r="C409" s="22" t="s">
        <v>25</v>
      </c>
      <c r="D409" s="22">
        <v>0</v>
      </c>
      <c r="E409" s="22">
        <v>0</v>
      </c>
      <c r="I409" s="53">
        <v>0</v>
      </c>
      <c r="J409" s="53">
        <v>0</v>
      </c>
    </row>
    <row r="410" spans="1:10">
      <c r="A410" s="22" t="s">
        <v>440</v>
      </c>
      <c r="B410" s="22" t="s">
        <v>17</v>
      </c>
      <c r="C410" s="22" t="s">
        <v>25</v>
      </c>
      <c r="D410" s="22">
        <v>0</v>
      </c>
      <c r="E410" s="22">
        <v>0</v>
      </c>
      <c r="I410" s="53">
        <v>0</v>
      </c>
      <c r="J410" s="53">
        <v>0</v>
      </c>
    </row>
    <row r="411" spans="1:10">
      <c r="A411" s="22" t="s">
        <v>441</v>
      </c>
      <c r="B411" s="22" t="s">
        <v>17</v>
      </c>
      <c r="C411" s="22" t="s">
        <v>20</v>
      </c>
      <c r="D411" s="22">
        <v>0</v>
      </c>
      <c r="E411" s="22">
        <v>0</v>
      </c>
      <c r="I411" s="53">
        <v>0</v>
      </c>
      <c r="J411" s="53">
        <v>0</v>
      </c>
    </row>
    <row r="412" spans="1:10">
      <c r="A412" s="22" t="s">
        <v>442</v>
      </c>
      <c r="B412" s="22" t="s">
        <v>17</v>
      </c>
      <c r="C412" s="22" t="s">
        <v>39</v>
      </c>
      <c r="D412" s="22">
        <v>1</v>
      </c>
      <c r="E412" s="22">
        <v>2144.8200000000002</v>
      </c>
      <c r="I412" s="53">
        <v>1</v>
      </c>
      <c r="J412" s="53">
        <v>0</v>
      </c>
    </row>
    <row r="413" spans="1:10">
      <c r="A413" s="22" t="s">
        <v>443</v>
      </c>
      <c r="B413" s="22" t="s">
        <v>17</v>
      </c>
      <c r="C413" s="22" t="s">
        <v>25</v>
      </c>
      <c r="D413" s="22">
        <v>0</v>
      </c>
      <c r="E413" s="22">
        <v>0</v>
      </c>
      <c r="I413" s="53">
        <v>0</v>
      </c>
      <c r="J413" s="53">
        <v>0</v>
      </c>
    </row>
    <row r="414" spans="1:10">
      <c r="A414" s="22" t="s">
        <v>444</v>
      </c>
      <c r="B414" s="22" t="s">
        <v>17</v>
      </c>
      <c r="C414" s="22" t="s">
        <v>39</v>
      </c>
      <c r="D414" s="22">
        <v>0</v>
      </c>
      <c r="E414" s="22">
        <v>0</v>
      </c>
      <c r="I414" s="53">
        <v>0</v>
      </c>
      <c r="J414" s="53">
        <v>0</v>
      </c>
    </row>
    <row r="415" spans="1:10">
      <c r="A415" s="22" t="s">
        <v>445</v>
      </c>
      <c r="B415" s="22" t="s">
        <v>17</v>
      </c>
      <c r="C415" s="22" t="s">
        <v>25</v>
      </c>
      <c r="D415" s="22">
        <v>0</v>
      </c>
      <c r="E415" s="22">
        <v>0</v>
      </c>
      <c r="I415" s="53">
        <v>0</v>
      </c>
      <c r="J415" s="53">
        <v>0</v>
      </c>
    </row>
    <row r="416" spans="1:10">
      <c r="A416" s="22" t="s">
        <v>446</v>
      </c>
      <c r="B416" s="22" t="s">
        <v>17</v>
      </c>
      <c r="C416" s="22" t="s">
        <v>20</v>
      </c>
      <c r="D416" s="22">
        <v>0</v>
      </c>
      <c r="E416" s="22">
        <v>0</v>
      </c>
      <c r="I416" s="53">
        <v>0</v>
      </c>
      <c r="J416" s="53">
        <v>0</v>
      </c>
    </row>
    <row r="417" spans="1:10">
      <c r="A417" s="22" t="s">
        <v>447</v>
      </c>
      <c r="B417" s="22" t="s">
        <v>17</v>
      </c>
      <c r="C417" s="22" t="s">
        <v>29</v>
      </c>
      <c r="D417" s="22">
        <v>0</v>
      </c>
      <c r="E417" s="22">
        <v>0</v>
      </c>
      <c r="I417" s="53">
        <v>0</v>
      </c>
      <c r="J417" s="53">
        <v>0</v>
      </c>
    </row>
    <row r="418" spans="1:10">
      <c r="A418" s="22" t="s">
        <v>448</v>
      </c>
      <c r="B418" s="22" t="s">
        <v>17</v>
      </c>
      <c r="C418" s="22" t="s">
        <v>25</v>
      </c>
      <c r="D418" s="22">
        <v>0</v>
      </c>
      <c r="E418" s="22">
        <v>0</v>
      </c>
      <c r="I418" s="53">
        <v>0</v>
      </c>
      <c r="J418" s="53">
        <v>0</v>
      </c>
    </row>
    <row r="419" spans="1:10">
      <c r="A419" s="22" t="s">
        <v>449</v>
      </c>
      <c r="B419" s="22" t="s">
        <v>17</v>
      </c>
      <c r="C419" s="22" t="s">
        <v>39</v>
      </c>
      <c r="D419" s="22">
        <v>0</v>
      </c>
      <c r="E419" s="22">
        <v>0</v>
      </c>
      <c r="I419" s="53">
        <v>0</v>
      </c>
      <c r="J419" s="53">
        <v>0</v>
      </c>
    </row>
    <row r="420" spans="1:10">
      <c r="A420" s="22" t="s">
        <v>450</v>
      </c>
      <c r="B420" s="22" t="s">
        <v>17</v>
      </c>
      <c r="C420" s="22" t="s">
        <v>25</v>
      </c>
      <c r="D420" s="22">
        <v>0</v>
      </c>
      <c r="E420" s="22">
        <v>0</v>
      </c>
      <c r="I420" s="53">
        <v>0</v>
      </c>
      <c r="J420" s="53">
        <v>0</v>
      </c>
    </row>
    <row r="421" spans="1:10">
      <c r="A421" s="22" t="s">
        <v>451</v>
      </c>
      <c r="B421" s="22" t="s">
        <v>17</v>
      </c>
      <c r="C421" s="22" t="s">
        <v>25</v>
      </c>
      <c r="D421" s="22">
        <v>0</v>
      </c>
      <c r="E421" s="22">
        <v>0</v>
      </c>
      <c r="I421" s="53">
        <v>0</v>
      </c>
      <c r="J421" s="53">
        <v>0</v>
      </c>
    </row>
    <row r="422" spans="1:10">
      <c r="A422" s="22" t="s">
        <v>452</v>
      </c>
      <c r="B422" s="22" t="s">
        <v>17</v>
      </c>
      <c r="C422" s="22" t="s">
        <v>20</v>
      </c>
      <c r="D422" s="22">
        <v>0</v>
      </c>
      <c r="E422" s="22">
        <v>0</v>
      </c>
      <c r="I422" s="53">
        <v>0</v>
      </c>
      <c r="J422" s="53">
        <v>0</v>
      </c>
    </row>
    <row r="423" spans="1:10">
      <c r="A423" s="22" t="s">
        <v>453</v>
      </c>
      <c r="B423" s="22" t="s">
        <v>17</v>
      </c>
      <c r="C423" s="22" t="s">
        <v>41</v>
      </c>
      <c r="D423" s="22">
        <v>0</v>
      </c>
      <c r="E423" s="22">
        <v>0</v>
      </c>
      <c r="I423" s="53">
        <v>0</v>
      </c>
      <c r="J423" s="53">
        <v>0</v>
      </c>
    </row>
    <row r="424" spans="1:10">
      <c r="A424" s="22" t="s">
        <v>454</v>
      </c>
      <c r="B424" s="22" t="s">
        <v>17</v>
      </c>
      <c r="C424" s="22" t="s">
        <v>25</v>
      </c>
      <c r="D424" s="22">
        <v>0</v>
      </c>
      <c r="E424" s="22">
        <v>0</v>
      </c>
      <c r="I424" s="53">
        <v>0</v>
      </c>
      <c r="J424" s="53">
        <v>0</v>
      </c>
    </row>
    <row r="425" spans="1:10">
      <c r="A425" s="22" t="s">
        <v>455</v>
      </c>
      <c r="B425" s="22" t="s">
        <v>17</v>
      </c>
      <c r="C425" s="22" t="s">
        <v>39</v>
      </c>
      <c r="D425" s="22">
        <v>0</v>
      </c>
      <c r="E425" s="22">
        <v>0</v>
      </c>
      <c r="I425" s="53">
        <v>0</v>
      </c>
      <c r="J425" s="53">
        <v>1</v>
      </c>
    </row>
    <row r="426" spans="1:10">
      <c r="A426" s="22" t="s">
        <v>456</v>
      </c>
      <c r="B426" s="22" t="s">
        <v>17</v>
      </c>
      <c r="C426" s="22" t="s">
        <v>41</v>
      </c>
      <c r="D426" s="22">
        <v>0</v>
      </c>
      <c r="E426" s="22">
        <v>0</v>
      </c>
      <c r="I426" s="53">
        <v>0</v>
      </c>
      <c r="J426" s="53">
        <v>0</v>
      </c>
    </row>
    <row r="427" spans="1:10">
      <c r="A427" s="22" t="s">
        <v>457</v>
      </c>
      <c r="B427" s="22" t="s">
        <v>17</v>
      </c>
      <c r="C427" s="22" t="s">
        <v>29</v>
      </c>
      <c r="D427" s="22">
        <v>0</v>
      </c>
      <c r="E427" s="22">
        <v>0</v>
      </c>
      <c r="I427" s="53">
        <v>0</v>
      </c>
      <c r="J427" s="53">
        <v>0</v>
      </c>
    </row>
    <row r="428" spans="1:10">
      <c r="A428" s="22" t="s">
        <v>458</v>
      </c>
      <c r="B428" s="22" t="s">
        <v>17</v>
      </c>
      <c r="C428" s="22" t="s">
        <v>25</v>
      </c>
      <c r="D428" s="22">
        <v>0</v>
      </c>
      <c r="E428" s="22">
        <v>0</v>
      </c>
      <c r="I428" s="53">
        <v>0</v>
      </c>
      <c r="J428" s="53">
        <v>0</v>
      </c>
    </row>
    <row r="429" spans="1:10">
      <c r="A429" s="22" t="s">
        <v>459</v>
      </c>
      <c r="B429" s="22" t="s">
        <v>17</v>
      </c>
      <c r="C429" s="22" t="s">
        <v>20</v>
      </c>
      <c r="D429" s="22">
        <v>0</v>
      </c>
      <c r="E429" s="22">
        <v>0</v>
      </c>
      <c r="I429" s="53">
        <v>0</v>
      </c>
      <c r="J429" s="53">
        <v>0</v>
      </c>
    </row>
    <row r="430" spans="1:10">
      <c r="A430" s="22" t="s">
        <v>460</v>
      </c>
      <c r="B430" s="22" t="s">
        <v>17</v>
      </c>
      <c r="C430" s="22" t="s">
        <v>25</v>
      </c>
      <c r="D430" s="22">
        <v>0</v>
      </c>
      <c r="E430" s="22">
        <v>0</v>
      </c>
      <c r="I430" s="53">
        <v>0</v>
      </c>
      <c r="J430" s="53">
        <v>0</v>
      </c>
    </row>
    <row r="431" spans="1:10">
      <c r="A431" s="22" t="s">
        <v>461</v>
      </c>
      <c r="B431" s="22" t="s">
        <v>17</v>
      </c>
      <c r="C431" s="22" t="s">
        <v>41</v>
      </c>
      <c r="D431" s="22">
        <v>0</v>
      </c>
      <c r="E431" s="22">
        <v>0</v>
      </c>
      <c r="I431" s="53">
        <v>0</v>
      </c>
      <c r="J431" s="53">
        <v>0</v>
      </c>
    </row>
    <row r="432" spans="1:10">
      <c r="A432" s="22" t="s">
        <v>462</v>
      </c>
      <c r="B432" s="22" t="s">
        <v>17</v>
      </c>
      <c r="C432" s="22" t="s">
        <v>41</v>
      </c>
      <c r="D432" s="22">
        <v>0</v>
      </c>
      <c r="E432" s="22">
        <v>0</v>
      </c>
      <c r="I432" s="53">
        <v>0</v>
      </c>
      <c r="J432" s="53">
        <v>0</v>
      </c>
    </row>
    <row r="433" spans="1:10">
      <c r="A433" s="22" t="s">
        <v>463</v>
      </c>
      <c r="B433" s="22" t="s">
        <v>17</v>
      </c>
      <c r="C433" s="22" t="s">
        <v>25</v>
      </c>
      <c r="D433" s="22">
        <v>0</v>
      </c>
      <c r="E433" s="22">
        <v>0</v>
      </c>
      <c r="I433" s="53">
        <v>0</v>
      </c>
      <c r="J433" s="53">
        <v>0</v>
      </c>
    </row>
    <row r="434" spans="1:10">
      <c r="A434" s="22" t="s">
        <v>464</v>
      </c>
      <c r="B434" s="22" t="s">
        <v>17</v>
      </c>
      <c r="C434" s="22" t="s">
        <v>20</v>
      </c>
      <c r="D434" s="22">
        <v>0</v>
      </c>
      <c r="E434" s="22">
        <v>0</v>
      </c>
      <c r="I434" s="53">
        <v>0</v>
      </c>
      <c r="J434" s="53">
        <v>0</v>
      </c>
    </row>
    <row r="435" spans="1:10">
      <c r="A435" s="22" t="s">
        <v>465</v>
      </c>
      <c r="B435" s="22" t="s">
        <v>17</v>
      </c>
      <c r="C435" s="22" t="s">
        <v>41</v>
      </c>
      <c r="D435" s="22">
        <v>0</v>
      </c>
      <c r="E435" s="22">
        <v>0</v>
      </c>
      <c r="I435" s="53">
        <v>0</v>
      </c>
      <c r="J435" s="53">
        <v>0</v>
      </c>
    </row>
    <row r="436" spans="1:10">
      <c r="A436" s="22" t="s">
        <v>466</v>
      </c>
      <c r="B436" s="22" t="s">
        <v>17</v>
      </c>
      <c r="C436" s="22" t="s">
        <v>25</v>
      </c>
      <c r="D436" s="22">
        <v>0</v>
      </c>
      <c r="E436" s="22">
        <v>0</v>
      </c>
      <c r="I436" s="53">
        <v>0</v>
      </c>
      <c r="J436" s="53">
        <v>0</v>
      </c>
    </row>
    <row r="437" spans="1:10">
      <c r="A437" s="22" t="s">
        <v>467</v>
      </c>
      <c r="B437" s="22" t="s">
        <v>17</v>
      </c>
      <c r="C437" s="22" t="s">
        <v>25</v>
      </c>
      <c r="D437" s="22">
        <v>0</v>
      </c>
      <c r="E437" s="22">
        <v>0</v>
      </c>
      <c r="I437" s="53">
        <v>0</v>
      </c>
      <c r="J437" s="53">
        <v>0</v>
      </c>
    </row>
    <row r="438" spans="1:10">
      <c r="A438" s="22" t="s">
        <v>468</v>
      </c>
      <c r="B438" s="22" t="s">
        <v>17</v>
      </c>
      <c r="C438" s="22" t="s">
        <v>25</v>
      </c>
      <c r="D438" s="22">
        <v>0</v>
      </c>
      <c r="E438" s="22">
        <v>0</v>
      </c>
      <c r="I438" s="53">
        <v>0</v>
      </c>
      <c r="J438" s="53">
        <v>0</v>
      </c>
    </row>
    <row r="439" spans="1:10">
      <c r="A439" s="22" t="s">
        <v>469</v>
      </c>
      <c r="B439" s="22" t="s">
        <v>17</v>
      </c>
      <c r="C439" s="22" t="s">
        <v>29</v>
      </c>
      <c r="D439" s="22">
        <v>0</v>
      </c>
      <c r="E439" s="22">
        <v>0</v>
      </c>
      <c r="I439" s="53">
        <v>0</v>
      </c>
      <c r="J439" s="53">
        <v>0</v>
      </c>
    </row>
    <row r="440" spans="1:10">
      <c r="A440" s="22" t="s">
        <v>470</v>
      </c>
      <c r="B440" s="22" t="s">
        <v>17</v>
      </c>
      <c r="C440" s="22" t="s">
        <v>20</v>
      </c>
      <c r="D440" s="22">
        <v>0</v>
      </c>
      <c r="E440" s="22">
        <v>0</v>
      </c>
      <c r="I440" s="53">
        <v>0</v>
      </c>
      <c r="J440" s="53">
        <v>0</v>
      </c>
    </row>
    <row r="441" spans="1:10">
      <c r="A441" s="22" t="s">
        <v>471</v>
      </c>
      <c r="B441" s="22" t="s">
        <v>17</v>
      </c>
      <c r="C441" s="22" t="s">
        <v>41</v>
      </c>
      <c r="D441" s="22">
        <v>1</v>
      </c>
      <c r="E441" s="22">
        <v>1518.83</v>
      </c>
      <c r="I441" s="53">
        <v>1</v>
      </c>
      <c r="J441" s="53">
        <v>0</v>
      </c>
    </row>
    <row r="442" spans="1:10">
      <c r="A442" s="22" t="s">
        <v>472</v>
      </c>
      <c r="B442" s="22" t="s">
        <v>17</v>
      </c>
      <c r="C442" s="22" t="s">
        <v>29</v>
      </c>
      <c r="D442" s="22">
        <v>0</v>
      </c>
      <c r="E442" s="22">
        <v>0</v>
      </c>
      <c r="I442" s="53">
        <v>0</v>
      </c>
      <c r="J442" s="53">
        <v>0</v>
      </c>
    </row>
    <row r="443" spans="1:10">
      <c r="A443" s="22" t="s">
        <v>473</v>
      </c>
      <c r="B443" s="22" t="s">
        <v>17</v>
      </c>
      <c r="C443" s="22" t="s">
        <v>29</v>
      </c>
      <c r="D443" s="22">
        <v>0</v>
      </c>
      <c r="E443" s="22">
        <v>0</v>
      </c>
      <c r="I443" s="53">
        <v>0</v>
      </c>
      <c r="J443" s="53">
        <v>0</v>
      </c>
    </row>
    <row r="444" spans="1:10">
      <c r="A444" s="22" t="s">
        <v>474</v>
      </c>
      <c r="B444" s="22" t="s">
        <v>17</v>
      </c>
      <c r="C444" s="22" t="s">
        <v>41</v>
      </c>
      <c r="D444" s="22">
        <v>0</v>
      </c>
      <c r="E444" s="22">
        <v>0</v>
      </c>
      <c r="I444" s="53">
        <v>0</v>
      </c>
      <c r="J444" s="53">
        <v>0</v>
      </c>
    </row>
    <row r="445" spans="1:10">
      <c r="A445" s="22" t="s">
        <v>475</v>
      </c>
      <c r="B445" s="22" t="s">
        <v>17</v>
      </c>
      <c r="C445" s="22" t="s">
        <v>39</v>
      </c>
      <c r="D445" s="22">
        <v>0</v>
      </c>
      <c r="E445" s="22">
        <v>0</v>
      </c>
      <c r="I445" s="53">
        <v>0</v>
      </c>
      <c r="J445" s="53">
        <v>0</v>
      </c>
    </row>
    <row r="446" spans="1:10">
      <c r="A446" s="22" t="s">
        <v>476</v>
      </c>
      <c r="B446" s="22" t="s">
        <v>17</v>
      </c>
      <c r="C446" s="22" t="s">
        <v>25</v>
      </c>
      <c r="D446" s="22">
        <v>0</v>
      </c>
      <c r="E446" s="22">
        <v>0</v>
      </c>
      <c r="I446" s="53">
        <v>0</v>
      </c>
      <c r="J446" s="53">
        <v>0</v>
      </c>
    </row>
    <row r="447" spans="1:10">
      <c r="A447" s="22" t="s">
        <v>477</v>
      </c>
      <c r="B447" s="22" t="s">
        <v>17</v>
      </c>
      <c r="C447" s="22" t="s">
        <v>39</v>
      </c>
      <c r="D447" s="22">
        <v>0</v>
      </c>
      <c r="E447" s="22">
        <v>0</v>
      </c>
      <c r="I447" s="53">
        <v>0</v>
      </c>
      <c r="J447" s="53">
        <v>0</v>
      </c>
    </row>
    <row r="448" spans="1:10">
      <c r="A448" s="22" t="s">
        <v>478</v>
      </c>
      <c r="B448" s="22" t="s">
        <v>17</v>
      </c>
      <c r="C448" s="22" t="s">
        <v>39</v>
      </c>
      <c r="D448" s="22">
        <v>0</v>
      </c>
      <c r="E448" s="22">
        <v>0</v>
      </c>
      <c r="I448" s="53">
        <v>0</v>
      </c>
      <c r="J448" s="53">
        <v>0</v>
      </c>
    </row>
    <row r="449" spans="1:10">
      <c r="A449" s="22" t="s">
        <v>479</v>
      </c>
      <c r="B449" s="22" t="s">
        <v>17</v>
      </c>
      <c r="C449" s="22" t="s">
        <v>25</v>
      </c>
      <c r="D449" s="22">
        <v>0</v>
      </c>
      <c r="E449" s="22">
        <v>0</v>
      </c>
      <c r="I449" s="53">
        <v>0</v>
      </c>
      <c r="J449" s="53">
        <v>0</v>
      </c>
    </row>
    <row r="450" spans="1:10">
      <c r="A450" s="22" t="s">
        <v>480</v>
      </c>
      <c r="B450" s="22" t="s">
        <v>17</v>
      </c>
      <c r="C450" s="22" t="s">
        <v>25</v>
      </c>
      <c r="D450" s="22">
        <v>0</v>
      </c>
      <c r="E450" s="22">
        <v>0</v>
      </c>
      <c r="I450" s="53">
        <v>0</v>
      </c>
      <c r="J450" s="53">
        <v>0</v>
      </c>
    </row>
    <row r="451" spans="1:10">
      <c r="A451" s="22" t="s">
        <v>481</v>
      </c>
      <c r="B451" s="22" t="s">
        <v>17</v>
      </c>
      <c r="C451" s="22" t="s">
        <v>29</v>
      </c>
      <c r="D451" s="22">
        <v>0</v>
      </c>
      <c r="E451" s="22">
        <v>0</v>
      </c>
      <c r="I451" s="53">
        <v>0</v>
      </c>
      <c r="J451" s="53">
        <v>0</v>
      </c>
    </row>
    <row r="452" spans="1:10">
      <c r="A452" s="22" t="s">
        <v>482</v>
      </c>
      <c r="B452" s="22" t="s">
        <v>17</v>
      </c>
      <c r="C452" s="22" t="s">
        <v>41</v>
      </c>
      <c r="D452" s="22">
        <v>0</v>
      </c>
      <c r="E452" s="22">
        <v>0</v>
      </c>
      <c r="I452" s="53">
        <v>0</v>
      </c>
      <c r="J452" s="53">
        <v>0</v>
      </c>
    </row>
    <row r="453" spans="1:10">
      <c r="A453" s="22" t="s">
        <v>483</v>
      </c>
      <c r="B453" s="22" t="s">
        <v>17</v>
      </c>
      <c r="C453" s="22" t="s">
        <v>29</v>
      </c>
      <c r="D453" s="22">
        <v>0</v>
      </c>
      <c r="E453" s="22">
        <v>0</v>
      </c>
      <c r="I453" s="53">
        <v>0</v>
      </c>
      <c r="J453" s="53">
        <v>1</v>
      </c>
    </row>
    <row r="454" spans="1:10">
      <c r="A454" s="22" t="s">
        <v>484</v>
      </c>
      <c r="B454" s="22" t="s">
        <v>17</v>
      </c>
      <c r="C454" s="22" t="s">
        <v>29</v>
      </c>
      <c r="D454" s="22">
        <v>0</v>
      </c>
      <c r="E454" s="22">
        <v>0</v>
      </c>
      <c r="I454" s="53">
        <v>0</v>
      </c>
      <c r="J454" s="53">
        <v>0</v>
      </c>
    </row>
    <row r="455" spans="1:10">
      <c r="A455" s="22" t="s">
        <v>485</v>
      </c>
      <c r="B455" s="22" t="s">
        <v>17</v>
      </c>
      <c r="C455" s="22" t="s">
        <v>41</v>
      </c>
      <c r="D455" s="22">
        <v>0</v>
      </c>
      <c r="E455" s="22">
        <v>0</v>
      </c>
      <c r="I455" s="53">
        <v>0</v>
      </c>
      <c r="J455" s="53">
        <v>0</v>
      </c>
    </row>
    <row r="456" spans="1:10">
      <c r="A456" s="22" t="s">
        <v>486</v>
      </c>
      <c r="B456" s="22" t="s">
        <v>17</v>
      </c>
      <c r="C456" s="22" t="s">
        <v>1482</v>
      </c>
      <c r="D456" s="22">
        <v>0</v>
      </c>
      <c r="E456" s="22">
        <v>0</v>
      </c>
      <c r="I456" s="53">
        <v>0</v>
      </c>
      <c r="J456" s="53">
        <v>1</v>
      </c>
    </row>
    <row r="457" spans="1:10">
      <c r="A457" s="22" t="s">
        <v>487</v>
      </c>
      <c r="B457" s="22" t="s">
        <v>17</v>
      </c>
      <c r="C457" s="22" t="s">
        <v>25</v>
      </c>
      <c r="D457" s="22">
        <v>0</v>
      </c>
      <c r="E457" s="22">
        <v>0</v>
      </c>
      <c r="I457" s="53">
        <v>0</v>
      </c>
      <c r="J457" s="53">
        <v>0</v>
      </c>
    </row>
    <row r="458" spans="1:10">
      <c r="A458" s="22" t="s">
        <v>488</v>
      </c>
      <c r="B458" s="22" t="s">
        <v>17</v>
      </c>
      <c r="C458" s="22" t="s">
        <v>20</v>
      </c>
      <c r="D458" s="22">
        <v>0</v>
      </c>
      <c r="E458" s="22">
        <v>0</v>
      </c>
      <c r="I458" s="53">
        <v>0</v>
      </c>
      <c r="J458" s="53">
        <v>1</v>
      </c>
    </row>
    <row r="459" spans="1:10">
      <c r="A459" s="22" t="s">
        <v>489</v>
      </c>
      <c r="B459" s="22" t="s">
        <v>17</v>
      </c>
      <c r="C459" s="22" t="s">
        <v>25</v>
      </c>
      <c r="D459" s="22">
        <v>0</v>
      </c>
      <c r="E459" s="22">
        <v>0</v>
      </c>
      <c r="I459" s="53">
        <v>0</v>
      </c>
      <c r="J459" s="53">
        <v>0</v>
      </c>
    </row>
    <row r="460" spans="1:10">
      <c r="A460" s="22" t="s">
        <v>490</v>
      </c>
      <c r="B460" s="22" t="s">
        <v>17</v>
      </c>
      <c r="C460" s="22" t="s">
        <v>25</v>
      </c>
      <c r="D460" s="22">
        <v>0</v>
      </c>
      <c r="E460" s="22">
        <v>0</v>
      </c>
      <c r="I460" s="53">
        <v>0</v>
      </c>
      <c r="J460" s="53">
        <v>0</v>
      </c>
    </row>
    <row r="461" spans="1:10">
      <c r="A461" s="22" t="s">
        <v>491</v>
      </c>
      <c r="B461" s="22" t="s">
        <v>17</v>
      </c>
      <c r="C461" s="22" t="s">
        <v>29</v>
      </c>
      <c r="D461" s="22">
        <v>0</v>
      </c>
      <c r="E461" s="22">
        <v>0</v>
      </c>
      <c r="I461" s="53">
        <v>0</v>
      </c>
      <c r="J461" s="53">
        <v>0</v>
      </c>
    </row>
    <row r="462" spans="1:10">
      <c r="A462" s="22" t="s">
        <v>492</v>
      </c>
      <c r="B462" s="22" t="s">
        <v>17</v>
      </c>
      <c r="C462" s="22" t="s">
        <v>25</v>
      </c>
      <c r="D462" s="22">
        <v>0</v>
      </c>
      <c r="E462" s="22">
        <v>0</v>
      </c>
      <c r="I462" s="53">
        <v>0</v>
      </c>
      <c r="J462" s="53">
        <v>0</v>
      </c>
    </row>
    <row r="463" spans="1:10">
      <c r="A463" s="22" t="s">
        <v>493</v>
      </c>
      <c r="B463" s="22" t="s">
        <v>17</v>
      </c>
      <c r="C463" s="22" t="s">
        <v>25</v>
      </c>
      <c r="D463" s="22">
        <v>0</v>
      </c>
      <c r="E463" s="22">
        <v>0</v>
      </c>
      <c r="I463" s="53">
        <v>0</v>
      </c>
      <c r="J463" s="53">
        <v>0</v>
      </c>
    </row>
    <row r="464" spans="1:10">
      <c r="A464" s="22" t="s">
        <v>494</v>
      </c>
      <c r="B464" s="22" t="s">
        <v>17</v>
      </c>
      <c r="C464" s="22" t="s">
        <v>39</v>
      </c>
      <c r="D464" s="22">
        <v>0</v>
      </c>
      <c r="E464" s="22">
        <v>0</v>
      </c>
      <c r="I464" s="53">
        <v>0</v>
      </c>
      <c r="J464" s="53">
        <v>0</v>
      </c>
    </row>
    <row r="465" spans="1:10">
      <c r="A465" s="22" t="s">
        <v>495</v>
      </c>
      <c r="B465" s="22" t="s">
        <v>17</v>
      </c>
      <c r="C465" s="22" t="s">
        <v>25</v>
      </c>
      <c r="D465" s="22">
        <v>0</v>
      </c>
      <c r="E465" s="22">
        <v>0</v>
      </c>
      <c r="I465" s="53">
        <v>0</v>
      </c>
      <c r="J465" s="53">
        <v>0</v>
      </c>
    </row>
    <row r="466" spans="1:10">
      <c r="A466" s="22" t="s">
        <v>496</v>
      </c>
      <c r="B466" s="22" t="s">
        <v>17</v>
      </c>
      <c r="C466" s="22" t="s">
        <v>1482</v>
      </c>
      <c r="D466" s="22">
        <v>0</v>
      </c>
      <c r="E466" s="22">
        <v>0</v>
      </c>
      <c r="I466" s="53">
        <v>0</v>
      </c>
      <c r="J466" s="53">
        <v>0</v>
      </c>
    </row>
    <row r="467" spans="1:10">
      <c r="A467" s="22" t="s">
        <v>497</v>
      </c>
      <c r="B467" s="22" t="s">
        <v>17</v>
      </c>
      <c r="C467" s="22" t="s">
        <v>20</v>
      </c>
      <c r="D467" s="22">
        <v>0</v>
      </c>
      <c r="E467" s="22">
        <v>0</v>
      </c>
      <c r="I467" s="53">
        <v>0</v>
      </c>
      <c r="J467" s="53">
        <v>0</v>
      </c>
    </row>
    <row r="468" spans="1:10">
      <c r="A468" s="22" t="s">
        <v>498</v>
      </c>
      <c r="B468" s="22" t="s">
        <v>17</v>
      </c>
      <c r="C468" s="22" t="s">
        <v>25</v>
      </c>
      <c r="D468" s="22">
        <v>0</v>
      </c>
      <c r="E468" s="22">
        <v>0</v>
      </c>
      <c r="I468" s="53">
        <v>0</v>
      </c>
      <c r="J468" s="53">
        <v>0</v>
      </c>
    </row>
    <row r="469" spans="1:10">
      <c r="A469" s="22" t="s">
        <v>499</v>
      </c>
      <c r="B469" s="22" t="s">
        <v>17</v>
      </c>
      <c r="C469" s="22" t="s">
        <v>20</v>
      </c>
      <c r="D469" s="22">
        <v>0</v>
      </c>
      <c r="E469" s="22">
        <v>0</v>
      </c>
      <c r="I469" s="53">
        <v>0</v>
      </c>
      <c r="J469" s="53">
        <v>0</v>
      </c>
    </row>
    <row r="470" spans="1:10">
      <c r="A470" s="22" t="s">
        <v>500</v>
      </c>
      <c r="B470" s="22" t="s">
        <v>17</v>
      </c>
      <c r="C470" s="22" t="s">
        <v>25</v>
      </c>
      <c r="D470" s="22">
        <v>0</v>
      </c>
      <c r="E470" s="22">
        <v>0</v>
      </c>
      <c r="I470" s="53">
        <v>0</v>
      </c>
      <c r="J470" s="53">
        <v>0</v>
      </c>
    </row>
    <row r="471" spans="1:10">
      <c r="A471" s="22" t="s">
        <v>501</v>
      </c>
      <c r="B471" s="22" t="s">
        <v>17</v>
      </c>
      <c r="C471" s="22" t="s">
        <v>29</v>
      </c>
      <c r="D471" s="22">
        <v>0</v>
      </c>
      <c r="E471" s="22">
        <v>0</v>
      </c>
      <c r="I471" s="53">
        <v>0</v>
      </c>
      <c r="J471" s="53">
        <v>0</v>
      </c>
    </row>
    <row r="472" spans="1:10">
      <c r="A472" s="22" t="s">
        <v>502</v>
      </c>
      <c r="B472" s="22" t="s">
        <v>17</v>
      </c>
      <c r="C472" s="22" t="s">
        <v>25</v>
      </c>
      <c r="D472" s="22">
        <v>0</v>
      </c>
      <c r="E472" s="22">
        <v>0</v>
      </c>
      <c r="I472" s="53">
        <v>0</v>
      </c>
      <c r="J472" s="53">
        <v>0</v>
      </c>
    </row>
    <row r="473" spans="1:10">
      <c r="A473" s="22" t="s">
        <v>503</v>
      </c>
      <c r="B473" s="22" t="s">
        <v>17</v>
      </c>
      <c r="C473" s="22" t="s">
        <v>25</v>
      </c>
      <c r="D473" s="22">
        <v>0</v>
      </c>
      <c r="E473" s="22">
        <v>0</v>
      </c>
      <c r="I473" s="53">
        <v>0</v>
      </c>
      <c r="J473" s="53">
        <v>0</v>
      </c>
    </row>
    <row r="474" spans="1:10">
      <c r="A474" s="22" t="s">
        <v>504</v>
      </c>
      <c r="B474" s="22" t="s">
        <v>17</v>
      </c>
      <c r="C474" s="22" t="s">
        <v>41</v>
      </c>
      <c r="D474" s="22">
        <v>0</v>
      </c>
      <c r="E474" s="22">
        <v>0</v>
      </c>
      <c r="I474" s="53">
        <v>0</v>
      </c>
      <c r="J474" s="53">
        <v>0</v>
      </c>
    </row>
    <row r="475" spans="1:10">
      <c r="A475" s="22" t="s">
        <v>505</v>
      </c>
      <c r="B475" s="22" t="s">
        <v>17</v>
      </c>
      <c r="C475" s="22" t="s">
        <v>25</v>
      </c>
      <c r="D475" s="22">
        <v>0</v>
      </c>
      <c r="E475" s="22">
        <v>0</v>
      </c>
      <c r="I475" s="53">
        <v>0</v>
      </c>
      <c r="J475" s="53">
        <v>0</v>
      </c>
    </row>
    <row r="476" spans="1:10">
      <c r="A476" s="22" t="s">
        <v>506</v>
      </c>
      <c r="B476" s="22" t="s">
        <v>17</v>
      </c>
      <c r="C476" s="22" t="s">
        <v>39</v>
      </c>
      <c r="D476" s="22">
        <v>0</v>
      </c>
      <c r="E476" s="22">
        <v>0</v>
      </c>
      <c r="I476" s="53">
        <v>0</v>
      </c>
      <c r="J476" s="53">
        <v>0</v>
      </c>
    </row>
    <row r="477" spans="1:10">
      <c r="A477" s="22" t="s">
        <v>507</v>
      </c>
      <c r="B477" s="22" t="s">
        <v>17</v>
      </c>
      <c r="C477" s="22" t="s">
        <v>39</v>
      </c>
      <c r="D477" s="22">
        <v>0</v>
      </c>
      <c r="E477" s="22">
        <v>0</v>
      </c>
      <c r="I477" s="53">
        <v>0</v>
      </c>
      <c r="J477" s="53">
        <v>0</v>
      </c>
    </row>
    <row r="478" spans="1:10">
      <c r="A478" s="22" t="s">
        <v>508</v>
      </c>
      <c r="B478" s="22" t="s">
        <v>17</v>
      </c>
      <c r="C478" s="22" t="s">
        <v>39</v>
      </c>
      <c r="D478" s="22">
        <v>0</v>
      </c>
      <c r="E478" s="22">
        <v>0</v>
      </c>
      <c r="I478" s="53">
        <v>0</v>
      </c>
      <c r="J478" s="53">
        <v>0</v>
      </c>
    </row>
    <row r="479" spans="1:10">
      <c r="A479" s="22" t="s">
        <v>509</v>
      </c>
      <c r="B479" s="22" t="s">
        <v>17</v>
      </c>
      <c r="C479" s="22" t="s">
        <v>41</v>
      </c>
      <c r="D479" s="22">
        <v>0</v>
      </c>
      <c r="E479" s="22">
        <v>0</v>
      </c>
      <c r="I479" s="53">
        <v>0</v>
      </c>
      <c r="J479" s="53">
        <v>1</v>
      </c>
    </row>
    <row r="480" spans="1:10">
      <c r="A480" s="22" t="s">
        <v>510</v>
      </c>
      <c r="B480" s="22" t="s">
        <v>17</v>
      </c>
      <c r="C480" s="22" t="s">
        <v>25</v>
      </c>
      <c r="D480" s="22">
        <v>0</v>
      </c>
      <c r="E480" s="22">
        <v>0</v>
      </c>
      <c r="I480" s="53">
        <v>0</v>
      </c>
      <c r="J480" s="53">
        <v>0</v>
      </c>
    </row>
    <row r="481" spans="1:10">
      <c r="A481" s="22" t="s">
        <v>511</v>
      </c>
      <c r="B481" s="22" t="s">
        <v>17</v>
      </c>
      <c r="C481" s="22" t="s">
        <v>29</v>
      </c>
      <c r="D481" s="22">
        <v>0</v>
      </c>
      <c r="E481" s="22">
        <v>0</v>
      </c>
      <c r="I481" s="53">
        <v>0</v>
      </c>
      <c r="J481" s="53">
        <v>0</v>
      </c>
    </row>
    <row r="482" spans="1:10">
      <c r="A482" s="22" t="s">
        <v>512</v>
      </c>
      <c r="B482" s="22" t="s">
        <v>17</v>
      </c>
      <c r="C482" s="22" t="s">
        <v>39</v>
      </c>
      <c r="D482" s="22">
        <v>0</v>
      </c>
      <c r="E482" s="22">
        <v>0</v>
      </c>
      <c r="I482" s="53">
        <v>0</v>
      </c>
      <c r="J482" s="53">
        <v>0</v>
      </c>
    </row>
    <row r="483" spans="1:10">
      <c r="A483" s="22" t="s">
        <v>513</v>
      </c>
      <c r="B483" s="22" t="s">
        <v>17</v>
      </c>
      <c r="C483" s="22" t="s">
        <v>25</v>
      </c>
      <c r="D483" s="22">
        <v>0</v>
      </c>
      <c r="E483" s="22">
        <v>0</v>
      </c>
      <c r="I483" s="53">
        <v>0</v>
      </c>
      <c r="J483" s="53">
        <v>0</v>
      </c>
    </row>
    <row r="484" spans="1:10">
      <c r="A484" s="22" t="s">
        <v>514</v>
      </c>
      <c r="B484" s="22" t="s">
        <v>17</v>
      </c>
      <c r="C484" s="22" t="s">
        <v>25</v>
      </c>
      <c r="D484" s="22">
        <v>0</v>
      </c>
      <c r="E484" s="22">
        <v>0</v>
      </c>
      <c r="I484" s="53">
        <v>0</v>
      </c>
      <c r="J484" s="53">
        <v>0</v>
      </c>
    </row>
    <row r="485" spans="1:10">
      <c r="A485" s="22" t="s">
        <v>515</v>
      </c>
      <c r="B485" s="22" t="s">
        <v>17</v>
      </c>
      <c r="C485" s="22" t="s">
        <v>20</v>
      </c>
      <c r="D485" s="22">
        <v>0</v>
      </c>
      <c r="E485" s="22">
        <v>0</v>
      </c>
      <c r="I485" s="53">
        <v>0</v>
      </c>
      <c r="J485" s="53">
        <v>0</v>
      </c>
    </row>
    <row r="486" spans="1:10">
      <c r="A486" s="22" t="s">
        <v>516</v>
      </c>
      <c r="B486" s="22" t="s">
        <v>17</v>
      </c>
      <c r="C486" s="22" t="s">
        <v>41</v>
      </c>
      <c r="D486" s="22">
        <v>0</v>
      </c>
      <c r="E486" s="22">
        <v>0</v>
      </c>
      <c r="I486" s="53">
        <v>0</v>
      </c>
      <c r="J486" s="53">
        <v>0</v>
      </c>
    </row>
    <row r="487" spans="1:10">
      <c r="A487" s="22" t="s">
        <v>517</v>
      </c>
      <c r="B487" s="22" t="s">
        <v>17</v>
      </c>
      <c r="C487" s="22" t="s">
        <v>25</v>
      </c>
      <c r="D487" s="22">
        <v>0</v>
      </c>
      <c r="E487" s="22">
        <v>0</v>
      </c>
      <c r="I487" s="53">
        <v>0</v>
      </c>
      <c r="J487" s="53">
        <v>0</v>
      </c>
    </row>
    <row r="488" spans="1:10">
      <c r="A488" s="22" t="s">
        <v>518</v>
      </c>
      <c r="B488" s="22" t="s">
        <v>17</v>
      </c>
      <c r="C488" s="22" t="s">
        <v>25</v>
      </c>
      <c r="D488" s="22">
        <v>0</v>
      </c>
      <c r="E488" s="22">
        <v>0</v>
      </c>
      <c r="I488" s="53">
        <v>0</v>
      </c>
      <c r="J488" s="53">
        <v>0</v>
      </c>
    </row>
    <row r="489" spans="1:10">
      <c r="A489" s="22" t="s">
        <v>519</v>
      </c>
      <c r="B489" s="22" t="s">
        <v>17</v>
      </c>
      <c r="C489" s="22" t="s">
        <v>39</v>
      </c>
      <c r="D489" s="22">
        <v>0</v>
      </c>
      <c r="E489" s="22">
        <v>0</v>
      </c>
      <c r="I489" s="53">
        <v>0</v>
      </c>
      <c r="J489" s="53">
        <v>0</v>
      </c>
    </row>
    <row r="490" spans="1:10">
      <c r="A490" s="22" t="s">
        <v>520</v>
      </c>
      <c r="B490" s="22" t="s">
        <v>17</v>
      </c>
      <c r="C490" s="22" t="s">
        <v>29</v>
      </c>
      <c r="D490" s="22">
        <v>0</v>
      </c>
      <c r="E490" s="22">
        <v>0</v>
      </c>
      <c r="I490" s="53">
        <v>0</v>
      </c>
      <c r="J490" s="53">
        <v>1</v>
      </c>
    </row>
    <row r="491" spans="1:10">
      <c r="A491" s="22" t="s">
        <v>521</v>
      </c>
      <c r="B491" s="22" t="s">
        <v>17</v>
      </c>
      <c r="C491" s="22" t="s">
        <v>39</v>
      </c>
      <c r="D491" s="22">
        <v>0</v>
      </c>
      <c r="E491" s="22">
        <v>0</v>
      </c>
      <c r="I491" s="53">
        <v>0</v>
      </c>
      <c r="J491" s="53">
        <v>0</v>
      </c>
    </row>
    <row r="492" spans="1:10">
      <c r="A492" s="22" t="s">
        <v>522</v>
      </c>
      <c r="B492" s="22" t="s">
        <v>17</v>
      </c>
      <c r="C492" s="22" t="s">
        <v>41</v>
      </c>
      <c r="D492" s="22">
        <v>0</v>
      </c>
      <c r="E492" s="22">
        <v>0</v>
      </c>
      <c r="I492" s="53">
        <v>0</v>
      </c>
      <c r="J492" s="53">
        <v>0</v>
      </c>
    </row>
    <row r="493" spans="1:10">
      <c r="A493" s="22" t="s">
        <v>523</v>
      </c>
      <c r="B493" s="22" t="s">
        <v>17</v>
      </c>
      <c r="C493" s="22" t="s">
        <v>29</v>
      </c>
      <c r="D493" s="22">
        <v>0</v>
      </c>
      <c r="E493" s="22">
        <v>0</v>
      </c>
      <c r="I493" s="53">
        <v>0</v>
      </c>
      <c r="J493" s="53">
        <v>0</v>
      </c>
    </row>
    <row r="494" spans="1:10">
      <c r="A494" s="22" t="s">
        <v>524</v>
      </c>
      <c r="B494" s="22" t="s">
        <v>17</v>
      </c>
      <c r="C494" s="22" t="s">
        <v>20</v>
      </c>
      <c r="D494" s="22">
        <v>0</v>
      </c>
      <c r="E494" s="22">
        <v>0</v>
      </c>
      <c r="I494" s="53">
        <v>0</v>
      </c>
      <c r="J494" s="53">
        <v>0</v>
      </c>
    </row>
    <row r="495" spans="1:10">
      <c r="A495" s="22" t="s">
        <v>525</v>
      </c>
      <c r="B495" s="22" t="s">
        <v>17</v>
      </c>
      <c r="C495" s="22" t="s">
        <v>25</v>
      </c>
      <c r="D495" s="22">
        <v>0</v>
      </c>
      <c r="E495" s="22">
        <v>0</v>
      </c>
      <c r="I495" s="53">
        <v>0</v>
      </c>
      <c r="J495" s="53">
        <v>0</v>
      </c>
    </row>
    <row r="496" spans="1:10">
      <c r="A496" s="22" t="s">
        <v>526</v>
      </c>
      <c r="B496" s="22" t="s">
        <v>17</v>
      </c>
      <c r="C496" s="22" t="s">
        <v>39</v>
      </c>
      <c r="D496" s="22">
        <v>0</v>
      </c>
      <c r="E496" s="22">
        <v>0</v>
      </c>
      <c r="I496" s="53">
        <v>0</v>
      </c>
      <c r="J496" s="53">
        <v>0</v>
      </c>
    </row>
    <row r="497" spans="1:10">
      <c r="A497" s="22" t="s">
        <v>527</v>
      </c>
      <c r="B497" s="22" t="s">
        <v>17</v>
      </c>
      <c r="C497" s="22" t="s">
        <v>20</v>
      </c>
      <c r="D497" s="22">
        <v>0</v>
      </c>
      <c r="E497" s="22">
        <v>0</v>
      </c>
      <c r="I497" s="53">
        <v>0</v>
      </c>
      <c r="J497" s="53">
        <v>0</v>
      </c>
    </row>
    <row r="498" spans="1:10">
      <c r="A498" s="22" t="s">
        <v>528</v>
      </c>
      <c r="B498" s="22" t="s">
        <v>17</v>
      </c>
      <c r="C498" s="22" t="s">
        <v>20</v>
      </c>
      <c r="D498" s="22">
        <v>0</v>
      </c>
      <c r="E498" s="22">
        <v>0</v>
      </c>
      <c r="I498" s="53">
        <v>0</v>
      </c>
      <c r="J498" s="53">
        <v>0</v>
      </c>
    </row>
    <row r="499" spans="1:10">
      <c r="A499" s="22" t="s">
        <v>529</v>
      </c>
      <c r="B499" s="22" t="s">
        <v>17</v>
      </c>
      <c r="C499" s="22" t="s">
        <v>25</v>
      </c>
      <c r="D499" s="22">
        <v>0</v>
      </c>
      <c r="E499" s="22">
        <v>0</v>
      </c>
      <c r="I499" s="53">
        <v>0</v>
      </c>
      <c r="J499" s="53">
        <v>0</v>
      </c>
    </row>
    <row r="500" spans="1:10">
      <c r="A500" s="22" t="s">
        <v>530</v>
      </c>
      <c r="B500" s="22" t="s">
        <v>17</v>
      </c>
      <c r="C500" s="22" t="s">
        <v>41</v>
      </c>
      <c r="D500" s="22">
        <v>0</v>
      </c>
      <c r="E500" s="22">
        <v>0</v>
      </c>
      <c r="I500" s="53">
        <v>0</v>
      </c>
      <c r="J500" s="53">
        <v>0</v>
      </c>
    </row>
    <row r="501" spans="1:10">
      <c r="A501" s="22" t="s">
        <v>531</v>
      </c>
      <c r="B501" s="22" t="s">
        <v>17</v>
      </c>
      <c r="C501" s="22" t="s">
        <v>29</v>
      </c>
      <c r="D501" s="22">
        <v>0</v>
      </c>
      <c r="E501" s="22">
        <v>0</v>
      </c>
      <c r="I501" s="53">
        <v>0</v>
      </c>
      <c r="J501" s="53">
        <v>0</v>
      </c>
    </row>
    <row r="502" spans="1:10">
      <c r="A502" s="22" t="s">
        <v>532</v>
      </c>
      <c r="B502" s="22" t="s">
        <v>17</v>
      </c>
      <c r="C502" s="22" t="s">
        <v>41</v>
      </c>
      <c r="D502" s="22">
        <v>1</v>
      </c>
      <c r="E502" s="22">
        <v>513.61</v>
      </c>
      <c r="I502" s="53">
        <v>1</v>
      </c>
      <c r="J502" s="53">
        <v>0</v>
      </c>
    </row>
    <row r="503" spans="1:10">
      <c r="A503" s="22" t="s">
        <v>533</v>
      </c>
      <c r="B503" s="22" t="s">
        <v>17</v>
      </c>
      <c r="C503" s="22" t="s">
        <v>20</v>
      </c>
      <c r="D503" s="22">
        <v>0</v>
      </c>
      <c r="E503" s="22">
        <v>0</v>
      </c>
      <c r="I503" s="53">
        <v>0</v>
      </c>
      <c r="J503" s="53">
        <v>0</v>
      </c>
    </row>
    <row r="504" spans="1:10">
      <c r="A504" s="22" t="s">
        <v>534</v>
      </c>
      <c r="B504" s="22" t="s">
        <v>17</v>
      </c>
      <c r="C504" s="22" t="s">
        <v>41</v>
      </c>
      <c r="D504" s="22">
        <v>0</v>
      </c>
      <c r="E504" s="22">
        <v>0</v>
      </c>
      <c r="I504" s="53">
        <v>0</v>
      </c>
      <c r="J504" s="53">
        <v>0</v>
      </c>
    </row>
    <row r="505" spans="1:10">
      <c r="A505" s="22" t="s">
        <v>535</v>
      </c>
      <c r="B505" s="22" t="s">
        <v>17</v>
      </c>
      <c r="C505" s="22" t="s">
        <v>25</v>
      </c>
      <c r="D505" s="22">
        <v>0</v>
      </c>
      <c r="E505" s="22">
        <v>0</v>
      </c>
      <c r="I505" s="53">
        <v>0</v>
      </c>
      <c r="J505" s="53">
        <v>0</v>
      </c>
    </row>
    <row r="506" spans="1:10">
      <c r="A506" s="22" t="s">
        <v>536</v>
      </c>
      <c r="B506" s="22" t="s">
        <v>17</v>
      </c>
      <c r="C506" s="22" t="s">
        <v>39</v>
      </c>
      <c r="D506" s="22">
        <v>0</v>
      </c>
      <c r="E506" s="22">
        <v>0</v>
      </c>
      <c r="I506" s="53">
        <v>0</v>
      </c>
      <c r="J506" s="53">
        <v>0</v>
      </c>
    </row>
    <row r="507" spans="1:10">
      <c r="A507" s="22" t="s">
        <v>537</v>
      </c>
      <c r="B507" s="22" t="s">
        <v>17</v>
      </c>
      <c r="C507" s="22" t="s">
        <v>41</v>
      </c>
      <c r="D507" s="22">
        <v>0</v>
      </c>
      <c r="E507" s="22">
        <v>0</v>
      </c>
      <c r="I507" s="53">
        <v>0</v>
      </c>
      <c r="J507" s="53">
        <v>0</v>
      </c>
    </row>
    <row r="508" spans="1:10">
      <c r="A508" s="22" t="s">
        <v>538</v>
      </c>
      <c r="B508" s="22" t="s">
        <v>17</v>
      </c>
      <c r="C508" s="22" t="s">
        <v>25</v>
      </c>
      <c r="D508" s="22">
        <v>0</v>
      </c>
      <c r="E508" s="22">
        <v>0</v>
      </c>
      <c r="I508" s="53">
        <v>0</v>
      </c>
      <c r="J508" s="53">
        <v>0</v>
      </c>
    </row>
    <row r="509" spans="1:10">
      <c r="A509" s="22" t="s">
        <v>539</v>
      </c>
      <c r="B509" s="22" t="s">
        <v>17</v>
      </c>
      <c r="C509" s="22" t="s">
        <v>29</v>
      </c>
      <c r="D509" s="22">
        <v>0</v>
      </c>
      <c r="E509" s="22">
        <v>0</v>
      </c>
      <c r="I509" s="53">
        <v>0</v>
      </c>
      <c r="J509" s="53">
        <v>0</v>
      </c>
    </row>
    <row r="510" spans="1:10">
      <c r="A510" s="22" t="s">
        <v>540</v>
      </c>
      <c r="B510" s="22" t="s">
        <v>17</v>
      </c>
      <c r="C510" s="22" t="s">
        <v>25</v>
      </c>
      <c r="D510" s="22">
        <v>0</v>
      </c>
      <c r="E510" s="22">
        <v>0</v>
      </c>
      <c r="I510" s="53">
        <v>0</v>
      </c>
      <c r="J510" s="53">
        <v>0</v>
      </c>
    </row>
    <row r="511" spans="1:10">
      <c r="A511" s="22" t="s">
        <v>541</v>
      </c>
      <c r="B511" s="22" t="s">
        <v>17</v>
      </c>
      <c r="C511" s="22" t="s">
        <v>25</v>
      </c>
      <c r="D511" s="22">
        <v>0</v>
      </c>
      <c r="E511" s="22">
        <v>0</v>
      </c>
      <c r="I511" s="53">
        <v>0</v>
      </c>
      <c r="J511" s="53">
        <v>0</v>
      </c>
    </row>
    <row r="512" spans="1:10">
      <c r="A512" s="22" t="s">
        <v>542</v>
      </c>
      <c r="B512" s="22" t="s">
        <v>17</v>
      </c>
      <c r="C512" s="22" t="s">
        <v>41</v>
      </c>
      <c r="D512" s="22">
        <v>0</v>
      </c>
      <c r="E512" s="22">
        <v>0</v>
      </c>
      <c r="I512" s="53">
        <v>0</v>
      </c>
      <c r="J512" s="53">
        <v>0</v>
      </c>
    </row>
    <row r="513" spans="1:10">
      <c r="A513" s="22" t="s">
        <v>543</v>
      </c>
      <c r="B513" s="22" t="s">
        <v>17</v>
      </c>
      <c r="C513" s="22" t="s">
        <v>25</v>
      </c>
      <c r="D513" s="22">
        <v>0</v>
      </c>
      <c r="E513" s="22">
        <v>0</v>
      </c>
      <c r="I513" s="53">
        <v>0</v>
      </c>
      <c r="J513" s="53">
        <v>0</v>
      </c>
    </row>
    <row r="514" spans="1:10">
      <c r="A514" s="22" t="s">
        <v>544</v>
      </c>
      <c r="B514" s="22" t="s">
        <v>17</v>
      </c>
      <c r="C514" s="22" t="s">
        <v>1482</v>
      </c>
      <c r="D514" s="22">
        <v>0</v>
      </c>
      <c r="E514" s="22">
        <v>0</v>
      </c>
      <c r="I514" s="53">
        <v>0</v>
      </c>
      <c r="J514" s="53">
        <v>0</v>
      </c>
    </row>
    <row r="515" spans="1:10">
      <c r="A515" s="22" t="s">
        <v>545</v>
      </c>
      <c r="B515" s="22" t="s">
        <v>17</v>
      </c>
      <c r="C515" s="22" t="s">
        <v>25</v>
      </c>
      <c r="D515" s="22">
        <v>0</v>
      </c>
      <c r="E515" s="22">
        <v>0</v>
      </c>
      <c r="I515" s="53">
        <v>0</v>
      </c>
      <c r="J515" s="53">
        <v>0</v>
      </c>
    </row>
    <row r="516" spans="1:10">
      <c r="A516" s="22" t="s">
        <v>546</v>
      </c>
      <c r="B516" s="22" t="s">
        <v>17</v>
      </c>
      <c r="C516" s="22" t="s">
        <v>29</v>
      </c>
      <c r="D516" s="22">
        <v>0</v>
      </c>
      <c r="E516" s="22">
        <v>0</v>
      </c>
      <c r="I516" s="53">
        <v>0</v>
      </c>
      <c r="J516" s="53">
        <v>0</v>
      </c>
    </row>
    <row r="517" spans="1:10">
      <c r="A517" s="22" t="s">
        <v>547</v>
      </c>
      <c r="B517" s="22" t="s">
        <v>17</v>
      </c>
      <c r="C517" s="22" t="s">
        <v>25</v>
      </c>
      <c r="D517" s="22">
        <v>0</v>
      </c>
      <c r="E517" s="22">
        <v>0</v>
      </c>
      <c r="I517" s="53">
        <v>0</v>
      </c>
      <c r="J517" s="53">
        <v>0</v>
      </c>
    </row>
    <row r="518" spans="1:10">
      <c r="A518" s="22" t="s">
        <v>548</v>
      </c>
      <c r="B518" s="22" t="s">
        <v>17</v>
      </c>
      <c r="C518" s="22" t="s">
        <v>39</v>
      </c>
      <c r="D518" s="22">
        <v>0</v>
      </c>
      <c r="E518" s="22">
        <v>0</v>
      </c>
      <c r="I518" s="53">
        <v>0</v>
      </c>
      <c r="J518" s="53">
        <v>0</v>
      </c>
    </row>
    <row r="519" spans="1:10">
      <c r="A519" s="22" t="s">
        <v>549</v>
      </c>
      <c r="B519" s="22" t="s">
        <v>17</v>
      </c>
      <c r="C519" s="22" t="s">
        <v>41</v>
      </c>
      <c r="D519" s="22">
        <v>0</v>
      </c>
      <c r="E519" s="22">
        <v>0</v>
      </c>
      <c r="I519" s="53">
        <v>0</v>
      </c>
      <c r="J519" s="53">
        <v>0</v>
      </c>
    </row>
    <row r="520" spans="1:10">
      <c r="A520" s="22" t="s">
        <v>550</v>
      </c>
      <c r="B520" s="22" t="s">
        <v>17</v>
      </c>
      <c r="C520" s="22" t="s">
        <v>29</v>
      </c>
      <c r="D520" s="22">
        <v>0</v>
      </c>
      <c r="E520" s="22">
        <v>0</v>
      </c>
      <c r="I520" s="53">
        <v>0</v>
      </c>
      <c r="J520" s="53">
        <v>0</v>
      </c>
    </row>
    <row r="521" spans="1:10">
      <c r="A521" s="22" t="s">
        <v>551</v>
      </c>
      <c r="B521" s="22" t="s">
        <v>17</v>
      </c>
      <c r="C521" s="22" t="s">
        <v>39</v>
      </c>
      <c r="D521" s="22">
        <v>0</v>
      </c>
      <c r="E521" s="22">
        <v>0</v>
      </c>
      <c r="I521" s="53">
        <v>0</v>
      </c>
      <c r="J521" s="53">
        <v>0</v>
      </c>
    </row>
    <row r="522" spans="1:10">
      <c r="A522" s="22" t="s">
        <v>552</v>
      </c>
      <c r="B522" s="22" t="s">
        <v>17</v>
      </c>
      <c r="C522" s="22" t="s">
        <v>25</v>
      </c>
      <c r="D522" s="22">
        <v>0</v>
      </c>
      <c r="E522" s="22">
        <v>0</v>
      </c>
      <c r="I522" s="53">
        <v>0</v>
      </c>
      <c r="J522" s="53">
        <v>0</v>
      </c>
    </row>
    <row r="523" spans="1:10">
      <c r="A523" s="22" t="s">
        <v>553</v>
      </c>
      <c r="B523" s="22" t="s">
        <v>17</v>
      </c>
      <c r="C523" s="22" t="s">
        <v>29</v>
      </c>
      <c r="D523" s="22">
        <v>0</v>
      </c>
      <c r="E523" s="22">
        <v>0</v>
      </c>
      <c r="I523" s="53">
        <v>0</v>
      </c>
      <c r="J523" s="53">
        <v>0</v>
      </c>
    </row>
    <row r="524" spans="1:10">
      <c r="A524" s="22" t="s">
        <v>554</v>
      </c>
      <c r="B524" s="22" t="s">
        <v>17</v>
      </c>
      <c r="C524" s="22" t="s">
        <v>25</v>
      </c>
      <c r="D524" s="22">
        <v>0</v>
      </c>
      <c r="E524" s="22">
        <v>0</v>
      </c>
      <c r="I524" s="53">
        <v>0</v>
      </c>
      <c r="J524" s="53">
        <v>0</v>
      </c>
    </row>
    <row r="525" spans="1:10">
      <c r="A525" s="22" t="s">
        <v>555</v>
      </c>
      <c r="B525" s="22" t="s">
        <v>17</v>
      </c>
      <c r="C525" s="22" t="s">
        <v>20</v>
      </c>
      <c r="D525" s="22">
        <v>0</v>
      </c>
      <c r="E525" s="22">
        <v>0</v>
      </c>
      <c r="I525" s="53">
        <v>0</v>
      </c>
      <c r="J525" s="53">
        <v>0</v>
      </c>
    </row>
    <row r="526" spans="1:10">
      <c r="A526" s="22" t="s">
        <v>556</v>
      </c>
      <c r="B526" s="22" t="s">
        <v>17</v>
      </c>
      <c r="C526" s="22" t="s">
        <v>25</v>
      </c>
      <c r="D526" s="22">
        <v>0</v>
      </c>
      <c r="E526" s="22">
        <v>0</v>
      </c>
      <c r="I526" s="53">
        <v>0</v>
      </c>
      <c r="J526" s="53">
        <v>0</v>
      </c>
    </row>
    <row r="527" spans="1:10">
      <c r="A527" s="22" t="s">
        <v>557</v>
      </c>
      <c r="B527" s="22" t="s">
        <v>17</v>
      </c>
      <c r="C527" s="22" t="s">
        <v>29</v>
      </c>
      <c r="D527" s="22">
        <v>0</v>
      </c>
      <c r="E527" s="22">
        <v>0</v>
      </c>
      <c r="I527" s="53">
        <v>0</v>
      </c>
      <c r="J527" s="53">
        <v>0</v>
      </c>
    </row>
    <row r="528" spans="1:10">
      <c r="A528" s="22" t="s">
        <v>558</v>
      </c>
      <c r="B528" s="22" t="s">
        <v>17</v>
      </c>
      <c r="C528" s="22" t="s">
        <v>29</v>
      </c>
      <c r="D528" s="22">
        <v>0</v>
      </c>
      <c r="E528" s="22">
        <v>0</v>
      </c>
      <c r="I528" s="53">
        <v>0</v>
      </c>
      <c r="J528" s="53">
        <v>0</v>
      </c>
    </row>
    <row r="529" spans="1:10">
      <c r="A529" s="22" t="s">
        <v>559</v>
      </c>
      <c r="B529" s="22" t="s">
        <v>17</v>
      </c>
      <c r="C529" s="22" t="s">
        <v>25</v>
      </c>
      <c r="D529" s="22">
        <v>0</v>
      </c>
      <c r="E529" s="22">
        <v>0</v>
      </c>
      <c r="I529" s="53">
        <v>0</v>
      </c>
      <c r="J529" s="53">
        <v>0</v>
      </c>
    </row>
    <row r="530" spans="1:10">
      <c r="A530" s="22" t="s">
        <v>560</v>
      </c>
      <c r="B530" s="22" t="s">
        <v>17</v>
      </c>
      <c r="C530" s="22" t="s">
        <v>41</v>
      </c>
      <c r="D530" s="22">
        <v>0</v>
      </c>
      <c r="E530" s="22">
        <v>0</v>
      </c>
      <c r="I530" s="53">
        <v>0</v>
      </c>
      <c r="J530" s="53">
        <v>0</v>
      </c>
    </row>
    <row r="531" spans="1:10">
      <c r="A531" s="22" t="s">
        <v>561</v>
      </c>
      <c r="B531" s="22" t="s">
        <v>17</v>
      </c>
      <c r="C531" s="22" t="s">
        <v>25</v>
      </c>
      <c r="D531" s="22">
        <v>0</v>
      </c>
      <c r="E531" s="22">
        <v>0</v>
      </c>
      <c r="I531" s="53">
        <v>0</v>
      </c>
      <c r="J531" s="53">
        <v>0</v>
      </c>
    </row>
    <row r="532" spans="1:10">
      <c r="A532" s="22" t="s">
        <v>562</v>
      </c>
      <c r="B532" s="22" t="s">
        <v>17</v>
      </c>
      <c r="C532" s="22" t="s">
        <v>25</v>
      </c>
      <c r="D532" s="22">
        <v>0</v>
      </c>
      <c r="E532" s="22">
        <v>0</v>
      </c>
      <c r="I532" s="53">
        <v>0</v>
      </c>
      <c r="J532" s="53">
        <v>1</v>
      </c>
    </row>
    <row r="533" spans="1:10">
      <c r="A533" s="22" t="s">
        <v>563</v>
      </c>
      <c r="B533" s="22" t="s">
        <v>17</v>
      </c>
      <c r="C533" s="22" t="s">
        <v>25</v>
      </c>
      <c r="D533" s="22">
        <v>0</v>
      </c>
      <c r="E533" s="22">
        <v>0</v>
      </c>
      <c r="I533" s="53">
        <v>0</v>
      </c>
      <c r="J533" s="53">
        <v>1</v>
      </c>
    </row>
    <row r="534" spans="1:10">
      <c r="A534" s="22" t="s">
        <v>564</v>
      </c>
      <c r="B534" s="22" t="s">
        <v>17</v>
      </c>
      <c r="C534" s="22" t="s">
        <v>29</v>
      </c>
      <c r="D534" s="22">
        <v>0</v>
      </c>
      <c r="E534" s="22">
        <v>0</v>
      </c>
      <c r="I534" s="53">
        <v>0</v>
      </c>
      <c r="J534" s="53">
        <v>0</v>
      </c>
    </row>
    <row r="535" spans="1:10">
      <c r="A535" s="22" t="s">
        <v>565</v>
      </c>
      <c r="B535" s="22" t="s">
        <v>17</v>
      </c>
      <c r="C535" s="22" t="s">
        <v>20</v>
      </c>
      <c r="D535" s="22">
        <v>0</v>
      </c>
      <c r="E535" s="22">
        <v>0</v>
      </c>
      <c r="I535" s="53">
        <v>0</v>
      </c>
      <c r="J535" s="53">
        <v>0</v>
      </c>
    </row>
    <row r="536" spans="1:10">
      <c r="A536" s="22" t="s">
        <v>566</v>
      </c>
      <c r="B536" s="22" t="s">
        <v>17</v>
      </c>
      <c r="C536" s="22" t="s">
        <v>29</v>
      </c>
      <c r="D536" s="22">
        <v>0</v>
      </c>
      <c r="E536" s="22">
        <v>0</v>
      </c>
      <c r="I536" s="53">
        <v>0</v>
      </c>
      <c r="J536" s="53">
        <v>0</v>
      </c>
    </row>
    <row r="537" spans="1:10">
      <c r="A537" s="22" t="s">
        <v>567</v>
      </c>
      <c r="B537" s="22" t="s">
        <v>17</v>
      </c>
      <c r="C537" s="22" t="s">
        <v>29</v>
      </c>
      <c r="D537" s="22">
        <v>0</v>
      </c>
      <c r="E537" s="22">
        <v>0</v>
      </c>
      <c r="I537" s="53">
        <v>0</v>
      </c>
      <c r="J537" s="53">
        <v>1</v>
      </c>
    </row>
    <row r="538" spans="1:10">
      <c r="A538" s="22" t="s">
        <v>568</v>
      </c>
      <c r="B538" s="22" t="s">
        <v>17</v>
      </c>
      <c r="C538" s="22" t="s">
        <v>41</v>
      </c>
      <c r="D538" s="22">
        <v>0</v>
      </c>
      <c r="E538" s="22">
        <v>0</v>
      </c>
      <c r="I538" s="53">
        <v>0</v>
      </c>
      <c r="J538" s="53">
        <v>0</v>
      </c>
    </row>
    <row r="539" spans="1:10">
      <c r="A539" s="22" t="s">
        <v>569</v>
      </c>
      <c r="B539" s="22" t="s">
        <v>17</v>
      </c>
      <c r="C539" s="22" t="s">
        <v>41</v>
      </c>
      <c r="D539" s="22">
        <v>0</v>
      </c>
      <c r="E539" s="22">
        <v>0</v>
      </c>
      <c r="I539" s="53">
        <v>0</v>
      </c>
      <c r="J539" s="53">
        <v>0</v>
      </c>
    </row>
    <row r="540" spans="1:10">
      <c r="A540" s="22" t="s">
        <v>570</v>
      </c>
      <c r="B540" s="22" t="s">
        <v>17</v>
      </c>
      <c r="C540" s="22" t="s">
        <v>29</v>
      </c>
      <c r="D540" s="22">
        <v>0</v>
      </c>
      <c r="E540" s="22">
        <v>0</v>
      </c>
      <c r="I540" s="53">
        <v>0</v>
      </c>
      <c r="J540" s="53">
        <v>0</v>
      </c>
    </row>
    <row r="541" spans="1:10">
      <c r="A541" s="22" t="s">
        <v>571</v>
      </c>
      <c r="B541" s="22" t="s">
        <v>17</v>
      </c>
      <c r="C541" s="22" t="s">
        <v>29</v>
      </c>
      <c r="D541" s="22">
        <v>0</v>
      </c>
      <c r="E541" s="22">
        <v>0</v>
      </c>
      <c r="I541" s="53">
        <v>0</v>
      </c>
      <c r="J541" s="53">
        <v>0</v>
      </c>
    </row>
    <row r="542" spans="1:10">
      <c r="A542" s="22" t="s">
        <v>572</v>
      </c>
      <c r="B542" s="22" t="s">
        <v>17</v>
      </c>
      <c r="C542" s="22" t="s">
        <v>29</v>
      </c>
      <c r="D542" s="22">
        <v>0</v>
      </c>
      <c r="E542" s="22">
        <v>0</v>
      </c>
      <c r="I542" s="53">
        <v>0</v>
      </c>
      <c r="J542" s="53">
        <v>0</v>
      </c>
    </row>
    <row r="543" spans="1:10">
      <c r="A543" s="22" t="s">
        <v>573</v>
      </c>
      <c r="B543" s="22" t="s">
        <v>17</v>
      </c>
      <c r="C543" s="22" t="s">
        <v>39</v>
      </c>
      <c r="D543" s="22">
        <v>0</v>
      </c>
      <c r="E543" s="22">
        <v>0</v>
      </c>
      <c r="I543" s="53">
        <v>0</v>
      </c>
      <c r="J543" s="53">
        <v>0</v>
      </c>
    </row>
    <row r="544" spans="1:10">
      <c r="A544" s="22" t="s">
        <v>574</v>
      </c>
      <c r="B544" s="22" t="s">
        <v>17</v>
      </c>
      <c r="C544" s="22" t="s">
        <v>29</v>
      </c>
      <c r="D544" s="22">
        <v>0</v>
      </c>
      <c r="E544" s="22">
        <v>0</v>
      </c>
      <c r="I544" s="53">
        <v>0</v>
      </c>
      <c r="J544" s="53">
        <v>0</v>
      </c>
    </row>
    <row r="545" spans="1:10">
      <c r="A545" s="22" t="s">
        <v>575</v>
      </c>
      <c r="B545" s="22" t="s">
        <v>17</v>
      </c>
      <c r="C545" s="22" t="s">
        <v>41</v>
      </c>
      <c r="D545" s="22">
        <v>0</v>
      </c>
      <c r="E545" s="22">
        <v>0</v>
      </c>
      <c r="I545" s="53">
        <v>0</v>
      </c>
      <c r="J545" s="53">
        <v>0</v>
      </c>
    </row>
    <row r="546" spans="1:10">
      <c r="A546" s="22" t="s">
        <v>576</v>
      </c>
      <c r="B546" s="22" t="s">
        <v>17</v>
      </c>
      <c r="C546" s="22" t="s">
        <v>41</v>
      </c>
      <c r="D546" s="22">
        <v>0</v>
      </c>
      <c r="E546" s="22">
        <v>0</v>
      </c>
      <c r="I546" s="53">
        <v>0</v>
      </c>
      <c r="J546" s="53">
        <v>0</v>
      </c>
    </row>
    <row r="547" spans="1:10">
      <c r="A547" s="22" t="s">
        <v>577</v>
      </c>
      <c r="B547" s="22" t="s">
        <v>17</v>
      </c>
      <c r="C547" s="22" t="s">
        <v>29</v>
      </c>
      <c r="D547" s="22">
        <v>0</v>
      </c>
      <c r="E547" s="22">
        <v>0</v>
      </c>
      <c r="I547" s="53">
        <v>0</v>
      </c>
      <c r="J547" s="53">
        <v>0</v>
      </c>
    </row>
    <row r="548" spans="1:10">
      <c r="A548" s="22" t="s">
        <v>578</v>
      </c>
      <c r="B548" s="22" t="s">
        <v>17</v>
      </c>
      <c r="C548" s="22" t="s">
        <v>29</v>
      </c>
      <c r="D548" s="22">
        <v>0</v>
      </c>
      <c r="E548" s="22">
        <v>0</v>
      </c>
      <c r="I548" s="53">
        <v>0</v>
      </c>
      <c r="J548" s="53">
        <v>1</v>
      </c>
    </row>
    <row r="549" spans="1:10">
      <c r="A549" s="22" t="s">
        <v>579</v>
      </c>
      <c r="B549" s="22" t="s">
        <v>17</v>
      </c>
      <c r="C549" s="22" t="s">
        <v>25</v>
      </c>
      <c r="D549" s="22">
        <v>0</v>
      </c>
      <c r="E549" s="22">
        <v>0</v>
      </c>
      <c r="I549" s="53">
        <v>0</v>
      </c>
      <c r="J549" s="53">
        <v>0</v>
      </c>
    </row>
    <row r="550" spans="1:10">
      <c r="A550" s="22" t="s">
        <v>580</v>
      </c>
      <c r="B550" s="22" t="s">
        <v>17</v>
      </c>
      <c r="C550" s="22" t="s">
        <v>41</v>
      </c>
      <c r="D550" s="22">
        <v>0</v>
      </c>
      <c r="E550" s="22">
        <v>0</v>
      </c>
      <c r="I550" s="53">
        <v>0</v>
      </c>
      <c r="J550" s="53">
        <v>0</v>
      </c>
    </row>
    <row r="551" spans="1:10">
      <c r="A551" s="22" t="s">
        <v>581</v>
      </c>
      <c r="B551" s="22" t="s">
        <v>17</v>
      </c>
      <c r="C551" s="22" t="s">
        <v>41</v>
      </c>
      <c r="D551" s="22">
        <v>0</v>
      </c>
      <c r="E551" s="22">
        <v>0</v>
      </c>
      <c r="I551" s="53">
        <v>0</v>
      </c>
      <c r="J551" s="53">
        <v>0</v>
      </c>
    </row>
    <row r="552" spans="1:10">
      <c r="A552" s="22" t="s">
        <v>582</v>
      </c>
      <c r="B552" s="22" t="s">
        <v>17</v>
      </c>
      <c r="C552" s="22" t="s">
        <v>41</v>
      </c>
      <c r="D552" s="22">
        <v>0</v>
      </c>
      <c r="E552" s="22">
        <v>0</v>
      </c>
      <c r="I552" s="53">
        <v>0</v>
      </c>
      <c r="J552" s="53">
        <v>0</v>
      </c>
    </row>
    <row r="553" spans="1:10">
      <c r="A553" s="22" t="s">
        <v>583</v>
      </c>
      <c r="B553" s="22" t="s">
        <v>17</v>
      </c>
      <c r="C553" s="22" t="s">
        <v>39</v>
      </c>
      <c r="D553" s="22">
        <v>0</v>
      </c>
      <c r="E553" s="22">
        <v>0</v>
      </c>
      <c r="I553" s="53">
        <v>0</v>
      </c>
      <c r="J553" s="53">
        <v>0</v>
      </c>
    </row>
    <row r="554" spans="1:10">
      <c r="A554" s="22" t="s">
        <v>584</v>
      </c>
      <c r="B554" s="22" t="s">
        <v>17</v>
      </c>
      <c r="C554" s="22" t="s">
        <v>25</v>
      </c>
      <c r="D554" s="22">
        <v>0</v>
      </c>
      <c r="E554" s="22">
        <v>0</v>
      </c>
      <c r="I554" s="53">
        <v>0</v>
      </c>
      <c r="J554" s="53">
        <v>0</v>
      </c>
    </row>
    <row r="555" spans="1:10">
      <c r="A555" s="22" t="s">
        <v>585</v>
      </c>
      <c r="B555" s="22" t="s">
        <v>17</v>
      </c>
      <c r="C555" s="22" t="s">
        <v>25</v>
      </c>
      <c r="D555" s="22">
        <v>0</v>
      </c>
      <c r="E555" s="22">
        <v>0</v>
      </c>
      <c r="I555" s="53">
        <v>0</v>
      </c>
      <c r="J555" s="53">
        <v>0</v>
      </c>
    </row>
    <row r="556" spans="1:10">
      <c r="A556" s="22" t="s">
        <v>586</v>
      </c>
      <c r="B556" s="22" t="s">
        <v>17</v>
      </c>
      <c r="C556" s="22" t="s">
        <v>25</v>
      </c>
      <c r="D556" s="22">
        <v>0</v>
      </c>
      <c r="E556" s="22">
        <v>0</v>
      </c>
      <c r="I556" s="53">
        <v>0</v>
      </c>
      <c r="J556" s="53">
        <v>0</v>
      </c>
    </row>
    <row r="557" spans="1:10">
      <c r="A557" s="22" t="s">
        <v>587</v>
      </c>
      <c r="B557" s="22" t="s">
        <v>17</v>
      </c>
      <c r="C557" s="22" t="s">
        <v>41</v>
      </c>
      <c r="D557" s="22">
        <v>0</v>
      </c>
      <c r="E557" s="22">
        <v>0</v>
      </c>
      <c r="I557" s="53">
        <v>0</v>
      </c>
      <c r="J557" s="53">
        <v>0</v>
      </c>
    </row>
    <row r="558" spans="1:10">
      <c r="A558" s="22" t="s">
        <v>588</v>
      </c>
      <c r="B558" s="22" t="s">
        <v>17</v>
      </c>
      <c r="C558" s="22" t="s">
        <v>29</v>
      </c>
      <c r="D558" s="22">
        <v>0</v>
      </c>
      <c r="E558" s="22">
        <v>0</v>
      </c>
      <c r="I558" s="53">
        <v>0</v>
      </c>
      <c r="J558" s="53">
        <v>0</v>
      </c>
    </row>
    <row r="559" spans="1:10">
      <c r="A559" s="22" t="s">
        <v>589</v>
      </c>
      <c r="B559" s="22" t="s">
        <v>17</v>
      </c>
      <c r="C559" s="22" t="s">
        <v>29</v>
      </c>
      <c r="D559" s="22">
        <v>0</v>
      </c>
      <c r="E559" s="22">
        <v>0</v>
      </c>
      <c r="I559" s="53">
        <v>0</v>
      </c>
      <c r="J559" s="53">
        <v>0</v>
      </c>
    </row>
    <row r="560" spans="1:10">
      <c r="A560" s="22" t="s">
        <v>590</v>
      </c>
      <c r="B560" s="22" t="s">
        <v>17</v>
      </c>
      <c r="C560" s="22" t="s">
        <v>25</v>
      </c>
      <c r="D560" s="22">
        <v>0</v>
      </c>
      <c r="E560" s="22">
        <v>0</v>
      </c>
      <c r="I560" s="53">
        <v>0</v>
      </c>
      <c r="J560" s="53">
        <v>0</v>
      </c>
    </row>
    <row r="561" spans="1:10">
      <c r="A561" s="22" t="s">
        <v>591</v>
      </c>
      <c r="B561" s="22" t="s">
        <v>17</v>
      </c>
      <c r="C561" s="22" t="s">
        <v>25</v>
      </c>
      <c r="D561" s="22">
        <v>0</v>
      </c>
      <c r="E561" s="22">
        <v>0</v>
      </c>
      <c r="I561" s="53">
        <v>0</v>
      </c>
      <c r="J561" s="53">
        <v>0</v>
      </c>
    </row>
    <row r="562" spans="1:10">
      <c r="A562" s="22" t="s">
        <v>592</v>
      </c>
      <c r="B562" s="22" t="s">
        <v>17</v>
      </c>
      <c r="C562" s="22" t="s">
        <v>41</v>
      </c>
      <c r="D562" s="22">
        <v>0</v>
      </c>
      <c r="E562" s="22">
        <v>0</v>
      </c>
      <c r="I562" s="53">
        <v>0</v>
      </c>
      <c r="J562" s="53">
        <v>1</v>
      </c>
    </row>
    <row r="563" spans="1:10">
      <c r="A563" s="22" t="s">
        <v>593</v>
      </c>
      <c r="B563" s="22" t="s">
        <v>17</v>
      </c>
      <c r="C563" s="22" t="s">
        <v>41</v>
      </c>
      <c r="D563" s="22">
        <v>0</v>
      </c>
      <c r="E563" s="22">
        <v>0</v>
      </c>
      <c r="I563" s="53">
        <v>0</v>
      </c>
      <c r="J563" s="53">
        <v>0</v>
      </c>
    </row>
    <row r="564" spans="1:10">
      <c r="A564" s="22" t="s">
        <v>594</v>
      </c>
      <c r="B564" s="22" t="s">
        <v>17</v>
      </c>
      <c r="C564" s="22" t="s">
        <v>25</v>
      </c>
      <c r="D564" s="22">
        <v>0</v>
      </c>
      <c r="E564" s="22">
        <v>0</v>
      </c>
      <c r="I564" s="53">
        <v>0</v>
      </c>
      <c r="J564" s="53">
        <v>0</v>
      </c>
    </row>
    <row r="565" spans="1:10">
      <c r="A565" s="22" t="s">
        <v>595</v>
      </c>
      <c r="B565" s="22" t="s">
        <v>17</v>
      </c>
      <c r="C565" s="22" t="s">
        <v>25</v>
      </c>
      <c r="D565" s="22">
        <v>0</v>
      </c>
      <c r="E565" s="22">
        <v>0</v>
      </c>
      <c r="I565" s="53">
        <v>0</v>
      </c>
      <c r="J565" s="53">
        <v>0</v>
      </c>
    </row>
    <row r="566" spans="1:10">
      <c r="A566" s="22" t="s">
        <v>596</v>
      </c>
      <c r="B566" s="22" t="s">
        <v>17</v>
      </c>
      <c r="C566" s="22" t="s">
        <v>25</v>
      </c>
      <c r="D566" s="22">
        <v>0</v>
      </c>
      <c r="E566" s="22">
        <v>0</v>
      </c>
      <c r="I566" s="53">
        <v>0</v>
      </c>
      <c r="J566" s="53">
        <v>0</v>
      </c>
    </row>
    <row r="567" spans="1:10">
      <c r="A567" s="22" t="s">
        <v>597</v>
      </c>
      <c r="B567" s="22" t="s">
        <v>17</v>
      </c>
      <c r="C567" s="22" t="s">
        <v>41</v>
      </c>
      <c r="D567" s="22">
        <v>0</v>
      </c>
      <c r="E567" s="22">
        <v>0</v>
      </c>
      <c r="I567" s="53">
        <v>0</v>
      </c>
      <c r="J567" s="53">
        <v>1</v>
      </c>
    </row>
    <row r="568" spans="1:10">
      <c r="A568" s="22" t="s">
        <v>598</v>
      </c>
      <c r="B568" s="22" t="s">
        <v>17</v>
      </c>
      <c r="C568" s="22" t="s">
        <v>39</v>
      </c>
      <c r="D568" s="22">
        <v>0</v>
      </c>
      <c r="E568" s="22">
        <v>0</v>
      </c>
      <c r="I568" s="53">
        <v>0</v>
      </c>
      <c r="J568" s="53">
        <v>0</v>
      </c>
    </row>
    <row r="569" spans="1:10">
      <c r="A569" s="22" t="s">
        <v>599</v>
      </c>
      <c r="B569" s="22" t="s">
        <v>17</v>
      </c>
      <c r="C569" s="22" t="s">
        <v>29</v>
      </c>
      <c r="D569" s="22">
        <v>0</v>
      </c>
      <c r="E569" s="22">
        <v>0</v>
      </c>
      <c r="I569" s="53">
        <v>0</v>
      </c>
      <c r="J569" s="53">
        <v>0</v>
      </c>
    </row>
    <row r="570" spans="1:10">
      <c r="A570" s="22" t="s">
        <v>600</v>
      </c>
      <c r="B570" s="22" t="s">
        <v>17</v>
      </c>
      <c r="C570" s="22" t="s">
        <v>25</v>
      </c>
      <c r="D570" s="22">
        <v>0</v>
      </c>
      <c r="E570" s="22">
        <v>0</v>
      </c>
      <c r="I570" s="53">
        <v>0</v>
      </c>
      <c r="J570" s="53">
        <v>0</v>
      </c>
    </row>
    <row r="571" spans="1:10">
      <c r="A571" s="22" t="s">
        <v>601</v>
      </c>
      <c r="B571" s="22" t="s">
        <v>17</v>
      </c>
      <c r="C571" s="22" t="s">
        <v>39</v>
      </c>
      <c r="D571" s="22">
        <v>0</v>
      </c>
      <c r="E571" s="22">
        <v>0</v>
      </c>
      <c r="I571" s="53">
        <v>0</v>
      </c>
      <c r="J571" s="53">
        <v>0</v>
      </c>
    </row>
    <row r="572" spans="1:10">
      <c r="A572" s="22" t="s">
        <v>602</v>
      </c>
      <c r="B572" s="22" t="s">
        <v>17</v>
      </c>
      <c r="C572" s="22" t="s">
        <v>29</v>
      </c>
      <c r="D572" s="22">
        <v>0</v>
      </c>
      <c r="E572" s="22">
        <v>0</v>
      </c>
      <c r="I572" s="53">
        <v>0</v>
      </c>
      <c r="J572" s="53">
        <v>0</v>
      </c>
    </row>
    <row r="573" spans="1:10">
      <c r="A573" s="22" t="s">
        <v>603</v>
      </c>
      <c r="B573" s="22" t="s">
        <v>17</v>
      </c>
      <c r="C573" s="22" t="s">
        <v>20</v>
      </c>
      <c r="D573" s="22">
        <v>0</v>
      </c>
      <c r="E573" s="22">
        <v>0</v>
      </c>
      <c r="I573" s="53">
        <v>0</v>
      </c>
      <c r="J573" s="53">
        <v>0</v>
      </c>
    </row>
    <row r="574" spans="1:10">
      <c r="A574" s="22" t="s">
        <v>604</v>
      </c>
      <c r="B574" s="22" t="s">
        <v>17</v>
      </c>
      <c r="C574" s="22" t="s">
        <v>25</v>
      </c>
      <c r="D574" s="22">
        <v>0</v>
      </c>
      <c r="E574" s="22">
        <v>0</v>
      </c>
      <c r="I574" s="53">
        <v>0</v>
      </c>
      <c r="J574" s="53">
        <v>0</v>
      </c>
    </row>
    <row r="575" spans="1:10">
      <c r="A575" s="22" t="s">
        <v>605</v>
      </c>
      <c r="B575" s="22" t="s">
        <v>17</v>
      </c>
      <c r="C575" s="22" t="s">
        <v>20</v>
      </c>
      <c r="D575" s="22">
        <v>0</v>
      </c>
      <c r="E575" s="22">
        <v>0</v>
      </c>
      <c r="I575" s="53">
        <v>0</v>
      </c>
      <c r="J575" s="53">
        <v>0</v>
      </c>
    </row>
    <row r="576" spans="1:10">
      <c r="A576" s="22" t="s">
        <v>606</v>
      </c>
      <c r="B576" s="22" t="s">
        <v>17</v>
      </c>
      <c r="C576" s="22" t="s">
        <v>41</v>
      </c>
      <c r="D576" s="22">
        <v>0</v>
      </c>
      <c r="E576" s="22">
        <v>0</v>
      </c>
      <c r="I576" s="53">
        <v>0</v>
      </c>
      <c r="J576" s="53">
        <v>0</v>
      </c>
    </row>
    <row r="577" spans="1:10">
      <c r="A577" s="22" t="s">
        <v>607</v>
      </c>
      <c r="B577" s="22" t="s">
        <v>17</v>
      </c>
      <c r="C577" s="22" t="s">
        <v>29</v>
      </c>
      <c r="D577" s="22">
        <v>0</v>
      </c>
      <c r="E577" s="22">
        <v>0</v>
      </c>
      <c r="I577" s="53">
        <v>0</v>
      </c>
      <c r="J577" s="53">
        <v>0</v>
      </c>
    </row>
    <row r="578" spans="1:10">
      <c r="A578" s="22" t="s">
        <v>608</v>
      </c>
      <c r="B578" s="22" t="s">
        <v>17</v>
      </c>
      <c r="C578" s="22" t="s">
        <v>25</v>
      </c>
      <c r="D578" s="22">
        <v>0</v>
      </c>
      <c r="E578" s="22">
        <v>0</v>
      </c>
      <c r="I578" s="53">
        <v>0</v>
      </c>
      <c r="J578" s="53">
        <v>0</v>
      </c>
    </row>
    <row r="579" spans="1:10">
      <c r="A579" s="22" t="s">
        <v>609</v>
      </c>
      <c r="B579" s="22" t="s">
        <v>17</v>
      </c>
      <c r="C579" s="22" t="s">
        <v>25</v>
      </c>
      <c r="D579" s="22">
        <v>0</v>
      </c>
      <c r="E579" s="22">
        <v>0</v>
      </c>
      <c r="I579" s="53">
        <v>0</v>
      </c>
      <c r="J579" s="53">
        <v>0</v>
      </c>
    </row>
    <row r="580" spans="1:10">
      <c r="A580" s="22" t="s">
        <v>610</v>
      </c>
      <c r="B580" s="22" t="s">
        <v>17</v>
      </c>
      <c r="C580" s="22" t="s">
        <v>25</v>
      </c>
      <c r="D580" s="22">
        <v>0</v>
      </c>
      <c r="E580" s="22">
        <v>0</v>
      </c>
      <c r="I580" s="53">
        <v>0</v>
      </c>
      <c r="J580" s="53">
        <v>0</v>
      </c>
    </row>
    <row r="581" spans="1:10">
      <c r="A581" s="22" t="s">
        <v>611</v>
      </c>
      <c r="B581" s="22" t="s">
        <v>17</v>
      </c>
      <c r="C581" s="22" t="s">
        <v>29</v>
      </c>
      <c r="D581" s="22">
        <v>0</v>
      </c>
      <c r="E581" s="22">
        <v>0</v>
      </c>
      <c r="I581" s="53">
        <v>0</v>
      </c>
      <c r="J581" s="53">
        <v>0</v>
      </c>
    </row>
    <row r="582" spans="1:10">
      <c r="A582" s="22" t="s">
        <v>612</v>
      </c>
      <c r="B582" s="22" t="s">
        <v>17</v>
      </c>
      <c r="C582" s="22" t="s">
        <v>29</v>
      </c>
      <c r="D582" s="22">
        <v>0</v>
      </c>
      <c r="E582" s="22">
        <v>0</v>
      </c>
      <c r="I582" s="53">
        <v>0</v>
      </c>
      <c r="J582" s="53">
        <v>0</v>
      </c>
    </row>
    <row r="583" spans="1:10">
      <c r="A583" s="22" t="s">
        <v>613</v>
      </c>
      <c r="B583" s="22" t="s">
        <v>17</v>
      </c>
      <c r="C583" s="22" t="s">
        <v>29</v>
      </c>
      <c r="D583" s="22">
        <v>0</v>
      </c>
      <c r="E583" s="22">
        <v>0</v>
      </c>
      <c r="I583" s="53">
        <v>0</v>
      </c>
      <c r="J583" s="53">
        <v>0</v>
      </c>
    </row>
    <row r="584" spans="1:10">
      <c r="A584" s="22" t="s">
        <v>614</v>
      </c>
      <c r="B584" s="22" t="s">
        <v>17</v>
      </c>
      <c r="C584" s="22" t="s">
        <v>29</v>
      </c>
      <c r="D584" s="22">
        <v>0</v>
      </c>
      <c r="E584" s="22">
        <v>0</v>
      </c>
      <c r="I584" s="53">
        <v>0</v>
      </c>
      <c r="J584" s="53">
        <v>0</v>
      </c>
    </row>
    <row r="585" spans="1:10">
      <c r="A585" s="22" t="s">
        <v>615</v>
      </c>
      <c r="B585" s="22" t="s">
        <v>17</v>
      </c>
      <c r="C585" s="22" t="s">
        <v>29</v>
      </c>
      <c r="D585" s="22">
        <v>0</v>
      </c>
      <c r="E585" s="22">
        <v>0</v>
      </c>
      <c r="I585" s="53">
        <v>0</v>
      </c>
      <c r="J585" s="53">
        <v>0</v>
      </c>
    </row>
    <row r="586" spans="1:10">
      <c r="A586" s="22" t="s">
        <v>616</v>
      </c>
      <c r="B586" s="22" t="s">
        <v>17</v>
      </c>
      <c r="C586" s="22" t="s">
        <v>41</v>
      </c>
      <c r="D586" s="22">
        <v>0</v>
      </c>
      <c r="E586" s="22">
        <v>0</v>
      </c>
      <c r="I586" s="53">
        <v>0</v>
      </c>
      <c r="J586" s="53">
        <v>0</v>
      </c>
    </row>
    <row r="587" spans="1:10">
      <c r="A587" s="22" t="s">
        <v>617</v>
      </c>
      <c r="B587" s="22" t="s">
        <v>17</v>
      </c>
      <c r="C587" s="22" t="s">
        <v>25</v>
      </c>
      <c r="D587" s="22">
        <v>0</v>
      </c>
      <c r="E587" s="22">
        <v>0</v>
      </c>
      <c r="I587" s="53">
        <v>0</v>
      </c>
      <c r="J587" s="53">
        <v>0</v>
      </c>
    </row>
    <row r="588" spans="1:10">
      <c r="A588" s="22" t="s">
        <v>618</v>
      </c>
      <c r="B588" s="22" t="s">
        <v>17</v>
      </c>
      <c r="C588" s="22" t="s">
        <v>25</v>
      </c>
      <c r="D588" s="22">
        <v>0</v>
      </c>
      <c r="E588" s="22">
        <v>0</v>
      </c>
      <c r="I588" s="53">
        <v>0</v>
      </c>
      <c r="J588" s="53">
        <v>0</v>
      </c>
    </row>
    <row r="589" spans="1:10">
      <c r="A589" s="22" t="s">
        <v>619</v>
      </c>
      <c r="B589" s="22" t="s">
        <v>17</v>
      </c>
      <c r="C589" s="22" t="s">
        <v>41</v>
      </c>
      <c r="D589" s="22">
        <v>0</v>
      </c>
      <c r="E589" s="22">
        <v>0</v>
      </c>
      <c r="I589" s="53">
        <v>0</v>
      </c>
      <c r="J589" s="53">
        <v>0</v>
      </c>
    </row>
    <row r="590" spans="1:10">
      <c r="A590" s="22" t="s">
        <v>620</v>
      </c>
      <c r="B590" s="22" t="s">
        <v>17</v>
      </c>
      <c r="C590" s="22" t="s">
        <v>25</v>
      </c>
      <c r="D590" s="22">
        <v>0</v>
      </c>
      <c r="E590" s="22">
        <v>0</v>
      </c>
      <c r="I590" s="53">
        <v>0</v>
      </c>
      <c r="J590" s="53">
        <v>0</v>
      </c>
    </row>
    <row r="591" spans="1:10">
      <c r="A591" s="22" t="s">
        <v>621</v>
      </c>
      <c r="B591" s="22" t="s">
        <v>17</v>
      </c>
      <c r="C591" s="22" t="s">
        <v>25</v>
      </c>
      <c r="D591" s="22">
        <v>0</v>
      </c>
      <c r="E591" s="22">
        <v>0</v>
      </c>
      <c r="I591" s="53">
        <v>0</v>
      </c>
      <c r="J591" s="53">
        <v>0</v>
      </c>
    </row>
    <row r="592" spans="1:10">
      <c r="A592" s="22" t="s">
        <v>622</v>
      </c>
      <c r="B592" s="22" t="s">
        <v>17</v>
      </c>
      <c r="C592" s="22" t="s">
        <v>29</v>
      </c>
      <c r="D592" s="22">
        <v>0</v>
      </c>
      <c r="E592" s="22">
        <v>0</v>
      </c>
      <c r="I592" s="53">
        <v>0</v>
      </c>
      <c r="J592" s="53">
        <v>0</v>
      </c>
    </row>
    <row r="593" spans="1:10">
      <c r="A593" s="22" t="s">
        <v>623</v>
      </c>
      <c r="B593" s="22" t="s">
        <v>17</v>
      </c>
      <c r="C593" s="22" t="s">
        <v>41</v>
      </c>
      <c r="D593" s="22">
        <v>0</v>
      </c>
      <c r="E593" s="22">
        <v>0</v>
      </c>
      <c r="I593" s="53">
        <v>0</v>
      </c>
      <c r="J593" s="53">
        <v>0</v>
      </c>
    </row>
    <row r="594" spans="1:10">
      <c r="A594" s="22" t="s">
        <v>624</v>
      </c>
      <c r="B594" s="22" t="s">
        <v>17</v>
      </c>
      <c r="C594" s="22" t="s">
        <v>20</v>
      </c>
      <c r="D594" s="22">
        <v>0</v>
      </c>
      <c r="E594" s="22">
        <v>0</v>
      </c>
      <c r="I594" s="53">
        <v>0</v>
      </c>
      <c r="J594" s="53">
        <v>0</v>
      </c>
    </row>
    <row r="595" spans="1:10">
      <c r="A595" s="22" t="s">
        <v>625</v>
      </c>
      <c r="B595" s="22" t="s">
        <v>17</v>
      </c>
      <c r="C595" s="22" t="s">
        <v>41</v>
      </c>
      <c r="D595" s="22">
        <v>1</v>
      </c>
      <c r="E595" s="22">
        <v>751.73</v>
      </c>
      <c r="I595" s="53">
        <v>1</v>
      </c>
      <c r="J595" s="53">
        <v>0</v>
      </c>
    </row>
    <row r="596" spans="1:10">
      <c r="A596" s="22" t="s">
        <v>626</v>
      </c>
      <c r="B596" s="22" t="s">
        <v>17</v>
      </c>
      <c r="C596" s="22" t="s">
        <v>41</v>
      </c>
      <c r="D596" s="22">
        <v>0</v>
      </c>
      <c r="E596" s="22">
        <v>0</v>
      </c>
      <c r="I596" s="53">
        <v>0</v>
      </c>
      <c r="J596" s="53">
        <v>0</v>
      </c>
    </row>
    <row r="597" spans="1:10">
      <c r="A597" s="22" t="s">
        <v>627</v>
      </c>
      <c r="B597" s="22" t="s">
        <v>17</v>
      </c>
      <c r="C597" s="22" t="s">
        <v>41</v>
      </c>
      <c r="D597" s="22">
        <v>0</v>
      </c>
      <c r="E597" s="22">
        <v>0</v>
      </c>
      <c r="I597" s="53">
        <v>0</v>
      </c>
      <c r="J597" s="53">
        <v>0</v>
      </c>
    </row>
    <row r="598" spans="1:10">
      <c r="A598" s="22" t="s">
        <v>628</v>
      </c>
      <c r="B598" s="22" t="s">
        <v>17</v>
      </c>
      <c r="C598" s="22" t="s">
        <v>25</v>
      </c>
      <c r="D598" s="22">
        <v>0</v>
      </c>
      <c r="E598" s="22">
        <v>0</v>
      </c>
      <c r="I598" s="53">
        <v>0</v>
      </c>
      <c r="J598" s="53">
        <v>0</v>
      </c>
    </row>
    <row r="599" spans="1:10">
      <c r="A599" s="22" t="s">
        <v>629</v>
      </c>
      <c r="B599" s="22" t="s">
        <v>17</v>
      </c>
      <c r="C599" s="22" t="s">
        <v>25</v>
      </c>
      <c r="D599" s="22">
        <v>0</v>
      </c>
      <c r="E599" s="22">
        <v>0</v>
      </c>
      <c r="I599" s="53">
        <v>0</v>
      </c>
      <c r="J599" s="53">
        <v>0</v>
      </c>
    </row>
    <row r="600" spans="1:10">
      <c r="A600" s="22" t="s">
        <v>630</v>
      </c>
      <c r="B600" s="22" t="s">
        <v>17</v>
      </c>
      <c r="C600" s="22" t="s">
        <v>25</v>
      </c>
      <c r="D600" s="22">
        <v>0</v>
      </c>
      <c r="E600" s="22">
        <v>0</v>
      </c>
      <c r="I600" s="53">
        <v>0</v>
      </c>
      <c r="J600" s="53">
        <v>0</v>
      </c>
    </row>
    <row r="601" spans="1:10">
      <c r="A601" s="22" t="s">
        <v>631</v>
      </c>
      <c r="B601" s="22" t="s">
        <v>17</v>
      </c>
      <c r="C601" s="22" t="s">
        <v>29</v>
      </c>
      <c r="D601" s="22">
        <v>0</v>
      </c>
      <c r="E601" s="22">
        <v>0</v>
      </c>
      <c r="I601" s="53">
        <v>0</v>
      </c>
      <c r="J601" s="53">
        <v>0</v>
      </c>
    </row>
    <row r="602" spans="1:10">
      <c r="A602" s="22" t="s">
        <v>632</v>
      </c>
      <c r="B602" s="22" t="s">
        <v>17</v>
      </c>
      <c r="C602" s="22" t="s">
        <v>39</v>
      </c>
      <c r="D602" s="22">
        <v>0</v>
      </c>
      <c r="E602" s="22">
        <v>0</v>
      </c>
      <c r="I602" s="53">
        <v>0</v>
      </c>
      <c r="J602" s="53">
        <v>0</v>
      </c>
    </row>
    <row r="603" spans="1:10">
      <c r="A603" s="22" t="s">
        <v>633</v>
      </c>
      <c r="B603" s="22" t="s">
        <v>17</v>
      </c>
      <c r="C603" s="22" t="s">
        <v>41</v>
      </c>
      <c r="D603" s="22">
        <v>0</v>
      </c>
      <c r="E603" s="22">
        <v>0</v>
      </c>
      <c r="I603" s="53">
        <v>0</v>
      </c>
      <c r="J603" s="53">
        <v>0</v>
      </c>
    </row>
    <row r="604" spans="1:10">
      <c r="A604" s="22" t="s">
        <v>634</v>
      </c>
      <c r="B604" s="22" t="s">
        <v>17</v>
      </c>
      <c r="C604" s="22" t="s">
        <v>29</v>
      </c>
      <c r="D604" s="22">
        <v>0</v>
      </c>
      <c r="E604" s="22">
        <v>0</v>
      </c>
      <c r="I604" s="53">
        <v>0</v>
      </c>
      <c r="J604" s="53">
        <v>0</v>
      </c>
    </row>
    <row r="605" spans="1:10">
      <c r="A605" s="22" t="s">
        <v>635</v>
      </c>
      <c r="B605" s="22" t="s">
        <v>17</v>
      </c>
      <c r="C605" s="22" t="s">
        <v>20</v>
      </c>
      <c r="D605" s="22">
        <v>0</v>
      </c>
      <c r="E605" s="22">
        <v>0</v>
      </c>
      <c r="I605" s="53">
        <v>0</v>
      </c>
      <c r="J605" s="53">
        <v>0</v>
      </c>
    </row>
    <row r="606" spans="1:10">
      <c r="A606" s="22" t="s">
        <v>636</v>
      </c>
      <c r="B606" s="22" t="s">
        <v>17</v>
      </c>
      <c r="C606" s="22" t="s">
        <v>39</v>
      </c>
      <c r="D606" s="22">
        <v>0</v>
      </c>
      <c r="E606" s="22">
        <v>0</v>
      </c>
      <c r="I606" s="53">
        <v>0</v>
      </c>
      <c r="J606" s="53">
        <v>0</v>
      </c>
    </row>
    <row r="607" spans="1:10">
      <c r="A607" s="22" t="s">
        <v>637</v>
      </c>
      <c r="B607" s="22" t="s">
        <v>17</v>
      </c>
      <c r="C607" s="22" t="s">
        <v>29</v>
      </c>
      <c r="D607" s="22">
        <v>0</v>
      </c>
      <c r="E607" s="22">
        <v>0</v>
      </c>
      <c r="I607" s="53">
        <v>0</v>
      </c>
      <c r="J607" s="53">
        <v>0</v>
      </c>
    </row>
    <row r="608" spans="1:10">
      <c r="A608" s="22" t="s">
        <v>638</v>
      </c>
      <c r="B608" s="22" t="s">
        <v>17</v>
      </c>
      <c r="C608" s="22" t="s">
        <v>25</v>
      </c>
      <c r="D608" s="22">
        <v>0</v>
      </c>
      <c r="E608" s="22">
        <v>0</v>
      </c>
      <c r="I608" s="53">
        <v>0</v>
      </c>
      <c r="J608" s="53">
        <v>1</v>
      </c>
    </row>
    <row r="609" spans="1:10">
      <c r="A609" s="22" t="s">
        <v>639</v>
      </c>
      <c r="B609" s="22" t="s">
        <v>17</v>
      </c>
      <c r="C609" s="22" t="s">
        <v>29</v>
      </c>
      <c r="D609" s="22">
        <v>0</v>
      </c>
      <c r="E609" s="22">
        <v>0</v>
      </c>
      <c r="I609" s="53">
        <v>0</v>
      </c>
      <c r="J609" s="53">
        <v>0</v>
      </c>
    </row>
    <row r="610" spans="1:10">
      <c r="A610" s="22" t="s">
        <v>640</v>
      </c>
      <c r="B610" s="22" t="s">
        <v>17</v>
      </c>
      <c r="C610" s="22" t="s">
        <v>20</v>
      </c>
      <c r="D610" s="22">
        <v>0</v>
      </c>
      <c r="E610" s="22">
        <v>0</v>
      </c>
      <c r="I610" s="53">
        <v>0</v>
      </c>
      <c r="J610" s="53">
        <v>0</v>
      </c>
    </row>
    <row r="611" spans="1:10">
      <c r="A611" s="22" t="s">
        <v>641</v>
      </c>
      <c r="B611" s="22" t="s">
        <v>17</v>
      </c>
      <c r="C611" s="22" t="s">
        <v>29</v>
      </c>
      <c r="D611" s="22">
        <v>0</v>
      </c>
      <c r="E611" s="22">
        <v>0</v>
      </c>
      <c r="I611" s="53">
        <v>0</v>
      </c>
      <c r="J611" s="53">
        <v>0</v>
      </c>
    </row>
    <row r="612" spans="1:10">
      <c r="A612" s="22" t="s">
        <v>642</v>
      </c>
      <c r="B612" s="22" t="s">
        <v>17</v>
      </c>
      <c r="C612" s="22" t="s">
        <v>25</v>
      </c>
      <c r="D612" s="22">
        <v>0</v>
      </c>
      <c r="E612" s="22">
        <v>0</v>
      </c>
      <c r="I612" s="53">
        <v>0</v>
      </c>
      <c r="J612" s="53">
        <v>0</v>
      </c>
    </row>
    <row r="613" spans="1:10">
      <c r="A613" s="22" t="s">
        <v>643</v>
      </c>
      <c r="B613" s="22" t="s">
        <v>17</v>
      </c>
      <c r="C613" s="22" t="s">
        <v>25</v>
      </c>
      <c r="D613" s="22">
        <v>0</v>
      </c>
      <c r="E613" s="22">
        <v>0</v>
      </c>
      <c r="I613" s="53">
        <v>0</v>
      </c>
      <c r="J613" s="53">
        <v>0</v>
      </c>
    </row>
    <row r="614" spans="1:10">
      <c r="A614" s="22" t="s">
        <v>644</v>
      </c>
      <c r="B614" s="22" t="s">
        <v>17</v>
      </c>
      <c r="C614" s="22" t="s">
        <v>25</v>
      </c>
      <c r="D614" s="22">
        <v>0</v>
      </c>
      <c r="E614" s="22">
        <v>0</v>
      </c>
      <c r="I614" s="53">
        <v>0</v>
      </c>
      <c r="J614" s="53">
        <v>0</v>
      </c>
    </row>
    <row r="615" spans="1:10">
      <c r="A615" s="22" t="s">
        <v>645</v>
      </c>
      <c r="B615" s="22" t="s">
        <v>17</v>
      </c>
      <c r="C615" s="22" t="s">
        <v>25</v>
      </c>
      <c r="D615" s="22">
        <v>0</v>
      </c>
      <c r="E615" s="22">
        <v>0</v>
      </c>
      <c r="I615" s="53">
        <v>0</v>
      </c>
      <c r="J615" s="53">
        <v>0</v>
      </c>
    </row>
    <row r="616" spans="1:10">
      <c r="A616" s="22" t="s">
        <v>646</v>
      </c>
      <c r="B616" s="22" t="s">
        <v>17</v>
      </c>
      <c r="C616" s="22" t="s">
        <v>39</v>
      </c>
      <c r="D616" s="22">
        <v>0</v>
      </c>
      <c r="E616" s="22">
        <v>0</v>
      </c>
      <c r="I616" s="53">
        <v>0</v>
      </c>
      <c r="J616" s="53">
        <v>0</v>
      </c>
    </row>
    <row r="617" spans="1:10">
      <c r="A617" s="22" t="s">
        <v>647</v>
      </c>
      <c r="B617" s="22" t="s">
        <v>17</v>
      </c>
      <c r="C617" s="22" t="s">
        <v>25</v>
      </c>
      <c r="D617" s="22">
        <v>0</v>
      </c>
      <c r="E617" s="22">
        <v>0</v>
      </c>
      <c r="I617" s="53">
        <v>0</v>
      </c>
      <c r="J617" s="53">
        <v>0</v>
      </c>
    </row>
    <row r="618" spans="1:10">
      <c r="A618" s="22" t="s">
        <v>648</v>
      </c>
      <c r="B618" s="22" t="s">
        <v>17</v>
      </c>
      <c r="C618" s="22" t="s">
        <v>39</v>
      </c>
      <c r="D618" s="22">
        <v>0</v>
      </c>
      <c r="E618" s="22">
        <v>0</v>
      </c>
      <c r="I618" s="53">
        <v>0</v>
      </c>
      <c r="J618" s="53">
        <v>0</v>
      </c>
    </row>
    <row r="619" spans="1:10">
      <c r="A619" s="22" t="s">
        <v>649</v>
      </c>
      <c r="B619" s="22" t="s">
        <v>17</v>
      </c>
      <c r="C619" s="22" t="s">
        <v>41</v>
      </c>
      <c r="D619" s="22">
        <v>0</v>
      </c>
      <c r="E619" s="22">
        <v>0</v>
      </c>
      <c r="I619" s="53">
        <v>0</v>
      </c>
      <c r="J619" s="53">
        <v>0</v>
      </c>
    </row>
    <row r="620" spans="1:10">
      <c r="A620" s="22" t="s">
        <v>650</v>
      </c>
      <c r="B620" s="22" t="s">
        <v>17</v>
      </c>
      <c r="C620" s="22" t="s">
        <v>20</v>
      </c>
      <c r="D620" s="22">
        <v>0</v>
      </c>
      <c r="E620" s="22">
        <v>0</v>
      </c>
      <c r="I620" s="53">
        <v>0</v>
      </c>
      <c r="J620" s="53">
        <v>0</v>
      </c>
    </row>
    <row r="621" spans="1:10">
      <c r="A621" s="22" t="s">
        <v>651</v>
      </c>
      <c r="B621" s="22" t="s">
        <v>17</v>
      </c>
      <c r="C621" s="22" t="s">
        <v>29</v>
      </c>
      <c r="D621" s="22">
        <v>0</v>
      </c>
      <c r="E621" s="22">
        <v>0</v>
      </c>
      <c r="I621" s="53">
        <v>0</v>
      </c>
      <c r="J621" s="53">
        <v>0</v>
      </c>
    </row>
    <row r="622" spans="1:10">
      <c r="A622" s="22" t="s">
        <v>652</v>
      </c>
      <c r="B622" s="22" t="s">
        <v>17</v>
      </c>
      <c r="C622" s="22" t="s">
        <v>41</v>
      </c>
      <c r="D622" s="22">
        <v>0</v>
      </c>
      <c r="E622" s="22">
        <v>0</v>
      </c>
      <c r="I622" s="53">
        <v>0</v>
      </c>
      <c r="J622" s="53">
        <v>1</v>
      </c>
    </row>
    <row r="623" spans="1:10">
      <c r="A623" s="22" t="s">
        <v>653</v>
      </c>
      <c r="B623" s="22" t="s">
        <v>17</v>
      </c>
      <c r="C623" s="22" t="s">
        <v>29</v>
      </c>
      <c r="D623" s="22">
        <v>0</v>
      </c>
      <c r="E623" s="22">
        <v>0</v>
      </c>
      <c r="I623" s="53">
        <v>0</v>
      </c>
      <c r="J623" s="53">
        <v>0</v>
      </c>
    </row>
    <row r="624" spans="1:10">
      <c r="A624" s="22" t="s">
        <v>654</v>
      </c>
      <c r="B624" s="22" t="s">
        <v>17</v>
      </c>
      <c r="C624" s="22" t="s">
        <v>29</v>
      </c>
      <c r="D624" s="22">
        <v>0</v>
      </c>
      <c r="E624" s="22">
        <v>0</v>
      </c>
      <c r="I624" s="53">
        <v>0</v>
      </c>
      <c r="J624" s="53">
        <v>0</v>
      </c>
    </row>
    <row r="625" spans="1:10">
      <c r="A625" s="22" t="s">
        <v>655</v>
      </c>
      <c r="B625" s="22" t="s">
        <v>17</v>
      </c>
      <c r="C625" s="22" t="s">
        <v>25</v>
      </c>
      <c r="D625" s="22">
        <v>0</v>
      </c>
      <c r="E625" s="22">
        <v>0</v>
      </c>
      <c r="I625" s="53">
        <v>0</v>
      </c>
      <c r="J625" s="53">
        <v>0</v>
      </c>
    </row>
    <row r="626" spans="1:10">
      <c r="A626" s="22" t="s">
        <v>656</v>
      </c>
      <c r="B626" s="22" t="s">
        <v>17</v>
      </c>
      <c r="C626" s="22" t="s">
        <v>20</v>
      </c>
      <c r="D626" s="22">
        <v>0</v>
      </c>
      <c r="E626" s="22">
        <v>0</v>
      </c>
      <c r="I626" s="53">
        <v>0</v>
      </c>
      <c r="J626" s="53">
        <v>0</v>
      </c>
    </row>
    <row r="627" spans="1:10">
      <c r="A627" s="22" t="s">
        <v>657</v>
      </c>
      <c r="B627" s="22" t="s">
        <v>17</v>
      </c>
      <c r="C627" s="22" t="s">
        <v>41</v>
      </c>
      <c r="D627" s="22">
        <v>0</v>
      </c>
      <c r="E627" s="22">
        <v>0</v>
      </c>
      <c r="I627" s="53">
        <v>0</v>
      </c>
      <c r="J627" s="53">
        <v>0</v>
      </c>
    </row>
    <row r="628" spans="1:10">
      <c r="A628" s="22" t="s">
        <v>658</v>
      </c>
      <c r="B628" s="22" t="s">
        <v>17</v>
      </c>
      <c r="C628" s="22" t="s">
        <v>29</v>
      </c>
      <c r="D628" s="22">
        <v>0</v>
      </c>
      <c r="E628" s="22">
        <v>0</v>
      </c>
      <c r="I628" s="53">
        <v>0</v>
      </c>
      <c r="J628" s="53">
        <v>0</v>
      </c>
    </row>
    <row r="629" spans="1:10">
      <c r="A629" s="22" t="s">
        <v>659</v>
      </c>
      <c r="B629" s="22" t="s">
        <v>17</v>
      </c>
      <c r="C629" s="22" t="s">
        <v>29</v>
      </c>
      <c r="D629" s="22">
        <v>0</v>
      </c>
      <c r="E629" s="22">
        <v>0</v>
      </c>
      <c r="I629" s="53">
        <v>0</v>
      </c>
      <c r="J629" s="53">
        <v>0</v>
      </c>
    </row>
    <row r="630" spans="1:10">
      <c r="A630" s="22" t="s">
        <v>660</v>
      </c>
      <c r="B630" s="22" t="s">
        <v>17</v>
      </c>
      <c r="C630" s="22" t="s">
        <v>39</v>
      </c>
      <c r="D630" s="22">
        <v>0</v>
      </c>
      <c r="E630" s="22">
        <v>0</v>
      </c>
      <c r="I630" s="53">
        <v>0</v>
      </c>
      <c r="J630" s="53">
        <v>1</v>
      </c>
    </row>
    <row r="631" spans="1:10">
      <c r="A631" s="22" t="s">
        <v>661</v>
      </c>
      <c r="B631" s="22" t="s">
        <v>17</v>
      </c>
      <c r="C631" s="22" t="s">
        <v>41</v>
      </c>
      <c r="D631" s="22">
        <v>0</v>
      </c>
      <c r="E631" s="22">
        <v>0</v>
      </c>
      <c r="I631" s="53">
        <v>0</v>
      </c>
      <c r="J631" s="53">
        <v>0</v>
      </c>
    </row>
    <row r="632" spans="1:10">
      <c r="A632" s="22" t="s">
        <v>662</v>
      </c>
      <c r="B632" s="22" t="s">
        <v>17</v>
      </c>
      <c r="C632" s="22" t="s">
        <v>25</v>
      </c>
      <c r="D632" s="22">
        <v>0</v>
      </c>
      <c r="E632" s="22">
        <v>0</v>
      </c>
      <c r="I632" s="53">
        <v>0</v>
      </c>
      <c r="J632" s="53">
        <v>0</v>
      </c>
    </row>
    <row r="633" spans="1:10">
      <c r="A633" s="22" t="s">
        <v>663</v>
      </c>
      <c r="B633" s="22" t="s">
        <v>17</v>
      </c>
      <c r="C633" s="22" t="s">
        <v>41</v>
      </c>
      <c r="D633" s="22">
        <v>0</v>
      </c>
      <c r="E633" s="22">
        <v>0</v>
      </c>
      <c r="I633" s="53">
        <v>0</v>
      </c>
      <c r="J633" s="53">
        <v>1</v>
      </c>
    </row>
    <row r="634" spans="1:10">
      <c r="A634" s="22" t="s">
        <v>664</v>
      </c>
      <c r="B634" s="22" t="s">
        <v>17</v>
      </c>
      <c r="C634" s="22" t="s">
        <v>29</v>
      </c>
      <c r="D634" s="22">
        <v>0</v>
      </c>
      <c r="E634" s="22">
        <v>0</v>
      </c>
      <c r="I634" s="53">
        <v>0</v>
      </c>
      <c r="J634" s="53">
        <v>0</v>
      </c>
    </row>
    <row r="635" spans="1:10">
      <c r="A635" s="22" t="s">
        <v>665</v>
      </c>
      <c r="B635" s="22" t="s">
        <v>17</v>
      </c>
      <c r="C635" s="22" t="s">
        <v>39</v>
      </c>
      <c r="D635" s="22">
        <v>0</v>
      </c>
      <c r="E635" s="22">
        <v>0</v>
      </c>
      <c r="I635" s="53">
        <v>0</v>
      </c>
      <c r="J635" s="53">
        <v>0</v>
      </c>
    </row>
    <row r="636" spans="1:10">
      <c r="A636" s="22" t="s">
        <v>666</v>
      </c>
      <c r="B636" s="22" t="s">
        <v>17</v>
      </c>
      <c r="C636" s="22" t="s">
        <v>1482</v>
      </c>
      <c r="D636" s="22">
        <v>0</v>
      </c>
      <c r="E636" s="22">
        <v>0</v>
      </c>
      <c r="I636" s="53">
        <v>0</v>
      </c>
      <c r="J636" s="53">
        <v>0</v>
      </c>
    </row>
    <row r="637" spans="1:10">
      <c r="A637" s="22" t="s">
        <v>667</v>
      </c>
      <c r="B637" s="22" t="s">
        <v>17</v>
      </c>
      <c r="C637" s="22" t="s">
        <v>25</v>
      </c>
      <c r="D637" s="22">
        <v>0</v>
      </c>
      <c r="E637" s="22">
        <v>0</v>
      </c>
      <c r="I637" s="53">
        <v>0</v>
      </c>
      <c r="J637" s="53">
        <v>0</v>
      </c>
    </row>
    <row r="638" spans="1:10">
      <c r="A638" s="22" t="s">
        <v>668</v>
      </c>
      <c r="B638" s="22" t="s">
        <v>17</v>
      </c>
      <c r="C638" s="22" t="s">
        <v>29</v>
      </c>
      <c r="D638" s="22">
        <v>0</v>
      </c>
      <c r="E638" s="22">
        <v>0</v>
      </c>
      <c r="I638" s="53">
        <v>0</v>
      </c>
      <c r="J638" s="53">
        <v>0</v>
      </c>
    </row>
    <row r="639" spans="1:10">
      <c r="A639" s="22" t="s">
        <v>669</v>
      </c>
      <c r="B639" s="22" t="s">
        <v>17</v>
      </c>
      <c r="C639" s="22" t="s">
        <v>20</v>
      </c>
      <c r="D639" s="22">
        <v>0</v>
      </c>
      <c r="E639" s="22">
        <v>0</v>
      </c>
      <c r="I639" s="53">
        <v>0</v>
      </c>
      <c r="J639" s="53">
        <v>0</v>
      </c>
    </row>
    <row r="640" spans="1:10">
      <c r="A640" s="22" t="s">
        <v>670</v>
      </c>
      <c r="B640" s="22" t="s">
        <v>17</v>
      </c>
      <c r="C640" s="22" t="s">
        <v>29</v>
      </c>
      <c r="D640" s="22">
        <v>0</v>
      </c>
      <c r="E640" s="22">
        <v>0</v>
      </c>
      <c r="I640" s="53">
        <v>0</v>
      </c>
      <c r="J640" s="53">
        <v>0</v>
      </c>
    </row>
    <row r="641" spans="1:10">
      <c r="A641" s="22" t="s">
        <v>671</v>
      </c>
      <c r="B641" s="22" t="s">
        <v>17</v>
      </c>
      <c r="C641" s="22" t="s">
        <v>41</v>
      </c>
      <c r="D641" s="22">
        <v>0</v>
      </c>
      <c r="E641" s="22">
        <v>0</v>
      </c>
      <c r="I641" s="53">
        <v>0</v>
      </c>
      <c r="J641" s="53">
        <v>0</v>
      </c>
    </row>
    <row r="642" spans="1:10">
      <c r="A642" s="22" t="s">
        <v>672</v>
      </c>
      <c r="B642" s="22" t="s">
        <v>17</v>
      </c>
      <c r="C642" s="22" t="s">
        <v>41</v>
      </c>
      <c r="D642" s="22">
        <v>0</v>
      </c>
      <c r="E642" s="22">
        <v>0</v>
      </c>
      <c r="I642" s="53">
        <v>0</v>
      </c>
      <c r="J642" s="53">
        <v>0</v>
      </c>
    </row>
    <row r="643" spans="1:10">
      <c r="A643" s="22" t="s">
        <v>673</v>
      </c>
      <c r="B643" s="22" t="s">
        <v>17</v>
      </c>
      <c r="C643" s="22" t="s">
        <v>25</v>
      </c>
      <c r="D643" s="22">
        <v>0</v>
      </c>
      <c r="E643" s="22">
        <v>0</v>
      </c>
      <c r="I643" s="53">
        <v>0</v>
      </c>
      <c r="J643" s="53">
        <v>0</v>
      </c>
    </row>
    <row r="644" spans="1:10">
      <c r="A644" s="22" t="s">
        <v>674</v>
      </c>
      <c r="B644" s="22" t="s">
        <v>17</v>
      </c>
      <c r="C644" s="22" t="s">
        <v>20</v>
      </c>
      <c r="D644" s="22">
        <v>0</v>
      </c>
      <c r="E644" s="22">
        <v>0</v>
      </c>
      <c r="I644" s="53">
        <v>0</v>
      </c>
      <c r="J644" s="53">
        <v>0</v>
      </c>
    </row>
    <row r="645" spans="1:10">
      <c r="A645" s="22" t="s">
        <v>675</v>
      </c>
      <c r="B645" s="22" t="s">
        <v>17</v>
      </c>
      <c r="C645" s="22" t="s">
        <v>25</v>
      </c>
      <c r="D645" s="22">
        <v>0</v>
      </c>
      <c r="E645" s="22">
        <v>0</v>
      </c>
      <c r="I645" s="53">
        <v>0</v>
      </c>
      <c r="J645" s="53">
        <v>0</v>
      </c>
    </row>
    <row r="646" spans="1:10">
      <c r="A646" s="22" t="s">
        <v>676</v>
      </c>
      <c r="B646" s="22" t="s">
        <v>17</v>
      </c>
      <c r="C646" s="22" t="s">
        <v>25</v>
      </c>
      <c r="D646" s="22">
        <v>0</v>
      </c>
      <c r="E646" s="22">
        <v>0</v>
      </c>
      <c r="I646" s="53">
        <v>0</v>
      </c>
      <c r="J646" s="53">
        <v>0</v>
      </c>
    </row>
    <row r="647" spans="1:10">
      <c r="A647" s="22" t="s">
        <v>677</v>
      </c>
      <c r="B647" s="22" t="s">
        <v>17</v>
      </c>
      <c r="C647" s="22" t="s">
        <v>25</v>
      </c>
      <c r="D647" s="22">
        <v>0</v>
      </c>
      <c r="E647" s="22">
        <v>0</v>
      </c>
      <c r="I647" s="53">
        <v>0</v>
      </c>
      <c r="J647" s="53">
        <v>0</v>
      </c>
    </row>
    <row r="648" spans="1:10">
      <c r="A648" s="22" t="s">
        <v>678</v>
      </c>
      <c r="B648" s="22" t="s">
        <v>17</v>
      </c>
      <c r="C648" s="22" t="s">
        <v>29</v>
      </c>
      <c r="D648" s="22">
        <v>0</v>
      </c>
      <c r="E648" s="22">
        <v>0</v>
      </c>
      <c r="I648" s="53">
        <v>0</v>
      </c>
      <c r="J648" s="53">
        <v>0</v>
      </c>
    </row>
    <row r="649" spans="1:10">
      <c r="A649" s="22" t="s">
        <v>679</v>
      </c>
      <c r="B649" s="22" t="s">
        <v>17</v>
      </c>
      <c r="C649" s="22" t="s">
        <v>25</v>
      </c>
      <c r="D649" s="22">
        <v>0</v>
      </c>
      <c r="E649" s="22">
        <v>0</v>
      </c>
      <c r="I649" s="53">
        <v>0</v>
      </c>
      <c r="J649" s="53">
        <v>0</v>
      </c>
    </row>
    <row r="650" spans="1:10">
      <c r="A650" s="22" t="s">
        <v>680</v>
      </c>
      <c r="B650" s="22" t="s">
        <v>17</v>
      </c>
      <c r="C650" s="22" t="s">
        <v>25</v>
      </c>
      <c r="D650" s="22">
        <v>0</v>
      </c>
      <c r="E650" s="22">
        <v>0</v>
      </c>
      <c r="I650" s="53">
        <v>0</v>
      </c>
      <c r="J650" s="53">
        <v>0</v>
      </c>
    </row>
    <row r="651" spans="1:10">
      <c r="A651" s="22" t="s">
        <v>681</v>
      </c>
      <c r="B651" s="22" t="s">
        <v>17</v>
      </c>
      <c r="C651" s="22" t="s">
        <v>39</v>
      </c>
      <c r="D651" s="22">
        <v>0</v>
      </c>
      <c r="E651" s="22">
        <v>0</v>
      </c>
      <c r="I651" s="53">
        <v>0</v>
      </c>
      <c r="J651" s="53">
        <v>0</v>
      </c>
    </row>
    <row r="652" spans="1:10">
      <c r="A652" s="22" t="s">
        <v>682</v>
      </c>
      <c r="B652" s="22" t="s">
        <v>17</v>
      </c>
      <c r="C652" s="22" t="s">
        <v>39</v>
      </c>
      <c r="D652" s="22">
        <v>0</v>
      </c>
      <c r="E652" s="22">
        <v>0</v>
      </c>
      <c r="I652" s="53">
        <v>0</v>
      </c>
      <c r="J652" s="53">
        <v>0</v>
      </c>
    </row>
    <row r="653" spans="1:10">
      <c r="A653" s="22" t="s">
        <v>683</v>
      </c>
      <c r="B653" s="22" t="s">
        <v>17</v>
      </c>
      <c r="C653" s="22" t="s">
        <v>20</v>
      </c>
      <c r="D653" s="22">
        <v>0</v>
      </c>
      <c r="E653" s="22">
        <v>0</v>
      </c>
      <c r="I653" s="53">
        <v>0</v>
      </c>
      <c r="J653" s="53">
        <v>0</v>
      </c>
    </row>
    <row r="654" spans="1:10">
      <c r="A654" s="22" t="s">
        <v>684</v>
      </c>
      <c r="B654" s="22" t="s">
        <v>17</v>
      </c>
      <c r="C654" s="22" t="s">
        <v>25</v>
      </c>
      <c r="D654" s="22">
        <v>0</v>
      </c>
      <c r="E654" s="22">
        <v>0</v>
      </c>
      <c r="I654" s="53">
        <v>0</v>
      </c>
      <c r="J654" s="53">
        <v>0</v>
      </c>
    </row>
    <row r="655" spans="1:10">
      <c r="A655" s="22" t="s">
        <v>685</v>
      </c>
      <c r="B655" s="22" t="s">
        <v>17</v>
      </c>
      <c r="C655" s="22" t="s">
        <v>39</v>
      </c>
      <c r="D655" s="22">
        <v>0</v>
      </c>
      <c r="E655" s="22">
        <v>0</v>
      </c>
      <c r="I655" s="53">
        <v>0</v>
      </c>
      <c r="J655" s="53">
        <v>0</v>
      </c>
    </row>
    <row r="656" spans="1:10">
      <c r="A656" s="22" t="s">
        <v>686</v>
      </c>
      <c r="B656" s="22" t="s">
        <v>17</v>
      </c>
      <c r="C656" s="22" t="s">
        <v>25</v>
      </c>
      <c r="D656" s="22">
        <v>0</v>
      </c>
      <c r="E656" s="22">
        <v>0</v>
      </c>
      <c r="I656" s="53">
        <v>0</v>
      </c>
      <c r="J656" s="53">
        <v>0</v>
      </c>
    </row>
    <row r="657" spans="1:10">
      <c r="A657" s="22" t="s">
        <v>687</v>
      </c>
      <c r="B657" s="22" t="s">
        <v>17</v>
      </c>
      <c r="C657" s="22" t="s">
        <v>25</v>
      </c>
      <c r="D657" s="22">
        <v>0</v>
      </c>
      <c r="E657" s="22">
        <v>0</v>
      </c>
      <c r="I657" s="53">
        <v>0</v>
      </c>
      <c r="J657" s="53">
        <v>0</v>
      </c>
    </row>
    <row r="658" spans="1:10">
      <c r="A658" s="22" t="s">
        <v>688</v>
      </c>
      <c r="B658" s="22" t="s">
        <v>17</v>
      </c>
      <c r="C658" s="22" t="s">
        <v>25</v>
      </c>
      <c r="D658" s="22">
        <v>0</v>
      </c>
      <c r="E658" s="22">
        <v>0</v>
      </c>
      <c r="I658" s="53">
        <v>0</v>
      </c>
      <c r="J658" s="53">
        <v>0</v>
      </c>
    </row>
    <row r="659" spans="1:10">
      <c r="A659" s="22" t="s">
        <v>689</v>
      </c>
      <c r="B659" s="22" t="s">
        <v>17</v>
      </c>
      <c r="C659" s="22" t="s">
        <v>25</v>
      </c>
      <c r="D659" s="22">
        <v>0</v>
      </c>
      <c r="E659" s="22">
        <v>0</v>
      </c>
      <c r="I659" s="53">
        <v>0</v>
      </c>
      <c r="J659" s="53">
        <v>0</v>
      </c>
    </row>
    <row r="660" spans="1:10">
      <c r="A660" s="22" t="s">
        <v>690</v>
      </c>
      <c r="B660" s="22" t="s">
        <v>17</v>
      </c>
      <c r="C660" s="22" t="s">
        <v>39</v>
      </c>
      <c r="D660" s="22">
        <v>0</v>
      </c>
      <c r="E660" s="22">
        <v>0</v>
      </c>
      <c r="I660" s="53">
        <v>0</v>
      </c>
      <c r="J660" s="53">
        <v>0</v>
      </c>
    </row>
    <row r="661" spans="1:10">
      <c r="A661" s="22" t="s">
        <v>691</v>
      </c>
      <c r="B661" s="22" t="s">
        <v>17</v>
      </c>
      <c r="C661" s="22" t="s">
        <v>41</v>
      </c>
      <c r="D661" s="22">
        <v>1</v>
      </c>
      <c r="E661" s="22">
        <v>347.52</v>
      </c>
      <c r="I661" s="53">
        <v>1</v>
      </c>
      <c r="J661" s="53">
        <v>1</v>
      </c>
    </row>
    <row r="662" spans="1:10">
      <c r="A662" s="22" t="s">
        <v>692</v>
      </c>
      <c r="B662" s="22" t="s">
        <v>17</v>
      </c>
      <c r="C662" s="22" t="s">
        <v>29</v>
      </c>
      <c r="D662" s="22">
        <v>0</v>
      </c>
      <c r="E662" s="22">
        <v>0</v>
      </c>
      <c r="I662" s="53">
        <v>0</v>
      </c>
      <c r="J662" s="53">
        <v>0</v>
      </c>
    </row>
    <row r="663" spans="1:10">
      <c r="A663" s="22" t="s">
        <v>693</v>
      </c>
      <c r="B663" s="22" t="s">
        <v>17</v>
      </c>
      <c r="C663" s="22" t="s">
        <v>39</v>
      </c>
      <c r="D663" s="22">
        <v>0</v>
      </c>
      <c r="E663" s="22">
        <v>0</v>
      </c>
      <c r="I663" s="53">
        <v>0</v>
      </c>
      <c r="J663" s="53">
        <v>0</v>
      </c>
    </row>
    <row r="664" spans="1:10">
      <c r="A664" s="22" t="s">
        <v>694</v>
      </c>
      <c r="B664" s="22" t="s">
        <v>17</v>
      </c>
      <c r="C664" s="22" t="s">
        <v>29</v>
      </c>
      <c r="D664" s="22">
        <v>0</v>
      </c>
      <c r="E664" s="22">
        <v>0</v>
      </c>
      <c r="I664" s="53">
        <v>0</v>
      </c>
      <c r="J664" s="53">
        <v>0</v>
      </c>
    </row>
    <row r="665" spans="1:10">
      <c r="A665" s="22" t="s">
        <v>695</v>
      </c>
      <c r="B665" s="22" t="s">
        <v>17</v>
      </c>
      <c r="C665" s="22" t="s">
        <v>41</v>
      </c>
      <c r="D665" s="22">
        <v>0</v>
      </c>
      <c r="E665" s="22">
        <v>0</v>
      </c>
      <c r="I665" s="53">
        <v>0</v>
      </c>
      <c r="J665" s="53">
        <v>0</v>
      </c>
    </row>
    <row r="666" spans="1:10">
      <c r="A666" s="22" t="s">
        <v>696</v>
      </c>
      <c r="B666" s="22" t="s">
        <v>17</v>
      </c>
      <c r="C666" s="22" t="s">
        <v>29</v>
      </c>
      <c r="D666" s="22">
        <v>0</v>
      </c>
      <c r="E666" s="22">
        <v>0</v>
      </c>
      <c r="I666" s="53">
        <v>0</v>
      </c>
      <c r="J666" s="53">
        <v>0</v>
      </c>
    </row>
    <row r="667" spans="1:10">
      <c r="A667" s="22" t="s">
        <v>697</v>
      </c>
      <c r="B667" s="22" t="s">
        <v>17</v>
      </c>
      <c r="C667" s="22" t="s">
        <v>29</v>
      </c>
      <c r="D667" s="22">
        <v>0</v>
      </c>
      <c r="E667" s="22">
        <v>0</v>
      </c>
      <c r="I667" s="53">
        <v>0</v>
      </c>
      <c r="J667" s="53">
        <v>0</v>
      </c>
    </row>
    <row r="668" spans="1:10">
      <c r="A668" s="22" t="s">
        <v>698</v>
      </c>
      <c r="B668" s="22" t="s">
        <v>17</v>
      </c>
      <c r="C668" s="22" t="s">
        <v>29</v>
      </c>
      <c r="D668" s="22">
        <v>0</v>
      </c>
      <c r="E668" s="22">
        <v>0</v>
      </c>
      <c r="I668" s="53">
        <v>0</v>
      </c>
      <c r="J668" s="53">
        <v>0</v>
      </c>
    </row>
    <row r="669" spans="1:10">
      <c r="A669" s="22" t="s">
        <v>699</v>
      </c>
      <c r="B669" s="22" t="s">
        <v>17</v>
      </c>
      <c r="C669" s="22" t="s">
        <v>41</v>
      </c>
      <c r="D669" s="22">
        <v>0</v>
      </c>
      <c r="E669" s="22">
        <v>0</v>
      </c>
      <c r="I669" s="53">
        <v>0</v>
      </c>
      <c r="J669" s="53">
        <v>0</v>
      </c>
    </row>
    <row r="670" spans="1:10">
      <c r="A670" s="22" t="s">
        <v>700</v>
      </c>
      <c r="B670" s="22" t="s">
        <v>17</v>
      </c>
      <c r="C670" s="22" t="s">
        <v>41</v>
      </c>
      <c r="D670" s="22">
        <v>0</v>
      </c>
      <c r="E670" s="22">
        <v>0</v>
      </c>
      <c r="I670" s="53">
        <v>0</v>
      </c>
      <c r="J670" s="53">
        <v>0</v>
      </c>
    </row>
    <row r="671" spans="1:10">
      <c r="A671" s="22" t="s">
        <v>701</v>
      </c>
      <c r="B671" s="22" t="s">
        <v>17</v>
      </c>
      <c r="C671" s="22" t="s">
        <v>29</v>
      </c>
      <c r="D671" s="22">
        <v>0</v>
      </c>
      <c r="E671" s="22">
        <v>0</v>
      </c>
      <c r="I671" s="53">
        <v>0</v>
      </c>
      <c r="J671" s="53">
        <v>0</v>
      </c>
    </row>
    <row r="672" spans="1:10">
      <c r="A672" s="22" t="s">
        <v>702</v>
      </c>
      <c r="B672" s="22" t="s">
        <v>17</v>
      </c>
      <c r="C672" s="22" t="s">
        <v>29</v>
      </c>
      <c r="D672" s="22">
        <v>0</v>
      </c>
      <c r="E672" s="22">
        <v>0</v>
      </c>
      <c r="I672" s="53">
        <v>0</v>
      </c>
      <c r="J672" s="53">
        <v>0</v>
      </c>
    </row>
    <row r="673" spans="1:10">
      <c r="A673" s="22" t="s">
        <v>703</v>
      </c>
      <c r="B673" s="22" t="s">
        <v>17</v>
      </c>
      <c r="C673" s="22" t="s">
        <v>39</v>
      </c>
      <c r="D673" s="22">
        <v>0</v>
      </c>
      <c r="E673" s="22">
        <v>0</v>
      </c>
      <c r="I673" s="53">
        <v>0</v>
      </c>
      <c r="J673" s="53">
        <v>0</v>
      </c>
    </row>
    <row r="674" spans="1:10">
      <c r="A674" s="22" t="s">
        <v>704</v>
      </c>
      <c r="B674" s="22" t="s">
        <v>17</v>
      </c>
      <c r="C674" s="22" t="s">
        <v>29</v>
      </c>
      <c r="D674" s="22">
        <v>0</v>
      </c>
      <c r="E674" s="22">
        <v>0</v>
      </c>
      <c r="I674" s="53">
        <v>0</v>
      </c>
      <c r="J674" s="53">
        <v>0</v>
      </c>
    </row>
    <row r="675" spans="1:10">
      <c r="A675" s="22" t="s">
        <v>705</v>
      </c>
      <c r="B675" s="22" t="s">
        <v>17</v>
      </c>
      <c r="C675" s="22" t="s">
        <v>29</v>
      </c>
      <c r="D675" s="22">
        <v>0</v>
      </c>
      <c r="E675" s="22">
        <v>0</v>
      </c>
      <c r="I675" s="53">
        <v>0</v>
      </c>
      <c r="J675" s="53">
        <v>0</v>
      </c>
    </row>
    <row r="676" spans="1:10">
      <c r="A676" s="22" t="s">
        <v>706</v>
      </c>
      <c r="B676" s="22" t="s">
        <v>17</v>
      </c>
      <c r="C676" s="22" t="s">
        <v>29</v>
      </c>
      <c r="D676" s="22">
        <v>0</v>
      </c>
      <c r="E676" s="22">
        <v>0</v>
      </c>
      <c r="I676" s="53">
        <v>0</v>
      </c>
      <c r="J676" s="53">
        <v>0</v>
      </c>
    </row>
    <row r="677" spans="1:10">
      <c r="A677" s="22" t="s">
        <v>707</v>
      </c>
      <c r="B677" s="22" t="s">
        <v>17</v>
      </c>
      <c r="C677" s="22" t="s">
        <v>29</v>
      </c>
      <c r="D677" s="22">
        <v>0</v>
      </c>
      <c r="E677" s="22">
        <v>0</v>
      </c>
      <c r="I677" s="53">
        <v>0</v>
      </c>
      <c r="J677" s="53">
        <v>0</v>
      </c>
    </row>
    <row r="678" spans="1:10">
      <c r="A678" s="22" t="s">
        <v>708</v>
      </c>
      <c r="B678" s="22" t="s">
        <v>17</v>
      </c>
      <c r="C678" s="22" t="s">
        <v>25</v>
      </c>
      <c r="D678" s="22">
        <v>0</v>
      </c>
      <c r="E678" s="22">
        <v>0</v>
      </c>
      <c r="I678" s="53">
        <v>0</v>
      </c>
      <c r="J678" s="53">
        <v>0</v>
      </c>
    </row>
    <row r="679" spans="1:10">
      <c r="A679" s="22" t="s">
        <v>709</v>
      </c>
      <c r="B679" s="22" t="s">
        <v>17</v>
      </c>
      <c r="C679" s="22" t="s">
        <v>25</v>
      </c>
      <c r="D679" s="22">
        <v>0</v>
      </c>
      <c r="E679" s="22">
        <v>0</v>
      </c>
      <c r="I679" s="53">
        <v>0</v>
      </c>
      <c r="J679" s="53">
        <v>0</v>
      </c>
    </row>
    <row r="680" spans="1:10">
      <c r="A680" s="22" t="s">
        <v>710</v>
      </c>
      <c r="B680" s="22" t="s">
        <v>17</v>
      </c>
      <c r="C680" s="22" t="s">
        <v>41</v>
      </c>
      <c r="D680" s="22">
        <v>0</v>
      </c>
      <c r="E680" s="22">
        <v>0</v>
      </c>
      <c r="I680" s="53">
        <v>0</v>
      </c>
      <c r="J680" s="53">
        <v>0</v>
      </c>
    </row>
    <row r="681" spans="1:10">
      <c r="A681" s="22" t="s">
        <v>711</v>
      </c>
      <c r="B681" s="22" t="s">
        <v>17</v>
      </c>
      <c r="C681" s="22" t="s">
        <v>39</v>
      </c>
      <c r="D681" s="22">
        <v>0</v>
      </c>
      <c r="E681" s="22">
        <v>0</v>
      </c>
      <c r="I681" s="53">
        <v>0</v>
      </c>
      <c r="J681" s="53">
        <v>0</v>
      </c>
    </row>
    <row r="682" spans="1:10">
      <c r="A682" s="22" t="s">
        <v>712</v>
      </c>
      <c r="B682" s="22" t="s">
        <v>17</v>
      </c>
      <c r="C682" s="22" t="s">
        <v>39</v>
      </c>
      <c r="D682" s="22">
        <v>0</v>
      </c>
      <c r="E682" s="22">
        <v>0</v>
      </c>
      <c r="I682" s="53">
        <v>0</v>
      </c>
      <c r="J682" s="53">
        <v>0</v>
      </c>
    </row>
    <row r="683" spans="1:10">
      <c r="A683" s="22" t="s">
        <v>713</v>
      </c>
      <c r="B683" s="22" t="s">
        <v>17</v>
      </c>
      <c r="C683" s="22" t="s">
        <v>25</v>
      </c>
      <c r="D683" s="22">
        <v>0</v>
      </c>
      <c r="E683" s="22">
        <v>0</v>
      </c>
      <c r="I683" s="53">
        <v>0</v>
      </c>
      <c r="J683" s="53">
        <v>0</v>
      </c>
    </row>
    <row r="684" spans="1:10">
      <c r="A684" s="22" t="s">
        <v>714</v>
      </c>
      <c r="B684" s="22" t="s">
        <v>17</v>
      </c>
      <c r="C684" s="22" t="s">
        <v>25</v>
      </c>
      <c r="D684" s="22">
        <v>0</v>
      </c>
      <c r="E684" s="22">
        <v>0</v>
      </c>
      <c r="I684" s="53">
        <v>0</v>
      </c>
      <c r="J684" s="53">
        <v>0</v>
      </c>
    </row>
    <row r="685" spans="1:10">
      <c r="A685" s="22" t="s">
        <v>715</v>
      </c>
      <c r="B685" s="22" t="s">
        <v>17</v>
      </c>
      <c r="C685" s="22" t="s">
        <v>39</v>
      </c>
      <c r="D685" s="22">
        <v>0</v>
      </c>
      <c r="E685" s="22">
        <v>0</v>
      </c>
      <c r="I685" s="53">
        <v>0</v>
      </c>
      <c r="J685" s="53">
        <v>0</v>
      </c>
    </row>
    <row r="686" spans="1:10">
      <c r="A686" s="22" t="s">
        <v>716</v>
      </c>
      <c r="B686" s="22" t="s">
        <v>17</v>
      </c>
      <c r="C686" s="22" t="s">
        <v>25</v>
      </c>
      <c r="D686" s="22">
        <v>0</v>
      </c>
      <c r="E686" s="22">
        <v>0</v>
      </c>
      <c r="I686" s="53">
        <v>0</v>
      </c>
      <c r="J686" s="53">
        <v>0</v>
      </c>
    </row>
    <row r="687" spans="1:10">
      <c r="A687" s="22" t="s">
        <v>717</v>
      </c>
      <c r="B687" s="22" t="s">
        <v>17</v>
      </c>
      <c r="C687" s="22" t="s">
        <v>25</v>
      </c>
      <c r="D687" s="22">
        <v>0</v>
      </c>
      <c r="E687" s="22">
        <v>0</v>
      </c>
      <c r="I687" s="53">
        <v>0</v>
      </c>
      <c r="J687" s="53">
        <v>0</v>
      </c>
    </row>
    <row r="688" spans="1:10">
      <c r="A688" s="22" t="s">
        <v>718</v>
      </c>
      <c r="B688" s="22" t="s">
        <v>17</v>
      </c>
      <c r="C688" s="22" t="s">
        <v>41</v>
      </c>
      <c r="D688" s="22">
        <v>0</v>
      </c>
      <c r="E688" s="22">
        <v>0</v>
      </c>
      <c r="I688" s="53">
        <v>0</v>
      </c>
      <c r="J688" s="53">
        <v>0</v>
      </c>
    </row>
    <row r="689" spans="1:10">
      <c r="A689" s="22" t="s">
        <v>719</v>
      </c>
      <c r="B689" s="22" t="s">
        <v>17</v>
      </c>
      <c r="C689" s="22" t="s">
        <v>29</v>
      </c>
      <c r="D689" s="22">
        <v>0</v>
      </c>
      <c r="E689" s="22">
        <v>0</v>
      </c>
      <c r="I689" s="53">
        <v>0</v>
      </c>
      <c r="J689" s="53">
        <v>0</v>
      </c>
    </row>
    <row r="690" spans="1:10">
      <c r="A690" s="22" t="s">
        <v>720</v>
      </c>
      <c r="B690" s="22" t="s">
        <v>17</v>
      </c>
      <c r="C690" s="22" t="s">
        <v>1482</v>
      </c>
      <c r="D690" s="22">
        <v>0</v>
      </c>
      <c r="E690" s="22">
        <v>0</v>
      </c>
      <c r="I690" s="53">
        <v>0</v>
      </c>
      <c r="J690" s="53">
        <v>1</v>
      </c>
    </row>
    <row r="691" spans="1:10">
      <c r="A691" s="22" t="s">
        <v>721</v>
      </c>
      <c r="B691" s="22" t="s">
        <v>17</v>
      </c>
      <c r="C691" s="22" t="s">
        <v>25</v>
      </c>
      <c r="D691" s="22">
        <v>0</v>
      </c>
      <c r="E691" s="22">
        <v>0</v>
      </c>
      <c r="I691" s="53">
        <v>0</v>
      </c>
      <c r="J691" s="53">
        <v>0</v>
      </c>
    </row>
    <row r="692" spans="1:10">
      <c r="A692" s="22" t="s">
        <v>722</v>
      </c>
      <c r="B692" s="22" t="s">
        <v>723</v>
      </c>
      <c r="C692" s="22" t="s">
        <v>41</v>
      </c>
      <c r="D692" s="22">
        <v>0</v>
      </c>
      <c r="E692" s="22">
        <v>0</v>
      </c>
      <c r="I692" s="54"/>
      <c r="J692" s="53">
        <v>0</v>
      </c>
    </row>
    <row r="693" spans="1:10">
      <c r="A693" s="22" t="s">
        <v>724</v>
      </c>
      <c r="B693" s="22" t="s">
        <v>723</v>
      </c>
      <c r="C693" s="22" t="s">
        <v>25</v>
      </c>
      <c r="D693" s="22">
        <v>0</v>
      </c>
      <c r="E693" s="22">
        <v>0</v>
      </c>
      <c r="I693" s="54"/>
      <c r="J693" s="53">
        <v>0</v>
      </c>
    </row>
    <row r="694" spans="1:10">
      <c r="A694" s="22" t="s">
        <v>725</v>
      </c>
      <c r="B694" s="22" t="s">
        <v>723</v>
      </c>
      <c r="C694" s="22" t="s">
        <v>25</v>
      </c>
      <c r="D694" s="22">
        <v>0</v>
      </c>
      <c r="E694" s="22">
        <v>0</v>
      </c>
      <c r="I694" s="54"/>
      <c r="J694" s="53">
        <v>0</v>
      </c>
    </row>
    <row r="695" spans="1:10">
      <c r="A695" s="22" t="s">
        <v>726</v>
      </c>
      <c r="B695" s="22" t="s">
        <v>723</v>
      </c>
      <c r="C695" s="22" t="s">
        <v>41</v>
      </c>
      <c r="D695" s="22">
        <v>0</v>
      </c>
      <c r="E695" s="22">
        <v>0</v>
      </c>
      <c r="I695" s="54"/>
      <c r="J695" s="53">
        <v>0</v>
      </c>
    </row>
    <row r="696" spans="1:10">
      <c r="A696" s="22" t="s">
        <v>727</v>
      </c>
      <c r="B696" s="22" t="s">
        <v>723</v>
      </c>
      <c r="C696" s="22" t="s">
        <v>29</v>
      </c>
      <c r="D696" s="22">
        <v>0</v>
      </c>
      <c r="E696" s="22">
        <v>0</v>
      </c>
      <c r="I696" s="54"/>
      <c r="J696" s="53">
        <v>0</v>
      </c>
    </row>
    <row r="697" spans="1:10">
      <c r="A697" s="22" t="s">
        <v>728</v>
      </c>
      <c r="B697" s="22" t="s">
        <v>723</v>
      </c>
      <c r="C697" s="22" t="s">
        <v>20</v>
      </c>
      <c r="D697" s="22">
        <v>0</v>
      </c>
      <c r="E697" s="22">
        <v>0</v>
      </c>
      <c r="I697" s="54"/>
      <c r="J697" s="53">
        <v>0</v>
      </c>
    </row>
    <row r="698" spans="1:10">
      <c r="A698" s="22" t="s">
        <v>729</v>
      </c>
      <c r="B698" s="22" t="s">
        <v>723</v>
      </c>
      <c r="C698" s="22" t="s">
        <v>25</v>
      </c>
      <c r="D698" s="22">
        <v>0</v>
      </c>
      <c r="E698" s="22">
        <v>0</v>
      </c>
      <c r="I698" s="54"/>
      <c r="J698" s="53">
        <v>0</v>
      </c>
    </row>
    <row r="699" spans="1:10">
      <c r="A699" s="22" t="s">
        <v>730</v>
      </c>
      <c r="B699" s="22" t="s">
        <v>723</v>
      </c>
      <c r="C699" s="22" t="s">
        <v>41</v>
      </c>
      <c r="D699" s="22">
        <v>0</v>
      </c>
      <c r="E699" s="22">
        <v>0</v>
      </c>
      <c r="I699" s="54"/>
      <c r="J699" s="53">
        <v>0</v>
      </c>
    </row>
    <row r="700" spans="1:10">
      <c r="A700" s="22" t="s">
        <v>731</v>
      </c>
      <c r="B700" s="22" t="s">
        <v>723</v>
      </c>
      <c r="C700" s="22" t="s">
        <v>29</v>
      </c>
      <c r="D700" s="22">
        <v>0</v>
      </c>
      <c r="E700" s="22">
        <v>0</v>
      </c>
      <c r="I700" s="54"/>
      <c r="J700" s="53">
        <v>0</v>
      </c>
    </row>
    <row r="701" spans="1:10">
      <c r="A701" s="22" t="s">
        <v>732</v>
      </c>
      <c r="B701" s="22" t="s">
        <v>723</v>
      </c>
      <c r="C701" s="22" t="s">
        <v>25</v>
      </c>
      <c r="D701" s="22">
        <v>0</v>
      </c>
      <c r="E701" s="22">
        <v>0</v>
      </c>
      <c r="I701" s="54"/>
      <c r="J701" s="53">
        <v>0</v>
      </c>
    </row>
    <row r="702" spans="1:10">
      <c r="A702" s="22" t="s">
        <v>733</v>
      </c>
      <c r="B702" s="22" t="s">
        <v>723</v>
      </c>
      <c r="C702" s="22" t="s">
        <v>25</v>
      </c>
      <c r="D702" s="22">
        <v>1</v>
      </c>
      <c r="E702" s="22">
        <v>444.13</v>
      </c>
      <c r="I702" s="54"/>
      <c r="J702" s="53">
        <v>0</v>
      </c>
    </row>
    <row r="703" spans="1:10">
      <c r="A703" s="22" t="s">
        <v>734</v>
      </c>
      <c r="B703" s="22" t="s">
        <v>723</v>
      </c>
      <c r="C703" s="22" t="s">
        <v>41</v>
      </c>
      <c r="D703" s="22">
        <v>0</v>
      </c>
      <c r="E703" s="22">
        <v>0</v>
      </c>
      <c r="I703" s="54"/>
      <c r="J703" s="53">
        <v>0</v>
      </c>
    </row>
    <row r="704" spans="1:10">
      <c r="A704" s="22" t="s">
        <v>735</v>
      </c>
      <c r="B704" s="22" t="s">
        <v>723</v>
      </c>
      <c r="C704" s="22" t="s">
        <v>41</v>
      </c>
      <c r="D704" s="22">
        <v>0</v>
      </c>
      <c r="E704" s="22">
        <v>0</v>
      </c>
      <c r="I704" s="54"/>
      <c r="J704" s="53">
        <v>0</v>
      </c>
    </row>
    <row r="705" spans="1:10">
      <c r="A705" s="22" t="s">
        <v>736</v>
      </c>
      <c r="B705" s="22" t="s">
        <v>723</v>
      </c>
      <c r="C705" s="22" t="s">
        <v>20</v>
      </c>
      <c r="D705" s="22">
        <v>0</v>
      </c>
      <c r="E705" s="22">
        <v>0</v>
      </c>
      <c r="I705" s="54"/>
      <c r="J705" s="53">
        <v>0</v>
      </c>
    </row>
    <row r="706" spans="1:10">
      <c r="A706" s="22" t="s">
        <v>737</v>
      </c>
      <c r="B706" s="22" t="s">
        <v>723</v>
      </c>
      <c r="C706" s="22" t="s">
        <v>39</v>
      </c>
      <c r="D706" s="22">
        <v>0</v>
      </c>
      <c r="E706" s="22">
        <v>0</v>
      </c>
      <c r="I706" s="54"/>
      <c r="J706" s="53">
        <v>0</v>
      </c>
    </row>
    <row r="707" spans="1:10">
      <c r="A707" s="22" t="s">
        <v>738</v>
      </c>
      <c r="B707" s="22" t="s">
        <v>723</v>
      </c>
      <c r="C707" s="22" t="s">
        <v>25</v>
      </c>
      <c r="D707" s="22">
        <v>0</v>
      </c>
      <c r="E707" s="22">
        <v>0</v>
      </c>
      <c r="I707" s="54"/>
      <c r="J707" s="53">
        <v>1</v>
      </c>
    </row>
    <row r="708" spans="1:10">
      <c r="A708" s="22" t="s">
        <v>739</v>
      </c>
      <c r="B708" s="22" t="s">
        <v>723</v>
      </c>
      <c r="C708" s="22" t="s">
        <v>25</v>
      </c>
      <c r="D708" s="22">
        <v>0</v>
      </c>
      <c r="E708" s="22">
        <v>0</v>
      </c>
      <c r="I708" s="54"/>
      <c r="J708" s="53">
        <v>0</v>
      </c>
    </row>
    <row r="709" spans="1:10">
      <c r="A709" s="22" t="s">
        <v>740</v>
      </c>
      <c r="B709" s="22" t="s">
        <v>723</v>
      </c>
      <c r="C709" s="22" t="s">
        <v>20</v>
      </c>
      <c r="D709" s="22">
        <v>0</v>
      </c>
      <c r="E709" s="22">
        <v>0</v>
      </c>
      <c r="I709" s="54"/>
      <c r="J709" s="53">
        <v>0</v>
      </c>
    </row>
    <row r="710" spans="1:10">
      <c r="A710" s="22" t="s">
        <v>741</v>
      </c>
      <c r="B710" s="22" t="s">
        <v>723</v>
      </c>
      <c r="C710" s="22" t="s">
        <v>25</v>
      </c>
      <c r="D710" s="22">
        <v>0</v>
      </c>
      <c r="E710" s="22">
        <v>0</v>
      </c>
      <c r="I710" s="54"/>
      <c r="J710" s="53">
        <v>0</v>
      </c>
    </row>
    <row r="711" spans="1:10">
      <c r="A711" s="22" t="s">
        <v>742</v>
      </c>
      <c r="B711" s="22" t="s">
        <v>723</v>
      </c>
      <c r="C711" s="22" t="s">
        <v>41</v>
      </c>
      <c r="D711" s="22">
        <v>0</v>
      </c>
      <c r="E711" s="22">
        <v>0</v>
      </c>
      <c r="I711" s="54"/>
      <c r="J711" s="53">
        <v>0</v>
      </c>
    </row>
    <row r="712" spans="1:10">
      <c r="A712" s="22" t="s">
        <v>743</v>
      </c>
      <c r="B712" s="22" t="s">
        <v>723</v>
      </c>
      <c r="C712" s="22" t="s">
        <v>39</v>
      </c>
      <c r="D712" s="22">
        <v>0</v>
      </c>
      <c r="E712" s="22">
        <v>0</v>
      </c>
    </row>
    <row r="713" spans="1:10">
      <c r="A713" s="22" t="s">
        <v>744</v>
      </c>
      <c r="B713" s="22" t="s">
        <v>723</v>
      </c>
      <c r="C713" s="22" t="s">
        <v>25</v>
      </c>
      <c r="D713" s="22">
        <v>0</v>
      </c>
      <c r="E713" s="22">
        <v>0</v>
      </c>
    </row>
    <row r="714" spans="1:10">
      <c r="A714" s="22" t="s">
        <v>745</v>
      </c>
      <c r="B714" s="22" t="s">
        <v>723</v>
      </c>
      <c r="C714" s="22" t="s">
        <v>25</v>
      </c>
      <c r="D714" s="22">
        <v>1</v>
      </c>
      <c r="E714" s="22">
        <v>516.66999999999996</v>
      </c>
    </row>
    <row r="715" spans="1:10">
      <c r="A715" s="22" t="s">
        <v>746</v>
      </c>
      <c r="B715" s="22" t="s">
        <v>723</v>
      </c>
      <c r="C715" s="22" t="s">
        <v>39</v>
      </c>
      <c r="D715" s="22">
        <v>1</v>
      </c>
      <c r="E715" s="22">
        <v>277.18</v>
      </c>
    </row>
    <row r="716" spans="1:10">
      <c r="A716" s="22" t="s">
        <v>747</v>
      </c>
      <c r="B716" s="22" t="s">
        <v>723</v>
      </c>
      <c r="C716" s="22" t="s">
        <v>25</v>
      </c>
      <c r="D716" s="22">
        <v>0</v>
      </c>
      <c r="E716" s="22">
        <v>0</v>
      </c>
    </row>
    <row r="717" spans="1:10">
      <c r="A717" s="22" t="s">
        <v>748</v>
      </c>
      <c r="B717" s="22" t="s">
        <v>723</v>
      </c>
      <c r="C717" s="22" t="s">
        <v>25</v>
      </c>
      <c r="D717" s="22">
        <v>0</v>
      </c>
      <c r="E717" s="22">
        <v>0</v>
      </c>
    </row>
    <row r="718" spans="1:10">
      <c r="A718" s="22" t="s">
        <v>749</v>
      </c>
      <c r="B718" s="22" t="s">
        <v>723</v>
      </c>
      <c r="C718" s="22" t="s">
        <v>29</v>
      </c>
      <c r="D718" s="22">
        <v>0</v>
      </c>
      <c r="E718" s="22">
        <v>0</v>
      </c>
    </row>
    <row r="719" spans="1:10">
      <c r="A719" s="22" t="s">
        <v>750</v>
      </c>
      <c r="B719" s="22" t="s">
        <v>723</v>
      </c>
      <c r="C719" s="22" t="s">
        <v>29</v>
      </c>
      <c r="D719" s="22">
        <v>0</v>
      </c>
      <c r="E719" s="22">
        <v>0</v>
      </c>
    </row>
    <row r="720" spans="1:10">
      <c r="A720" s="22" t="s">
        <v>751</v>
      </c>
      <c r="B720" s="22" t="s">
        <v>723</v>
      </c>
      <c r="C720" s="22" t="s">
        <v>29</v>
      </c>
      <c r="D720" s="22">
        <v>0</v>
      </c>
      <c r="E720" s="22">
        <v>0</v>
      </c>
    </row>
    <row r="721" spans="1:5">
      <c r="A721" s="22" t="s">
        <v>752</v>
      </c>
      <c r="B721" s="22" t="s">
        <v>723</v>
      </c>
      <c r="C721" s="22" t="s">
        <v>20</v>
      </c>
      <c r="D721" s="22">
        <v>0</v>
      </c>
      <c r="E721" s="22">
        <v>0</v>
      </c>
    </row>
    <row r="722" spans="1:5">
      <c r="A722" s="22" t="s">
        <v>753</v>
      </c>
      <c r="B722" s="22" t="s">
        <v>723</v>
      </c>
      <c r="C722" s="22" t="s">
        <v>39</v>
      </c>
      <c r="D722" s="22">
        <v>0</v>
      </c>
      <c r="E722" s="22">
        <v>0</v>
      </c>
    </row>
    <row r="723" spans="1:5">
      <c r="A723" s="22" t="s">
        <v>754</v>
      </c>
      <c r="B723" s="22" t="s">
        <v>723</v>
      </c>
      <c r="C723" s="22" t="s">
        <v>29</v>
      </c>
      <c r="D723" s="22">
        <v>0</v>
      </c>
      <c r="E723" s="22">
        <v>0</v>
      </c>
    </row>
    <row r="724" spans="1:5">
      <c r="A724" s="22" t="s">
        <v>755</v>
      </c>
      <c r="B724" s="22" t="s">
        <v>723</v>
      </c>
      <c r="C724" s="22" t="s">
        <v>1482</v>
      </c>
      <c r="D724" s="22">
        <v>0</v>
      </c>
      <c r="E724" s="22">
        <v>0</v>
      </c>
    </row>
    <row r="725" spans="1:5">
      <c r="A725" s="22" t="s">
        <v>756</v>
      </c>
      <c r="B725" s="22" t="s">
        <v>723</v>
      </c>
      <c r="C725" s="22" t="s">
        <v>25</v>
      </c>
      <c r="D725" s="22">
        <v>0</v>
      </c>
      <c r="E725" s="22">
        <v>0</v>
      </c>
    </row>
    <row r="726" spans="1:5">
      <c r="A726" s="22" t="s">
        <v>757</v>
      </c>
      <c r="B726" s="22" t="s">
        <v>723</v>
      </c>
      <c r="C726" s="22" t="s">
        <v>29</v>
      </c>
      <c r="D726" s="22">
        <v>0</v>
      </c>
      <c r="E726" s="22">
        <v>0</v>
      </c>
    </row>
    <row r="727" spans="1:5">
      <c r="A727" s="22" t="s">
        <v>758</v>
      </c>
      <c r="B727" s="22" t="s">
        <v>723</v>
      </c>
      <c r="C727" s="22" t="s">
        <v>41</v>
      </c>
      <c r="D727" s="22">
        <v>0</v>
      </c>
      <c r="E727" s="22">
        <v>0</v>
      </c>
    </row>
    <row r="728" spans="1:5">
      <c r="A728" s="22" t="s">
        <v>759</v>
      </c>
      <c r="B728" s="22" t="s">
        <v>723</v>
      </c>
      <c r="C728" s="22" t="s">
        <v>41</v>
      </c>
      <c r="D728" s="22">
        <v>0</v>
      </c>
      <c r="E728" s="22">
        <v>0</v>
      </c>
    </row>
    <row r="729" spans="1:5">
      <c r="A729" s="22" t="s">
        <v>760</v>
      </c>
      <c r="B729" s="22" t="s">
        <v>723</v>
      </c>
      <c r="C729" s="22" t="s">
        <v>29</v>
      </c>
      <c r="D729" s="22">
        <v>1</v>
      </c>
      <c r="E729" s="22">
        <v>604.09</v>
      </c>
    </row>
    <row r="730" spans="1:5">
      <c r="A730" s="22" t="s">
        <v>761</v>
      </c>
      <c r="B730" s="22" t="s">
        <v>723</v>
      </c>
      <c r="C730" s="22" t="s">
        <v>1482</v>
      </c>
      <c r="D730" s="22">
        <v>0</v>
      </c>
      <c r="E730" s="22">
        <v>0</v>
      </c>
    </row>
    <row r="731" spans="1:5">
      <c r="A731" s="22" t="s">
        <v>762</v>
      </c>
      <c r="B731" s="22" t="s">
        <v>723</v>
      </c>
      <c r="C731" s="22" t="s">
        <v>29</v>
      </c>
      <c r="D731" s="22">
        <v>0</v>
      </c>
      <c r="E731" s="22">
        <v>0</v>
      </c>
    </row>
    <row r="732" spans="1:5">
      <c r="A732" s="22" t="s">
        <v>763</v>
      </c>
      <c r="B732" s="22" t="s">
        <v>723</v>
      </c>
      <c r="C732" s="22" t="s">
        <v>29</v>
      </c>
      <c r="D732" s="22">
        <v>0</v>
      </c>
      <c r="E732" s="22">
        <v>0</v>
      </c>
    </row>
    <row r="733" spans="1:5">
      <c r="A733" s="22" t="s">
        <v>764</v>
      </c>
      <c r="B733" s="22" t="s">
        <v>723</v>
      </c>
      <c r="C733" s="22" t="s">
        <v>39</v>
      </c>
      <c r="D733" s="22">
        <v>1</v>
      </c>
      <c r="E733" s="22">
        <v>442.37</v>
      </c>
    </row>
    <row r="734" spans="1:5">
      <c r="A734" s="22" t="s">
        <v>765</v>
      </c>
      <c r="B734" s="22" t="s">
        <v>723</v>
      </c>
      <c r="C734" s="22" t="s">
        <v>39</v>
      </c>
      <c r="D734" s="22">
        <v>0</v>
      </c>
      <c r="E734" s="22">
        <v>0</v>
      </c>
    </row>
    <row r="735" spans="1:5">
      <c r="A735" s="22" t="s">
        <v>766</v>
      </c>
      <c r="B735" s="22" t="s">
        <v>723</v>
      </c>
      <c r="C735" s="22" t="s">
        <v>41</v>
      </c>
      <c r="D735" s="22">
        <v>0</v>
      </c>
      <c r="E735" s="22">
        <v>0</v>
      </c>
    </row>
    <row r="736" spans="1:5">
      <c r="A736" s="22" t="s">
        <v>767</v>
      </c>
      <c r="B736" s="22" t="s">
        <v>723</v>
      </c>
      <c r="C736" s="22" t="s">
        <v>20</v>
      </c>
      <c r="D736" s="22">
        <v>0</v>
      </c>
      <c r="E736" s="22">
        <v>0</v>
      </c>
    </row>
    <row r="737" spans="1:5">
      <c r="A737" s="22" t="s">
        <v>768</v>
      </c>
      <c r="B737" s="22" t="s">
        <v>723</v>
      </c>
      <c r="C737" s="22" t="s">
        <v>29</v>
      </c>
      <c r="D737" s="22">
        <v>0</v>
      </c>
      <c r="E737" s="22">
        <v>0</v>
      </c>
    </row>
    <row r="738" spans="1:5">
      <c r="A738" s="22" t="s">
        <v>769</v>
      </c>
      <c r="B738" s="22" t="s">
        <v>723</v>
      </c>
      <c r="C738" s="22" t="s">
        <v>41</v>
      </c>
      <c r="D738" s="22">
        <v>0</v>
      </c>
      <c r="E738" s="22">
        <v>0</v>
      </c>
    </row>
    <row r="739" spans="1:5">
      <c r="A739" s="22" t="s">
        <v>770</v>
      </c>
      <c r="B739" s="22" t="s">
        <v>723</v>
      </c>
      <c r="C739" s="22" t="s">
        <v>25</v>
      </c>
      <c r="D739" s="22">
        <v>0</v>
      </c>
      <c r="E739" s="22">
        <v>0</v>
      </c>
    </row>
    <row r="740" spans="1:5">
      <c r="A740" s="22" t="s">
        <v>771</v>
      </c>
      <c r="B740" s="22" t="s">
        <v>723</v>
      </c>
      <c r="C740" s="22" t="s">
        <v>41</v>
      </c>
      <c r="D740" s="22">
        <v>0</v>
      </c>
      <c r="E740" s="22">
        <v>0</v>
      </c>
    </row>
    <row r="741" spans="1:5">
      <c r="A741" s="22" t="s">
        <v>772</v>
      </c>
      <c r="B741" s="22" t="s">
        <v>723</v>
      </c>
      <c r="C741" s="22" t="s">
        <v>39</v>
      </c>
      <c r="D741" s="22">
        <v>0</v>
      </c>
      <c r="E741" s="22">
        <v>0</v>
      </c>
    </row>
    <row r="742" spans="1:5">
      <c r="A742" s="22" t="s">
        <v>773</v>
      </c>
      <c r="B742" s="22" t="s">
        <v>723</v>
      </c>
      <c r="C742" s="22" t="s">
        <v>1482</v>
      </c>
      <c r="D742" s="22">
        <v>0</v>
      </c>
      <c r="E742" s="22">
        <v>0</v>
      </c>
    </row>
    <row r="743" spans="1:5">
      <c r="A743" s="22" t="s">
        <v>774</v>
      </c>
      <c r="B743" s="22" t="s">
        <v>723</v>
      </c>
      <c r="C743" s="22" t="s">
        <v>39</v>
      </c>
      <c r="D743" s="22">
        <v>0</v>
      </c>
      <c r="E743" s="22">
        <v>0</v>
      </c>
    </row>
    <row r="744" spans="1:5">
      <c r="A744" s="22" t="s">
        <v>775</v>
      </c>
      <c r="B744" s="22" t="s">
        <v>723</v>
      </c>
      <c r="C744" s="22" t="s">
        <v>41</v>
      </c>
      <c r="D744" s="22">
        <v>0</v>
      </c>
      <c r="E744" s="22">
        <v>0</v>
      </c>
    </row>
    <row r="745" spans="1:5">
      <c r="A745" s="22" t="s">
        <v>776</v>
      </c>
      <c r="B745" s="22" t="s">
        <v>723</v>
      </c>
      <c r="C745" s="22" t="s">
        <v>29</v>
      </c>
      <c r="D745" s="22">
        <v>0</v>
      </c>
      <c r="E745" s="22">
        <v>0</v>
      </c>
    </row>
    <row r="746" spans="1:5">
      <c r="A746" s="22" t="s">
        <v>777</v>
      </c>
      <c r="B746" s="22" t="s">
        <v>723</v>
      </c>
      <c r="C746" s="22" t="s">
        <v>20</v>
      </c>
      <c r="D746" s="22">
        <v>0</v>
      </c>
      <c r="E746" s="22">
        <v>0</v>
      </c>
    </row>
    <row r="747" spans="1:5">
      <c r="A747" s="22" t="s">
        <v>778</v>
      </c>
      <c r="B747" s="22" t="s">
        <v>723</v>
      </c>
      <c r="C747" s="22" t="s">
        <v>39</v>
      </c>
      <c r="D747" s="22">
        <v>0</v>
      </c>
      <c r="E747" s="22">
        <v>0</v>
      </c>
    </row>
    <row r="748" spans="1:5">
      <c r="A748" s="22" t="s">
        <v>779</v>
      </c>
      <c r="B748" s="22" t="s">
        <v>723</v>
      </c>
      <c r="C748" s="22" t="s">
        <v>39</v>
      </c>
      <c r="D748" s="22">
        <v>0</v>
      </c>
      <c r="E748" s="22">
        <v>0</v>
      </c>
    </row>
    <row r="749" spans="1:5">
      <c r="A749" s="22" t="s">
        <v>780</v>
      </c>
      <c r="B749" s="22" t="s">
        <v>723</v>
      </c>
      <c r="C749" s="22" t="s">
        <v>39</v>
      </c>
      <c r="D749" s="22">
        <v>0</v>
      </c>
      <c r="E749" s="22">
        <v>0</v>
      </c>
    </row>
    <row r="750" spans="1:5">
      <c r="A750" s="22" t="s">
        <v>781</v>
      </c>
      <c r="B750" s="22" t="s">
        <v>723</v>
      </c>
      <c r="C750" s="22" t="s">
        <v>25</v>
      </c>
      <c r="D750" s="22">
        <v>0</v>
      </c>
      <c r="E750" s="22">
        <v>0</v>
      </c>
    </row>
    <row r="751" spans="1:5">
      <c r="A751" s="22" t="s">
        <v>782</v>
      </c>
      <c r="B751" s="22" t="s">
        <v>723</v>
      </c>
      <c r="C751" s="22" t="s">
        <v>25</v>
      </c>
      <c r="D751" s="22">
        <v>0</v>
      </c>
      <c r="E751" s="22">
        <v>0</v>
      </c>
    </row>
    <row r="752" spans="1:5">
      <c r="A752" s="22" t="s">
        <v>783</v>
      </c>
      <c r="B752" s="22" t="s">
        <v>723</v>
      </c>
      <c r="C752" s="22" t="s">
        <v>25</v>
      </c>
      <c r="D752" s="22">
        <v>0</v>
      </c>
      <c r="E752" s="22">
        <v>0</v>
      </c>
    </row>
    <row r="753" spans="1:5">
      <c r="A753" s="22" t="s">
        <v>784</v>
      </c>
      <c r="B753" s="22" t="s">
        <v>723</v>
      </c>
      <c r="C753" s="22" t="s">
        <v>39</v>
      </c>
      <c r="D753" s="22">
        <v>0</v>
      </c>
      <c r="E753" s="22">
        <v>0</v>
      </c>
    </row>
    <row r="754" spans="1:5">
      <c r="A754" s="22" t="s">
        <v>785</v>
      </c>
      <c r="B754" s="22" t="s">
        <v>723</v>
      </c>
      <c r="C754" s="22" t="s">
        <v>25</v>
      </c>
      <c r="D754" s="22">
        <v>0</v>
      </c>
      <c r="E754" s="22">
        <v>0</v>
      </c>
    </row>
    <row r="755" spans="1:5">
      <c r="A755" s="22" t="s">
        <v>786</v>
      </c>
      <c r="B755" s="22" t="s">
        <v>723</v>
      </c>
      <c r="C755" s="22" t="s">
        <v>25</v>
      </c>
      <c r="D755" s="22">
        <v>0</v>
      </c>
      <c r="E755" s="22">
        <v>0</v>
      </c>
    </row>
    <row r="756" spans="1:5">
      <c r="A756" s="22" t="s">
        <v>787</v>
      </c>
      <c r="B756" s="22" t="s">
        <v>723</v>
      </c>
      <c r="C756" s="22" t="s">
        <v>25</v>
      </c>
      <c r="D756" s="22">
        <v>0</v>
      </c>
      <c r="E756" s="22">
        <v>0</v>
      </c>
    </row>
    <row r="757" spans="1:5">
      <c r="A757" s="22" t="s">
        <v>788</v>
      </c>
      <c r="B757" s="22" t="s">
        <v>723</v>
      </c>
      <c r="C757" s="22" t="s">
        <v>39</v>
      </c>
      <c r="D757" s="22">
        <v>0</v>
      </c>
      <c r="E757" s="22">
        <v>0</v>
      </c>
    </row>
    <row r="758" spans="1:5">
      <c r="A758" s="22" t="s">
        <v>789</v>
      </c>
      <c r="B758" s="22" t="s">
        <v>723</v>
      </c>
      <c r="C758" s="22" t="s">
        <v>41</v>
      </c>
      <c r="D758" s="22">
        <v>0</v>
      </c>
      <c r="E758" s="22">
        <v>0</v>
      </c>
    </row>
    <row r="759" spans="1:5">
      <c r="A759" s="22" t="s">
        <v>790</v>
      </c>
      <c r="B759" s="22" t="s">
        <v>723</v>
      </c>
      <c r="C759" s="22" t="s">
        <v>39</v>
      </c>
      <c r="D759" s="22">
        <v>1</v>
      </c>
      <c r="E759" s="22">
        <v>1506.24</v>
      </c>
    </row>
    <row r="760" spans="1:5">
      <c r="A760" s="22" t="s">
        <v>791</v>
      </c>
      <c r="B760" s="22" t="s">
        <v>723</v>
      </c>
      <c r="C760" s="22" t="s">
        <v>25</v>
      </c>
      <c r="D760" s="22">
        <v>0</v>
      </c>
      <c r="E760" s="22">
        <v>0</v>
      </c>
    </row>
    <row r="761" spans="1:5">
      <c r="A761" s="22" t="s">
        <v>792</v>
      </c>
      <c r="B761" s="22" t="s">
        <v>723</v>
      </c>
      <c r="C761" s="22" t="s">
        <v>41</v>
      </c>
      <c r="D761" s="22">
        <v>0</v>
      </c>
      <c r="E761" s="22">
        <v>0</v>
      </c>
    </row>
    <row r="762" spans="1:5">
      <c r="A762" s="22" t="s">
        <v>793</v>
      </c>
      <c r="B762" s="22" t="s">
        <v>723</v>
      </c>
      <c r="C762" s="22" t="s">
        <v>29</v>
      </c>
      <c r="D762" s="22">
        <v>0</v>
      </c>
      <c r="E762" s="22">
        <v>0</v>
      </c>
    </row>
    <row r="763" spans="1:5">
      <c r="A763" s="22" t="s">
        <v>794</v>
      </c>
      <c r="B763" s="22" t="s">
        <v>723</v>
      </c>
      <c r="C763" s="22" t="s">
        <v>29</v>
      </c>
      <c r="D763" s="22">
        <v>0</v>
      </c>
      <c r="E763" s="22">
        <v>0</v>
      </c>
    </row>
    <row r="764" spans="1:5">
      <c r="A764" s="22" t="s">
        <v>795</v>
      </c>
      <c r="B764" s="22" t="s">
        <v>723</v>
      </c>
      <c r="C764" s="22" t="s">
        <v>25</v>
      </c>
      <c r="D764" s="22">
        <v>0</v>
      </c>
      <c r="E764" s="22">
        <v>0</v>
      </c>
    </row>
    <row r="765" spans="1:5">
      <c r="A765" s="22" t="s">
        <v>796</v>
      </c>
      <c r="B765" s="22" t="s">
        <v>723</v>
      </c>
      <c r="C765" s="22" t="s">
        <v>41</v>
      </c>
      <c r="D765" s="22">
        <v>0</v>
      </c>
      <c r="E765" s="22">
        <v>0</v>
      </c>
    </row>
    <row r="766" spans="1:5">
      <c r="A766" s="22" t="s">
        <v>797</v>
      </c>
      <c r="B766" s="22" t="s">
        <v>723</v>
      </c>
      <c r="C766" s="22" t="s">
        <v>25</v>
      </c>
      <c r="D766" s="22">
        <v>0</v>
      </c>
      <c r="E766" s="22">
        <v>0</v>
      </c>
    </row>
    <row r="767" spans="1:5">
      <c r="A767" s="22" t="s">
        <v>798</v>
      </c>
      <c r="B767" s="22" t="s">
        <v>723</v>
      </c>
      <c r="C767" s="22" t="s">
        <v>20</v>
      </c>
      <c r="D767" s="22">
        <v>0</v>
      </c>
      <c r="E767" s="22">
        <v>0</v>
      </c>
    </row>
    <row r="768" spans="1:5">
      <c r="A768" s="22" t="s">
        <v>799</v>
      </c>
      <c r="B768" s="22" t="s">
        <v>723</v>
      </c>
      <c r="C768" s="22" t="s">
        <v>25</v>
      </c>
      <c r="D768" s="22">
        <v>0</v>
      </c>
      <c r="E768" s="22">
        <v>0</v>
      </c>
    </row>
    <row r="769" spans="1:5">
      <c r="A769" s="22" t="s">
        <v>800</v>
      </c>
      <c r="B769" s="22" t="s">
        <v>723</v>
      </c>
      <c r="C769" s="22" t="s">
        <v>39</v>
      </c>
      <c r="D769" s="22">
        <v>0</v>
      </c>
      <c r="E769" s="22">
        <v>0</v>
      </c>
    </row>
    <row r="770" spans="1:5">
      <c r="A770" s="22" t="s">
        <v>801</v>
      </c>
      <c r="B770" s="22" t="s">
        <v>723</v>
      </c>
      <c r="C770" s="22" t="s">
        <v>41</v>
      </c>
      <c r="D770" s="22">
        <v>0</v>
      </c>
      <c r="E770" s="22">
        <v>0</v>
      </c>
    </row>
    <row r="771" spans="1:5">
      <c r="A771" s="22" t="s">
        <v>802</v>
      </c>
      <c r="B771" s="22" t="s">
        <v>723</v>
      </c>
      <c r="C771" s="22" t="s">
        <v>25</v>
      </c>
      <c r="D771" s="22">
        <v>0</v>
      </c>
      <c r="E771" s="22">
        <v>0</v>
      </c>
    </row>
    <row r="772" spans="1:5">
      <c r="A772" s="22" t="s">
        <v>803</v>
      </c>
      <c r="B772" s="22" t="s">
        <v>723</v>
      </c>
      <c r="C772" s="22" t="s">
        <v>25</v>
      </c>
      <c r="D772" s="22">
        <v>0</v>
      </c>
      <c r="E772" s="22">
        <v>0</v>
      </c>
    </row>
    <row r="773" spans="1:5">
      <c r="A773" s="22" t="s">
        <v>804</v>
      </c>
      <c r="B773" s="22" t="s">
        <v>723</v>
      </c>
      <c r="C773" s="22" t="s">
        <v>39</v>
      </c>
      <c r="D773" s="22">
        <v>0</v>
      </c>
      <c r="E773" s="22">
        <v>0</v>
      </c>
    </row>
    <row r="774" spans="1:5">
      <c r="A774" s="22" t="s">
        <v>805</v>
      </c>
      <c r="B774" s="22" t="s">
        <v>723</v>
      </c>
      <c r="C774" s="22" t="s">
        <v>29</v>
      </c>
      <c r="D774" s="22">
        <v>0</v>
      </c>
      <c r="E774" s="22">
        <v>0</v>
      </c>
    </row>
    <row r="775" spans="1:5">
      <c r="A775" s="22" t="s">
        <v>806</v>
      </c>
      <c r="B775" s="22" t="s">
        <v>723</v>
      </c>
      <c r="C775" s="22" t="s">
        <v>39</v>
      </c>
      <c r="D775" s="22">
        <v>0</v>
      </c>
      <c r="E775" s="22">
        <v>0</v>
      </c>
    </row>
    <row r="776" spans="1:5">
      <c r="A776" s="22" t="s">
        <v>807</v>
      </c>
      <c r="B776" s="22" t="s">
        <v>723</v>
      </c>
      <c r="C776" s="22" t="s">
        <v>41</v>
      </c>
      <c r="D776" s="22">
        <v>0</v>
      </c>
      <c r="E776" s="22">
        <v>0</v>
      </c>
    </row>
    <row r="777" spans="1:5">
      <c r="A777" s="22" t="s">
        <v>808</v>
      </c>
      <c r="B777" s="22" t="s">
        <v>723</v>
      </c>
      <c r="C777" s="22" t="s">
        <v>29</v>
      </c>
      <c r="D777" s="22">
        <v>0</v>
      </c>
      <c r="E777" s="22">
        <v>0</v>
      </c>
    </row>
    <row r="778" spans="1:5">
      <c r="A778" s="22" t="s">
        <v>809</v>
      </c>
      <c r="B778" s="22" t="s">
        <v>723</v>
      </c>
      <c r="C778" s="22" t="s">
        <v>39</v>
      </c>
      <c r="D778" s="22">
        <v>0</v>
      </c>
      <c r="E778" s="22">
        <v>0</v>
      </c>
    </row>
    <row r="779" spans="1:5">
      <c r="A779" s="22" t="s">
        <v>810</v>
      </c>
      <c r="B779" s="22" t="s">
        <v>723</v>
      </c>
      <c r="C779" s="22" t="s">
        <v>29</v>
      </c>
      <c r="D779" s="22">
        <v>0</v>
      </c>
      <c r="E779" s="22">
        <v>0</v>
      </c>
    </row>
    <row r="780" spans="1:5">
      <c r="A780" s="22" t="s">
        <v>811</v>
      </c>
      <c r="B780" s="22" t="s">
        <v>723</v>
      </c>
      <c r="C780" s="22" t="s">
        <v>25</v>
      </c>
      <c r="D780" s="22">
        <v>0</v>
      </c>
      <c r="E780" s="22">
        <v>0</v>
      </c>
    </row>
    <row r="781" spans="1:5">
      <c r="A781" s="22" t="s">
        <v>812</v>
      </c>
      <c r="B781" s="22" t="s">
        <v>723</v>
      </c>
      <c r="C781" s="22" t="s">
        <v>39</v>
      </c>
      <c r="D781" s="22">
        <v>0</v>
      </c>
      <c r="E781" s="22">
        <v>0</v>
      </c>
    </row>
    <row r="782" spans="1:5">
      <c r="A782" s="22" t="s">
        <v>813</v>
      </c>
      <c r="B782" s="22" t="s">
        <v>723</v>
      </c>
      <c r="C782" s="22" t="s">
        <v>29</v>
      </c>
      <c r="D782" s="22">
        <v>0</v>
      </c>
      <c r="E782" s="22">
        <v>0</v>
      </c>
    </row>
    <row r="783" spans="1:5">
      <c r="A783" s="22" t="s">
        <v>814</v>
      </c>
      <c r="B783" s="22" t="s">
        <v>723</v>
      </c>
      <c r="C783" s="22" t="s">
        <v>25</v>
      </c>
      <c r="D783" s="22">
        <v>0</v>
      </c>
      <c r="E783" s="22">
        <v>0</v>
      </c>
    </row>
    <row r="784" spans="1:5">
      <c r="A784" s="22" t="s">
        <v>815</v>
      </c>
      <c r="B784" s="22" t="s">
        <v>723</v>
      </c>
      <c r="C784" s="22" t="s">
        <v>25</v>
      </c>
      <c r="D784" s="22">
        <v>0</v>
      </c>
      <c r="E784" s="22">
        <v>0</v>
      </c>
    </row>
    <row r="785" spans="1:5">
      <c r="A785" s="22" t="s">
        <v>816</v>
      </c>
      <c r="B785" s="22" t="s">
        <v>723</v>
      </c>
      <c r="C785" s="22" t="s">
        <v>39</v>
      </c>
      <c r="D785" s="22">
        <v>0</v>
      </c>
      <c r="E785" s="22">
        <v>0</v>
      </c>
    </row>
    <row r="786" spans="1:5">
      <c r="A786" s="22" t="s">
        <v>817</v>
      </c>
      <c r="B786" s="22" t="s">
        <v>723</v>
      </c>
      <c r="C786" s="22" t="s">
        <v>20</v>
      </c>
      <c r="D786" s="22">
        <v>0</v>
      </c>
      <c r="E786" s="22">
        <v>0</v>
      </c>
    </row>
    <row r="787" spans="1:5">
      <c r="A787" s="22" t="s">
        <v>818</v>
      </c>
      <c r="B787" s="22" t="s">
        <v>723</v>
      </c>
      <c r="C787" s="22" t="s">
        <v>25</v>
      </c>
      <c r="D787" s="22">
        <v>0</v>
      </c>
      <c r="E787" s="22">
        <v>0</v>
      </c>
    </row>
    <row r="788" spans="1:5">
      <c r="A788" s="22" t="s">
        <v>819</v>
      </c>
      <c r="B788" s="22" t="s">
        <v>723</v>
      </c>
      <c r="C788" s="22" t="s">
        <v>25</v>
      </c>
      <c r="D788" s="22">
        <v>0</v>
      </c>
      <c r="E788" s="22">
        <v>0</v>
      </c>
    </row>
    <row r="789" spans="1:5">
      <c r="A789" s="22" t="s">
        <v>820</v>
      </c>
      <c r="B789" s="22" t="s">
        <v>723</v>
      </c>
      <c r="C789" s="22" t="s">
        <v>25</v>
      </c>
      <c r="D789" s="22">
        <v>0</v>
      </c>
      <c r="E789" s="22">
        <v>0</v>
      </c>
    </row>
    <row r="790" spans="1:5">
      <c r="A790" s="22" t="s">
        <v>821</v>
      </c>
      <c r="B790" s="22" t="s">
        <v>723</v>
      </c>
      <c r="C790" s="22" t="s">
        <v>25</v>
      </c>
      <c r="D790" s="22">
        <v>0</v>
      </c>
      <c r="E790" s="22">
        <v>0</v>
      </c>
    </row>
    <row r="791" spans="1:5">
      <c r="A791" s="22" t="s">
        <v>822</v>
      </c>
      <c r="B791" s="22" t="s">
        <v>723</v>
      </c>
      <c r="C791" s="22" t="s">
        <v>25</v>
      </c>
      <c r="D791" s="22">
        <v>0</v>
      </c>
      <c r="E791" s="22">
        <v>0</v>
      </c>
    </row>
    <row r="792" spans="1:5">
      <c r="A792" s="22" t="s">
        <v>823</v>
      </c>
      <c r="B792" s="22" t="s">
        <v>723</v>
      </c>
      <c r="C792" s="22" t="s">
        <v>41</v>
      </c>
      <c r="D792" s="22">
        <v>0</v>
      </c>
      <c r="E792" s="22">
        <v>0</v>
      </c>
    </row>
    <row r="793" spans="1:5">
      <c r="A793" s="22" t="s">
        <v>824</v>
      </c>
      <c r="B793" s="22" t="s">
        <v>723</v>
      </c>
      <c r="C793" s="22" t="s">
        <v>41</v>
      </c>
      <c r="D793" s="22">
        <v>0</v>
      </c>
      <c r="E793" s="22">
        <v>0</v>
      </c>
    </row>
    <row r="794" spans="1:5">
      <c r="A794" s="22" t="s">
        <v>825</v>
      </c>
      <c r="B794" s="22" t="s">
        <v>723</v>
      </c>
      <c r="C794" s="22" t="s">
        <v>25</v>
      </c>
      <c r="D794" s="22">
        <v>0</v>
      </c>
      <c r="E794" s="22">
        <v>0</v>
      </c>
    </row>
    <row r="795" spans="1:5">
      <c r="A795" s="22" t="s">
        <v>826</v>
      </c>
      <c r="B795" s="22" t="s">
        <v>723</v>
      </c>
      <c r="C795" s="22" t="s">
        <v>29</v>
      </c>
      <c r="D795" s="22">
        <v>0</v>
      </c>
      <c r="E795" s="22">
        <v>0</v>
      </c>
    </row>
    <row r="796" spans="1:5">
      <c r="A796" s="22" t="s">
        <v>827</v>
      </c>
      <c r="B796" s="22" t="s">
        <v>723</v>
      </c>
      <c r="C796" s="22" t="s">
        <v>25</v>
      </c>
      <c r="D796" s="22">
        <v>0</v>
      </c>
      <c r="E796" s="22">
        <v>0</v>
      </c>
    </row>
    <row r="797" spans="1:5">
      <c r="A797" s="22" t="s">
        <v>828</v>
      </c>
      <c r="B797" s="22" t="s">
        <v>723</v>
      </c>
      <c r="C797" s="22" t="s">
        <v>25</v>
      </c>
      <c r="D797" s="22">
        <v>0</v>
      </c>
      <c r="E797" s="22">
        <v>0</v>
      </c>
    </row>
    <row r="798" spans="1:5">
      <c r="A798" s="22" t="s">
        <v>829</v>
      </c>
      <c r="B798" s="22" t="s">
        <v>723</v>
      </c>
      <c r="C798" s="22" t="s">
        <v>41</v>
      </c>
      <c r="D798" s="22">
        <v>0</v>
      </c>
      <c r="E798" s="22">
        <v>0</v>
      </c>
    </row>
    <row r="799" spans="1:5">
      <c r="A799" s="22" t="s">
        <v>830</v>
      </c>
      <c r="B799" s="22" t="s">
        <v>723</v>
      </c>
      <c r="C799" s="22" t="s">
        <v>29</v>
      </c>
      <c r="D799" s="22">
        <v>0</v>
      </c>
      <c r="E799" s="22">
        <v>0</v>
      </c>
    </row>
    <row r="800" spans="1:5">
      <c r="A800" s="22" t="s">
        <v>831</v>
      </c>
      <c r="B800" s="22" t="s">
        <v>723</v>
      </c>
      <c r="C800" s="22" t="s">
        <v>29</v>
      </c>
      <c r="D800" s="22">
        <v>0</v>
      </c>
      <c r="E800" s="22">
        <v>0</v>
      </c>
    </row>
    <row r="801" spans="1:5">
      <c r="A801" s="22" t="s">
        <v>832</v>
      </c>
      <c r="B801" s="22" t="s">
        <v>723</v>
      </c>
      <c r="C801" s="22" t="s">
        <v>39</v>
      </c>
      <c r="D801" s="22">
        <v>0</v>
      </c>
      <c r="E801" s="22">
        <v>0</v>
      </c>
    </row>
    <row r="802" spans="1:5">
      <c r="A802" s="22" t="s">
        <v>833</v>
      </c>
      <c r="B802" s="22" t="s">
        <v>723</v>
      </c>
      <c r="C802" s="22" t="s">
        <v>41</v>
      </c>
      <c r="D802" s="22">
        <v>0</v>
      </c>
      <c r="E802" s="22">
        <v>0</v>
      </c>
    </row>
    <row r="803" spans="1:5">
      <c r="A803" s="22" t="s">
        <v>834</v>
      </c>
      <c r="B803" s="22" t="s">
        <v>723</v>
      </c>
      <c r="C803" s="22" t="s">
        <v>29</v>
      </c>
      <c r="D803" s="22">
        <v>0</v>
      </c>
      <c r="E803" s="22">
        <v>0</v>
      </c>
    </row>
    <row r="804" spans="1:5">
      <c r="A804" s="22" t="s">
        <v>835</v>
      </c>
      <c r="B804" s="22" t="s">
        <v>723</v>
      </c>
      <c r="C804" s="22" t="s">
        <v>41</v>
      </c>
      <c r="D804" s="22">
        <v>0</v>
      </c>
      <c r="E804" s="22">
        <v>0</v>
      </c>
    </row>
    <row r="805" spans="1:5">
      <c r="A805" s="22" t="s">
        <v>836</v>
      </c>
      <c r="B805" s="22" t="s">
        <v>723</v>
      </c>
      <c r="C805" s="22" t="s">
        <v>41</v>
      </c>
      <c r="D805" s="22">
        <v>0</v>
      </c>
      <c r="E805" s="22">
        <v>0</v>
      </c>
    </row>
    <row r="806" spans="1:5">
      <c r="A806" s="22" t="s">
        <v>837</v>
      </c>
      <c r="B806" s="22" t="s">
        <v>723</v>
      </c>
      <c r="C806" s="22" t="s">
        <v>25</v>
      </c>
      <c r="D806" s="22">
        <v>1</v>
      </c>
      <c r="E806" s="22">
        <v>402.88</v>
      </c>
    </row>
    <row r="807" spans="1:5">
      <c r="A807" s="22" t="s">
        <v>838</v>
      </c>
      <c r="B807" s="22" t="s">
        <v>723</v>
      </c>
      <c r="C807" s="22" t="s">
        <v>25</v>
      </c>
      <c r="D807" s="22">
        <v>0</v>
      </c>
      <c r="E807" s="22">
        <v>0</v>
      </c>
    </row>
    <row r="808" spans="1:5">
      <c r="A808" s="22" t="s">
        <v>839</v>
      </c>
      <c r="B808" s="22" t="s">
        <v>723</v>
      </c>
      <c r="C808" s="22" t="s">
        <v>29</v>
      </c>
      <c r="D808" s="22">
        <v>0</v>
      </c>
      <c r="E808" s="22">
        <v>0</v>
      </c>
    </row>
    <row r="809" spans="1:5">
      <c r="A809" s="22" t="s">
        <v>840</v>
      </c>
      <c r="B809" s="22" t="s">
        <v>723</v>
      </c>
      <c r="C809" s="22" t="s">
        <v>29</v>
      </c>
      <c r="D809" s="22">
        <v>0</v>
      </c>
      <c r="E809" s="22">
        <v>0</v>
      </c>
    </row>
    <row r="810" spans="1:5">
      <c r="A810" s="22" t="s">
        <v>841</v>
      </c>
      <c r="B810" s="22" t="s">
        <v>723</v>
      </c>
      <c r="C810" s="22" t="s">
        <v>29</v>
      </c>
      <c r="D810" s="22">
        <v>0</v>
      </c>
      <c r="E810" s="22">
        <v>0</v>
      </c>
    </row>
    <row r="811" spans="1:5">
      <c r="A811" s="22" t="s">
        <v>842</v>
      </c>
      <c r="B811" s="22" t="s">
        <v>723</v>
      </c>
      <c r="C811" s="22" t="s">
        <v>41</v>
      </c>
      <c r="D811" s="22">
        <v>0</v>
      </c>
      <c r="E811" s="22">
        <v>0</v>
      </c>
    </row>
    <row r="812" spans="1:5">
      <c r="A812" s="22" t="s">
        <v>843</v>
      </c>
      <c r="B812" s="22" t="s">
        <v>723</v>
      </c>
      <c r="C812" s="22" t="s">
        <v>41</v>
      </c>
      <c r="D812" s="22">
        <v>0</v>
      </c>
      <c r="E812" s="22">
        <v>0</v>
      </c>
    </row>
    <row r="813" spans="1:5">
      <c r="A813" s="22" t="s">
        <v>844</v>
      </c>
      <c r="B813" s="22" t="s">
        <v>723</v>
      </c>
      <c r="C813" s="22" t="s">
        <v>29</v>
      </c>
      <c r="D813" s="22">
        <v>0</v>
      </c>
      <c r="E813" s="22">
        <v>0</v>
      </c>
    </row>
    <row r="814" spans="1:5">
      <c r="A814" s="22" t="s">
        <v>845</v>
      </c>
      <c r="B814" s="22" t="s">
        <v>723</v>
      </c>
      <c r="C814" s="22" t="s">
        <v>25</v>
      </c>
      <c r="D814" s="22">
        <v>0</v>
      </c>
      <c r="E814" s="22">
        <v>0</v>
      </c>
    </row>
    <row r="815" spans="1:5">
      <c r="A815" s="22" t="s">
        <v>846</v>
      </c>
      <c r="B815" s="22" t="s">
        <v>723</v>
      </c>
      <c r="C815" s="22" t="s">
        <v>29</v>
      </c>
      <c r="D815" s="22">
        <v>1</v>
      </c>
      <c r="E815" s="22">
        <v>277.69</v>
      </c>
    </row>
    <row r="816" spans="1:5">
      <c r="A816" s="22" t="s">
        <v>847</v>
      </c>
      <c r="B816" s="22" t="s">
        <v>723</v>
      </c>
      <c r="C816" s="22" t="s">
        <v>25</v>
      </c>
      <c r="D816" s="22">
        <v>0</v>
      </c>
      <c r="E816" s="22">
        <v>0</v>
      </c>
    </row>
    <row r="817" spans="1:5">
      <c r="A817" s="22" t="s">
        <v>848</v>
      </c>
      <c r="B817" s="22" t="s">
        <v>723</v>
      </c>
      <c r="C817" s="22" t="s">
        <v>39</v>
      </c>
      <c r="D817" s="22">
        <v>0</v>
      </c>
      <c r="E817" s="22">
        <v>0</v>
      </c>
    </row>
    <row r="818" spans="1:5">
      <c r="A818" s="22" t="s">
        <v>849</v>
      </c>
      <c r="B818" s="22" t="s">
        <v>723</v>
      </c>
      <c r="C818" s="22" t="s">
        <v>20</v>
      </c>
      <c r="D818" s="22">
        <v>0</v>
      </c>
      <c r="E818" s="22">
        <v>0</v>
      </c>
    </row>
    <row r="819" spans="1:5">
      <c r="A819" s="22" t="s">
        <v>850</v>
      </c>
      <c r="B819" s="22" t="s">
        <v>723</v>
      </c>
      <c r="C819" s="22" t="s">
        <v>29</v>
      </c>
      <c r="D819" s="22">
        <v>0</v>
      </c>
      <c r="E819" s="22">
        <v>0</v>
      </c>
    </row>
    <row r="820" spans="1:5">
      <c r="A820" s="22" t="s">
        <v>851</v>
      </c>
      <c r="B820" s="22" t="s">
        <v>723</v>
      </c>
      <c r="C820" s="22" t="s">
        <v>25</v>
      </c>
      <c r="D820" s="22">
        <v>1</v>
      </c>
      <c r="E820" s="22">
        <v>460.83</v>
      </c>
    </row>
    <row r="821" spans="1:5">
      <c r="A821" s="22" t="s">
        <v>852</v>
      </c>
      <c r="B821" s="22" t="s">
        <v>723</v>
      </c>
      <c r="C821" s="22" t="s">
        <v>25</v>
      </c>
      <c r="D821" s="22">
        <v>0</v>
      </c>
      <c r="E821" s="22">
        <v>0</v>
      </c>
    </row>
    <row r="822" spans="1:5">
      <c r="A822" s="22" t="s">
        <v>853</v>
      </c>
      <c r="B822" s="22" t="s">
        <v>723</v>
      </c>
      <c r="C822" s="22" t="s">
        <v>29</v>
      </c>
      <c r="D822" s="22">
        <v>0</v>
      </c>
      <c r="E822" s="22">
        <v>0</v>
      </c>
    </row>
    <row r="823" spans="1:5">
      <c r="A823" s="22" t="s">
        <v>854</v>
      </c>
      <c r="B823" s="22" t="s">
        <v>723</v>
      </c>
      <c r="C823" s="22" t="s">
        <v>41</v>
      </c>
      <c r="D823" s="22">
        <v>0</v>
      </c>
      <c r="E823" s="22">
        <v>0</v>
      </c>
    </row>
    <row r="824" spans="1:5">
      <c r="A824" s="22" t="s">
        <v>855</v>
      </c>
      <c r="B824" s="22" t="s">
        <v>723</v>
      </c>
      <c r="C824" s="22" t="s">
        <v>41</v>
      </c>
      <c r="D824" s="22">
        <v>0</v>
      </c>
      <c r="E824" s="22">
        <v>0</v>
      </c>
    </row>
    <row r="825" spans="1:5">
      <c r="A825" s="22" t="s">
        <v>856</v>
      </c>
      <c r="B825" s="22" t="s">
        <v>723</v>
      </c>
      <c r="C825" s="22" t="s">
        <v>25</v>
      </c>
      <c r="D825" s="22">
        <v>0</v>
      </c>
      <c r="E825" s="22">
        <v>0</v>
      </c>
    </row>
    <row r="826" spans="1:5">
      <c r="A826" s="22" t="s">
        <v>857</v>
      </c>
      <c r="B826" s="22" t="s">
        <v>723</v>
      </c>
      <c r="C826" s="22" t="s">
        <v>39</v>
      </c>
      <c r="D826" s="22">
        <v>1</v>
      </c>
      <c r="E826" s="22">
        <v>782.23</v>
      </c>
    </row>
    <row r="827" spans="1:5">
      <c r="A827" s="22" t="s">
        <v>858</v>
      </c>
      <c r="B827" s="22" t="s">
        <v>723</v>
      </c>
      <c r="C827" s="22" t="s">
        <v>39</v>
      </c>
      <c r="D827" s="22">
        <v>0</v>
      </c>
      <c r="E827" s="22">
        <v>0</v>
      </c>
    </row>
    <row r="828" spans="1:5">
      <c r="A828" s="22" t="s">
        <v>859</v>
      </c>
      <c r="B828" s="22" t="s">
        <v>723</v>
      </c>
      <c r="C828" s="22" t="s">
        <v>20</v>
      </c>
      <c r="D828" s="22">
        <v>0</v>
      </c>
      <c r="E828" s="22">
        <v>0</v>
      </c>
    </row>
    <row r="829" spans="1:5">
      <c r="A829" s="22" t="s">
        <v>860</v>
      </c>
      <c r="B829" s="22" t="s">
        <v>723</v>
      </c>
      <c r="C829" s="22" t="s">
        <v>25</v>
      </c>
      <c r="D829" s="22">
        <v>0</v>
      </c>
      <c r="E829" s="22">
        <v>0</v>
      </c>
    </row>
    <row r="830" spans="1:5">
      <c r="A830" s="22" t="s">
        <v>861</v>
      </c>
      <c r="B830" s="22" t="s">
        <v>723</v>
      </c>
      <c r="C830" s="22" t="s">
        <v>29</v>
      </c>
      <c r="D830" s="22">
        <v>0</v>
      </c>
      <c r="E830" s="22">
        <v>0</v>
      </c>
    </row>
    <row r="831" spans="1:5">
      <c r="A831" s="22" t="s">
        <v>862</v>
      </c>
      <c r="B831" s="22" t="s">
        <v>723</v>
      </c>
      <c r="C831" s="22" t="s">
        <v>25</v>
      </c>
      <c r="D831" s="22">
        <v>1</v>
      </c>
      <c r="E831" s="22">
        <v>1171.99</v>
      </c>
    </row>
    <row r="832" spans="1:5">
      <c r="A832" s="22" t="s">
        <v>863</v>
      </c>
      <c r="B832" s="22" t="s">
        <v>723</v>
      </c>
      <c r="C832" s="22" t="s">
        <v>25</v>
      </c>
      <c r="D832" s="22">
        <v>0</v>
      </c>
      <c r="E832" s="22">
        <v>0</v>
      </c>
    </row>
    <row r="833" spans="1:5">
      <c r="A833" s="22" t="s">
        <v>864</v>
      </c>
      <c r="B833" s="22" t="s">
        <v>723</v>
      </c>
      <c r="C833" s="22" t="s">
        <v>25</v>
      </c>
      <c r="D833" s="22">
        <v>0</v>
      </c>
      <c r="E833" s="22">
        <v>0</v>
      </c>
    </row>
    <row r="834" spans="1:5">
      <c r="A834" s="22" t="s">
        <v>865</v>
      </c>
      <c r="B834" s="22" t="s">
        <v>723</v>
      </c>
      <c r="C834" s="22" t="s">
        <v>25</v>
      </c>
      <c r="D834" s="22">
        <v>1</v>
      </c>
      <c r="E834" s="22">
        <v>1010.4</v>
      </c>
    </row>
    <row r="835" spans="1:5">
      <c r="A835" s="22" t="s">
        <v>866</v>
      </c>
      <c r="B835" s="22" t="s">
        <v>723</v>
      </c>
      <c r="C835" s="22" t="s">
        <v>25</v>
      </c>
      <c r="D835" s="22">
        <v>0</v>
      </c>
      <c r="E835" s="22">
        <v>0</v>
      </c>
    </row>
    <row r="836" spans="1:5">
      <c r="A836" s="22" t="s">
        <v>867</v>
      </c>
      <c r="B836" s="22" t="s">
        <v>723</v>
      </c>
      <c r="C836" s="22" t="s">
        <v>29</v>
      </c>
      <c r="D836" s="22">
        <v>0</v>
      </c>
      <c r="E836" s="22">
        <v>0</v>
      </c>
    </row>
    <row r="837" spans="1:5">
      <c r="A837" s="22" t="s">
        <v>868</v>
      </c>
      <c r="B837" s="22" t="s">
        <v>723</v>
      </c>
      <c r="C837" s="22" t="s">
        <v>41</v>
      </c>
      <c r="D837" s="22">
        <v>1</v>
      </c>
      <c r="E837" s="22">
        <v>431.27</v>
      </c>
    </row>
    <row r="838" spans="1:5">
      <c r="A838" s="22" t="s">
        <v>869</v>
      </c>
      <c r="B838" s="22" t="s">
        <v>723</v>
      </c>
      <c r="C838" s="22" t="s">
        <v>39</v>
      </c>
      <c r="D838" s="22">
        <v>1</v>
      </c>
      <c r="E838" s="22">
        <v>428.8</v>
      </c>
    </row>
    <row r="839" spans="1:5">
      <c r="A839" s="22" t="s">
        <v>870</v>
      </c>
      <c r="B839" s="22" t="s">
        <v>723</v>
      </c>
      <c r="C839" s="22" t="s">
        <v>25</v>
      </c>
      <c r="D839" s="22">
        <v>0</v>
      </c>
      <c r="E839" s="22">
        <v>0</v>
      </c>
    </row>
    <row r="840" spans="1:5">
      <c r="A840" s="22" t="s">
        <v>871</v>
      </c>
      <c r="B840" s="22" t="s">
        <v>723</v>
      </c>
      <c r="C840" s="22" t="s">
        <v>25</v>
      </c>
      <c r="D840" s="22">
        <v>0</v>
      </c>
      <c r="E840" s="22">
        <v>0</v>
      </c>
    </row>
    <row r="841" spans="1:5">
      <c r="A841" s="22" t="s">
        <v>872</v>
      </c>
      <c r="B841" s="22" t="s">
        <v>723</v>
      </c>
      <c r="C841" s="22" t="s">
        <v>25</v>
      </c>
      <c r="D841" s="22">
        <v>0</v>
      </c>
      <c r="E841" s="22">
        <v>0</v>
      </c>
    </row>
    <row r="842" spans="1:5">
      <c r="A842" s="22" t="s">
        <v>873</v>
      </c>
      <c r="B842" s="22" t="s">
        <v>723</v>
      </c>
      <c r="C842" s="22" t="s">
        <v>29</v>
      </c>
      <c r="D842" s="22">
        <v>0</v>
      </c>
      <c r="E842" s="22">
        <v>0</v>
      </c>
    </row>
    <row r="843" spans="1:5">
      <c r="A843" s="22" t="s">
        <v>874</v>
      </c>
      <c r="B843" s="22" t="s">
        <v>723</v>
      </c>
      <c r="C843" s="22" t="s">
        <v>25</v>
      </c>
      <c r="D843" s="22">
        <v>0</v>
      </c>
      <c r="E843" s="22">
        <v>0</v>
      </c>
    </row>
    <row r="844" spans="1:5">
      <c r="A844" s="22" t="s">
        <v>875</v>
      </c>
      <c r="B844" s="22" t="s">
        <v>723</v>
      </c>
      <c r="C844" s="22" t="s">
        <v>25</v>
      </c>
      <c r="D844" s="22">
        <v>0</v>
      </c>
      <c r="E844" s="22">
        <v>0</v>
      </c>
    </row>
    <row r="845" spans="1:5">
      <c r="A845" s="22" t="s">
        <v>876</v>
      </c>
      <c r="B845" s="22" t="s">
        <v>723</v>
      </c>
      <c r="C845" s="22" t="s">
        <v>29</v>
      </c>
      <c r="D845" s="22">
        <v>0</v>
      </c>
      <c r="E845" s="22">
        <v>0</v>
      </c>
    </row>
    <row r="846" spans="1:5">
      <c r="A846" s="22" t="s">
        <v>877</v>
      </c>
      <c r="B846" s="22" t="s">
        <v>723</v>
      </c>
      <c r="C846" s="22" t="s">
        <v>25</v>
      </c>
      <c r="D846" s="22">
        <v>0</v>
      </c>
      <c r="E846" s="22">
        <v>0</v>
      </c>
    </row>
    <row r="847" spans="1:5">
      <c r="A847" s="22" t="s">
        <v>878</v>
      </c>
      <c r="B847" s="22" t="s">
        <v>723</v>
      </c>
      <c r="C847" s="22" t="s">
        <v>29</v>
      </c>
      <c r="D847" s="22">
        <v>0</v>
      </c>
      <c r="E847" s="22">
        <v>0</v>
      </c>
    </row>
    <row r="848" spans="1:5">
      <c r="A848" s="22" t="s">
        <v>879</v>
      </c>
      <c r="B848" s="22" t="s">
        <v>723</v>
      </c>
      <c r="C848" s="22" t="s">
        <v>25</v>
      </c>
      <c r="D848" s="22">
        <v>0</v>
      </c>
      <c r="E848" s="22">
        <v>0</v>
      </c>
    </row>
    <row r="849" spans="1:5">
      <c r="A849" s="22" t="s">
        <v>880</v>
      </c>
      <c r="B849" s="22" t="s">
        <v>723</v>
      </c>
      <c r="C849" s="22" t="s">
        <v>29</v>
      </c>
      <c r="D849" s="22">
        <v>0</v>
      </c>
      <c r="E849" s="22">
        <v>0</v>
      </c>
    </row>
    <row r="850" spans="1:5">
      <c r="A850" s="22" t="s">
        <v>881</v>
      </c>
      <c r="B850" s="22" t="s">
        <v>723</v>
      </c>
      <c r="C850" s="22" t="s">
        <v>41</v>
      </c>
      <c r="D850" s="22">
        <v>0</v>
      </c>
      <c r="E850" s="22">
        <v>0</v>
      </c>
    </row>
    <row r="851" spans="1:5">
      <c r="A851" s="22" t="s">
        <v>882</v>
      </c>
      <c r="B851" s="22" t="s">
        <v>723</v>
      </c>
      <c r="C851" s="22" t="s">
        <v>25</v>
      </c>
      <c r="D851" s="22">
        <v>0</v>
      </c>
      <c r="E851" s="22">
        <v>0</v>
      </c>
    </row>
    <row r="852" spans="1:5">
      <c r="A852" s="22" t="s">
        <v>883</v>
      </c>
      <c r="B852" s="22" t="s">
        <v>723</v>
      </c>
      <c r="C852" s="22" t="s">
        <v>20</v>
      </c>
      <c r="D852" s="22">
        <v>0</v>
      </c>
      <c r="E852" s="22">
        <v>0</v>
      </c>
    </row>
    <row r="853" spans="1:5">
      <c r="A853" s="22" t="s">
        <v>884</v>
      </c>
      <c r="B853" s="22" t="s">
        <v>723</v>
      </c>
      <c r="C853" s="22" t="s">
        <v>25</v>
      </c>
      <c r="D853" s="22">
        <v>0</v>
      </c>
      <c r="E853" s="22">
        <v>0</v>
      </c>
    </row>
    <row r="854" spans="1:5">
      <c r="A854" s="22" t="s">
        <v>885</v>
      </c>
      <c r="B854" s="22" t="s">
        <v>723</v>
      </c>
      <c r="C854" s="22" t="s">
        <v>39</v>
      </c>
      <c r="D854" s="22">
        <v>0</v>
      </c>
      <c r="E854" s="22">
        <v>0</v>
      </c>
    </row>
    <row r="855" spans="1:5">
      <c r="A855" s="22" t="s">
        <v>886</v>
      </c>
      <c r="B855" s="22" t="s">
        <v>723</v>
      </c>
      <c r="C855" s="22" t="s">
        <v>25</v>
      </c>
      <c r="D855" s="22">
        <v>0</v>
      </c>
      <c r="E855" s="22">
        <v>0</v>
      </c>
    </row>
    <row r="856" spans="1:5">
      <c r="A856" s="22" t="s">
        <v>887</v>
      </c>
      <c r="B856" s="22" t="s">
        <v>723</v>
      </c>
      <c r="C856" s="22" t="s">
        <v>29</v>
      </c>
      <c r="D856" s="22">
        <v>1</v>
      </c>
      <c r="E856" s="22">
        <v>398.33</v>
      </c>
    </row>
    <row r="857" spans="1:5">
      <c r="A857" s="22" t="s">
        <v>888</v>
      </c>
      <c r="B857" s="22" t="s">
        <v>723</v>
      </c>
      <c r="C857" s="22" t="s">
        <v>25</v>
      </c>
      <c r="D857" s="22">
        <v>0</v>
      </c>
      <c r="E857" s="22">
        <v>0</v>
      </c>
    </row>
    <row r="858" spans="1:5">
      <c r="A858" s="22" t="s">
        <v>889</v>
      </c>
      <c r="B858" s="22" t="s">
        <v>723</v>
      </c>
      <c r="C858" s="22" t="s">
        <v>29</v>
      </c>
      <c r="D858" s="22">
        <v>0</v>
      </c>
      <c r="E858" s="22">
        <v>0</v>
      </c>
    </row>
    <row r="859" spans="1:5">
      <c r="A859" s="22" t="s">
        <v>890</v>
      </c>
      <c r="B859" s="22" t="s">
        <v>723</v>
      </c>
      <c r="C859" s="22" t="s">
        <v>41</v>
      </c>
      <c r="D859" s="22">
        <v>0</v>
      </c>
      <c r="E859" s="22">
        <v>0</v>
      </c>
    </row>
    <row r="860" spans="1:5">
      <c r="A860" s="22" t="s">
        <v>891</v>
      </c>
      <c r="B860" s="22" t="s">
        <v>723</v>
      </c>
      <c r="C860" s="22" t="s">
        <v>20</v>
      </c>
      <c r="D860" s="22">
        <v>1</v>
      </c>
      <c r="E860" s="22">
        <v>1117.54</v>
      </c>
    </row>
    <row r="861" spans="1:5">
      <c r="A861" s="22" t="s">
        <v>892</v>
      </c>
      <c r="B861" s="22" t="s">
        <v>723</v>
      </c>
      <c r="C861" s="22" t="s">
        <v>25</v>
      </c>
      <c r="D861" s="22">
        <v>0</v>
      </c>
      <c r="E861" s="22">
        <v>0</v>
      </c>
    </row>
    <row r="862" spans="1:5">
      <c r="A862" s="22" t="s">
        <v>893</v>
      </c>
      <c r="B862" s="22" t="s">
        <v>723</v>
      </c>
      <c r="C862" s="22" t="s">
        <v>29</v>
      </c>
      <c r="D862" s="22">
        <v>0</v>
      </c>
      <c r="E862" s="22">
        <v>0</v>
      </c>
    </row>
    <row r="863" spans="1:5">
      <c r="A863" s="22" t="s">
        <v>894</v>
      </c>
      <c r="B863" s="22" t="s">
        <v>723</v>
      </c>
      <c r="C863" s="22" t="s">
        <v>20</v>
      </c>
      <c r="D863" s="22">
        <v>0</v>
      </c>
      <c r="E863" s="22">
        <v>0</v>
      </c>
    </row>
    <row r="864" spans="1:5">
      <c r="A864" s="22" t="s">
        <v>895</v>
      </c>
      <c r="B864" s="22" t="s">
        <v>723</v>
      </c>
      <c r="C864" s="22" t="s">
        <v>39</v>
      </c>
      <c r="D864" s="22">
        <v>0</v>
      </c>
      <c r="E864" s="22">
        <v>0</v>
      </c>
    </row>
    <row r="865" spans="1:5">
      <c r="A865" s="22" t="s">
        <v>896</v>
      </c>
      <c r="B865" s="22" t="s">
        <v>723</v>
      </c>
      <c r="C865" s="22" t="s">
        <v>41</v>
      </c>
      <c r="D865" s="22">
        <v>0</v>
      </c>
      <c r="E865" s="22">
        <v>0</v>
      </c>
    </row>
    <row r="866" spans="1:5">
      <c r="A866" s="22" t="s">
        <v>897</v>
      </c>
      <c r="B866" s="22" t="s">
        <v>723</v>
      </c>
      <c r="C866" s="22" t="s">
        <v>41</v>
      </c>
      <c r="D866" s="22">
        <v>0</v>
      </c>
      <c r="E866" s="22">
        <v>0</v>
      </c>
    </row>
    <row r="867" spans="1:5">
      <c r="A867" s="22" t="s">
        <v>898</v>
      </c>
      <c r="B867" s="22" t="s">
        <v>723</v>
      </c>
      <c r="C867" s="22" t="s">
        <v>29</v>
      </c>
      <c r="D867" s="22">
        <v>0</v>
      </c>
      <c r="E867" s="22">
        <v>0</v>
      </c>
    </row>
    <row r="868" spans="1:5">
      <c r="A868" s="22" t="s">
        <v>899</v>
      </c>
      <c r="B868" s="22" t="s">
        <v>723</v>
      </c>
      <c r="C868" s="22" t="s">
        <v>39</v>
      </c>
      <c r="D868" s="22">
        <v>0</v>
      </c>
      <c r="E868" s="22">
        <v>0</v>
      </c>
    </row>
    <row r="869" spans="1:5">
      <c r="A869" s="22" t="s">
        <v>900</v>
      </c>
      <c r="B869" s="22" t="s">
        <v>723</v>
      </c>
      <c r="C869" s="22" t="s">
        <v>41</v>
      </c>
      <c r="D869" s="22">
        <v>0</v>
      </c>
      <c r="E869" s="22">
        <v>0</v>
      </c>
    </row>
    <row r="870" spans="1:5">
      <c r="A870" s="22" t="s">
        <v>901</v>
      </c>
      <c r="B870" s="22" t="s">
        <v>723</v>
      </c>
      <c r="C870" s="22" t="s">
        <v>25</v>
      </c>
      <c r="D870" s="22">
        <v>0</v>
      </c>
      <c r="E870" s="22">
        <v>0</v>
      </c>
    </row>
    <row r="871" spans="1:5">
      <c r="A871" s="22" t="s">
        <v>902</v>
      </c>
      <c r="B871" s="22" t="s">
        <v>723</v>
      </c>
      <c r="C871" s="22" t="s">
        <v>25</v>
      </c>
      <c r="D871" s="22">
        <v>0</v>
      </c>
      <c r="E871" s="22">
        <v>0</v>
      </c>
    </row>
    <row r="872" spans="1:5">
      <c r="A872" s="22" t="s">
        <v>903</v>
      </c>
      <c r="B872" s="22" t="s">
        <v>723</v>
      </c>
      <c r="C872" s="22" t="s">
        <v>25</v>
      </c>
      <c r="D872" s="22">
        <v>0</v>
      </c>
      <c r="E872" s="22">
        <v>0</v>
      </c>
    </row>
    <row r="873" spans="1:5">
      <c r="A873" s="22" t="s">
        <v>904</v>
      </c>
      <c r="B873" s="22" t="s">
        <v>723</v>
      </c>
      <c r="C873" s="22" t="s">
        <v>25</v>
      </c>
      <c r="D873" s="22">
        <v>0</v>
      </c>
      <c r="E873" s="22">
        <v>0</v>
      </c>
    </row>
    <row r="874" spans="1:5">
      <c r="A874" s="22" t="s">
        <v>905</v>
      </c>
      <c r="B874" s="22" t="s">
        <v>723</v>
      </c>
      <c r="C874" s="22" t="s">
        <v>41</v>
      </c>
      <c r="D874" s="22">
        <v>0</v>
      </c>
      <c r="E874" s="22">
        <v>0</v>
      </c>
    </row>
    <row r="875" spans="1:5">
      <c r="A875" s="22" t="s">
        <v>906</v>
      </c>
      <c r="B875" s="22" t="s">
        <v>723</v>
      </c>
      <c r="C875" s="22" t="s">
        <v>41</v>
      </c>
      <c r="D875" s="22">
        <v>0</v>
      </c>
      <c r="E875" s="22">
        <v>0</v>
      </c>
    </row>
    <row r="876" spans="1:5">
      <c r="A876" s="22" t="s">
        <v>907</v>
      </c>
      <c r="B876" s="22" t="s">
        <v>723</v>
      </c>
      <c r="C876" s="22" t="s">
        <v>41</v>
      </c>
      <c r="D876" s="22">
        <v>0</v>
      </c>
      <c r="E876" s="22">
        <v>0</v>
      </c>
    </row>
    <row r="877" spans="1:5">
      <c r="A877" s="22" t="s">
        <v>908</v>
      </c>
      <c r="B877" s="22" t="s">
        <v>723</v>
      </c>
      <c r="C877" s="22" t="s">
        <v>29</v>
      </c>
      <c r="D877" s="22">
        <v>0</v>
      </c>
      <c r="E877" s="22">
        <v>0</v>
      </c>
    </row>
    <row r="878" spans="1:5">
      <c r="A878" s="22" t="s">
        <v>909</v>
      </c>
      <c r="B878" s="22" t="s">
        <v>723</v>
      </c>
      <c r="C878" s="22" t="s">
        <v>25</v>
      </c>
      <c r="D878" s="22">
        <v>0</v>
      </c>
      <c r="E878" s="22">
        <v>0</v>
      </c>
    </row>
    <row r="879" spans="1:5">
      <c r="A879" s="22" t="s">
        <v>910</v>
      </c>
      <c r="B879" s="22" t="s">
        <v>723</v>
      </c>
      <c r="C879" s="22" t="s">
        <v>29</v>
      </c>
      <c r="D879" s="22">
        <v>0</v>
      </c>
      <c r="E879" s="22">
        <v>0</v>
      </c>
    </row>
    <row r="880" spans="1:5">
      <c r="A880" s="22" t="s">
        <v>911</v>
      </c>
      <c r="B880" s="22" t="s">
        <v>723</v>
      </c>
      <c r="C880" s="22" t="s">
        <v>41</v>
      </c>
      <c r="D880" s="22">
        <v>0</v>
      </c>
      <c r="E880" s="22">
        <v>0</v>
      </c>
    </row>
    <row r="881" spans="1:5">
      <c r="A881" s="22" t="s">
        <v>912</v>
      </c>
      <c r="B881" s="22" t="s">
        <v>723</v>
      </c>
      <c r="C881" s="22" t="s">
        <v>41</v>
      </c>
      <c r="D881" s="22">
        <v>0</v>
      </c>
      <c r="E881" s="22">
        <v>0</v>
      </c>
    </row>
    <row r="882" spans="1:5">
      <c r="A882" s="22" t="s">
        <v>913</v>
      </c>
      <c r="B882" s="22" t="s">
        <v>723</v>
      </c>
      <c r="C882" s="22" t="s">
        <v>41</v>
      </c>
      <c r="D882" s="22">
        <v>0</v>
      </c>
      <c r="E882" s="22">
        <v>0</v>
      </c>
    </row>
    <row r="883" spans="1:5">
      <c r="A883" s="22" t="s">
        <v>914</v>
      </c>
      <c r="B883" s="22" t="s">
        <v>723</v>
      </c>
      <c r="C883" s="22" t="s">
        <v>29</v>
      </c>
      <c r="D883" s="22">
        <v>0</v>
      </c>
      <c r="E883" s="22">
        <v>0</v>
      </c>
    </row>
    <row r="884" spans="1:5">
      <c r="A884" s="22" t="s">
        <v>915</v>
      </c>
      <c r="B884" s="22" t="s">
        <v>723</v>
      </c>
      <c r="C884" s="22" t="s">
        <v>25</v>
      </c>
      <c r="D884" s="22">
        <v>0</v>
      </c>
      <c r="E884" s="22">
        <v>0</v>
      </c>
    </row>
    <row r="885" spans="1:5">
      <c r="A885" s="22" t="s">
        <v>916</v>
      </c>
      <c r="B885" s="22" t="s">
        <v>723</v>
      </c>
      <c r="C885" s="22" t="s">
        <v>20</v>
      </c>
      <c r="D885" s="22">
        <v>0</v>
      </c>
      <c r="E885" s="22">
        <v>0</v>
      </c>
    </row>
    <row r="886" spans="1:5">
      <c r="A886" s="22" t="s">
        <v>917</v>
      </c>
      <c r="B886" s="22" t="s">
        <v>723</v>
      </c>
      <c r="C886" s="22" t="s">
        <v>41</v>
      </c>
      <c r="D886" s="22">
        <v>0</v>
      </c>
      <c r="E886" s="22">
        <v>0</v>
      </c>
    </row>
    <row r="887" spans="1:5">
      <c r="A887" s="22" t="s">
        <v>918</v>
      </c>
      <c r="B887" s="22" t="s">
        <v>723</v>
      </c>
      <c r="C887" s="22" t="s">
        <v>39</v>
      </c>
      <c r="D887" s="22">
        <v>0</v>
      </c>
      <c r="E887" s="22">
        <v>0</v>
      </c>
    </row>
    <row r="888" spans="1:5">
      <c r="A888" s="22" t="s">
        <v>919</v>
      </c>
      <c r="B888" s="22" t="s">
        <v>723</v>
      </c>
      <c r="C888" s="22" t="s">
        <v>20</v>
      </c>
      <c r="D888" s="22">
        <v>0</v>
      </c>
      <c r="E888" s="22">
        <v>0</v>
      </c>
    </row>
    <row r="889" spans="1:5">
      <c r="A889" s="22" t="s">
        <v>920</v>
      </c>
      <c r="B889" s="22" t="s">
        <v>723</v>
      </c>
      <c r="C889" s="22" t="s">
        <v>20</v>
      </c>
      <c r="D889" s="22">
        <v>0</v>
      </c>
      <c r="E889" s="22">
        <v>0</v>
      </c>
    </row>
    <row r="890" spans="1:5">
      <c r="A890" s="22" t="s">
        <v>921</v>
      </c>
      <c r="B890" s="22" t="s">
        <v>723</v>
      </c>
      <c r="C890" s="22" t="s">
        <v>39</v>
      </c>
      <c r="D890" s="22">
        <v>1</v>
      </c>
      <c r="E890" s="22">
        <v>2064.5500000000002</v>
      </c>
    </row>
    <row r="891" spans="1:5">
      <c r="A891" s="22" t="s">
        <v>922</v>
      </c>
      <c r="B891" s="22" t="s">
        <v>723</v>
      </c>
      <c r="C891" s="22" t="s">
        <v>29</v>
      </c>
      <c r="D891" s="22">
        <v>0</v>
      </c>
      <c r="E891" s="22">
        <v>0</v>
      </c>
    </row>
    <row r="892" spans="1:5">
      <c r="A892" s="22" t="s">
        <v>923</v>
      </c>
      <c r="B892" s="22" t="s">
        <v>723</v>
      </c>
      <c r="C892" s="22" t="s">
        <v>20</v>
      </c>
      <c r="D892" s="22">
        <v>0</v>
      </c>
      <c r="E892" s="22">
        <v>0</v>
      </c>
    </row>
    <row r="893" spans="1:5">
      <c r="A893" s="22" t="s">
        <v>924</v>
      </c>
      <c r="B893" s="22" t="s">
        <v>723</v>
      </c>
      <c r="C893" s="22" t="s">
        <v>25</v>
      </c>
      <c r="D893" s="22">
        <v>0</v>
      </c>
      <c r="E893" s="22">
        <v>0</v>
      </c>
    </row>
    <row r="894" spans="1:5">
      <c r="A894" s="22" t="s">
        <v>925</v>
      </c>
      <c r="B894" s="22" t="s">
        <v>723</v>
      </c>
      <c r="C894" s="22" t="s">
        <v>20</v>
      </c>
      <c r="D894" s="22">
        <v>0</v>
      </c>
      <c r="E894" s="22">
        <v>0</v>
      </c>
    </row>
    <row r="895" spans="1:5">
      <c r="A895" s="22" t="s">
        <v>926</v>
      </c>
      <c r="B895" s="22" t="s">
        <v>723</v>
      </c>
      <c r="C895" s="22" t="s">
        <v>29</v>
      </c>
      <c r="D895" s="22">
        <v>0</v>
      </c>
      <c r="E895" s="22">
        <v>0</v>
      </c>
    </row>
    <row r="896" spans="1:5">
      <c r="A896" s="22" t="s">
        <v>927</v>
      </c>
      <c r="B896" s="22" t="s">
        <v>723</v>
      </c>
      <c r="C896" s="22" t="s">
        <v>39</v>
      </c>
      <c r="D896" s="22">
        <v>0</v>
      </c>
      <c r="E896" s="22">
        <v>0</v>
      </c>
    </row>
    <row r="897" spans="1:5">
      <c r="A897" s="22" t="s">
        <v>928</v>
      </c>
      <c r="B897" s="22" t="s">
        <v>723</v>
      </c>
      <c r="C897" s="22" t="s">
        <v>29</v>
      </c>
      <c r="D897" s="22">
        <v>0</v>
      </c>
      <c r="E897" s="22">
        <v>0</v>
      </c>
    </row>
    <row r="898" spans="1:5">
      <c r="A898" s="22" t="s">
        <v>929</v>
      </c>
      <c r="B898" s="22" t="s">
        <v>723</v>
      </c>
      <c r="C898" s="22" t="s">
        <v>29</v>
      </c>
      <c r="D898" s="22">
        <v>0</v>
      </c>
      <c r="E898" s="22">
        <v>0</v>
      </c>
    </row>
    <row r="899" spans="1:5">
      <c r="A899" s="22" t="s">
        <v>930</v>
      </c>
      <c r="B899" s="22" t="s">
        <v>723</v>
      </c>
      <c r="C899" s="22" t="s">
        <v>1482</v>
      </c>
      <c r="D899" s="22">
        <v>0</v>
      </c>
      <c r="E899" s="22">
        <v>0</v>
      </c>
    </row>
    <row r="900" spans="1:5">
      <c r="A900" s="22" t="s">
        <v>931</v>
      </c>
      <c r="B900" s="22" t="s">
        <v>723</v>
      </c>
      <c r="C900" s="22" t="s">
        <v>41</v>
      </c>
      <c r="D900" s="22">
        <v>0</v>
      </c>
      <c r="E900" s="22">
        <v>0</v>
      </c>
    </row>
    <row r="901" spans="1:5">
      <c r="A901" s="22" t="s">
        <v>932</v>
      </c>
      <c r="B901" s="22" t="s">
        <v>723</v>
      </c>
      <c r="C901" s="22" t="s">
        <v>25</v>
      </c>
      <c r="D901" s="22">
        <v>0</v>
      </c>
      <c r="E901" s="22">
        <v>0</v>
      </c>
    </row>
    <row r="902" spans="1:5">
      <c r="A902" s="22" t="s">
        <v>933</v>
      </c>
      <c r="B902" s="22" t="s">
        <v>723</v>
      </c>
      <c r="C902" s="22" t="s">
        <v>25</v>
      </c>
      <c r="D902" s="22">
        <v>0</v>
      </c>
      <c r="E902" s="22">
        <v>0</v>
      </c>
    </row>
    <row r="903" spans="1:5">
      <c r="A903" s="22" t="s">
        <v>934</v>
      </c>
      <c r="B903" s="22" t="s">
        <v>723</v>
      </c>
      <c r="C903" s="22" t="s">
        <v>25</v>
      </c>
      <c r="D903" s="22">
        <v>0</v>
      </c>
      <c r="E903" s="22">
        <v>0</v>
      </c>
    </row>
    <row r="904" spans="1:5">
      <c r="A904" s="22" t="s">
        <v>935</v>
      </c>
      <c r="B904" s="22" t="s">
        <v>723</v>
      </c>
      <c r="C904" s="22" t="s">
        <v>39</v>
      </c>
      <c r="D904" s="22">
        <v>0</v>
      </c>
      <c r="E904" s="22">
        <v>0</v>
      </c>
    </row>
    <row r="905" spans="1:5">
      <c r="A905" s="22" t="s">
        <v>936</v>
      </c>
      <c r="B905" s="22" t="s">
        <v>723</v>
      </c>
      <c r="C905" s="22" t="s">
        <v>25</v>
      </c>
      <c r="D905" s="22">
        <v>0</v>
      </c>
      <c r="E905" s="22">
        <v>0</v>
      </c>
    </row>
    <row r="906" spans="1:5">
      <c r="A906" s="22" t="s">
        <v>937</v>
      </c>
      <c r="B906" s="22" t="s">
        <v>723</v>
      </c>
      <c r="C906" s="22" t="s">
        <v>29</v>
      </c>
      <c r="D906" s="22">
        <v>1</v>
      </c>
      <c r="E906" s="22">
        <v>341.38</v>
      </c>
    </row>
    <row r="907" spans="1:5">
      <c r="A907" s="22" t="s">
        <v>938</v>
      </c>
      <c r="B907" s="22" t="s">
        <v>723</v>
      </c>
      <c r="C907" s="22" t="s">
        <v>41</v>
      </c>
      <c r="D907" s="22">
        <v>0</v>
      </c>
      <c r="E907" s="22">
        <v>0</v>
      </c>
    </row>
    <row r="908" spans="1:5">
      <c r="A908" s="22" t="s">
        <v>939</v>
      </c>
      <c r="B908" s="22" t="s">
        <v>723</v>
      </c>
      <c r="C908" s="22" t="s">
        <v>29</v>
      </c>
      <c r="D908" s="22">
        <v>0</v>
      </c>
      <c r="E908" s="22">
        <v>0</v>
      </c>
    </row>
    <row r="909" spans="1:5">
      <c r="A909" s="22" t="s">
        <v>940</v>
      </c>
      <c r="B909" s="22" t="s">
        <v>723</v>
      </c>
      <c r="C909" s="22" t="s">
        <v>25</v>
      </c>
      <c r="D909" s="22">
        <v>0</v>
      </c>
      <c r="E909" s="22">
        <v>0</v>
      </c>
    </row>
    <row r="910" spans="1:5">
      <c r="A910" s="22" t="s">
        <v>941</v>
      </c>
      <c r="B910" s="22" t="s">
        <v>723</v>
      </c>
      <c r="C910" s="22" t="s">
        <v>20</v>
      </c>
      <c r="D910" s="22">
        <v>0</v>
      </c>
      <c r="E910" s="22">
        <v>0</v>
      </c>
    </row>
    <row r="911" spans="1:5">
      <c r="A911" s="22" t="s">
        <v>942</v>
      </c>
      <c r="B911" s="22" t="s">
        <v>723</v>
      </c>
      <c r="C911" s="22" t="s">
        <v>25</v>
      </c>
      <c r="D911" s="22">
        <v>0</v>
      </c>
      <c r="E911" s="22">
        <v>0</v>
      </c>
    </row>
    <row r="912" spans="1:5">
      <c r="A912" s="22" t="s">
        <v>943</v>
      </c>
      <c r="B912" s="22" t="s">
        <v>723</v>
      </c>
      <c r="C912" s="22" t="s">
        <v>29</v>
      </c>
      <c r="D912" s="22">
        <v>0</v>
      </c>
      <c r="E912" s="22">
        <v>0</v>
      </c>
    </row>
    <row r="913" spans="1:5">
      <c r="A913" s="22" t="s">
        <v>944</v>
      </c>
      <c r="B913" s="22" t="s">
        <v>723</v>
      </c>
      <c r="C913" s="22" t="s">
        <v>25</v>
      </c>
      <c r="D913" s="22">
        <v>0</v>
      </c>
      <c r="E913" s="22">
        <v>0</v>
      </c>
    </row>
    <row r="914" spans="1:5">
      <c r="A914" s="22" t="s">
        <v>945</v>
      </c>
      <c r="B914" s="22" t="s">
        <v>723</v>
      </c>
      <c r="C914" s="22" t="s">
        <v>25</v>
      </c>
      <c r="D914" s="22">
        <v>0</v>
      </c>
      <c r="E914" s="22">
        <v>0</v>
      </c>
    </row>
    <row r="915" spans="1:5">
      <c r="A915" s="22" t="s">
        <v>946</v>
      </c>
      <c r="B915" s="22" t="s">
        <v>723</v>
      </c>
      <c r="C915" s="22" t="s">
        <v>25</v>
      </c>
      <c r="D915" s="22">
        <v>0</v>
      </c>
      <c r="E915" s="22">
        <v>0</v>
      </c>
    </row>
    <row r="916" spans="1:5">
      <c r="A916" s="22" t="s">
        <v>947</v>
      </c>
      <c r="B916" s="22" t="s">
        <v>723</v>
      </c>
      <c r="C916" s="22" t="s">
        <v>29</v>
      </c>
      <c r="D916" s="22">
        <v>0</v>
      </c>
      <c r="E916" s="22">
        <v>0</v>
      </c>
    </row>
    <row r="917" spans="1:5">
      <c r="A917" s="22" t="s">
        <v>948</v>
      </c>
      <c r="B917" s="22" t="s">
        <v>723</v>
      </c>
      <c r="C917" s="22" t="s">
        <v>41</v>
      </c>
      <c r="D917" s="22">
        <v>0</v>
      </c>
      <c r="E917" s="22">
        <v>0</v>
      </c>
    </row>
    <row r="918" spans="1:5">
      <c r="A918" s="22" t="s">
        <v>949</v>
      </c>
      <c r="B918" s="22" t="s">
        <v>723</v>
      </c>
      <c r="C918" s="22" t="s">
        <v>41</v>
      </c>
      <c r="D918" s="22">
        <v>0</v>
      </c>
      <c r="E918" s="22">
        <v>0</v>
      </c>
    </row>
    <row r="919" spans="1:5">
      <c r="A919" s="22" t="s">
        <v>950</v>
      </c>
      <c r="B919" s="22" t="s">
        <v>723</v>
      </c>
      <c r="C919" s="22" t="s">
        <v>25</v>
      </c>
      <c r="D919" s="22">
        <v>0</v>
      </c>
      <c r="E919" s="22">
        <v>0</v>
      </c>
    </row>
    <row r="920" spans="1:5">
      <c r="A920" s="22" t="s">
        <v>951</v>
      </c>
      <c r="B920" s="22" t="s">
        <v>723</v>
      </c>
      <c r="C920" s="22" t="s">
        <v>25</v>
      </c>
      <c r="D920" s="22">
        <v>0</v>
      </c>
      <c r="E920" s="22">
        <v>0</v>
      </c>
    </row>
    <row r="921" spans="1:5">
      <c r="A921" s="22" t="s">
        <v>952</v>
      </c>
      <c r="B921" s="22" t="s">
        <v>723</v>
      </c>
      <c r="C921" s="22" t="s">
        <v>25</v>
      </c>
      <c r="D921" s="22">
        <v>0</v>
      </c>
      <c r="E921" s="22">
        <v>0</v>
      </c>
    </row>
    <row r="922" spans="1:5">
      <c r="A922" s="22" t="s">
        <v>953</v>
      </c>
      <c r="B922" s="22" t="s">
        <v>723</v>
      </c>
      <c r="C922" s="22" t="s">
        <v>20</v>
      </c>
      <c r="D922" s="22">
        <v>1</v>
      </c>
      <c r="E922" s="22">
        <v>513.52</v>
      </c>
    </row>
    <row r="923" spans="1:5">
      <c r="A923" s="22" t="s">
        <v>954</v>
      </c>
      <c r="B923" s="22" t="s">
        <v>723</v>
      </c>
      <c r="C923" s="22" t="s">
        <v>29</v>
      </c>
      <c r="D923" s="22">
        <v>0</v>
      </c>
      <c r="E923" s="22">
        <v>0</v>
      </c>
    </row>
    <row r="924" spans="1:5">
      <c r="A924" s="22" t="s">
        <v>955</v>
      </c>
      <c r="B924" s="22" t="s">
        <v>723</v>
      </c>
      <c r="C924" s="22" t="s">
        <v>25</v>
      </c>
      <c r="D924" s="22">
        <v>0</v>
      </c>
      <c r="E924" s="22">
        <v>0</v>
      </c>
    </row>
    <row r="925" spans="1:5">
      <c r="A925" s="22" t="s">
        <v>956</v>
      </c>
      <c r="B925" s="22" t="s">
        <v>723</v>
      </c>
      <c r="C925" s="22" t="s">
        <v>20</v>
      </c>
      <c r="D925" s="22">
        <v>0</v>
      </c>
      <c r="E925" s="22">
        <v>0</v>
      </c>
    </row>
    <row r="926" spans="1:5">
      <c r="A926" s="22" t="s">
        <v>957</v>
      </c>
      <c r="B926" s="22" t="s">
        <v>723</v>
      </c>
      <c r="C926" s="22" t="s">
        <v>39</v>
      </c>
      <c r="D926" s="22">
        <v>0</v>
      </c>
      <c r="E926" s="22">
        <v>0</v>
      </c>
    </row>
    <row r="927" spans="1:5">
      <c r="A927" s="22" t="s">
        <v>958</v>
      </c>
      <c r="B927" s="22" t="s">
        <v>723</v>
      </c>
      <c r="C927" s="22" t="s">
        <v>39</v>
      </c>
      <c r="D927" s="22">
        <v>0</v>
      </c>
      <c r="E927" s="22">
        <v>0</v>
      </c>
    </row>
    <row r="928" spans="1:5">
      <c r="A928" s="22" t="s">
        <v>959</v>
      </c>
      <c r="B928" s="22" t="s">
        <v>723</v>
      </c>
      <c r="C928" s="22" t="s">
        <v>29</v>
      </c>
      <c r="D928" s="22">
        <v>0</v>
      </c>
      <c r="E928" s="22">
        <v>0</v>
      </c>
    </row>
    <row r="929" spans="1:5">
      <c r="A929" s="22" t="s">
        <v>960</v>
      </c>
      <c r="B929" s="22" t="s">
        <v>723</v>
      </c>
      <c r="C929" s="22" t="s">
        <v>25</v>
      </c>
      <c r="D929" s="22">
        <v>0</v>
      </c>
      <c r="E929" s="22">
        <v>0</v>
      </c>
    </row>
    <row r="930" spans="1:5">
      <c r="A930" s="22" t="s">
        <v>961</v>
      </c>
      <c r="B930" s="22" t="s">
        <v>723</v>
      </c>
      <c r="C930" s="22" t="s">
        <v>39</v>
      </c>
      <c r="D930" s="22">
        <v>0</v>
      </c>
      <c r="E930" s="22">
        <v>0</v>
      </c>
    </row>
    <row r="931" spans="1:5">
      <c r="A931" s="22" t="s">
        <v>962</v>
      </c>
      <c r="B931" s="22" t="s">
        <v>723</v>
      </c>
      <c r="C931" s="22" t="s">
        <v>25</v>
      </c>
      <c r="D931" s="22">
        <v>0</v>
      </c>
      <c r="E931" s="22">
        <v>0</v>
      </c>
    </row>
    <row r="932" spans="1:5">
      <c r="A932" s="22" t="s">
        <v>963</v>
      </c>
      <c r="B932" s="22" t="s">
        <v>723</v>
      </c>
      <c r="C932" s="22" t="s">
        <v>39</v>
      </c>
      <c r="D932" s="22">
        <v>1</v>
      </c>
      <c r="E932" s="22">
        <v>476.44</v>
      </c>
    </row>
    <row r="933" spans="1:5">
      <c r="A933" s="22" t="s">
        <v>964</v>
      </c>
      <c r="B933" s="22" t="s">
        <v>723</v>
      </c>
      <c r="C933" s="22" t="s">
        <v>29</v>
      </c>
      <c r="D933" s="22">
        <v>0</v>
      </c>
      <c r="E933" s="22">
        <v>0</v>
      </c>
    </row>
    <row r="934" spans="1:5">
      <c r="A934" s="22" t="s">
        <v>965</v>
      </c>
      <c r="B934" s="22" t="s">
        <v>723</v>
      </c>
      <c r="C934" s="22" t="s">
        <v>29</v>
      </c>
      <c r="D934" s="22">
        <v>0</v>
      </c>
      <c r="E934" s="22">
        <v>0</v>
      </c>
    </row>
    <row r="935" spans="1:5">
      <c r="A935" s="22" t="s">
        <v>966</v>
      </c>
      <c r="B935" s="22" t="s">
        <v>723</v>
      </c>
      <c r="C935" s="22" t="s">
        <v>25</v>
      </c>
      <c r="D935" s="22">
        <v>0</v>
      </c>
      <c r="E935" s="22">
        <v>0</v>
      </c>
    </row>
    <row r="936" spans="1:5">
      <c r="A936" s="22" t="s">
        <v>967</v>
      </c>
      <c r="B936" s="22" t="s">
        <v>723</v>
      </c>
      <c r="C936" s="22" t="s">
        <v>25</v>
      </c>
      <c r="D936" s="22">
        <v>0</v>
      </c>
      <c r="E936" s="22">
        <v>0</v>
      </c>
    </row>
    <row r="937" spans="1:5">
      <c r="A937" s="22" t="s">
        <v>968</v>
      </c>
      <c r="B937" s="22" t="s">
        <v>723</v>
      </c>
      <c r="C937" s="22" t="s">
        <v>29</v>
      </c>
      <c r="D937" s="22">
        <v>0</v>
      </c>
      <c r="E937" s="22">
        <v>0</v>
      </c>
    </row>
    <row r="938" spans="1:5">
      <c r="A938" s="22" t="s">
        <v>969</v>
      </c>
      <c r="B938" s="22" t="s">
        <v>723</v>
      </c>
      <c r="C938" s="22" t="s">
        <v>1482</v>
      </c>
      <c r="D938" s="22">
        <v>0</v>
      </c>
      <c r="E938" s="22">
        <v>0</v>
      </c>
    </row>
    <row r="939" spans="1:5">
      <c r="A939" s="22" t="s">
        <v>970</v>
      </c>
      <c r="B939" s="22" t="s">
        <v>723</v>
      </c>
      <c r="C939" s="22" t="s">
        <v>29</v>
      </c>
      <c r="D939" s="22">
        <v>0</v>
      </c>
      <c r="E939" s="22">
        <v>0</v>
      </c>
    </row>
    <row r="940" spans="1:5">
      <c r="A940" s="22" t="s">
        <v>971</v>
      </c>
      <c r="B940" s="22" t="s">
        <v>723</v>
      </c>
      <c r="C940" s="22" t="s">
        <v>20</v>
      </c>
      <c r="D940" s="22">
        <v>0</v>
      </c>
      <c r="E940" s="22">
        <v>0</v>
      </c>
    </row>
    <row r="941" spans="1:5">
      <c r="A941" s="22" t="s">
        <v>972</v>
      </c>
      <c r="B941" s="22" t="s">
        <v>723</v>
      </c>
      <c r="C941" s="22" t="s">
        <v>25</v>
      </c>
      <c r="D941" s="22">
        <v>0</v>
      </c>
      <c r="E941" s="22">
        <v>0</v>
      </c>
    </row>
    <row r="942" spans="1:5">
      <c r="A942" s="22" t="s">
        <v>973</v>
      </c>
      <c r="B942" s="22" t="s">
        <v>723</v>
      </c>
      <c r="C942" s="22" t="s">
        <v>20</v>
      </c>
      <c r="D942" s="22">
        <v>0</v>
      </c>
      <c r="E942" s="22">
        <v>0</v>
      </c>
    </row>
    <row r="943" spans="1:5">
      <c r="A943" s="22" t="s">
        <v>974</v>
      </c>
      <c r="B943" s="22" t="s">
        <v>723</v>
      </c>
      <c r="C943" s="22" t="s">
        <v>25</v>
      </c>
      <c r="D943" s="22">
        <v>0</v>
      </c>
      <c r="E943" s="22">
        <v>0</v>
      </c>
    </row>
    <row r="944" spans="1:5">
      <c r="A944" s="22" t="s">
        <v>975</v>
      </c>
      <c r="B944" s="22" t="s">
        <v>723</v>
      </c>
      <c r="C944" s="22" t="s">
        <v>29</v>
      </c>
      <c r="D944" s="22">
        <v>1</v>
      </c>
      <c r="E944" s="22">
        <v>324.68</v>
      </c>
    </row>
    <row r="945" spans="1:5">
      <c r="A945" s="22" t="s">
        <v>976</v>
      </c>
      <c r="B945" s="22" t="s">
        <v>723</v>
      </c>
      <c r="C945" s="22" t="s">
        <v>39</v>
      </c>
      <c r="D945" s="22">
        <v>0</v>
      </c>
      <c r="E945" s="22">
        <v>0</v>
      </c>
    </row>
    <row r="946" spans="1:5">
      <c r="A946" s="22" t="s">
        <v>977</v>
      </c>
      <c r="B946" s="22" t="s">
        <v>723</v>
      </c>
      <c r="C946" s="22" t="s">
        <v>25</v>
      </c>
      <c r="D946" s="22">
        <v>0</v>
      </c>
      <c r="E946" s="22">
        <v>0</v>
      </c>
    </row>
    <row r="947" spans="1:5">
      <c r="A947" s="22" t="s">
        <v>978</v>
      </c>
      <c r="B947" s="22" t="s">
        <v>723</v>
      </c>
      <c r="C947" s="22" t="s">
        <v>25</v>
      </c>
      <c r="D947" s="22">
        <v>0</v>
      </c>
      <c r="E947" s="22">
        <v>0</v>
      </c>
    </row>
    <row r="948" spans="1:5">
      <c r="A948" s="22" t="s">
        <v>979</v>
      </c>
      <c r="B948" s="22" t="s">
        <v>723</v>
      </c>
      <c r="C948" s="22" t="s">
        <v>41</v>
      </c>
      <c r="D948" s="22">
        <v>0</v>
      </c>
      <c r="E948" s="22">
        <v>0</v>
      </c>
    </row>
    <row r="949" spans="1:5">
      <c r="A949" s="22" t="s">
        <v>980</v>
      </c>
      <c r="B949" s="22" t="s">
        <v>723</v>
      </c>
      <c r="C949" s="22" t="s">
        <v>29</v>
      </c>
      <c r="D949" s="22">
        <v>1</v>
      </c>
      <c r="E949" s="22">
        <v>301.98</v>
      </c>
    </row>
    <row r="950" spans="1:5">
      <c r="A950" s="22" t="s">
        <v>981</v>
      </c>
      <c r="B950" s="22" t="s">
        <v>723</v>
      </c>
      <c r="C950" s="22" t="s">
        <v>25</v>
      </c>
      <c r="D950" s="22">
        <v>0</v>
      </c>
      <c r="E950" s="22">
        <v>0</v>
      </c>
    </row>
    <row r="951" spans="1:5">
      <c r="A951" s="22" t="s">
        <v>982</v>
      </c>
      <c r="B951" s="22" t="s">
        <v>723</v>
      </c>
      <c r="C951" s="22" t="s">
        <v>29</v>
      </c>
      <c r="D951" s="22">
        <v>0</v>
      </c>
      <c r="E951" s="22">
        <v>0</v>
      </c>
    </row>
    <row r="952" spans="1:5">
      <c r="A952" s="22" t="s">
        <v>983</v>
      </c>
      <c r="B952" s="22" t="s">
        <v>723</v>
      </c>
      <c r="C952" s="22" t="s">
        <v>29</v>
      </c>
      <c r="D952" s="22">
        <v>0</v>
      </c>
      <c r="E952" s="22">
        <v>0</v>
      </c>
    </row>
    <row r="953" spans="1:5">
      <c r="A953" s="22" t="s">
        <v>984</v>
      </c>
      <c r="B953" s="22" t="s">
        <v>723</v>
      </c>
      <c r="C953" s="22" t="s">
        <v>1482</v>
      </c>
      <c r="D953" s="22">
        <v>0</v>
      </c>
      <c r="E953" s="22">
        <v>0</v>
      </c>
    </row>
    <row r="954" spans="1:5">
      <c r="A954" s="22" t="s">
        <v>985</v>
      </c>
      <c r="B954" s="22" t="s">
        <v>723</v>
      </c>
      <c r="C954" s="22" t="s">
        <v>25</v>
      </c>
      <c r="D954" s="22">
        <v>0</v>
      </c>
      <c r="E954" s="22">
        <v>0</v>
      </c>
    </row>
    <row r="955" spans="1:5">
      <c r="A955" s="22" t="s">
        <v>986</v>
      </c>
      <c r="B955" s="22" t="s">
        <v>723</v>
      </c>
      <c r="C955" s="22" t="s">
        <v>39</v>
      </c>
      <c r="D955" s="22">
        <v>0</v>
      </c>
      <c r="E955" s="22">
        <v>0</v>
      </c>
    </row>
    <row r="956" spans="1:5">
      <c r="A956" s="22" t="s">
        <v>987</v>
      </c>
      <c r="B956" s="22" t="s">
        <v>723</v>
      </c>
      <c r="C956" s="22" t="s">
        <v>29</v>
      </c>
      <c r="D956" s="22">
        <v>0</v>
      </c>
      <c r="E956" s="22">
        <v>0</v>
      </c>
    </row>
    <row r="957" spans="1:5">
      <c r="A957" s="22" t="s">
        <v>988</v>
      </c>
      <c r="B957" s="22" t="s">
        <v>723</v>
      </c>
      <c r="C957" s="22" t="s">
        <v>39</v>
      </c>
      <c r="D957" s="22">
        <v>0</v>
      </c>
      <c r="E957" s="22">
        <v>0</v>
      </c>
    </row>
    <row r="958" spans="1:5">
      <c r="A958" s="22" t="s">
        <v>989</v>
      </c>
      <c r="B958" s="22" t="s">
        <v>723</v>
      </c>
      <c r="C958" s="22" t="s">
        <v>29</v>
      </c>
      <c r="D958" s="22">
        <v>0</v>
      </c>
      <c r="E958" s="22">
        <v>0</v>
      </c>
    </row>
    <row r="959" spans="1:5">
      <c r="A959" s="22" t="s">
        <v>990</v>
      </c>
      <c r="B959" s="22" t="s">
        <v>723</v>
      </c>
      <c r="C959" s="22" t="s">
        <v>41</v>
      </c>
      <c r="D959" s="22">
        <v>0</v>
      </c>
      <c r="E959" s="22">
        <v>0</v>
      </c>
    </row>
    <row r="960" spans="1:5">
      <c r="A960" s="22" t="s">
        <v>991</v>
      </c>
      <c r="B960" s="22" t="s">
        <v>723</v>
      </c>
      <c r="C960" s="22" t="s">
        <v>25</v>
      </c>
      <c r="D960" s="22">
        <v>0</v>
      </c>
      <c r="E960" s="22">
        <v>0</v>
      </c>
    </row>
    <row r="961" spans="1:5">
      <c r="A961" s="22" t="s">
        <v>992</v>
      </c>
      <c r="B961" s="22" t="s">
        <v>723</v>
      </c>
      <c r="C961" s="22" t="s">
        <v>39</v>
      </c>
      <c r="D961" s="22">
        <v>0</v>
      </c>
      <c r="E961" s="22">
        <v>0</v>
      </c>
    </row>
    <row r="962" spans="1:5">
      <c r="A962" s="22" t="s">
        <v>993</v>
      </c>
      <c r="B962" s="22" t="s">
        <v>723</v>
      </c>
      <c r="C962" s="22" t="s">
        <v>25</v>
      </c>
      <c r="D962" s="22">
        <v>0</v>
      </c>
      <c r="E962" s="22">
        <v>0</v>
      </c>
    </row>
    <row r="963" spans="1:5">
      <c r="A963" s="22" t="s">
        <v>994</v>
      </c>
      <c r="B963" s="22" t="s">
        <v>723</v>
      </c>
      <c r="C963" s="22" t="s">
        <v>25</v>
      </c>
      <c r="D963" s="22">
        <v>0</v>
      </c>
      <c r="E963" s="22">
        <v>0</v>
      </c>
    </row>
    <row r="964" spans="1:5">
      <c r="A964" s="22" t="s">
        <v>995</v>
      </c>
      <c r="B964" s="22" t="s">
        <v>723</v>
      </c>
      <c r="C964" s="22" t="s">
        <v>29</v>
      </c>
      <c r="D964" s="22">
        <v>0</v>
      </c>
      <c r="E964" s="22">
        <v>0</v>
      </c>
    </row>
    <row r="965" spans="1:5">
      <c r="A965" s="22" t="s">
        <v>996</v>
      </c>
      <c r="B965" s="22" t="s">
        <v>723</v>
      </c>
      <c r="C965" s="22" t="s">
        <v>25</v>
      </c>
      <c r="D965" s="22">
        <v>0</v>
      </c>
      <c r="E965" s="22">
        <v>0</v>
      </c>
    </row>
    <row r="966" spans="1:5">
      <c r="A966" s="22" t="s">
        <v>997</v>
      </c>
      <c r="B966" s="22" t="s">
        <v>723</v>
      </c>
      <c r="C966" s="22" t="s">
        <v>41</v>
      </c>
      <c r="D966" s="22">
        <v>0</v>
      </c>
      <c r="E966" s="22">
        <v>0</v>
      </c>
    </row>
    <row r="967" spans="1:5">
      <c r="A967" s="22" t="s">
        <v>998</v>
      </c>
      <c r="B967" s="22" t="s">
        <v>723</v>
      </c>
      <c r="C967" s="22" t="s">
        <v>25</v>
      </c>
      <c r="D967" s="22">
        <v>0</v>
      </c>
      <c r="E967" s="22">
        <v>0</v>
      </c>
    </row>
    <row r="968" spans="1:5">
      <c r="A968" s="22" t="s">
        <v>999</v>
      </c>
      <c r="B968" s="22" t="s">
        <v>723</v>
      </c>
      <c r="C968" s="22" t="s">
        <v>1482</v>
      </c>
      <c r="D968" s="22">
        <v>0</v>
      </c>
      <c r="E968" s="22">
        <v>0</v>
      </c>
    </row>
    <row r="969" spans="1:5">
      <c r="A969" s="22" t="s">
        <v>1000</v>
      </c>
      <c r="B969" s="22" t="s">
        <v>723</v>
      </c>
      <c r="C969" s="22" t="s">
        <v>25</v>
      </c>
      <c r="D969" s="22">
        <v>0</v>
      </c>
      <c r="E969" s="22">
        <v>0</v>
      </c>
    </row>
    <row r="970" spans="1:5">
      <c r="A970" s="22" t="s">
        <v>1001</v>
      </c>
      <c r="B970" s="22" t="s">
        <v>723</v>
      </c>
      <c r="C970" s="22" t="s">
        <v>41</v>
      </c>
      <c r="D970" s="22">
        <v>0</v>
      </c>
      <c r="E970" s="22">
        <v>0</v>
      </c>
    </row>
    <row r="971" spans="1:5">
      <c r="A971" s="22" t="s">
        <v>1002</v>
      </c>
      <c r="B971" s="22" t="s">
        <v>723</v>
      </c>
      <c r="C971" s="22" t="s">
        <v>41</v>
      </c>
      <c r="D971" s="22">
        <v>0</v>
      </c>
      <c r="E971" s="22">
        <v>0</v>
      </c>
    </row>
    <row r="972" spans="1:5">
      <c r="A972" s="22" t="s">
        <v>1003</v>
      </c>
      <c r="B972" s="22" t="s">
        <v>723</v>
      </c>
      <c r="C972" s="22" t="s">
        <v>41</v>
      </c>
      <c r="D972" s="22">
        <v>0</v>
      </c>
      <c r="E972" s="22">
        <v>0</v>
      </c>
    </row>
    <row r="973" spans="1:5">
      <c r="A973" s="22" t="s">
        <v>1004</v>
      </c>
      <c r="B973" s="22" t="s">
        <v>723</v>
      </c>
      <c r="C973" s="22" t="s">
        <v>29</v>
      </c>
      <c r="D973" s="22">
        <v>0</v>
      </c>
      <c r="E973" s="22">
        <v>0</v>
      </c>
    </row>
    <row r="974" spans="1:5">
      <c r="A974" s="22" t="s">
        <v>1005</v>
      </c>
      <c r="B974" s="22" t="s">
        <v>723</v>
      </c>
      <c r="C974" s="22" t="s">
        <v>39</v>
      </c>
      <c r="D974" s="22">
        <v>0</v>
      </c>
      <c r="E974" s="22">
        <v>0</v>
      </c>
    </row>
    <row r="975" spans="1:5">
      <c r="A975" s="22" t="s">
        <v>1006</v>
      </c>
      <c r="B975" s="22" t="s">
        <v>723</v>
      </c>
      <c r="C975" s="22" t="s">
        <v>29</v>
      </c>
      <c r="D975" s="22">
        <v>0</v>
      </c>
      <c r="E975" s="22">
        <v>0</v>
      </c>
    </row>
    <row r="976" spans="1:5">
      <c r="A976" s="22" t="s">
        <v>1007</v>
      </c>
      <c r="B976" s="22" t="s">
        <v>723</v>
      </c>
      <c r="C976" s="22" t="s">
        <v>25</v>
      </c>
      <c r="D976" s="22">
        <v>0</v>
      </c>
      <c r="E976" s="22">
        <v>0</v>
      </c>
    </row>
    <row r="977" spans="1:5">
      <c r="A977" s="22" t="s">
        <v>1008</v>
      </c>
      <c r="B977" s="22" t="s">
        <v>723</v>
      </c>
      <c r="C977" s="22" t="s">
        <v>20</v>
      </c>
      <c r="D977" s="22">
        <v>0</v>
      </c>
      <c r="E977" s="22">
        <v>0</v>
      </c>
    </row>
    <row r="978" spans="1:5">
      <c r="A978" s="22" t="s">
        <v>1009</v>
      </c>
      <c r="B978" s="22" t="s">
        <v>723</v>
      </c>
      <c r="C978" s="22" t="s">
        <v>20</v>
      </c>
      <c r="D978" s="22">
        <v>0</v>
      </c>
      <c r="E978" s="22">
        <v>0</v>
      </c>
    </row>
    <row r="979" spans="1:5">
      <c r="A979" s="22" t="s">
        <v>1010</v>
      </c>
      <c r="B979" s="22" t="s">
        <v>723</v>
      </c>
      <c r="C979" s="22" t="s">
        <v>20</v>
      </c>
      <c r="D979" s="22">
        <v>0</v>
      </c>
      <c r="E979" s="22">
        <v>0</v>
      </c>
    </row>
    <row r="980" spans="1:5">
      <c r="A980" s="22" t="s">
        <v>1011</v>
      </c>
      <c r="B980" s="22" t="s">
        <v>723</v>
      </c>
      <c r="C980" s="22" t="s">
        <v>29</v>
      </c>
      <c r="D980" s="22">
        <v>0</v>
      </c>
      <c r="E980" s="22">
        <v>0</v>
      </c>
    </row>
    <row r="981" spans="1:5">
      <c r="A981" s="22" t="s">
        <v>1012</v>
      </c>
      <c r="B981" s="22" t="s">
        <v>723</v>
      </c>
      <c r="C981" s="22" t="s">
        <v>39</v>
      </c>
      <c r="D981" s="22">
        <v>0</v>
      </c>
      <c r="E981" s="22">
        <v>0</v>
      </c>
    </row>
    <row r="982" spans="1:5">
      <c r="A982" s="22" t="s">
        <v>1013</v>
      </c>
      <c r="B982" s="22" t="s">
        <v>723</v>
      </c>
      <c r="C982" s="22" t="s">
        <v>29</v>
      </c>
      <c r="D982" s="22">
        <v>0</v>
      </c>
      <c r="E982" s="22">
        <v>0</v>
      </c>
    </row>
    <row r="983" spans="1:5">
      <c r="A983" s="22" t="s">
        <v>1014</v>
      </c>
      <c r="B983" s="22" t="s">
        <v>723</v>
      </c>
      <c r="C983" s="22" t="s">
        <v>20</v>
      </c>
      <c r="D983" s="22">
        <v>0</v>
      </c>
      <c r="E983" s="22">
        <v>0</v>
      </c>
    </row>
    <row r="984" spans="1:5">
      <c r="A984" s="22" t="s">
        <v>1015</v>
      </c>
      <c r="B984" s="22" t="s">
        <v>723</v>
      </c>
      <c r="C984" s="22" t="s">
        <v>39</v>
      </c>
      <c r="D984" s="22">
        <v>0</v>
      </c>
      <c r="E984" s="22">
        <v>0</v>
      </c>
    </row>
    <row r="985" spans="1:5">
      <c r="A985" s="22" t="s">
        <v>1016</v>
      </c>
      <c r="B985" s="22" t="s">
        <v>723</v>
      </c>
      <c r="C985" s="22" t="s">
        <v>29</v>
      </c>
      <c r="D985" s="22">
        <v>0</v>
      </c>
      <c r="E985" s="22">
        <v>0</v>
      </c>
    </row>
    <row r="986" spans="1:5">
      <c r="A986" s="22" t="s">
        <v>1017</v>
      </c>
      <c r="B986" s="22" t="s">
        <v>723</v>
      </c>
      <c r="C986" s="22" t="s">
        <v>29</v>
      </c>
      <c r="D986" s="22">
        <v>0</v>
      </c>
      <c r="E986" s="22">
        <v>0</v>
      </c>
    </row>
    <row r="987" spans="1:5">
      <c r="A987" s="22" t="s">
        <v>1018</v>
      </c>
      <c r="B987" s="22" t="s">
        <v>723</v>
      </c>
      <c r="C987" s="22" t="s">
        <v>29</v>
      </c>
      <c r="D987" s="22">
        <v>0</v>
      </c>
      <c r="E987" s="22">
        <v>0</v>
      </c>
    </row>
    <row r="988" spans="1:5">
      <c r="A988" s="22" t="s">
        <v>1019</v>
      </c>
      <c r="B988" s="22" t="s">
        <v>723</v>
      </c>
      <c r="C988" s="22" t="s">
        <v>41</v>
      </c>
      <c r="D988" s="22">
        <v>0</v>
      </c>
      <c r="E988" s="22">
        <v>0</v>
      </c>
    </row>
    <row r="989" spans="1:5">
      <c r="A989" s="22" t="s">
        <v>1020</v>
      </c>
      <c r="B989" s="22" t="s">
        <v>723</v>
      </c>
      <c r="C989" s="22" t="s">
        <v>20</v>
      </c>
      <c r="D989" s="22">
        <v>0</v>
      </c>
      <c r="E989" s="22">
        <v>0</v>
      </c>
    </row>
    <row r="990" spans="1:5">
      <c r="A990" s="22" t="s">
        <v>1021</v>
      </c>
      <c r="B990" s="22" t="s">
        <v>723</v>
      </c>
      <c r="C990" s="22" t="s">
        <v>25</v>
      </c>
      <c r="D990" s="22">
        <v>0</v>
      </c>
      <c r="E990" s="22">
        <v>0</v>
      </c>
    </row>
    <row r="991" spans="1:5">
      <c r="A991" s="22" t="s">
        <v>1022</v>
      </c>
      <c r="B991" s="22" t="s">
        <v>723</v>
      </c>
      <c r="C991" s="22" t="s">
        <v>25</v>
      </c>
      <c r="D991" s="22">
        <v>0</v>
      </c>
      <c r="E991" s="22">
        <v>0</v>
      </c>
    </row>
    <row r="992" spans="1:5">
      <c r="A992" s="22" t="s">
        <v>1023</v>
      </c>
      <c r="B992" s="22" t="s">
        <v>723</v>
      </c>
      <c r="C992" s="22" t="s">
        <v>41</v>
      </c>
      <c r="D992" s="22">
        <v>0</v>
      </c>
      <c r="E992" s="22">
        <v>0</v>
      </c>
    </row>
    <row r="993" spans="1:5">
      <c r="A993" s="22" t="s">
        <v>1024</v>
      </c>
      <c r="B993" s="22" t="s">
        <v>723</v>
      </c>
      <c r="C993" s="22" t="s">
        <v>25</v>
      </c>
      <c r="D993" s="22">
        <v>0</v>
      </c>
      <c r="E993" s="22">
        <v>0</v>
      </c>
    </row>
    <row r="994" spans="1:5">
      <c r="A994" s="22" t="s">
        <v>1025</v>
      </c>
      <c r="B994" s="22" t="s">
        <v>723</v>
      </c>
      <c r="C994" s="22" t="s">
        <v>29</v>
      </c>
      <c r="D994" s="22">
        <v>1</v>
      </c>
      <c r="E994" s="22">
        <v>1772.97</v>
      </c>
    </row>
    <row r="995" spans="1:5">
      <c r="A995" s="22" t="s">
        <v>1026</v>
      </c>
      <c r="B995" s="22" t="s">
        <v>723</v>
      </c>
      <c r="C995" s="22" t="s">
        <v>39</v>
      </c>
      <c r="D995" s="22">
        <v>0</v>
      </c>
      <c r="E995" s="22">
        <v>0</v>
      </c>
    </row>
    <row r="996" spans="1:5">
      <c r="A996" s="22" t="s">
        <v>1027</v>
      </c>
      <c r="B996" s="22" t="s">
        <v>723</v>
      </c>
      <c r="C996" s="22" t="s">
        <v>41</v>
      </c>
      <c r="D996" s="22">
        <v>0</v>
      </c>
      <c r="E996" s="22">
        <v>0</v>
      </c>
    </row>
    <row r="997" spans="1:5">
      <c r="A997" s="22" t="s">
        <v>1028</v>
      </c>
      <c r="B997" s="22" t="s">
        <v>723</v>
      </c>
      <c r="C997" s="22" t="s">
        <v>29</v>
      </c>
      <c r="D997" s="22">
        <v>0</v>
      </c>
      <c r="E997" s="22">
        <v>0</v>
      </c>
    </row>
    <row r="998" spans="1:5">
      <c r="A998" s="22" t="s">
        <v>1029</v>
      </c>
      <c r="B998" s="22" t="s">
        <v>723</v>
      </c>
      <c r="C998" s="22" t="s">
        <v>41</v>
      </c>
      <c r="D998" s="22">
        <v>1</v>
      </c>
      <c r="E998" s="22">
        <v>218.66</v>
      </c>
    </row>
    <row r="999" spans="1:5">
      <c r="A999" s="22" t="s">
        <v>1030</v>
      </c>
      <c r="B999" s="22" t="s">
        <v>723</v>
      </c>
      <c r="C999" s="22" t="s">
        <v>41</v>
      </c>
      <c r="D999" s="22">
        <v>0</v>
      </c>
      <c r="E999" s="22">
        <v>0</v>
      </c>
    </row>
    <row r="1000" spans="1:5">
      <c r="A1000" s="22" t="s">
        <v>1031</v>
      </c>
      <c r="B1000" s="22" t="s">
        <v>723</v>
      </c>
      <c r="C1000" s="22" t="s">
        <v>41</v>
      </c>
      <c r="D1000" s="22">
        <v>0</v>
      </c>
      <c r="E1000" s="22">
        <v>0</v>
      </c>
    </row>
    <row r="1001" spans="1:5">
      <c r="A1001" s="22" t="s">
        <v>1032</v>
      </c>
      <c r="B1001" s="22" t="s">
        <v>723</v>
      </c>
      <c r="C1001" s="22" t="s">
        <v>41</v>
      </c>
      <c r="D1001" s="22">
        <v>0</v>
      </c>
      <c r="E1001" s="22">
        <v>0</v>
      </c>
    </row>
    <row r="1002" spans="1:5">
      <c r="A1002" s="22" t="s">
        <v>1033</v>
      </c>
      <c r="B1002" s="22" t="s">
        <v>723</v>
      </c>
      <c r="C1002" s="22" t="s">
        <v>39</v>
      </c>
      <c r="D1002" s="22">
        <v>0</v>
      </c>
      <c r="E1002" s="22">
        <v>0</v>
      </c>
    </row>
    <row r="1003" spans="1:5">
      <c r="A1003" s="22" t="s">
        <v>1034</v>
      </c>
      <c r="B1003" s="22" t="s">
        <v>723</v>
      </c>
      <c r="C1003" s="22" t="s">
        <v>29</v>
      </c>
      <c r="D1003" s="22">
        <v>0</v>
      </c>
      <c r="E1003" s="22">
        <v>0</v>
      </c>
    </row>
    <row r="1004" spans="1:5">
      <c r="A1004" s="22" t="s">
        <v>1035</v>
      </c>
      <c r="B1004" s="22" t="s">
        <v>723</v>
      </c>
      <c r="C1004" s="22" t="s">
        <v>29</v>
      </c>
      <c r="D1004" s="22">
        <v>0</v>
      </c>
      <c r="E1004" s="22">
        <v>0</v>
      </c>
    </row>
    <row r="1005" spans="1:5">
      <c r="A1005" s="22" t="s">
        <v>1036</v>
      </c>
      <c r="B1005" s="22" t="s">
        <v>723</v>
      </c>
      <c r="C1005" s="22" t="s">
        <v>39</v>
      </c>
      <c r="D1005" s="22">
        <v>0</v>
      </c>
      <c r="E1005" s="22">
        <v>0</v>
      </c>
    </row>
    <row r="1006" spans="1:5">
      <c r="A1006" s="22" t="s">
        <v>1037</v>
      </c>
      <c r="B1006" s="22" t="s">
        <v>723</v>
      </c>
      <c r="C1006" s="22" t="s">
        <v>20</v>
      </c>
      <c r="D1006" s="22">
        <v>0</v>
      </c>
      <c r="E1006" s="22">
        <v>0</v>
      </c>
    </row>
    <row r="1007" spans="1:5">
      <c r="A1007" s="22" t="s">
        <v>1038</v>
      </c>
      <c r="B1007" s="22" t="s">
        <v>723</v>
      </c>
      <c r="C1007" s="22" t="s">
        <v>39</v>
      </c>
      <c r="D1007" s="22">
        <v>0</v>
      </c>
      <c r="E1007" s="22">
        <v>0</v>
      </c>
    </row>
    <row r="1008" spans="1:5">
      <c r="A1008" s="22" t="s">
        <v>1039</v>
      </c>
      <c r="B1008" s="22" t="s">
        <v>723</v>
      </c>
      <c r="C1008" s="22" t="s">
        <v>29</v>
      </c>
      <c r="D1008" s="22">
        <v>0</v>
      </c>
      <c r="E1008" s="22">
        <v>0</v>
      </c>
    </row>
    <row r="1009" spans="1:5">
      <c r="A1009" s="22" t="s">
        <v>1040</v>
      </c>
      <c r="B1009" s="22" t="s">
        <v>723</v>
      </c>
      <c r="C1009" s="22" t="s">
        <v>25</v>
      </c>
      <c r="D1009" s="22">
        <v>0</v>
      </c>
      <c r="E1009" s="22">
        <v>0</v>
      </c>
    </row>
    <row r="1010" spans="1:5">
      <c r="A1010" s="22" t="s">
        <v>1041</v>
      </c>
      <c r="B1010" s="22" t="s">
        <v>723</v>
      </c>
      <c r="C1010" s="22" t="s">
        <v>39</v>
      </c>
      <c r="D1010" s="22">
        <v>0</v>
      </c>
      <c r="E1010" s="22">
        <v>0</v>
      </c>
    </row>
    <row r="1011" spans="1:5">
      <c r="A1011" s="22" t="s">
        <v>1042</v>
      </c>
      <c r="B1011" s="22" t="s">
        <v>723</v>
      </c>
      <c r="C1011" s="22" t="s">
        <v>25</v>
      </c>
      <c r="D1011" s="22">
        <v>0</v>
      </c>
      <c r="E1011" s="22">
        <v>0</v>
      </c>
    </row>
    <row r="1012" spans="1:5">
      <c r="A1012" s="22" t="s">
        <v>1043</v>
      </c>
      <c r="B1012" s="22" t="s">
        <v>723</v>
      </c>
      <c r="C1012" s="22" t="s">
        <v>25</v>
      </c>
      <c r="D1012" s="22">
        <v>0</v>
      </c>
      <c r="E1012" s="22">
        <v>0</v>
      </c>
    </row>
    <row r="1013" spans="1:5">
      <c r="A1013" s="22" t="s">
        <v>1044</v>
      </c>
      <c r="B1013" s="22" t="s">
        <v>723</v>
      </c>
      <c r="C1013" s="22" t="s">
        <v>25</v>
      </c>
      <c r="D1013" s="22">
        <v>1</v>
      </c>
      <c r="E1013" s="22">
        <v>1938.31</v>
      </c>
    </row>
    <row r="1014" spans="1:5">
      <c r="A1014" s="22" t="s">
        <v>1045</v>
      </c>
      <c r="B1014" s="22" t="s">
        <v>723</v>
      </c>
      <c r="C1014" s="22" t="s">
        <v>41</v>
      </c>
      <c r="D1014" s="22">
        <v>0</v>
      </c>
      <c r="E1014" s="22">
        <v>0</v>
      </c>
    </row>
    <row r="1015" spans="1:5">
      <c r="A1015" s="22" t="s">
        <v>1046</v>
      </c>
      <c r="B1015" s="22" t="s">
        <v>723</v>
      </c>
      <c r="C1015" s="22" t="s">
        <v>29</v>
      </c>
      <c r="D1015" s="22">
        <v>0</v>
      </c>
      <c r="E1015" s="22">
        <v>0</v>
      </c>
    </row>
    <row r="1016" spans="1:5">
      <c r="A1016" s="22" t="s">
        <v>1047</v>
      </c>
      <c r="B1016" s="22" t="s">
        <v>723</v>
      </c>
      <c r="C1016" s="22" t="s">
        <v>39</v>
      </c>
      <c r="D1016" s="22">
        <v>0</v>
      </c>
      <c r="E1016" s="22">
        <v>0</v>
      </c>
    </row>
    <row r="1017" spans="1:5">
      <c r="A1017" s="22" t="s">
        <v>1048</v>
      </c>
      <c r="B1017" s="22" t="s">
        <v>723</v>
      </c>
      <c r="C1017" s="22" t="s">
        <v>25</v>
      </c>
      <c r="D1017" s="22">
        <v>0</v>
      </c>
      <c r="E1017" s="22">
        <v>0</v>
      </c>
    </row>
    <row r="1018" spans="1:5">
      <c r="A1018" s="22" t="s">
        <v>1049</v>
      </c>
      <c r="B1018" s="22" t="s">
        <v>723</v>
      </c>
      <c r="C1018" s="22" t="s">
        <v>29</v>
      </c>
      <c r="D1018" s="22">
        <v>0</v>
      </c>
      <c r="E1018" s="22">
        <v>0</v>
      </c>
    </row>
    <row r="1019" spans="1:5">
      <c r="A1019" s="22" t="s">
        <v>1050</v>
      </c>
      <c r="B1019" s="22" t="s">
        <v>723</v>
      </c>
      <c r="C1019" s="22" t="s">
        <v>1482</v>
      </c>
      <c r="D1019" s="22">
        <v>0</v>
      </c>
      <c r="E1019" s="22">
        <v>0</v>
      </c>
    </row>
    <row r="1020" spans="1:5">
      <c r="A1020" s="22" t="s">
        <v>1051</v>
      </c>
      <c r="B1020" s="22" t="s">
        <v>723</v>
      </c>
      <c r="C1020" s="22" t="s">
        <v>25</v>
      </c>
      <c r="D1020" s="22">
        <v>0</v>
      </c>
      <c r="E1020" s="22">
        <v>0</v>
      </c>
    </row>
    <row r="1021" spans="1:5">
      <c r="A1021" s="22" t="s">
        <v>1052</v>
      </c>
      <c r="B1021" s="22" t="s">
        <v>723</v>
      </c>
      <c r="C1021" s="22" t="s">
        <v>29</v>
      </c>
      <c r="D1021" s="22">
        <v>0</v>
      </c>
      <c r="E1021" s="22">
        <v>0</v>
      </c>
    </row>
    <row r="1022" spans="1:5">
      <c r="A1022" s="22" t="s">
        <v>1053</v>
      </c>
      <c r="B1022" s="22" t="s">
        <v>723</v>
      </c>
      <c r="C1022" s="22" t="s">
        <v>29</v>
      </c>
      <c r="D1022" s="22">
        <v>0</v>
      </c>
      <c r="E1022" s="22">
        <v>0</v>
      </c>
    </row>
    <row r="1023" spans="1:5">
      <c r="A1023" s="22" t="s">
        <v>1054</v>
      </c>
      <c r="B1023" s="22" t="s">
        <v>723</v>
      </c>
      <c r="C1023" s="22" t="s">
        <v>25</v>
      </c>
      <c r="D1023" s="22">
        <v>0</v>
      </c>
      <c r="E1023" s="22">
        <v>0</v>
      </c>
    </row>
    <row r="1024" spans="1:5">
      <c r="A1024" s="22" t="s">
        <v>1055</v>
      </c>
      <c r="B1024" s="22" t="s">
        <v>723</v>
      </c>
      <c r="C1024" s="22" t="s">
        <v>29</v>
      </c>
      <c r="D1024" s="22">
        <v>0</v>
      </c>
      <c r="E1024" s="22">
        <v>0</v>
      </c>
    </row>
    <row r="1025" spans="1:5">
      <c r="A1025" s="22" t="s">
        <v>1056</v>
      </c>
      <c r="B1025" s="22" t="s">
        <v>723</v>
      </c>
      <c r="C1025" s="22" t="s">
        <v>29</v>
      </c>
      <c r="D1025" s="22">
        <v>0</v>
      </c>
      <c r="E1025" s="22">
        <v>0</v>
      </c>
    </row>
    <row r="1026" spans="1:5">
      <c r="A1026" s="22" t="s">
        <v>1057</v>
      </c>
      <c r="B1026" s="22" t="s">
        <v>723</v>
      </c>
      <c r="C1026" s="22" t="s">
        <v>41</v>
      </c>
      <c r="D1026" s="22">
        <v>1</v>
      </c>
      <c r="E1026" s="22">
        <v>1906.23</v>
      </c>
    </row>
    <row r="1027" spans="1:5">
      <c r="A1027" s="22" t="s">
        <v>1058</v>
      </c>
      <c r="B1027" s="22" t="s">
        <v>723</v>
      </c>
      <c r="C1027" s="22" t="s">
        <v>39</v>
      </c>
      <c r="D1027" s="22">
        <v>0</v>
      </c>
      <c r="E1027" s="22">
        <v>0</v>
      </c>
    </row>
    <row r="1028" spans="1:5">
      <c r="A1028" s="22" t="s">
        <v>1059</v>
      </c>
      <c r="B1028" s="22" t="s">
        <v>723</v>
      </c>
      <c r="C1028" s="22" t="s">
        <v>20</v>
      </c>
      <c r="D1028" s="22">
        <v>0</v>
      </c>
      <c r="E1028" s="22">
        <v>0</v>
      </c>
    </row>
    <row r="1029" spans="1:5">
      <c r="A1029" s="22" t="s">
        <v>1060</v>
      </c>
      <c r="B1029" s="22" t="s">
        <v>723</v>
      </c>
      <c r="C1029" s="22" t="s">
        <v>41</v>
      </c>
      <c r="D1029" s="22">
        <v>0</v>
      </c>
      <c r="E1029" s="22">
        <v>0</v>
      </c>
    </row>
    <row r="1030" spans="1:5">
      <c r="A1030" s="22" t="s">
        <v>1061</v>
      </c>
      <c r="B1030" s="22" t="s">
        <v>723</v>
      </c>
      <c r="C1030" s="22" t="s">
        <v>29</v>
      </c>
      <c r="D1030" s="22">
        <v>0</v>
      </c>
      <c r="E1030" s="22">
        <v>0</v>
      </c>
    </row>
    <row r="1031" spans="1:5">
      <c r="A1031" s="22" t="s">
        <v>1062</v>
      </c>
      <c r="B1031" s="22" t="s">
        <v>723</v>
      </c>
      <c r="C1031" s="22" t="s">
        <v>25</v>
      </c>
      <c r="D1031" s="22">
        <v>0</v>
      </c>
      <c r="E1031" s="22">
        <v>0</v>
      </c>
    </row>
    <row r="1032" spans="1:5">
      <c r="A1032" s="22" t="s">
        <v>1063</v>
      </c>
      <c r="B1032" s="22" t="s">
        <v>723</v>
      </c>
      <c r="C1032" s="22" t="s">
        <v>39</v>
      </c>
      <c r="D1032" s="22">
        <v>0</v>
      </c>
      <c r="E1032" s="22">
        <v>0</v>
      </c>
    </row>
    <row r="1033" spans="1:5">
      <c r="A1033" s="22" t="s">
        <v>1064</v>
      </c>
      <c r="B1033" s="22" t="s">
        <v>723</v>
      </c>
      <c r="C1033" s="22" t="s">
        <v>29</v>
      </c>
      <c r="D1033" s="22">
        <v>0</v>
      </c>
      <c r="E1033" s="22">
        <v>0</v>
      </c>
    </row>
    <row r="1034" spans="1:5">
      <c r="A1034" s="22" t="s">
        <v>1065</v>
      </c>
      <c r="B1034" s="22" t="s">
        <v>723</v>
      </c>
      <c r="C1034" s="22" t="s">
        <v>25</v>
      </c>
      <c r="D1034" s="22">
        <v>0</v>
      </c>
      <c r="E1034" s="22">
        <v>0</v>
      </c>
    </row>
    <row r="1035" spans="1:5">
      <c r="A1035" s="22" t="s">
        <v>1066</v>
      </c>
      <c r="B1035" s="22" t="s">
        <v>723</v>
      </c>
      <c r="C1035" s="22" t="s">
        <v>25</v>
      </c>
      <c r="D1035" s="22">
        <v>0</v>
      </c>
      <c r="E1035" s="22">
        <v>0</v>
      </c>
    </row>
    <row r="1036" spans="1:5">
      <c r="A1036" s="22" t="s">
        <v>1067</v>
      </c>
      <c r="B1036" s="22" t="s">
        <v>723</v>
      </c>
      <c r="C1036" s="22" t="s">
        <v>29</v>
      </c>
      <c r="D1036" s="22">
        <v>0</v>
      </c>
      <c r="E1036" s="22">
        <v>0</v>
      </c>
    </row>
    <row r="1037" spans="1:5">
      <c r="A1037" s="22" t="s">
        <v>1068</v>
      </c>
      <c r="B1037" s="22" t="s">
        <v>723</v>
      </c>
      <c r="C1037" s="22" t="s">
        <v>41</v>
      </c>
      <c r="D1037" s="22">
        <v>0</v>
      </c>
      <c r="E1037" s="22">
        <v>0</v>
      </c>
    </row>
    <row r="1038" spans="1:5">
      <c r="A1038" s="22" t="s">
        <v>1069</v>
      </c>
      <c r="B1038" s="22" t="s">
        <v>723</v>
      </c>
      <c r="C1038" s="22" t="s">
        <v>41</v>
      </c>
      <c r="D1038" s="22">
        <v>0</v>
      </c>
      <c r="E1038" s="22">
        <v>0</v>
      </c>
    </row>
    <row r="1039" spans="1:5">
      <c r="A1039" s="22" t="s">
        <v>1070</v>
      </c>
      <c r="B1039" s="22" t="s">
        <v>723</v>
      </c>
      <c r="C1039" s="22" t="s">
        <v>41</v>
      </c>
      <c r="D1039" s="22">
        <v>0</v>
      </c>
      <c r="E1039" s="22">
        <v>0</v>
      </c>
    </row>
    <row r="1040" spans="1:5">
      <c r="A1040" s="22" t="s">
        <v>1071</v>
      </c>
      <c r="B1040" s="22" t="s">
        <v>723</v>
      </c>
      <c r="C1040" s="22" t="s">
        <v>29</v>
      </c>
      <c r="D1040" s="22">
        <v>0</v>
      </c>
      <c r="E1040" s="22">
        <v>0</v>
      </c>
    </row>
    <row r="1041" spans="1:5">
      <c r="A1041" s="22" t="s">
        <v>1072</v>
      </c>
      <c r="B1041" s="22" t="s">
        <v>723</v>
      </c>
      <c r="C1041" s="22" t="s">
        <v>25</v>
      </c>
      <c r="D1041" s="22">
        <v>0</v>
      </c>
      <c r="E1041" s="22">
        <v>0</v>
      </c>
    </row>
    <row r="1042" spans="1:5">
      <c r="A1042" s="22" t="s">
        <v>1073</v>
      </c>
      <c r="B1042" s="22" t="s">
        <v>723</v>
      </c>
      <c r="C1042" s="22" t="s">
        <v>39</v>
      </c>
      <c r="D1042" s="22">
        <v>0</v>
      </c>
      <c r="E1042" s="22">
        <v>0</v>
      </c>
    </row>
    <row r="1043" spans="1:5">
      <c r="A1043" s="22" t="s">
        <v>1074</v>
      </c>
      <c r="B1043" s="22" t="s">
        <v>723</v>
      </c>
      <c r="C1043" s="22" t="s">
        <v>25</v>
      </c>
      <c r="D1043" s="22">
        <v>0</v>
      </c>
      <c r="E1043" s="22">
        <v>0</v>
      </c>
    </row>
    <row r="1044" spans="1:5">
      <c r="A1044" s="22" t="s">
        <v>1075</v>
      </c>
      <c r="B1044" s="22" t="s">
        <v>723</v>
      </c>
      <c r="C1044" s="22" t="s">
        <v>25</v>
      </c>
      <c r="D1044" s="22">
        <v>0</v>
      </c>
      <c r="E1044" s="22">
        <v>0</v>
      </c>
    </row>
    <row r="1045" spans="1:5">
      <c r="A1045" s="22" t="s">
        <v>1076</v>
      </c>
      <c r="B1045" s="22" t="s">
        <v>723</v>
      </c>
      <c r="C1045" s="22" t="s">
        <v>29</v>
      </c>
      <c r="D1045" s="22">
        <v>0</v>
      </c>
      <c r="E1045" s="22">
        <v>0</v>
      </c>
    </row>
    <row r="1046" spans="1:5">
      <c r="A1046" s="22" t="s">
        <v>1077</v>
      </c>
      <c r="B1046" s="22" t="s">
        <v>723</v>
      </c>
      <c r="C1046" s="22" t="s">
        <v>1482</v>
      </c>
      <c r="D1046" s="22">
        <v>0</v>
      </c>
      <c r="E1046" s="22">
        <v>0</v>
      </c>
    </row>
    <row r="1047" spans="1:5">
      <c r="A1047" s="22" t="s">
        <v>1078</v>
      </c>
      <c r="B1047" s="22" t="s">
        <v>723</v>
      </c>
      <c r="C1047" s="22" t="s">
        <v>29</v>
      </c>
      <c r="D1047" s="22">
        <v>0</v>
      </c>
      <c r="E1047" s="22">
        <v>0</v>
      </c>
    </row>
    <row r="1048" spans="1:5">
      <c r="A1048" s="22" t="s">
        <v>1079</v>
      </c>
      <c r="B1048" s="22" t="s">
        <v>723</v>
      </c>
      <c r="C1048" s="22" t="s">
        <v>25</v>
      </c>
      <c r="D1048" s="22">
        <v>0</v>
      </c>
      <c r="E1048" s="22">
        <v>0</v>
      </c>
    </row>
    <row r="1049" spans="1:5">
      <c r="A1049" s="22" t="s">
        <v>1080</v>
      </c>
      <c r="B1049" s="22" t="s">
        <v>723</v>
      </c>
      <c r="C1049" s="22" t="s">
        <v>29</v>
      </c>
      <c r="D1049" s="22">
        <v>0</v>
      </c>
      <c r="E1049" s="22">
        <v>0</v>
      </c>
    </row>
    <row r="1050" spans="1:5">
      <c r="A1050" s="22" t="s">
        <v>1081</v>
      </c>
      <c r="B1050" s="22" t="s">
        <v>723</v>
      </c>
      <c r="C1050" s="22" t="s">
        <v>41</v>
      </c>
      <c r="D1050" s="22">
        <v>0</v>
      </c>
      <c r="E1050" s="22">
        <v>0</v>
      </c>
    </row>
    <row r="1051" spans="1:5">
      <c r="A1051" s="22" t="s">
        <v>1082</v>
      </c>
      <c r="B1051" s="22" t="s">
        <v>723</v>
      </c>
      <c r="C1051" s="22" t="s">
        <v>29</v>
      </c>
      <c r="D1051" s="22">
        <v>0</v>
      </c>
      <c r="E1051" s="22">
        <v>0</v>
      </c>
    </row>
    <row r="1052" spans="1:5">
      <c r="A1052" s="22" t="s">
        <v>1083</v>
      </c>
      <c r="B1052" s="22" t="s">
        <v>723</v>
      </c>
      <c r="C1052" s="22" t="s">
        <v>20</v>
      </c>
      <c r="D1052" s="22">
        <v>0</v>
      </c>
      <c r="E1052" s="22">
        <v>0</v>
      </c>
    </row>
    <row r="1053" spans="1:5">
      <c r="A1053" s="22" t="s">
        <v>1084</v>
      </c>
      <c r="B1053" s="22" t="s">
        <v>723</v>
      </c>
      <c r="C1053" s="22" t="s">
        <v>41</v>
      </c>
      <c r="D1053" s="22">
        <v>0</v>
      </c>
      <c r="E1053" s="22">
        <v>0</v>
      </c>
    </row>
    <row r="1054" spans="1:5">
      <c r="A1054" s="22" t="s">
        <v>1085</v>
      </c>
      <c r="B1054" s="22" t="s">
        <v>723</v>
      </c>
      <c r="C1054" s="22" t="s">
        <v>20</v>
      </c>
      <c r="D1054" s="22">
        <v>1</v>
      </c>
      <c r="E1054" s="22">
        <v>268.95999999999998</v>
      </c>
    </row>
    <row r="1055" spans="1:5">
      <c r="A1055" s="22" t="s">
        <v>1086</v>
      </c>
      <c r="B1055" s="22" t="s">
        <v>723</v>
      </c>
      <c r="C1055" s="22" t="s">
        <v>25</v>
      </c>
      <c r="D1055" s="22">
        <v>0</v>
      </c>
      <c r="E1055" s="22">
        <v>0</v>
      </c>
    </row>
    <row r="1056" spans="1:5">
      <c r="A1056" s="22" t="s">
        <v>1087</v>
      </c>
      <c r="B1056" s="22" t="s">
        <v>723</v>
      </c>
      <c r="C1056" s="22" t="s">
        <v>25</v>
      </c>
      <c r="D1056" s="22">
        <v>0</v>
      </c>
      <c r="E1056" s="22">
        <v>0</v>
      </c>
    </row>
    <row r="1057" spans="1:5">
      <c r="A1057" s="22" t="s">
        <v>1088</v>
      </c>
      <c r="B1057" s="22" t="s">
        <v>723</v>
      </c>
      <c r="C1057" s="22" t="s">
        <v>41</v>
      </c>
      <c r="D1057" s="22">
        <v>0</v>
      </c>
      <c r="E1057" s="22">
        <v>0</v>
      </c>
    </row>
    <row r="1058" spans="1:5">
      <c r="A1058" s="22" t="s">
        <v>1089</v>
      </c>
      <c r="B1058" s="22" t="s">
        <v>723</v>
      </c>
      <c r="C1058" s="22" t="s">
        <v>29</v>
      </c>
      <c r="D1058" s="22">
        <v>0</v>
      </c>
      <c r="E1058" s="22">
        <v>0</v>
      </c>
    </row>
    <row r="1059" spans="1:5">
      <c r="A1059" s="22" t="s">
        <v>1090</v>
      </c>
      <c r="B1059" s="22" t="s">
        <v>723</v>
      </c>
      <c r="C1059" s="22" t="s">
        <v>29</v>
      </c>
      <c r="D1059" s="22">
        <v>0</v>
      </c>
      <c r="E1059" s="22">
        <v>0</v>
      </c>
    </row>
    <row r="1060" spans="1:5">
      <c r="A1060" s="22" t="s">
        <v>1091</v>
      </c>
      <c r="B1060" s="22" t="s">
        <v>723</v>
      </c>
      <c r="C1060" s="22" t="s">
        <v>25</v>
      </c>
      <c r="D1060" s="22">
        <v>0</v>
      </c>
      <c r="E1060" s="22">
        <v>0</v>
      </c>
    </row>
    <row r="1061" spans="1:5">
      <c r="A1061" s="22" t="s">
        <v>1092</v>
      </c>
      <c r="B1061" s="22" t="s">
        <v>723</v>
      </c>
      <c r="C1061" s="22" t="s">
        <v>29</v>
      </c>
      <c r="D1061" s="22">
        <v>0</v>
      </c>
      <c r="E1061" s="22">
        <v>0</v>
      </c>
    </row>
    <row r="1062" spans="1:5">
      <c r="A1062" s="22" t="s">
        <v>1093</v>
      </c>
      <c r="B1062" s="22" t="s">
        <v>723</v>
      </c>
      <c r="C1062" s="22" t="s">
        <v>41</v>
      </c>
      <c r="D1062" s="22">
        <v>0</v>
      </c>
      <c r="E1062" s="22">
        <v>0</v>
      </c>
    </row>
    <row r="1063" spans="1:5">
      <c r="A1063" s="22" t="s">
        <v>1094</v>
      </c>
      <c r="B1063" s="22" t="s">
        <v>723</v>
      </c>
      <c r="C1063" s="22" t="s">
        <v>29</v>
      </c>
      <c r="D1063" s="22">
        <v>1</v>
      </c>
      <c r="E1063" s="22">
        <v>437.09</v>
      </c>
    </row>
    <row r="1064" spans="1:5">
      <c r="A1064" s="22" t="s">
        <v>1095</v>
      </c>
      <c r="B1064" s="22" t="s">
        <v>723</v>
      </c>
      <c r="C1064" s="22" t="s">
        <v>29</v>
      </c>
      <c r="D1064" s="22">
        <v>0</v>
      </c>
      <c r="E1064" s="22">
        <v>0</v>
      </c>
    </row>
    <row r="1065" spans="1:5">
      <c r="A1065" s="22" t="s">
        <v>1096</v>
      </c>
      <c r="B1065" s="22" t="s">
        <v>723</v>
      </c>
      <c r="C1065" s="22" t="s">
        <v>25</v>
      </c>
      <c r="D1065" s="22">
        <v>0</v>
      </c>
      <c r="E1065" s="22">
        <v>0</v>
      </c>
    </row>
    <row r="1066" spans="1:5">
      <c r="A1066" s="22" t="s">
        <v>1097</v>
      </c>
      <c r="B1066" s="22" t="s">
        <v>723</v>
      </c>
      <c r="C1066" s="22" t="s">
        <v>41</v>
      </c>
      <c r="D1066" s="22">
        <v>0</v>
      </c>
      <c r="E1066" s="22">
        <v>0</v>
      </c>
    </row>
    <row r="1067" spans="1:5">
      <c r="A1067" s="22" t="s">
        <v>1098</v>
      </c>
      <c r="B1067" s="22" t="s">
        <v>723</v>
      </c>
      <c r="C1067" s="22" t="s">
        <v>39</v>
      </c>
      <c r="D1067" s="22">
        <v>0</v>
      </c>
      <c r="E1067" s="22">
        <v>0</v>
      </c>
    </row>
    <row r="1068" spans="1:5">
      <c r="A1068" s="22" t="s">
        <v>1099</v>
      </c>
      <c r="B1068" s="22" t="s">
        <v>723</v>
      </c>
      <c r="C1068" s="22" t="s">
        <v>29</v>
      </c>
      <c r="D1068" s="22">
        <v>0</v>
      </c>
      <c r="E1068" s="22">
        <v>0</v>
      </c>
    </row>
    <row r="1069" spans="1:5">
      <c r="A1069" s="22" t="s">
        <v>1100</v>
      </c>
      <c r="B1069" s="22" t="s">
        <v>723</v>
      </c>
      <c r="C1069" s="22" t="s">
        <v>39</v>
      </c>
      <c r="D1069" s="22">
        <v>0</v>
      </c>
      <c r="E1069" s="22">
        <v>0</v>
      </c>
    </row>
    <row r="1070" spans="1:5">
      <c r="A1070" s="22" t="s">
        <v>1101</v>
      </c>
      <c r="B1070" s="22" t="s">
        <v>723</v>
      </c>
      <c r="C1070" s="22" t="s">
        <v>25</v>
      </c>
      <c r="D1070" s="22">
        <v>0</v>
      </c>
      <c r="E1070" s="22">
        <v>0</v>
      </c>
    </row>
    <row r="1071" spans="1:5">
      <c r="A1071" s="22" t="s">
        <v>1102</v>
      </c>
      <c r="B1071" s="22" t="s">
        <v>723</v>
      </c>
      <c r="C1071" s="22" t="s">
        <v>29</v>
      </c>
      <c r="D1071" s="22">
        <v>0</v>
      </c>
      <c r="E1071" s="22">
        <v>0</v>
      </c>
    </row>
    <row r="1072" spans="1:5">
      <c r="A1072" s="22" t="s">
        <v>1103</v>
      </c>
      <c r="B1072" s="22" t="s">
        <v>723</v>
      </c>
      <c r="C1072" s="22" t="s">
        <v>39</v>
      </c>
      <c r="D1072" s="22">
        <v>0</v>
      </c>
      <c r="E1072" s="22">
        <v>0</v>
      </c>
    </row>
    <row r="1073" spans="1:5">
      <c r="A1073" s="22" t="s">
        <v>1104</v>
      </c>
      <c r="B1073" s="22" t="s">
        <v>723</v>
      </c>
      <c r="C1073" s="22" t="s">
        <v>25</v>
      </c>
      <c r="D1073" s="22">
        <v>0</v>
      </c>
      <c r="E1073" s="22">
        <v>0</v>
      </c>
    </row>
    <row r="1074" spans="1:5">
      <c r="A1074" s="22" t="s">
        <v>1105</v>
      </c>
      <c r="B1074" s="22" t="s">
        <v>723</v>
      </c>
      <c r="C1074" s="22" t="s">
        <v>39</v>
      </c>
      <c r="D1074" s="22">
        <v>0</v>
      </c>
      <c r="E1074" s="22">
        <v>0</v>
      </c>
    </row>
    <row r="1075" spans="1:5">
      <c r="A1075" s="22" t="s">
        <v>1106</v>
      </c>
      <c r="B1075" s="22" t="s">
        <v>723</v>
      </c>
      <c r="C1075" s="22" t="s">
        <v>25</v>
      </c>
      <c r="D1075" s="22">
        <v>1</v>
      </c>
      <c r="E1075" s="22">
        <v>331.53</v>
      </c>
    </row>
    <row r="1076" spans="1:5">
      <c r="A1076" s="22" t="s">
        <v>1107</v>
      </c>
      <c r="B1076" s="22" t="s">
        <v>723</v>
      </c>
      <c r="C1076" s="22" t="s">
        <v>29</v>
      </c>
      <c r="D1076" s="22">
        <v>0</v>
      </c>
      <c r="E1076" s="22">
        <v>0</v>
      </c>
    </row>
    <row r="1077" spans="1:5">
      <c r="A1077" s="22" t="s">
        <v>1108</v>
      </c>
      <c r="B1077" s="22" t="s">
        <v>723</v>
      </c>
      <c r="C1077" s="22" t="s">
        <v>25</v>
      </c>
      <c r="D1077" s="22">
        <v>0</v>
      </c>
      <c r="E1077" s="22">
        <v>0</v>
      </c>
    </row>
    <row r="1078" spans="1:5">
      <c r="A1078" s="22" t="s">
        <v>1109</v>
      </c>
      <c r="B1078" s="22" t="s">
        <v>723</v>
      </c>
      <c r="C1078" s="22" t="s">
        <v>25</v>
      </c>
      <c r="D1078" s="22">
        <v>1</v>
      </c>
      <c r="E1078" s="22">
        <v>774.78</v>
      </c>
    </row>
    <row r="1079" spans="1:5">
      <c r="A1079" s="22" t="s">
        <v>1110</v>
      </c>
      <c r="B1079" s="22" t="s">
        <v>723</v>
      </c>
      <c r="C1079" s="22" t="s">
        <v>25</v>
      </c>
      <c r="D1079" s="22">
        <v>1</v>
      </c>
      <c r="E1079" s="22">
        <v>422.02</v>
      </c>
    </row>
    <row r="1080" spans="1:5">
      <c r="A1080" s="22" t="s">
        <v>1111</v>
      </c>
      <c r="B1080" s="22" t="s">
        <v>723</v>
      </c>
      <c r="C1080" s="22" t="s">
        <v>20</v>
      </c>
      <c r="D1080" s="22">
        <v>0</v>
      </c>
      <c r="E1080" s="22">
        <v>0</v>
      </c>
    </row>
    <row r="1081" spans="1:5">
      <c r="A1081" s="22" t="s">
        <v>1112</v>
      </c>
      <c r="B1081" s="22" t="s">
        <v>723</v>
      </c>
      <c r="C1081" s="22" t="s">
        <v>25</v>
      </c>
      <c r="D1081" s="22">
        <v>0</v>
      </c>
      <c r="E1081" s="22">
        <v>0</v>
      </c>
    </row>
    <row r="1082" spans="1:5">
      <c r="A1082" s="22" t="s">
        <v>1113</v>
      </c>
      <c r="B1082" s="22" t="s">
        <v>723</v>
      </c>
      <c r="C1082" s="22" t="s">
        <v>25</v>
      </c>
      <c r="D1082" s="22">
        <v>0</v>
      </c>
      <c r="E1082" s="22">
        <v>0</v>
      </c>
    </row>
    <row r="1083" spans="1:5">
      <c r="A1083" s="22" t="s">
        <v>1114</v>
      </c>
      <c r="B1083" s="22" t="s">
        <v>723</v>
      </c>
      <c r="C1083" s="22" t="s">
        <v>29</v>
      </c>
      <c r="D1083" s="22">
        <v>0</v>
      </c>
      <c r="E1083" s="22">
        <v>0</v>
      </c>
    </row>
    <row r="1084" spans="1:5">
      <c r="A1084" s="22" t="s">
        <v>1115</v>
      </c>
      <c r="B1084" s="22" t="s">
        <v>723</v>
      </c>
      <c r="C1084" s="22" t="s">
        <v>25</v>
      </c>
      <c r="D1084" s="22">
        <v>0</v>
      </c>
      <c r="E1084" s="22">
        <v>0</v>
      </c>
    </row>
    <row r="1085" spans="1:5">
      <c r="A1085" s="22" t="s">
        <v>1116</v>
      </c>
      <c r="B1085" s="22" t="s">
        <v>723</v>
      </c>
      <c r="C1085" s="22" t="s">
        <v>39</v>
      </c>
      <c r="D1085" s="22">
        <v>0</v>
      </c>
      <c r="E1085" s="22">
        <v>0</v>
      </c>
    </row>
    <row r="1086" spans="1:5">
      <c r="A1086" s="22" t="s">
        <v>1117</v>
      </c>
      <c r="B1086" s="22" t="s">
        <v>723</v>
      </c>
      <c r="C1086" s="22" t="s">
        <v>41</v>
      </c>
      <c r="D1086" s="22">
        <v>0</v>
      </c>
      <c r="E1086" s="22">
        <v>0</v>
      </c>
    </row>
    <row r="1087" spans="1:5">
      <c r="A1087" s="22" t="s">
        <v>1118</v>
      </c>
      <c r="B1087" s="22" t="s">
        <v>723</v>
      </c>
      <c r="C1087" s="22" t="s">
        <v>41</v>
      </c>
      <c r="D1087" s="22">
        <v>0</v>
      </c>
      <c r="E1087" s="22">
        <v>0</v>
      </c>
    </row>
    <row r="1088" spans="1:5">
      <c r="A1088" s="22" t="s">
        <v>1119</v>
      </c>
      <c r="B1088" s="22" t="s">
        <v>723</v>
      </c>
      <c r="C1088" s="22" t="s">
        <v>29</v>
      </c>
      <c r="D1088" s="22">
        <v>0</v>
      </c>
      <c r="E1088" s="22">
        <v>0</v>
      </c>
    </row>
    <row r="1089" spans="1:5">
      <c r="A1089" s="22" t="s">
        <v>1120</v>
      </c>
      <c r="B1089" s="22" t="s">
        <v>723</v>
      </c>
      <c r="C1089" s="22" t="s">
        <v>39</v>
      </c>
      <c r="D1089" s="22">
        <v>0</v>
      </c>
      <c r="E1089" s="22">
        <v>0</v>
      </c>
    </row>
    <row r="1090" spans="1:5">
      <c r="A1090" s="22" t="s">
        <v>1121</v>
      </c>
      <c r="B1090" s="22" t="s">
        <v>723</v>
      </c>
      <c r="C1090" s="22" t="s">
        <v>41</v>
      </c>
      <c r="D1090" s="22">
        <v>0</v>
      </c>
      <c r="E1090" s="22">
        <v>0</v>
      </c>
    </row>
    <row r="1091" spans="1:5">
      <c r="A1091" s="22" t="s">
        <v>1122</v>
      </c>
      <c r="B1091" s="22" t="s">
        <v>723</v>
      </c>
      <c r="C1091" s="22" t="s">
        <v>20</v>
      </c>
      <c r="D1091" s="22">
        <v>0</v>
      </c>
      <c r="E1091" s="22">
        <v>0</v>
      </c>
    </row>
    <row r="1092" spans="1:5">
      <c r="A1092" s="22" t="s">
        <v>1123</v>
      </c>
      <c r="B1092" s="22" t="s">
        <v>723</v>
      </c>
      <c r="C1092" s="22" t="s">
        <v>29</v>
      </c>
      <c r="D1092" s="22">
        <v>0</v>
      </c>
      <c r="E1092" s="22">
        <v>0</v>
      </c>
    </row>
    <row r="1093" spans="1:5">
      <c r="A1093" s="22" t="s">
        <v>1124</v>
      </c>
      <c r="B1093" s="22" t="s">
        <v>723</v>
      </c>
      <c r="C1093" s="22" t="s">
        <v>25</v>
      </c>
      <c r="D1093" s="22">
        <v>0</v>
      </c>
      <c r="E1093" s="22">
        <v>0</v>
      </c>
    </row>
    <row r="1094" spans="1:5">
      <c r="A1094" s="22" t="s">
        <v>1125</v>
      </c>
      <c r="B1094" s="22" t="s">
        <v>723</v>
      </c>
      <c r="C1094" s="22" t="s">
        <v>29</v>
      </c>
      <c r="D1094" s="22">
        <v>0</v>
      </c>
      <c r="E1094" s="22">
        <v>0</v>
      </c>
    </row>
    <row r="1095" spans="1:5">
      <c r="A1095" s="22" t="s">
        <v>1126</v>
      </c>
      <c r="B1095" s="22" t="s">
        <v>723</v>
      </c>
      <c r="C1095" s="22" t="s">
        <v>20</v>
      </c>
      <c r="D1095" s="22">
        <v>0</v>
      </c>
      <c r="E1095" s="22">
        <v>0</v>
      </c>
    </row>
    <row r="1096" spans="1:5">
      <c r="A1096" s="22" t="s">
        <v>1127</v>
      </c>
      <c r="B1096" s="22" t="s">
        <v>723</v>
      </c>
      <c r="C1096" s="22" t="s">
        <v>25</v>
      </c>
      <c r="D1096" s="22">
        <v>0</v>
      </c>
      <c r="E1096" s="22">
        <v>0</v>
      </c>
    </row>
    <row r="1097" spans="1:5">
      <c r="A1097" s="22" t="s">
        <v>1128</v>
      </c>
      <c r="B1097" s="22" t="s">
        <v>723</v>
      </c>
      <c r="C1097" s="22" t="s">
        <v>41</v>
      </c>
      <c r="D1097" s="22">
        <v>0</v>
      </c>
      <c r="E1097" s="22">
        <v>0</v>
      </c>
    </row>
    <row r="1098" spans="1:5">
      <c r="A1098" s="22" t="s">
        <v>1129</v>
      </c>
      <c r="B1098" s="22" t="s">
        <v>723</v>
      </c>
      <c r="C1098" s="22" t="s">
        <v>39</v>
      </c>
      <c r="D1098" s="22">
        <v>0</v>
      </c>
      <c r="E1098" s="22">
        <v>0</v>
      </c>
    </row>
    <row r="1099" spans="1:5">
      <c r="A1099" s="22" t="s">
        <v>1130</v>
      </c>
      <c r="B1099" s="22" t="s">
        <v>723</v>
      </c>
      <c r="C1099" s="22" t="s">
        <v>29</v>
      </c>
      <c r="D1099" s="22">
        <v>0</v>
      </c>
      <c r="E1099" s="22">
        <v>0</v>
      </c>
    </row>
    <row r="1100" spans="1:5">
      <c r="A1100" s="22" t="s">
        <v>1131</v>
      </c>
      <c r="B1100" s="22" t="s">
        <v>723</v>
      </c>
      <c r="C1100" s="22" t="s">
        <v>29</v>
      </c>
      <c r="D1100" s="22">
        <v>0</v>
      </c>
      <c r="E1100" s="22">
        <v>0</v>
      </c>
    </row>
    <row r="1101" spans="1:5">
      <c r="A1101" s="22" t="s">
        <v>1132</v>
      </c>
      <c r="B1101" s="22" t="s">
        <v>723</v>
      </c>
      <c r="C1101" s="22" t="s">
        <v>25</v>
      </c>
      <c r="D1101" s="22">
        <v>0</v>
      </c>
      <c r="E1101" s="22">
        <v>0</v>
      </c>
    </row>
    <row r="1102" spans="1:5">
      <c r="A1102" s="22" t="s">
        <v>1133</v>
      </c>
      <c r="B1102" s="22" t="s">
        <v>723</v>
      </c>
      <c r="C1102" s="22" t="s">
        <v>29</v>
      </c>
      <c r="D1102" s="22">
        <v>0</v>
      </c>
      <c r="E1102" s="22">
        <v>0</v>
      </c>
    </row>
    <row r="1103" spans="1:5">
      <c r="A1103" s="22" t="s">
        <v>1134</v>
      </c>
      <c r="B1103" s="22" t="s">
        <v>723</v>
      </c>
      <c r="C1103" s="22" t="s">
        <v>41</v>
      </c>
      <c r="D1103" s="22">
        <v>0</v>
      </c>
      <c r="E1103" s="22">
        <v>0</v>
      </c>
    </row>
    <row r="1104" spans="1:5">
      <c r="A1104" s="22" t="s">
        <v>1135</v>
      </c>
      <c r="B1104" s="22" t="s">
        <v>723</v>
      </c>
      <c r="C1104" s="22" t="s">
        <v>25</v>
      </c>
      <c r="D1104" s="22">
        <v>0</v>
      </c>
      <c r="E1104" s="22">
        <v>0</v>
      </c>
    </row>
    <row r="1105" spans="1:5">
      <c r="A1105" s="22" t="s">
        <v>1136</v>
      </c>
      <c r="B1105" s="22" t="s">
        <v>723</v>
      </c>
      <c r="C1105" s="22" t="s">
        <v>39</v>
      </c>
      <c r="D1105" s="22">
        <v>0</v>
      </c>
      <c r="E1105" s="22">
        <v>0</v>
      </c>
    </row>
    <row r="1106" spans="1:5">
      <c r="A1106" s="22" t="s">
        <v>1137</v>
      </c>
      <c r="B1106" s="22" t="s">
        <v>723</v>
      </c>
      <c r="C1106" s="22" t="s">
        <v>20</v>
      </c>
      <c r="D1106" s="22">
        <v>0</v>
      </c>
      <c r="E1106" s="22">
        <v>0</v>
      </c>
    </row>
    <row r="1107" spans="1:5">
      <c r="A1107" s="22" t="s">
        <v>1138</v>
      </c>
      <c r="B1107" s="22" t="s">
        <v>723</v>
      </c>
      <c r="C1107" s="22" t="s">
        <v>25</v>
      </c>
      <c r="D1107" s="22">
        <v>0</v>
      </c>
      <c r="E1107" s="22">
        <v>0</v>
      </c>
    </row>
    <row r="1108" spans="1:5">
      <c r="A1108" s="22" t="s">
        <v>1139</v>
      </c>
      <c r="B1108" s="22" t="s">
        <v>723</v>
      </c>
      <c r="C1108" s="22" t="s">
        <v>25</v>
      </c>
      <c r="D1108" s="22">
        <v>0</v>
      </c>
      <c r="E1108" s="22">
        <v>0</v>
      </c>
    </row>
    <row r="1109" spans="1:5">
      <c r="A1109" s="22" t="s">
        <v>1140</v>
      </c>
      <c r="B1109" s="22" t="s">
        <v>723</v>
      </c>
      <c r="C1109" s="22" t="s">
        <v>25</v>
      </c>
      <c r="D1109" s="22">
        <v>0</v>
      </c>
      <c r="E1109" s="22">
        <v>0</v>
      </c>
    </row>
    <row r="1110" spans="1:5">
      <c r="A1110" s="22" t="s">
        <v>1141</v>
      </c>
      <c r="B1110" s="22" t="s">
        <v>723</v>
      </c>
      <c r="C1110" s="22" t="s">
        <v>29</v>
      </c>
      <c r="D1110" s="22">
        <v>0</v>
      </c>
      <c r="E1110" s="22">
        <v>0</v>
      </c>
    </row>
    <row r="1111" spans="1:5">
      <c r="A1111" s="22" t="s">
        <v>1142</v>
      </c>
      <c r="B1111" s="22" t="s">
        <v>723</v>
      </c>
      <c r="C1111" s="22" t="s">
        <v>25</v>
      </c>
      <c r="D1111" s="22">
        <v>0</v>
      </c>
      <c r="E1111" s="22">
        <v>0</v>
      </c>
    </row>
    <row r="1112" spans="1:5">
      <c r="A1112" s="22" t="s">
        <v>1143</v>
      </c>
      <c r="B1112" s="22" t="s">
        <v>723</v>
      </c>
      <c r="C1112" s="22" t="s">
        <v>25</v>
      </c>
      <c r="D1112" s="22">
        <v>0</v>
      </c>
      <c r="E1112" s="22">
        <v>0</v>
      </c>
    </row>
    <row r="1113" spans="1:5">
      <c r="A1113" s="22" t="s">
        <v>1144</v>
      </c>
      <c r="B1113" s="22" t="s">
        <v>723</v>
      </c>
      <c r="C1113" s="22" t="s">
        <v>25</v>
      </c>
      <c r="D1113" s="22">
        <v>0</v>
      </c>
      <c r="E1113" s="22">
        <v>0</v>
      </c>
    </row>
    <row r="1114" spans="1:5">
      <c r="A1114" s="22" t="s">
        <v>1145</v>
      </c>
      <c r="B1114" s="22" t="s">
        <v>723</v>
      </c>
      <c r="C1114" s="22" t="s">
        <v>25</v>
      </c>
      <c r="D1114" s="22">
        <v>0</v>
      </c>
      <c r="E1114" s="22">
        <v>0</v>
      </c>
    </row>
    <row r="1115" spans="1:5">
      <c r="A1115" s="22" t="s">
        <v>1146</v>
      </c>
      <c r="B1115" s="22" t="s">
        <v>723</v>
      </c>
      <c r="C1115" s="22" t="s">
        <v>41</v>
      </c>
      <c r="D1115" s="22">
        <v>1</v>
      </c>
      <c r="E1115" s="22">
        <v>416.94</v>
      </c>
    </row>
    <row r="1116" spans="1:5">
      <c r="A1116" s="22" t="s">
        <v>1147</v>
      </c>
      <c r="B1116" s="22" t="s">
        <v>723</v>
      </c>
      <c r="C1116" s="22" t="s">
        <v>39</v>
      </c>
      <c r="D1116" s="22">
        <v>0</v>
      </c>
      <c r="E1116" s="22">
        <v>0</v>
      </c>
    </row>
    <row r="1117" spans="1:5">
      <c r="A1117" s="22" t="s">
        <v>1148</v>
      </c>
      <c r="B1117" s="22" t="s">
        <v>723</v>
      </c>
      <c r="C1117" s="22" t="s">
        <v>29</v>
      </c>
      <c r="D1117" s="22">
        <v>0</v>
      </c>
      <c r="E1117" s="22">
        <v>0</v>
      </c>
    </row>
    <row r="1118" spans="1:5">
      <c r="A1118" s="22" t="s">
        <v>1149</v>
      </c>
      <c r="B1118" s="22" t="s">
        <v>723</v>
      </c>
      <c r="C1118" s="22" t="s">
        <v>25</v>
      </c>
      <c r="D1118" s="22">
        <v>0</v>
      </c>
      <c r="E1118" s="22">
        <v>0</v>
      </c>
    </row>
    <row r="1119" spans="1:5">
      <c r="A1119" s="22" t="s">
        <v>1150</v>
      </c>
      <c r="B1119" s="22" t="s">
        <v>723</v>
      </c>
      <c r="C1119" s="22" t="s">
        <v>29</v>
      </c>
      <c r="D1119" s="22">
        <v>0</v>
      </c>
      <c r="E1119" s="22">
        <v>0</v>
      </c>
    </row>
    <row r="1120" spans="1:5">
      <c r="A1120" s="22" t="s">
        <v>1151</v>
      </c>
      <c r="B1120" s="22" t="s">
        <v>723</v>
      </c>
      <c r="C1120" s="22" t="s">
        <v>41</v>
      </c>
      <c r="D1120" s="22">
        <v>0</v>
      </c>
      <c r="E1120" s="22">
        <v>0</v>
      </c>
    </row>
    <row r="1121" spans="1:5">
      <c r="A1121" s="22" t="s">
        <v>1152</v>
      </c>
      <c r="B1121" s="22" t="s">
        <v>723</v>
      </c>
      <c r="C1121" s="22" t="s">
        <v>25</v>
      </c>
      <c r="D1121" s="22">
        <v>0</v>
      </c>
      <c r="E1121" s="22">
        <v>0</v>
      </c>
    </row>
    <row r="1122" spans="1:5">
      <c r="A1122" s="22" t="s">
        <v>1153</v>
      </c>
      <c r="B1122" s="22" t="s">
        <v>723</v>
      </c>
      <c r="C1122" s="22" t="s">
        <v>29</v>
      </c>
      <c r="D1122" s="22">
        <v>0</v>
      </c>
      <c r="E1122" s="22">
        <v>0</v>
      </c>
    </row>
    <row r="1123" spans="1:5">
      <c r="A1123" s="22" t="s">
        <v>1154</v>
      </c>
      <c r="B1123" s="22" t="s">
        <v>723</v>
      </c>
      <c r="C1123" s="22" t="s">
        <v>25</v>
      </c>
      <c r="D1123" s="22">
        <v>0</v>
      </c>
      <c r="E1123" s="22">
        <v>0</v>
      </c>
    </row>
    <row r="1124" spans="1:5">
      <c r="A1124" s="22" t="s">
        <v>1155</v>
      </c>
      <c r="B1124" s="22" t="s">
        <v>723</v>
      </c>
      <c r="C1124" s="22" t="s">
        <v>25</v>
      </c>
      <c r="D1124" s="22">
        <v>0</v>
      </c>
      <c r="E1124" s="22">
        <v>0</v>
      </c>
    </row>
    <row r="1125" spans="1:5">
      <c r="A1125" s="22" t="s">
        <v>1156</v>
      </c>
      <c r="B1125" s="22" t="s">
        <v>723</v>
      </c>
      <c r="C1125" s="22" t="s">
        <v>29</v>
      </c>
      <c r="D1125" s="22">
        <v>0</v>
      </c>
      <c r="E1125" s="22">
        <v>0</v>
      </c>
    </row>
    <row r="1126" spans="1:5">
      <c r="A1126" s="22" t="s">
        <v>1157</v>
      </c>
      <c r="B1126" s="22" t="s">
        <v>723</v>
      </c>
      <c r="C1126" s="22" t="s">
        <v>41</v>
      </c>
      <c r="D1126" s="22">
        <v>0</v>
      </c>
      <c r="E1126" s="22">
        <v>0</v>
      </c>
    </row>
    <row r="1127" spans="1:5">
      <c r="A1127" s="22" t="s">
        <v>1158</v>
      </c>
      <c r="B1127" s="22" t="s">
        <v>723</v>
      </c>
      <c r="C1127" s="22" t="s">
        <v>41</v>
      </c>
      <c r="D1127" s="22">
        <v>0</v>
      </c>
      <c r="E1127" s="22">
        <v>0</v>
      </c>
    </row>
    <row r="1128" spans="1:5">
      <c r="A1128" s="22" t="s">
        <v>1159</v>
      </c>
      <c r="B1128" s="22" t="s">
        <v>723</v>
      </c>
      <c r="C1128" s="22" t="s">
        <v>25</v>
      </c>
      <c r="D1128" s="22">
        <v>0</v>
      </c>
      <c r="E1128" s="22">
        <v>0</v>
      </c>
    </row>
    <row r="1129" spans="1:5">
      <c r="A1129" s="22" t="s">
        <v>1160</v>
      </c>
      <c r="B1129" s="22" t="s">
        <v>723</v>
      </c>
      <c r="C1129" s="22" t="s">
        <v>25</v>
      </c>
      <c r="D1129" s="22">
        <v>0</v>
      </c>
      <c r="E1129" s="22">
        <v>0</v>
      </c>
    </row>
    <row r="1130" spans="1:5">
      <c r="A1130" s="22" t="s">
        <v>1161</v>
      </c>
      <c r="B1130" s="22" t="s">
        <v>723</v>
      </c>
      <c r="C1130" s="22" t="s">
        <v>25</v>
      </c>
      <c r="D1130" s="22">
        <v>0</v>
      </c>
      <c r="E1130" s="22">
        <v>0</v>
      </c>
    </row>
    <row r="1131" spans="1:5">
      <c r="A1131" s="22" t="s">
        <v>1162</v>
      </c>
      <c r="B1131" s="22" t="s">
        <v>723</v>
      </c>
      <c r="C1131" s="22" t="s">
        <v>25</v>
      </c>
      <c r="D1131" s="22">
        <v>0</v>
      </c>
      <c r="E1131" s="22">
        <v>0</v>
      </c>
    </row>
    <row r="1132" spans="1:5">
      <c r="A1132" s="22" t="s">
        <v>1163</v>
      </c>
      <c r="B1132" s="22" t="s">
        <v>723</v>
      </c>
      <c r="C1132" s="22" t="s">
        <v>39</v>
      </c>
      <c r="D1132" s="22">
        <v>0</v>
      </c>
      <c r="E1132" s="22">
        <v>0</v>
      </c>
    </row>
    <row r="1133" spans="1:5">
      <c r="A1133" s="22" t="s">
        <v>1164</v>
      </c>
      <c r="B1133" s="22" t="s">
        <v>723</v>
      </c>
      <c r="C1133" s="22" t="s">
        <v>29</v>
      </c>
      <c r="D1133" s="22">
        <v>0</v>
      </c>
      <c r="E1133" s="22">
        <v>0</v>
      </c>
    </row>
    <row r="1134" spans="1:5">
      <c r="A1134" s="22" t="s">
        <v>1165</v>
      </c>
      <c r="B1134" s="22" t="s">
        <v>723</v>
      </c>
      <c r="C1134" s="22" t="s">
        <v>29</v>
      </c>
      <c r="D1134" s="22">
        <v>0</v>
      </c>
      <c r="E1134" s="22">
        <v>0</v>
      </c>
    </row>
    <row r="1135" spans="1:5">
      <c r="A1135" s="22" t="s">
        <v>1166</v>
      </c>
      <c r="B1135" s="22" t="s">
        <v>723</v>
      </c>
      <c r="C1135" s="22" t="s">
        <v>1482</v>
      </c>
      <c r="D1135" s="22">
        <v>0</v>
      </c>
      <c r="E1135" s="22">
        <v>0</v>
      </c>
    </row>
    <row r="1136" spans="1:5">
      <c r="A1136" s="22" t="s">
        <v>1167</v>
      </c>
      <c r="B1136" s="22" t="s">
        <v>723</v>
      </c>
      <c r="C1136" s="22" t="s">
        <v>41</v>
      </c>
      <c r="D1136" s="22">
        <v>0</v>
      </c>
      <c r="E1136" s="22">
        <v>0</v>
      </c>
    </row>
    <row r="1137" spans="1:5">
      <c r="A1137" s="22" t="s">
        <v>1168</v>
      </c>
      <c r="B1137" s="22" t="s">
        <v>723</v>
      </c>
      <c r="C1137" s="22" t="s">
        <v>20</v>
      </c>
      <c r="D1137" s="22">
        <v>0</v>
      </c>
      <c r="E1137" s="22">
        <v>0</v>
      </c>
    </row>
    <row r="1138" spans="1:5">
      <c r="A1138" s="22" t="s">
        <v>1169</v>
      </c>
      <c r="B1138" s="22" t="s">
        <v>723</v>
      </c>
      <c r="C1138" s="22" t="s">
        <v>29</v>
      </c>
      <c r="D1138" s="22">
        <v>0</v>
      </c>
      <c r="E1138" s="22">
        <v>0</v>
      </c>
    </row>
    <row r="1139" spans="1:5">
      <c r="A1139" s="22" t="s">
        <v>1170</v>
      </c>
      <c r="B1139" s="22" t="s">
        <v>723</v>
      </c>
      <c r="C1139" s="22" t="s">
        <v>20</v>
      </c>
      <c r="D1139" s="22">
        <v>0</v>
      </c>
      <c r="E1139" s="22">
        <v>0</v>
      </c>
    </row>
    <row r="1140" spans="1:5">
      <c r="A1140" s="22" t="s">
        <v>1171</v>
      </c>
      <c r="B1140" s="22" t="s">
        <v>723</v>
      </c>
      <c r="C1140" s="22" t="s">
        <v>25</v>
      </c>
      <c r="D1140" s="22">
        <v>0</v>
      </c>
      <c r="E1140" s="22">
        <v>0</v>
      </c>
    </row>
    <row r="1141" spans="1:5">
      <c r="A1141" s="22" t="s">
        <v>1172</v>
      </c>
      <c r="B1141" s="22" t="s">
        <v>723</v>
      </c>
      <c r="C1141" s="22" t="s">
        <v>41</v>
      </c>
      <c r="D1141" s="22">
        <v>0</v>
      </c>
      <c r="E1141" s="22">
        <v>0</v>
      </c>
    </row>
    <row r="1142" spans="1:5">
      <c r="A1142" s="22" t="s">
        <v>1173</v>
      </c>
      <c r="B1142" s="22" t="s">
        <v>723</v>
      </c>
      <c r="C1142" s="22" t="s">
        <v>29</v>
      </c>
      <c r="D1142" s="22">
        <v>0</v>
      </c>
      <c r="E1142" s="22">
        <v>0</v>
      </c>
    </row>
    <row r="1143" spans="1:5">
      <c r="A1143" s="22" t="s">
        <v>1174</v>
      </c>
      <c r="B1143" s="22" t="s">
        <v>723</v>
      </c>
      <c r="C1143" s="22" t="s">
        <v>41</v>
      </c>
      <c r="D1143" s="22">
        <v>1</v>
      </c>
      <c r="E1143" s="22">
        <v>921.72</v>
      </c>
    </row>
    <row r="1144" spans="1:5">
      <c r="A1144" s="22" t="s">
        <v>1175</v>
      </c>
      <c r="B1144" s="22" t="s">
        <v>723</v>
      </c>
      <c r="C1144" s="22" t="s">
        <v>25</v>
      </c>
      <c r="D1144" s="22">
        <v>0</v>
      </c>
      <c r="E1144" s="22">
        <v>0</v>
      </c>
    </row>
    <row r="1145" spans="1:5">
      <c r="A1145" s="22" t="s">
        <v>1176</v>
      </c>
      <c r="B1145" s="22" t="s">
        <v>723</v>
      </c>
      <c r="C1145" s="22" t="s">
        <v>29</v>
      </c>
      <c r="D1145" s="22">
        <v>0</v>
      </c>
      <c r="E1145" s="22">
        <v>0</v>
      </c>
    </row>
    <row r="1146" spans="1:5">
      <c r="A1146" s="22" t="s">
        <v>1177</v>
      </c>
      <c r="B1146" s="22" t="s">
        <v>723</v>
      </c>
      <c r="C1146" s="22" t="s">
        <v>25</v>
      </c>
      <c r="D1146" s="22">
        <v>1</v>
      </c>
      <c r="E1146" s="22">
        <v>290.39</v>
      </c>
    </row>
    <row r="1147" spans="1:5">
      <c r="A1147" s="22" t="s">
        <v>1178</v>
      </c>
      <c r="B1147" s="22" t="s">
        <v>723</v>
      </c>
      <c r="C1147" s="22" t="s">
        <v>39</v>
      </c>
      <c r="D1147" s="22">
        <v>0</v>
      </c>
      <c r="E1147" s="22">
        <v>0</v>
      </c>
    </row>
    <row r="1148" spans="1:5">
      <c r="A1148" s="22" t="s">
        <v>1179</v>
      </c>
      <c r="B1148" s="22" t="s">
        <v>723</v>
      </c>
      <c r="C1148" s="22" t="s">
        <v>41</v>
      </c>
      <c r="D1148" s="22">
        <v>1</v>
      </c>
      <c r="E1148" s="22">
        <v>1858.85</v>
      </c>
    </row>
    <row r="1149" spans="1:5">
      <c r="A1149" s="22" t="s">
        <v>1180</v>
      </c>
      <c r="B1149" s="22" t="s">
        <v>723</v>
      </c>
      <c r="C1149" s="22" t="s">
        <v>1482</v>
      </c>
      <c r="D1149" s="22">
        <v>0</v>
      </c>
      <c r="E1149" s="22">
        <v>0</v>
      </c>
    </row>
    <row r="1150" spans="1:5">
      <c r="A1150" s="22" t="s">
        <v>1181</v>
      </c>
      <c r="B1150" s="22" t="s">
        <v>723</v>
      </c>
      <c r="C1150" s="22" t="s">
        <v>25</v>
      </c>
      <c r="D1150" s="22">
        <v>0</v>
      </c>
      <c r="E1150" s="22">
        <v>0</v>
      </c>
    </row>
    <row r="1151" spans="1:5">
      <c r="A1151" s="22" t="s">
        <v>1182</v>
      </c>
      <c r="B1151" s="22" t="s">
        <v>723</v>
      </c>
      <c r="C1151" s="22" t="s">
        <v>29</v>
      </c>
      <c r="D1151" s="22">
        <v>0</v>
      </c>
      <c r="E1151" s="22">
        <v>0</v>
      </c>
    </row>
    <row r="1152" spans="1:5">
      <c r="A1152" s="22" t="s">
        <v>1183</v>
      </c>
      <c r="B1152" s="22" t="s">
        <v>723</v>
      </c>
      <c r="C1152" s="22" t="s">
        <v>39</v>
      </c>
      <c r="D1152" s="22">
        <v>0</v>
      </c>
      <c r="E1152" s="22">
        <v>0</v>
      </c>
    </row>
    <row r="1153" spans="1:5">
      <c r="A1153" s="22" t="s">
        <v>1184</v>
      </c>
      <c r="B1153" s="22" t="s">
        <v>723</v>
      </c>
      <c r="C1153" s="22" t="s">
        <v>25</v>
      </c>
      <c r="D1153" s="22">
        <v>0</v>
      </c>
      <c r="E1153" s="22">
        <v>0</v>
      </c>
    </row>
    <row r="1154" spans="1:5">
      <c r="A1154" s="22" t="s">
        <v>1185</v>
      </c>
      <c r="B1154" s="22" t="s">
        <v>723</v>
      </c>
      <c r="C1154" s="22" t="s">
        <v>41</v>
      </c>
      <c r="D1154" s="22">
        <v>0</v>
      </c>
      <c r="E1154" s="22">
        <v>0</v>
      </c>
    </row>
    <row r="1155" spans="1:5">
      <c r="A1155" s="22" t="s">
        <v>1186</v>
      </c>
      <c r="B1155" s="22" t="s">
        <v>723</v>
      </c>
      <c r="C1155" s="22" t="s">
        <v>25</v>
      </c>
      <c r="D1155" s="22">
        <v>0</v>
      </c>
      <c r="E1155" s="22">
        <v>0</v>
      </c>
    </row>
    <row r="1156" spans="1:5">
      <c r="A1156" s="22" t="s">
        <v>1187</v>
      </c>
      <c r="B1156" s="22" t="s">
        <v>723</v>
      </c>
      <c r="C1156" s="22" t="s">
        <v>25</v>
      </c>
      <c r="D1156" s="22">
        <v>0</v>
      </c>
      <c r="E1156" s="22">
        <v>0</v>
      </c>
    </row>
    <row r="1157" spans="1:5">
      <c r="A1157" s="22" t="s">
        <v>1188</v>
      </c>
      <c r="B1157" s="22" t="s">
        <v>723</v>
      </c>
      <c r="C1157" s="22" t="s">
        <v>20</v>
      </c>
      <c r="D1157" s="22">
        <v>0</v>
      </c>
      <c r="E1157" s="22">
        <v>0</v>
      </c>
    </row>
    <row r="1158" spans="1:5">
      <c r="A1158" s="22" t="s">
        <v>1189</v>
      </c>
      <c r="B1158" s="22" t="s">
        <v>723</v>
      </c>
      <c r="C1158" s="22" t="s">
        <v>39</v>
      </c>
      <c r="D1158" s="22">
        <v>0</v>
      </c>
      <c r="E1158" s="22">
        <v>0</v>
      </c>
    </row>
    <row r="1159" spans="1:5">
      <c r="A1159" s="22" t="s">
        <v>1190</v>
      </c>
      <c r="B1159" s="22" t="s">
        <v>723</v>
      </c>
      <c r="C1159" s="22" t="s">
        <v>29</v>
      </c>
      <c r="D1159" s="22">
        <v>0</v>
      </c>
      <c r="E1159" s="22">
        <v>0</v>
      </c>
    </row>
    <row r="1160" spans="1:5">
      <c r="A1160" s="22" t="s">
        <v>1191</v>
      </c>
      <c r="B1160" s="22" t="s">
        <v>723</v>
      </c>
      <c r="C1160" s="22" t="s">
        <v>20</v>
      </c>
      <c r="D1160" s="22">
        <v>0</v>
      </c>
      <c r="E1160" s="22">
        <v>0</v>
      </c>
    </row>
    <row r="1161" spans="1:5">
      <c r="A1161" s="22" t="s">
        <v>1192</v>
      </c>
      <c r="B1161" s="22" t="s">
        <v>723</v>
      </c>
      <c r="C1161" s="22" t="s">
        <v>25</v>
      </c>
      <c r="D1161" s="22">
        <v>0</v>
      </c>
      <c r="E1161" s="22">
        <v>0</v>
      </c>
    </row>
    <row r="1162" spans="1:5">
      <c r="A1162" s="22" t="s">
        <v>1193</v>
      </c>
      <c r="B1162" s="22" t="s">
        <v>723</v>
      </c>
      <c r="C1162" s="22" t="s">
        <v>29</v>
      </c>
      <c r="D1162" s="22">
        <v>0</v>
      </c>
      <c r="E1162" s="22">
        <v>0</v>
      </c>
    </row>
    <row r="1163" spans="1:5">
      <c r="A1163" s="22" t="s">
        <v>1194</v>
      </c>
      <c r="B1163" s="22" t="s">
        <v>723</v>
      </c>
      <c r="C1163" s="22" t="s">
        <v>29</v>
      </c>
      <c r="D1163" s="22">
        <v>0</v>
      </c>
      <c r="E1163" s="22">
        <v>0</v>
      </c>
    </row>
    <row r="1164" spans="1:5">
      <c r="A1164" s="22" t="s">
        <v>1195</v>
      </c>
      <c r="B1164" s="22" t="s">
        <v>723</v>
      </c>
      <c r="C1164" s="22" t="s">
        <v>41</v>
      </c>
      <c r="D1164" s="22">
        <v>0</v>
      </c>
      <c r="E1164" s="22">
        <v>0</v>
      </c>
    </row>
    <row r="1165" spans="1:5">
      <c r="A1165" s="22" t="s">
        <v>1196</v>
      </c>
      <c r="B1165" s="22" t="s">
        <v>723</v>
      </c>
      <c r="C1165" s="22" t="s">
        <v>29</v>
      </c>
      <c r="D1165" s="22">
        <v>0</v>
      </c>
      <c r="E1165" s="22">
        <v>0</v>
      </c>
    </row>
    <row r="1166" spans="1:5">
      <c r="A1166" s="22" t="s">
        <v>1197</v>
      </c>
      <c r="B1166" s="22" t="s">
        <v>723</v>
      </c>
      <c r="C1166" s="22" t="s">
        <v>25</v>
      </c>
      <c r="D1166" s="22">
        <v>0</v>
      </c>
      <c r="E1166" s="22">
        <v>0</v>
      </c>
    </row>
    <row r="1167" spans="1:5">
      <c r="A1167" s="22" t="s">
        <v>1198</v>
      </c>
      <c r="B1167" s="22" t="s">
        <v>723</v>
      </c>
      <c r="C1167" s="22" t="s">
        <v>25</v>
      </c>
      <c r="D1167" s="22">
        <v>0</v>
      </c>
      <c r="E1167" s="22">
        <v>0</v>
      </c>
    </row>
    <row r="1168" spans="1:5">
      <c r="A1168" s="22" t="s">
        <v>1199</v>
      </c>
      <c r="B1168" s="22" t="s">
        <v>723</v>
      </c>
      <c r="C1168" s="22" t="s">
        <v>29</v>
      </c>
      <c r="D1168" s="22">
        <v>0</v>
      </c>
      <c r="E1168" s="22">
        <v>0</v>
      </c>
    </row>
    <row r="1169" spans="1:5">
      <c r="A1169" s="22" t="s">
        <v>1200</v>
      </c>
      <c r="B1169" s="22" t="s">
        <v>723</v>
      </c>
      <c r="C1169" s="22" t="s">
        <v>39</v>
      </c>
      <c r="D1169" s="22">
        <v>1</v>
      </c>
      <c r="E1169" s="22">
        <v>1547.06</v>
      </c>
    </row>
    <row r="1170" spans="1:5">
      <c r="A1170" s="22" t="s">
        <v>1201</v>
      </c>
      <c r="B1170" s="22" t="s">
        <v>723</v>
      </c>
      <c r="C1170" s="22" t="s">
        <v>41</v>
      </c>
      <c r="D1170" s="22">
        <v>0</v>
      </c>
      <c r="E1170" s="22">
        <v>0</v>
      </c>
    </row>
    <row r="1171" spans="1:5">
      <c r="A1171" s="22" t="s">
        <v>1202</v>
      </c>
      <c r="B1171" s="22" t="s">
        <v>723</v>
      </c>
      <c r="C1171" s="22" t="s">
        <v>39</v>
      </c>
      <c r="D1171" s="22">
        <v>0</v>
      </c>
      <c r="E1171" s="22">
        <v>0</v>
      </c>
    </row>
    <row r="1172" spans="1:5">
      <c r="A1172" s="22" t="s">
        <v>1203</v>
      </c>
      <c r="B1172" s="22" t="s">
        <v>723</v>
      </c>
      <c r="C1172" s="22" t="s">
        <v>25</v>
      </c>
      <c r="D1172" s="22">
        <v>0</v>
      </c>
      <c r="E1172" s="22">
        <v>0</v>
      </c>
    </row>
    <row r="1173" spans="1:5">
      <c r="A1173" s="22" t="s">
        <v>1204</v>
      </c>
      <c r="B1173" s="22" t="s">
        <v>723</v>
      </c>
      <c r="C1173" s="22" t="s">
        <v>41</v>
      </c>
      <c r="D1173" s="22">
        <v>0</v>
      </c>
      <c r="E1173" s="22">
        <v>0</v>
      </c>
    </row>
    <row r="1174" spans="1:5">
      <c r="A1174" s="22" t="s">
        <v>1205</v>
      </c>
      <c r="B1174" s="22" t="s">
        <v>723</v>
      </c>
      <c r="C1174" s="22" t="s">
        <v>39</v>
      </c>
      <c r="D1174" s="22">
        <v>0</v>
      </c>
      <c r="E1174" s="22">
        <v>0</v>
      </c>
    </row>
    <row r="1175" spans="1:5">
      <c r="A1175" s="22" t="s">
        <v>1206</v>
      </c>
      <c r="B1175" s="22" t="s">
        <v>723</v>
      </c>
      <c r="C1175" s="22" t="s">
        <v>20</v>
      </c>
      <c r="D1175" s="22">
        <v>0</v>
      </c>
      <c r="E1175" s="22">
        <v>0</v>
      </c>
    </row>
    <row r="1176" spans="1:5">
      <c r="A1176" s="22" t="s">
        <v>1207</v>
      </c>
      <c r="B1176" s="22" t="s">
        <v>723</v>
      </c>
      <c r="C1176" s="22" t="s">
        <v>25</v>
      </c>
      <c r="D1176" s="22">
        <v>0</v>
      </c>
      <c r="E1176" s="22">
        <v>0</v>
      </c>
    </row>
    <row r="1177" spans="1:5">
      <c r="A1177" s="22" t="s">
        <v>1208</v>
      </c>
      <c r="B1177" s="22" t="s">
        <v>723</v>
      </c>
      <c r="C1177" s="22" t="s">
        <v>25</v>
      </c>
      <c r="D1177" s="22">
        <v>0</v>
      </c>
      <c r="E1177" s="22">
        <v>0</v>
      </c>
    </row>
    <row r="1178" spans="1:5">
      <c r="A1178" s="22" t="s">
        <v>1209</v>
      </c>
      <c r="B1178" s="22" t="s">
        <v>723</v>
      </c>
      <c r="C1178" s="22" t="s">
        <v>29</v>
      </c>
      <c r="D1178" s="22">
        <v>0</v>
      </c>
      <c r="E1178" s="22">
        <v>0</v>
      </c>
    </row>
    <row r="1179" spans="1:5">
      <c r="A1179" s="22" t="s">
        <v>1210</v>
      </c>
      <c r="B1179" s="22" t="s">
        <v>723</v>
      </c>
      <c r="C1179" s="22" t="s">
        <v>29</v>
      </c>
      <c r="D1179" s="22">
        <v>0</v>
      </c>
      <c r="E1179" s="22">
        <v>0</v>
      </c>
    </row>
    <row r="1180" spans="1:5">
      <c r="A1180" s="22" t="s">
        <v>1211</v>
      </c>
      <c r="B1180" s="22" t="s">
        <v>723</v>
      </c>
      <c r="C1180" s="22" t="s">
        <v>29</v>
      </c>
      <c r="D1180" s="22">
        <v>1</v>
      </c>
      <c r="E1180" s="22">
        <v>265.58999999999997</v>
      </c>
    </row>
    <row r="1181" spans="1:5">
      <c r="A1181" s="22" t="s">
        <v>1212</v>
      </c>
      <c r="B1181" s="22" t="s">
        <v>723</v>
      </c>
      <c r="C1181" s="22" t="s">
        <v>29</v>
      </c>
      <c r="D1181" s="22">
        <v>0</v>
      </c>
      <c r="E1181" s="22">
        <v>0</v>
      </c>
    </row>
    <row r="1182" spans="1:5">
      <c r="A1182" s="22" t="s">
        <v>1213</v>
      </c>
      <c r="B1182" s="22" t="s">
        <v>723</v>
      </c>
      <c r="C1182" s="22" t="s">
        <v>29</v>
      </c>
      <c r="D1182" s="22">
        <v>0</v>
      </c>
      <c r="E1182" s="22">
        <v>0</v>
      </c>
    </row>
    <row r="1183" spans="1:5">
      <c r="A1183" s="22" t="s">
        <v>1214</v>
      </c>
      <c r="B1183" s="22" t="s">
        <v>723</v>
      </c>
      <c r="C1183" s="22" t="s">
        <v>41</v>
      </c>
      <c r="D1183" s="22">
        <v>0</v>
      </c>
      <c r="E1183" s="22">
        <v>0</v>
      </c>
    </row>
    <row r="1184" spans="1:5">
      <c r="A1184" s="22" t="s">
        <v>1215</v>
      </c>
      <c r="B1184" s="22" t="s">
        <v>723</v>
      </c>
      <c r="C1184" s="22" t="s">
        <v>29</v>
      </c>
      <c r="D1184" s="22">
        <v>0</v>
      </c>
      <c r="E1184" s="22">
        <v>0</v>
      </c>
    </row>
    <row r="1185" spans="1:5">
      <c r="A1185" s="22" t="s">
        <v>1216</v>
      </c>
      <c r="B1185" s="22" t="s">
        <v>723</v>
      </c>
      <c r="C1185" s="22" t="s">
        <v>25</v>
      </c>
      <c r="D1185" s="22">
        <v>0</v>
      </c>
      <c r="E1185" s="22">
        <v>0</v>
      </c>
    </row>
    <row r="1186" spans="1:5">
      <c r="A1186" s="22" t="s">
        <v>1217</v>
      </c>
      <c r="B1186" s="22" t="s">
        <v>723</v>
      </c>
      <c r="C1186" s="22" t="s">
        <v>25</v>
      </c>
      <c r="D1186" s="22">
        <v>0</v>
      </c>
      <c r="E1186" s="22">
        <v>0</v>
      </c>
    </row>
    <row r="1187" spans="1:5">
      <c r="A1187" s="22" t="s">
        <v>1218</v>
      </c>
      <c r="B1187" s="22" t="s">
        <v>723</v>
      </c>
      <c r="C1187" s="22" t="s">
        <v>29</v>
      </c>
      <c r="D1187" s="22">
        <v>0</v>
      </c>
      <c r="E1187" s="22">
        <v>0</v>
      </c>
    </row>
    <row r="1188" spans="1:5">
      <c r="A1188" s="22" t="s">
        <v>1219</v>
      </c>
      <c r="B1188" s="22" t="s">
        <v>723</v>
      </c>
      <c r="C1188" s="22" t="s">
        <v>20</v>
      </c>
      <c r="D1188" s="22">
        <v>0</v>
      </c>
      <c r="E1188" s="22">
        <v>0</v>
      </c>
    </row>
    <row r="1189" spans="1:5">
      <c r="A1189" s="22" t="s">
        <v>1220</v>
      </c>
      <c r="B1189" s="22" t="s">
        <v>723</v>
      </c>
      <c r="C1189" s="22" t="s">
        <v>29</v>
      </c>
      <c r="D1189" s="22">
        <v>0</v>
      </c>
      <c r="E1189" s="22">
        <v>0</v>
      </c>
    </row>
    <row r="1190" spans="1:5">
      <c r="A1190" s="22" t="s">
        <v>1221</v>
      </c>
      <c r="B1190" s="22" t="s">
        <v>723</v>
      </c>
      <c r="C1190" s="22" t="s">
        <v>39</v>
      </c>
      <c r="D1190" s="22">
        <v>0</v>
      </c>
      <c r="E1190" s="22">
        <v>0</v>
      </c>
    </row>
    <row r="1191" spans="1:5">
      <c r="A1191" s="22" t="s">
        <v>1222</v>
      </c>
      <c r="B1191" s="22" t="s">
        <v>723</v>
      </c>
      <c r="C1191" s="22" t="s">
        <v>29</v>
      </c>
      <c r="D1191" s="22">
        <v>0</v>
      </c>
      <c r="E1191" s="22">
        <v>0</v>
      </c>
    </row>
    <row r="1192" spans="1:5">
      <c r="A1192" s="22" t="s">
        <v>1223</v>
      </c>
      <c r="B1192" s="22" t="s">
        <v>723</v>
      </c>
      <c r="C1192" s="22" t="s">
        <v>39</v>
      </c>
      <c r="D1192" s="22">
        <v>0</v>
      </c>
      <c r="E1192" s="22">
        <v>0</v>
      </c>
    </row>
    <row r="1193" spans="1:5">
      <c r="A1193" s="22" t="s">
        <v>1224</v>
      </c>
      <c r="B1193" s="22" t="s">
        <v>723</v>
      </c>
      <c r="C1193" s="22" t="s">
        <v>25</v>
      </c>
      <c r="D1193" s="22">
        <v>0</v>
      </c>
      <c r="E1193" s="22">
        <v>0</v>
      </c>
    </row>
    <row r="1194" spans="1:5">
      <c r="A1194" s="22" t="s">
        <v>1225</v>
      </c>
      <c r="B1194" s="22" t="s">
        <v>723</v>
      </c>
      <c r="C1194" s="22" t="s">
        <v>41</v>
      </c>
      <c r="D1194" s="22">
        <v>0</v>
      </c>
      <c r="E1194" s="22">
        <v>0</v>
      </c>
    </row>
    <row r="1195" spans="1:5">
      <c r="A1195" s="22" t="s">
        <v>1226</v>
      </c>
      <c r="B1195" s="22" t="s">
        <v>723</v>
      </c>
      <c r="C1195" s="22" t="s">
        <v>41</v>
      </c>
      <c r="D1195" s="22">
        <v>0</v>
      </c>
      <c r="E1195" s="22">
        <v>0</v>
      </c>
    </row>
    <row r="1196" spans="1:5">
      <c r="A1196" s="22" t="s">
        <v>1227</v>
      </c>
      <c r="B1196" s="22" t="s">
        <v>723</v>
      </c>
      <c r="C1196" s="22" t="s">
        <v>29</v>
      </c>
      <c r="D1196" s="22">
        <v>0</v>
      </c>
      <c r="E1196" s="22">
        <v>0</v>
      </c>
    </row>
    <row r="1197" spans="1:5">
      <c r="A1197" s="22" t="s">
        <v>1228</v>
      </c>
      <c r="B1197" s="22" t="s">
        <v>723</v>
      </c>
      <c r="C1197" s="22" t="s">
        <v>41</v>
      </c>
      <c r="D1197" s="22">
        <v>0</v>
      </c>
      <c r="E1197" s="22">
        <v>0</v>
      </c>
    </row>
    <row r="1198" spans="1:5">
      <c r="A1198" s="22" t="s">
        <v>1229</v>
      </c>
      <c r="B1198" s="22" t="s">
        <v>723</v>
      </c>
      <c r="C1198" s="22" t="s">
        <v>25</v>
      </c>
      <c r="D1198" s="22">
        <v>0</v>
      </c>
      <c r="E1198" s="22">
        <v>0</v>
      </c>
    </row>
    <row r="1199" spans="1:5">
      <c r="A1199" s="22" t="s">
        <v>1230</v>
      </c>
      <c r="B1199" s="22" t="s">
        <v>723</v>
      </c>
      <c r="C1199" s="22" t="s">
        <v>29</v>
      </c>
      <c r="D1199" s="22">
        <v>0</v>
      </c>
      <c r="E1199" s="22">
        <v>0</v>
      </c>
    </row>
    <row r="1200" spans="1:5">
      <c r="A1200" s="22" t="s">
        <v>1231</v>
      </c>
      <c r="B1200" s="22" t="s">
        <v>723</v>
      </c>
      <c r="C1200" s="22" t="s">
        <v>39</v>
      </c>
      <c r="D1200" s="22">
        <v>0</v>
      </c>
      <c r="E1200" s="22">
        <v>0</v>
      </c>
    </row>
    <row r="1201" spans="1:5">
      <c r="A1201" s="22" t="s">
        <v>1232</v>
      </c>
      <c r="B1201" s="22" t="s">
        <v>723</v>
      </c>
      <c r="C1201" s="22" t="s">
        <v>39</v>
      </c>
      <c r="D1201" s="22">
        <v>0</v>
      </c>
      <c r="E1201" s="22">
        <v>0</v>
      </c>
    </row>
    <row r="1202" spans="1:5">
      <c r="A1202" s="22" t="s">
        <v>1233</v>
      </c>
      <c r="B1202" s="22" t="s">
        <v>723</v>
      </c>
      <c r="C1202" s="22" t="s">
        <v>29</v>
      </c>
      <c r="D1202" s="22">
        <v>0</v>
      </c>
      <c r="E1202" s="22">
        <v>0</v>
      </c>
    </row>
    <row r="1203" spans="1:5">
      <c r="A1203" s="22" t="s">
        <v>1234</v>
      </c>
      <c r="B1203" s="22" t="s">
        <v>723</v>
      </c>
      <c r="C1203" s="22" t="s">
        <v>25</v>
      </c>
      <c r="D1203" s="22">
        <v>0</v>
      </c>
      <c r="E1203" s="22">
        <v>0</v>
      </c>
    </row>
    <row r="1204" spans="1:5">
      <c r="A1204" s="22" t="s">
        <v>1235</v>
      </c>
      <c r="B1204" s="22" t="s">
        <v>723</v>
      </c>
      <c r="C1204" s="22" t="s">
        <v>29</v>
      </c>
      <c r="D1204" s="22">
        <v>0</v>
      </c>
      <c r="E1204" s="22">
        <v>0</v>
      </c>
    </row>
    <row r="1205" spans="1:5">
      <c r="A1205" s="22" t="s">
        <v>1236</v>
      </c>
      <c r="B1205" s="22" t="s">
        <v>723</v>
      </c>
      <c r="C1205" s="22" t="s">
        <v>39</v>
      </c>
      <c r="D1205" s="22">
        <v>0</v>
      </c>
      <c r="E1205" s="22">
        <v>0</v>
      </c>
    </row>
    <row r="1206" spans="1:5">
      <c r="A1206" s="22" t="s">
        <v>1237</v>
      </c>
      <c r="B1206" s="22" t="s">
        <v>723</v>
      </c>
      <c r="C1206" s="22" t="s">
        <v>41</v>
      </c>
      <c r="D1206" s="22">
        <v>0</v>
      </c>
      <c r="E1206" s="22">
        <v>0</v>
      </c>
    </row>
    <row r="1207" spans="1:5">
      <c r="A1207" s="22" t="s">
        <v>1238</v>
      </c>
      <c r="B1207" s="22" t="s">
        <v>723</v>
      </c>
      <c r="C1207" s="22" t="s">
        <v>41</v>
      </c>
      <c r="D1207" s="22">
        <v>0</v>
      </c>
      <c r="E1207" s="22">
        <v>0</v>
      </c>
    </row>
    <row r="1208" spans="1:5">
      <c r="A1208" s="22" t="s">
        <v>1239</v>
      </c>
      <c r="B1208" s="22" t="s">
        <v>723</v>
      </c>
      <c r="C1208" s="22" t="s">
        <v>25</v>
      </c>
      <c r="D1208" s="22">
        <v>0</v>
      </c>
      <c r="E1208" s="22">
        <v>0</v>
      </c>
    </row>
    <row r="1209" spans="1:5">
      <c r="A1209" s="22" t="s">
        <v>1240</v>
      </c>
      <c r="B1209" s="22" t="s">
        <v>723</v>
      </c>
      <c r="C1209" s="22" t="s">
        <v>41</v>
      </c>
      <c r="D1209" s="22">
        <v>0</v>
      </c>
      <c r="E1209" s="22">
        <v>0</v>
      </c>
    </row>
    <row r="1210" spans="1:5">
      <c r="A1210" s="22" t="s">
        <v>1241</v>
      </c>
      <c r="B1210" s="22" t="s">
        <v>723</v>
      </c>
      <c r="C1210" s="22" t="s">
        <v>25</v>
      </c>
      <c r="D1210" s="22">
        <v>0</v>
      </c>
      <c r="E1210" s="22">
        <v>0</v>
      </c>
    </row>
    <row r="1211" spans="1:5">
      <c r="A1211" s="22" t="s">
        <v>1242</v>
      </c>
      <c r="B1211" s="22" t="s">
        <v>723</v>
      </c>
      <c r="C1211" s="22" t="s">
        <v>25</v>
      </c>
      <c r="D1211" s="22">
        <v>0</v>
      </c>
      <c r="E1211" s="22">
        <v>0</v>
      </c>
    </row>
    <row r="1212" spans="1:5">
      <c r="A1212" s="22" t="s">
        <v>1243</v>
      </c>
      <c r="B1212" s="22" t="s">
        <v>723</v>
      </c>
      <c r="C1212" s="22" t="s">
        <v>25</v>
      </c>
      <c r="D1212" s="22">
        <v>0</v>
      </c>
      <c r="E1212" s="22">
        <v>0</v>
      </c>
    </row>
    <row r="1213" spans="1:5">
      <c r="A1213" s="22" t="s">
        <v>1244</v>
      </c>
      <c r="B1213" s="22" t="s">
        <v>723</v>
      </c>
      <c r="C1213" s="22" t="s">
        <v>20</v>
      </c>
      <c r="D1213" s="22">
        <v>0</v>
      </c>
      <c r="E1213" s="22">
        <v>0</v>
      </c>
    </row>
    <row r="1214" spans="1:5">
      <c r="A1214" s="22" t="s">
        <v>1245</v>
      </c>
      <c r="B1214" s="22" t="s">
        <v>723</v>
      </c>
      <c r="C1214" s="22" t="s">
        <v>25</v>
      </c>
      <c r="D1214" s="22">
        <v>0</v>
      </c>
      <c r="E1214" s="22">
        <v>0</v>
      </c>
    </row>
    <row r="1215" spans="1:5">
      <c r="A1215" s="22" t="s">
        <v>1246</v>
      </c>
      <c r="B1215" s="22" t="s">
        <v>723</v>
      </c>
      <c r="C1215" s="22" t="s">
        <v>25</v>
      </c>
      <c r="D1215" s="22">
        <v>0</v>
      </c>
      <c r="E1215" s="22">
        <v>0</v>
      </c>
    </row>
    <row r="1216" spans="1:5">
      <c r="A1216" s="22" t="s">
        <v>1247</v>
      </c>
      <c r="B1216" s="22" t="s">
        <v>723</v>
      </c>
      <c r="C1216" s="22" t="s">
        <v>25</v>
      </c>
      <c r="D1216" s="22">
        <v>0</v>
      </c>
      <c r="E1216" s="22">
        <v>0</v>
      </c>
    </row>
    <row r="1217" spans="1:5">
      <c r="A1217" s="22" t="s">
        <v>1248</v>
      </c>
      <c r="B1217" s="22" t="s">
        <v>723</v>
      </c>
      <c r="C1217" s="22" t="s">
        <v>39</v>
      </c>
      <c r="D1217" s="22">
        <v>0</v>
      </c>
      <c r="E1217" s="22">
        <v>0</v>
      </c>
    </row>
    <row r="1218" spans="1:5">
      <c r="A1218" s="22" t="s">
        <v>1249</v>
      </c>
      <c r="B1218" s="22" t="s">
        <v>723</v>
      </c>
      <c r="C1218" s="22" t="s">
        <v>39</v>
      </c>
      <c r="D1218" s="22">
        <v>0</v>
      </c>
      <c r="E1218" s="22">
        <v>0</v>
      </c>
    </row>
    <row r="1219" spans="1:5">
      <c r="A1219" s="22" t="s">
        <v>1250</v>
      </c>
      <c r="B1219" s="22" t="s">
        <v>723</v>
      </c>
      <c r="C1219" s="22" t="s">
        <v>25</v>
      </c>
      <c r="D1219" s="22">
        <v>0</v>
      </c>
      <c r="E1219" s="22">
        <v>0</v>
      </c>
    </row>
    <row r="1220" spans="1:5">
      <c r="A1220" s="22" t="s">
        <v>1251</v>
      </c>
      <c r="B1220" s="22" t="s">
        <v>723</v>
      </c>
      <c r="C1220" s="22" t="s">
        <v>25</v>
      </c>
      <c r="D1220" s="22">
        <v>0</v>
      </c>
      <c r="E1220" s="22">
        <v>0</v>
      </c>
    </row>
    <row r="1221" spans="1:5">
      <c r="A1221" s="22" t="s">
        <v>1252</v>
      </c>
      <c r="B1221" s="22" t="s">
        <v>723</v>
      </c>
      <c r="C1221" s="22" t="s">
        <v>29</v>
      </c>
      <c r="D1221" s="22">
        <v>0</v>
      </c>
      <c r="E1221" s="22">
        <v>0</v>
      </c>
    </row>
    <row r="1222" spans="1:5">
      <c r="A1222" s="22" t="s">
        <v>1253</v>
      </c>
      <c r="B1222" s="22" t="s">
        <v>723</v>
      </c>
      <c r="C1222" s="22" t="s">
        <v>41</v>
      </c>
      <c r="D1222" s="22">
        <v>1</v>
      </c>
      <c r="E1222" s="22">
        <v>351.43</v>
      </c>
    </row>
    <row r="1223" spans="1:5">
      <c r="A1223" s="22" t="s">
        <v>1254</v>
      </c>
      <c r="B1223" s="22" t="s">
        <v>723</v>
      </c>
      <c r="C1223" s="22" t="s">
        <v>39</v>
      </c>
      <c r="D1223" s="22">
        <v>1</v>
      </c>
      <c r="E1223" s="22">
        <v>352.42</v>
      </c>
    </row>
    <row r="1224" spans="1:5">
      <c r="A1224" s="22" t="s">
        <v>1255</v>
      </c>
      <c r="B1224" s="22" t="s">
        <v>723</v>
      </c>
      <c r="C1224" s="22" t="s">
        <v>25</v>
      </c>
      <c r="D1224" s="22">
        <v>0</v>
      </c>
      <c r="E1224" s="22">
        <v>0</v>
      </c>
    </row>
    <row r="1225" spans="1:5">
      <c r="A1225" s="22" t="s">
        <v>1256</v>
      </c>
      <c r="B1225" s="22" t="s">
        <v>723</v>
      </c>
      <c r="C1225" s="22" t="s">
        <v>29</v>
      </c>
      <c r="D1225" s="22">
        <v>0</v>
      </c>
      <c r="E1225" s="22">
        <v>0</v>
      </c>
    </row>
    <row r="1226" spans="1:5">
      <c r="A1226" s="22" t="s">
        <v>1257</v>
      </c>
      <c r="B1226" s="22" t="s">
        <v>723</v>
      </c>
      <c r="C1226" s="22" t="s">
        <v>41</v>
      </c>
      <c r="D1226" s="22">
        <v>0</v>
      </c>
      <c r="E1226" s="22">
        <v>0</v>
      </c>
    </row>
    <row r="1227" spans="1:5">
      <c r="A1227" s="22" t="s">
        <v>1258</v>
      </c>
      <c r="B1227" s="22" t="s">
        <v>723</v>
      </c>
      <c r="C1227" s="22" t="s">
        <v>29</v>
      </c>
      <c r="D1227" s="22">
        <v>1</v>
      </c>
      <c r="E1227" s="22">
        <v>1074.1600000000001</v>
      </c>
    </row>
    <row r="1228" spans="1:5">
      <c r="A1228" s="22" t="s">
        <v>1259</v>
      </c>
      <c r="B1228" s="22" t="s">
        <v>723</v>
      </c>
      <c r="C1228" s="22" t="s">
        <v>41</v>
      </c>
      <c r="D1228" s="22">
        <v>0</v>
      </c>
      <c r="E1228" s="22">
        <v>0</v>
      </c>
    </row>
    <row r="1229" spans="1:5">
      <c r="A1229" s="22" t="s">
        <v>1260</v>
      </c>
      <c r="B1229" s="22" t="s">
        <v>723</v>
      </c>
      <c r="C1229" s="22" t="s">
        <v>29</v>
      </c>
      <c r="D1229" s="22">
        <v>0</v>
      </c>
      <c r="E1229" s="22">
        <v>0</v>
      </c>
    </row>
    <row r="1230" spans="1:5">
      <c r="A1230" s="22" t="s">
        <v>1261</v>
      </c>
      <c r="B1230" s="22" t="s">
        <v>723</v>
      </c>
      <c r="C1230" s="22" t="s">
        <v>29</v>
      </c>
      <c r="D1230" s="22">
        <v>0</v>
      </c>
      <c r="E1230" s="22">
        <v>0</v>
      </c>
    </row>
    <row r="1231" spans="1:5">
      <c r="A1231" s="22" t="s">
        <v>1262</v>
      </c>
      <c r="B1231" s="22" t="s">
        <v>723</v>
      </c>
      <c r="C1231" s="22" t="s">
        <v>41</v>
      </c>
      <c r="D1231" s="22">
        <v>0</v>
      </c>
      <c r="E1231" s="22">
        <v>0</v>
      </c>
    </row>
    <row r="1232" spans="1:5">
      <c r="A1232" s="22" t="s">
        <v>1263</v>
      </c>
      <c r="B1232" s="22" t="s">
        <v>723</v>
      </c>
      <c r="C1232" s="22" t="s">
        <v>41</v>
      </c>
      <c r="D1232" s="22">
        <v>0</v>
      </c>
      <c r="E1232" s="22">
        <v>0</v>
      </c>
    </row>
    <row r="1233" spans="1:5">
      <c r="A1233" s="22" t="s">
        <v>1264</v>
      </c>
      <c r="B1233" s="22" t="s">
        <v>723</v>
      </c>
      <c r="C1233" s="22" t="s">
        <v>25</v>
      </c>
      <c r="D1233" s="22">
        <v>0</v>
      </c>
      <c r="E1233" s="22">
        <v>0</v>
      </c>
    </row>
    <row r="1234" spans="1:5">
      <c r="A1234" s="22" t="s">
        <v>1265</v>
      </c>
      <c r="B1234" s="22" t="s">
        <v>723</v>
      </c>
      <c r="C1234" s="22" t="s">
        <v>25</v>
      </c>
      <c r="D1234" s="22">
        <v>0</v>
      </c>
      <c r="E1234" s="22">
        <v>0</v>
      </c>
    </row>
    <row r="1235" spans="1:5">
      <c r="A1235" s="22" t="s">
        <v>1266</v>
      </c>
      <c r="B1235" s="22" t="s">
        <v>723</v>
      </c>
      <c r="C1235" s="22" t="s">
        <v>41</v>
      </c>
      <c r="D1235" s="22">
        <v>0</v>
      </c>
      <c r="E1235" s="22">
        <v>0</v>
      </c>
    </row>
    <row r="1236" spans="1:5">
      <c r="A1236" s="22" t="s">
        <v>1267</v>
      </c>
      <c r="B1236" s="22" t="s">
        <v>723</v>
      </c>
      <c r="C1236" s="22" t="s">
        <v>29</v>
      </c>
      <c r="D1236" s="22">
        <v>0</v>
      </c>
      <c r="E1236" s="22">
        <v>0</v>
      </c>
    </row>
    <row r="1237" spans="1:5">
      <c r="A1237" s="22" t="s">
        <v>1268</v>
      </c>
      <c r="B1237" s="22" t="s">
        <v>723</v>
      </c>
      <c r="C1237" s="22" t="s">
        <v>1482</v>
      </c>
      <c r="D1237" s="22">
        <v>0</v>
      </c>
      <c r="E1237" s="22">
        <v>0</v>
      </c>
    </row>
    <row r="1238" spans="1:5">
      <c r="A1238" s="22" t="s">
        <v>1269</v>
      </c>
      <c r="B1238" s="22" t="s">
        <v>723</v>
      </c>
      <c r="C1238" s="22" t="s">
        <v>20</v>
      </c>
      <c r="D1238" s="22">
        <v>1</v>
      </c>
      <c r="E1238" s="22">
        <v>618.91</v>
      </c>
    </row>
    <row r="1239" spans="1:5">
      <c r="A1239" s="22" t="s">
        <v>1270</v>
      </c>
      <c r="B1239" s="22" t="s">
        <v>723</v>
      </c>
      <c r="C1239" s="22" t="s">
        <v>25</v>
      </c>
      <c r="D1239" s="22">
        <v>0</v>
      </c>
      <c r="E1239" s="22">
        <v>0</v>
      </c>
    </row>
    <row r="1240" spans="1:5">
      <c r="A1240" s="22" t="s">
        <v>1271</v>
      </c>
      <c r="B1240" s="22" t="s">
        <v>723</v>
      </c>
      <c r="C1240" s="22" t="s">
        <v>25</v>
      </c>
      <c r="D1240" s="22">
        <v>0</v>
      </c>
      <c r="E1240" s="22">
        <v>0</v>
      </c>
    </row>
    <row r="1241" spans="1:5">
      <c r="A1241" s="22" t="s">
        <v>1272</v>
      </c>
      <c r="B1241" s="22" t="s">
        <v>723</v>
      </c>
      <c r="C1241" s="22" t="s">
        <v>1482</v>
      </c>
      <c r="D1241" s="22">
        <v>0</v>
      </c>
      <c r="E1241" s="22">
        <v>0</v>
      </c>
    </row>
    <row r="1242" spans="1:5">
      <c r="A1242" s="22" t="s">
        <v>1273</v>
      </c>
      <c r="B1242" s="22" t="s">
        <v>723</v>
      </c>
      <c r="C1242" s="22" t="s">
        <v>25</v>
      </c>
      <c r="D1242" s="22">
        <v>0</v>
      </c>
      <c r="E1242" s="22">
        <v>0</v>
      </c>
    </row>
    <row r="1243" spans="1:5">
      <c r="A1243" s="22" t="s">
        <v>1274</v>
      </c>
      <c r="B1243" s="22" t="s">
        <v>723</v>
      </c>
      <c r="C1243" s="22" t="s">
        <v>20</v>
      </c>
      <c r="D1243" s="22">
        <v>0</v>
      </c>
      <c r="E1243" s="22">
        <v>0</v>
      </c>
    </row>
    <row r="1244" spans="1:5">
      <c r="A1244" s="22" t="s">
        <v>1275</v>
      </c>
      <c r="B1244" s="22" t="s">
        <v>723</v>
      </c>
      <c r="C1244" s="22" t="s">
        <v>25</v>
      </c>
      <c r="D1244" s="22">
        <v>0</v>
      </c>
      <c r="E1244" s="22">
        <v>0</v>
      </c>
    </row>
    <row r="1245" spans="1:5">
      <c r="A1245" s="22" t="s">
        <v>1276</v>
      </c>
      <c r="B1245" s="22" t="s">
        <v>723</v>
      </c>
      <c r="C1245" s="22" t="s">
        <v>20</v>
      </c>
      <c r="D1245" s="22">
        <v>0</v>
      </c>
      <c r="E1245" s="22">
        <v>0</v>
      </c>
    </row>
    <row r="1246" spans="1:5">
      <c r="A1246" s="22" t="s">
        <v>1277</v>
      </c>
      <c r="B1246" s="22" t="s">
        <v>723</v>
      </c>
      <c r="C1246" s="22" t="s">
        <v>20</v>
      </c>
      <c r="D1246" s="22">
        <v>0</v>
      </c>
      <c r="E1246" s="22">
        <v>0</v>
      </c>
    </row>
    <row r="1247" spans="1:5">
      <c r="A1247" s="22" t="s">
        <v>1278</v>
      </c>
      <c r="B1247" s="22" t="s">
        <v>723</v>
      </c>
      <c r="C1247" s="22" t="s">
        <v>25</v>
      </c>
      <c r="D1247" s="22">
        <v>0</v>
      </c>
      <c r="E1247" s="22">
        <v>0</v>
      </c>
    </row>
    <row r="1248" spans="1:5">
      <c r="A1248" s="22" t="s">
        <v>1279</v>
      </c>
      <c r="B1248" s="22" t="s">
        <v>723</v>
      </c>
      <c r="C1248" s="22" t="s">
        <v>29</v>
      </c>
      <c r="D1248" s="22">
        <v>0</v>
      </c>
      <c r="E1248" s="22">
        <v>0</v>
      </c>
    </row>
    <row r="1249" spans="1:5">
      <c r="A1249" s="22" t="s">
        <v>1280</v>
      </c>
      <c r="B1249" s="22" t="s">
        <v>723</v>
      </c>
      <c r="C1249" s="22" t="s">
        <v>39</v>
      </c>
      <c r="D1249" s="22">
        <v>0</v>
      </c>
      <c r="E1249" s="22">
        <v>0</v>
      </c>
    </row>
    <row r="1250" spans="1:5">
      <c r="A1250" s="22" t="s">
        <v>1281</v>
      </c>
      <c r="B1250" s="22" t="s">
        <v>723</v>
      </c>
      <c r="C1250" s="22" t="s">
        <v>25</v>
      </c>
      <c r="D1250" s="22">
        <v>0</v>
      </c>
      <c r="E1250" s="22">
        <v>0</v>
      </c>
    </row>
    <row r="1251" spans="1:5">
      <c r="A1251" s="22" t="s">
        <v>1282</v>
      </c>
      <c r="B1251" s="22" t="s">
        <v>723</v>
      </c>
      <c r="C1251" s="22" t="s">
        <v>41</v>
      </c>
      <c r="D1251" s="22">
        <v>0</v>
      </c>
      <c r="E1251" s="22">
        <v>0</v>
      </c>
    </row>
    <row r="1252" spans="1:5">
      <c r="A1252" s="22" t="s">
        <v>1283</v>
      </c>
      <c r="B1252" s="22" t="s">
        <v>723</v>
      </c>
      <c r="C1252" s="22" t="s">
        <v>25</v>
      </c>
      <c r="D1252" s="22">
        <v>1</v>
      </c>
      <c r="E1252" s="22">
        <v>923.67</v>
      </c>
    </row>
    <row r="1253" spans="1:5">
      <c r="A1253" s="22" t="s">
        <v>1284</v>
      </c>
      <c r="B1253" s="22" t="s">
        <v>723</v>
      </c>
      <c r="C1253" s="22" t="s">
        <v>29</v>
      </c>
      <c r="D1253" s="22">
        <v>0</v>
      </c>
      <c r="E1253" s="22">
        <v>0</v>
      </c>
    </row>
    <row r="1254" spans="1:5">
      <c r="A1254" s="22" t="s">
        <v>1285</v>
      </c>
      <c r="B1254" s="22" t="s">
        <v>723</v>
      </c>
      <c r="C1254" s="22" t="s">
        <v>29</v>
      </c>
      <c r="D1254" s="22">
        <v>0</v>
      </c>
      <c r="E1254" s="22">
        <v>0</v>
      </c>
    </row>
    <row r="1255" spans="1:5">
      <c r="A1255" s="22" t="s">
        <v>1286</v>
      </c>
      <c r="B1255" s="22" t="s">
        <v>723</v>
      </c>
      <c r="C1255" s="22" t="s">
        <v>41</v>
      </c>
      <c r="D1255" s="22">
        <v>0</v>
      </c>
      <c r="E1255" s="22">
        <v>0</v>
      </c>
    </row>
    <row r="1256" spans="1:5">
      <c r="A1256" s="22" t="s">
        <v>1287</v>
      </c>
      <c r="B1256" s="22" t="s">
        <v>723</v>
      </c>
      <c r="C1256" s="22" t="s">
        <v>41</v>
      </c>
      <c r="D1256" s="22">
        <v>0</v>
      </c>
      <c r="E1256" s="22">
        <v>0</v>
      </c>
    </row>
    <row r="1257" spans="1:5">
      <c r="A1257" s="22" t="s">
        <v>1288</v>
      </c>
      <c r="B1257" s="22" t="s">
        <v>723</v>
      </c>
      <c r="C1257" s="22" t="s">
        <v>1482</v>
      </c>
      <c r="D1257" s="22">
        <v>1</v>
      </c>
      <c r="E1257" s="22">
        <v>420.27</v>
      </c>
    </row>
    <row r="1258" spans="1:5">
      <c r="A1258" s="22" t="s">
        <v>1289</v>
      </c>
      <c r="B1258" s="22" t="s">
        <v>723</v>
      </c>
      <c r="C1258" s="22" t="s">
        <v>29</v>
      </c>
      <c r="D1258" s="22">
        <v>0</v>
      </c>
      <c r="E1258" s="22">
        <v>0</v>
      </c>
    </row>
    <row r="1259" spans="1:5">
      <c r="A1259" s="22" t="s">
        <v>1290</v>
      </c>
      <c r="B1259" s="22" t="s">
        <v>723</v>
      </c>
      <c r="C1259" s="22" t="s">
        <v>29</v>
      </c>
      <c r="D1259" s="22">
        <v>0</v>
      </c>
      <c r="E1259" s="22">
        <v>0</v>
      </c>
    </row>
    <row r="1260" spans="1:5">
      <c r="A1260" s="22" t="s">
        <v>1291</v>
      </c>
      <c r="B1260" s="22" t="s">
        <v>723</v>
      </c>
      <c r="C1260" s="22" t="s">
        <v>29</v>
      </c>
      <c r="D1260" s="22">
        <v>0</v>
      </c>
      <c r="E1260" s="22">
        <v>0</v>
      </c>
    </row>
    <row r="1261" spans="1:5">
      <c r="A1261" s="22" t="s">
        <v>1292</v>
      </c>
      <c r="B1261" s="22" t="s">
        <v>723</v>
      </c>
      <c r="C1261" s="22" t="s">
        <v>25</v>
      </c>
      <c r="D1261" s="22">
        <v>0</v>
      </c>
      <c r="E1261" s="22">
        <v>0</v>
      </c>
    </row>
    <row r="1262" spans="1:5">
      <c r="A1262" s="22" t="s">
        <v>1293</v>
      </c>
      <c r="B1262" s="22" t="s">
        <v>723</v>
      </c>
      <c r="C1262" s="22" t="s">
        <v>29</v>
      </c>
      <c r="D1262" s="22">
        <v>0</v>
      </c>
      <c r="E1262" s="22">
        <v>0</v>
      </c>
    </row>
    <row r="1263" spans="1:5">
      <c r="A1263" s="22" t="s">
        <v>1294</v>
      </c>
      <c r="B1263" s="22" t="s">
        <v>723</v>
      </c>
      <c r="C1263" s="22" t="s">
        <v>25</v>
      </c>
      <c r="D1263" s="22">
        <v>0</v>
      </c>
      <c r="E1263" s="22">
        <v>0</v>
      </c>
    </row>
    <row r="1264" spans="1:5">
      <c r="A1264" s="22" t="s">
        <v>1295</v>
      </c>
      <c r="B1264" s="22" t="s">
        <v>723</v>
      </c>
      <c r="C1264" s="22" t="s">
        <v>41</v>
      </c>
      <c r="D1264" s="22">
        <v>0</v>
      </c>
      <c r="E1264" s="22">
        <v>0</v>
      </c>
    </row>
    <row r="1265" spans="1:5">
      <c r="A1265" s="22" t="s">
        <v>1296</v>
      </c>
      <c r="B1265" s="22" t="s">
        <v>723</v>
      </c>
      <c r="C1265" s="22" t="s">
        <v>25</v>
      </c>
      <c r="D1265" s="22">
        <v>0</v>
      </c>
      <c r="E1265" s="22">
        <v>0</v>
      </c>
    </row>
    <row r="1266" spans="1:5">
      <c r="A1266" s="22" t="s">
        <v>1297</v>
      </c>
      <c r="B1266" s="22" t="s">
        <v>723</v>
      </c>
      <c r="C1266" s="22" t="s">
        <v>29</v>
      </c>
      <c r="D1266" s="22">
        <v>0</v>
      </c>
      <c r="E1266" s="22">
        <v>0</v>
      </c>
    </row>
    <row r="1267" spans="1:5">
      <c r="A1267" s="22" t="s">
        <v>1298</v>
      </c>
      <c r="B1267" s="22" t="s">
        <v>723</v>
      </c>
      <c r="C1267" s="22" t="s">
        <v>39</v>
      </c>
      <c r="D1267" s="22">
        <v>0</v>
      </c>
      <c r="E1267" s="22">
        <v>0</v>
      </c>
    </row>
    <row r="1268" spans="1:5">
      <c r="A1268" s="22" t="s">
        <v>1299</v>
      </c>
      <c r="B1268" s="22" t="s">
        <v>723</v>
      </c>
      <c r="C1268" s="22" t="s">
        <v>20</v>
      </c>
      <c r="D1268" s="22">
        <v>0</v>
      </c>
      <c r="E1268" s="22">
        <v>0</v>
      </c>
    </row>
    <row r="1269" spans="1:5">
      <c r="A1269" s="22" t="s">
        <v>1300</v>
      </c>
      <c r="B1269" s="22" t="s">
        <v>723</v>
      </c>
      <c r="C1269" s="22" t="s">
        <v>29</v>
      </c>
      <c r="D1269" s="22">
        <v>0</v>
      </c>
      <c r="E1269" s="22">
        <v>0</v>
      </c>
    </row>
    <row r="1270" spans="1:5">
      <c r="A1270" s="22" t="s">
        <v>1301</v>
      </c>
      <c r="B1270" s="22" t="s">
        <v>723</v>
      </c>
      <c r="C1270" s="22" t="s">
        <v>29</v>
      </c>
      <c r="D1270" s="22">
        <v>0</v>
      </c>
      <c r="E1270" s="22">
        <v>0</v>
      </c>
    </row>
    <row r="1271" spans="1:5">
      <c r="A1271" s="22" t="s">
        <v>1302</v>
      </c>
      <c r="B1271" s="22" t="s">
        <v>723</v>
      </c>
      <c r="C1271" s="22" t="s">
        <v>41</v>
      </c>
      <c r="D1271" s="22">
        <v>0</v>
      </c>
      <c r="E1271" s="22">
        <v>0</v>
      </c>
    </row>
    <row r="1272" spans="1:5">
      <c r="A1272" s="22" t="s">
        <v>1303</v>
      </c>
      <c r="B1272" s="22" t="s">
        <v>723</v>
      </c>
      <c r="C1272" s="22" t="s">
        <v>39</v>
      </c>
      <c r="D1272" s="22">
        <v>0</v>
      </c>
      <c r="E1272" s="22">
        <v>0</v>
      </c>
    </row>
    <row r="1273" spans="1:5">
      <c r="A1273" s="22" t="s">
        <v>1304</v>
      </c>
      <c r="B1273" s="22" t="s">
        <v>723</v>
      </c>
      <c r="C1273" s="22" t="s">
        <v>29</v>
      </c>
      <c r="D1273" s="22">
        <v>0</v>
      </c>
      <c r="E1273" s="22">
        <v>0</v>
      </c>
    </row>
    <row r="1274" spans="1:5">
      <c r="A1274" s="22" t="s">
        <v>1305</v>
      </c>
      <c r="B1274" s="22" t="s">
        <v>723</v>
      </c>
      <c r="C1274" s="22" t="s">
        <v>41</v>
      </c>
      <c r="D1274" s="22">
        <v>0</v>
      </c>
      <c r="E1274" s="22">
        <v>0</v>
      </c>
    </row>
    <row r="1275" spans="1:5">
      <c r="A1275" s="22" t="s">
        <v>1306</v>
      </c>
      <c r="B1275" s="22" t="s">
        <v>723</v>
      </c>
      <c r="C1275" s="22" t="s">
        <v>41</v>
      </c>
      <c r="D1275" s="22">
        <v>0</v>
      </c>
      <c r="E1275" s="22">
        <v>0</v>
      </c>
    </row>
    <row r="1276" spans="1:5">
      <c r="A1276" s="22" t="s">
        <v>1307</v>
      </c>
      <c r="B1276" s="22" t="s">
        <v>723</v>
      </c>
      <c r="C1276" s="22" t="s">
        <v>39</v>
      </c>
      <c r="D1276" s="22">
        <v>0</v>
      </c>
      <c r="E1276" s="22">
        <v>0</v>
      </c>
    </row>
    <row r="1277" spans="1:5">
      <c r="A1277" s="22" t="s">
        <v>1308</v>
      </c>
      <c r="B1277" s="22" t="s">
        <v>723</v>
      </c>
      <c r="C1277" s="22" t="s">
        <v>39</v>
      </c>
      <c r="D1277" s="22">
        <v>0</v>
      </c>
      <c r="E1277" s="22">
        <v>0</v>
      </c>
    </row>
    <row r="1278" spans="1:5">
      <c r="A1278" s="22" t="s">
        <v>1309</v>
      </c>
      <c r="B1278" s="22" t="s">
        <v>723</v>
      </c>
      <c r="C1278" s="22" t="s">
        <v>39</v>
      </c>
      <c r="D1278" s="22">
        <v>0</v>
      </c>
      <c r="E1278" s="22">
        <v>0</v>
      </c>
    </row>
    <row r="1279" spans="1:5">
      <c r="A1279" s="22" t="s">
        <v>1310</v>
      </c>
      <c r="B1279" s="22" t="s">
        <v>723</v>
      </c>
      <c r="C1279" s="22" t="s">
        <v>25</v>
      </c>
      <c r="D1279" s="22">
        <v>0</v>
      </c>
      <c r="E1279" s="22">
        <v>0</v>
      </c>
    </row>
    <row r="1280" spans="1:5">
      <c r="A1280" s="22" t="s">
        <v>1311</v>
      </c>
      <c r="B1280" s="22" t="s">
        <v>723</v>
      </c>
      <c r="C1280" s="22" t="s">
        <v>41</v>
      </c>
      <c r="D1280" s="22">
        <v>0</v>
      </c>
      <c r="E1280" s="22">
        <v>0</v>
      </c>
    </row>
    <row r="1281" spans="1:5">
      <c r="A1281" s="22" t="s">
        <v>1312</v>
      </c>
      <c r="B1281" s="22" t="s">
        <v>723</v>
      </c>
      <c r="C1281" s="22" t="s">
        <v>25</v>
      </c>
      <c r="D1281" s="22">
        <v>0</v>
      </c>
      <c r="E1281" s="22">
        <v>0</v>
      </c>
    </row>
    <row r="1282" spans="1:5">
      <c r="A1282" s="22" t="s">
        <v>1313</v>
      </c>
      <c r="B1282" s="22" t="s">
        <v>723</v>
      </c>
      <c r="C1282" s="22" t="s">
        <v>29</v>
      </c>
      <c r="D1282" s="22">
        <v>0</v>
      </c>
      <c r="E1282" s="22">
        <v>0</v>
      </c>
    </row>
    <row r="1283" spans="1:5">
      <c r="A1283" s="22" t="s">
        <v>1314</v>
      </c>
      <c r="B1283" s="22" t="s">
        <v>723</v>
      </c>
      <c r="C1283" s="22" t="s">
        <v>41</v>
      </c>
      <c r="D1283" s="22">
        <v>0</v>
      </c>
      <c r="E1283" s="22">
        <v>0</v>
      </c>
    </row>
    <row r="1284" spans="1:5">
      <c r="A1284" s="22" t="s">
        <v>1315</v>
      </c>
      <c r="B1284" s="22" t="s">
        <v>723</v>
      </c>
      <c r="C1284" s="22" t="s">
        <v>25</v>
      </c>
      <c r="D1284" s="22">
        <v>0</v>
      </c>
      <c r="E1284" s="22">
        <v>0</v>
      </c>
    </row>
    <row r="1285" spans="1:5">
      <c r="A1285" s="22" t="s">
        <v>1316</v>
      </c>
      <c r="B1285" s="22" t="s">
        <v>723</v>
      </c>
      <c r="C1285" s="22" t="s">
        <v>41</v>
      </c>
      <c r="D1285" s="22">
        <v>0</v>
      </c>
      <c r="E1285" s="22">
        <v>0</v>
      </c>
    </row>
    <row r="1286" spans="1:5">
      <c r="A1286" s="22" t="s">
        <v>1317</v>
      </c>
      <c r="B1286" s="22" t="s">
        <v>723</v>
      </c>
      <c r="C1286" s="22" t="s">
        <v>41</v>
      </c>
      <c r="D1286" s="22">
        <v>0</v>
      </c>
      <c r="E1286" s="22">
        <v>0</v>
      </c>
    </row>
    <row r="1287" spans="1:5">
      <c r="A1287" s="22" t="s">
        <v>1318</v>
      </c>
      <c r="B1287" s="22" t="s">
        <v>723</v>
      </c>
      <c r="C1287" s="22" t="s">
        <v>25</v>
      </c>
      <c r="D1287" s="22">
        <v>0</v>
      </c>
      <c r="E1287" s="22">
        <v>0</v>
      </c>
    </row>
    <row r="1288" spans="1:5">
      <c r="A1288" s="22" t="s">
        <v>1319</v>
      </c>
      <c r="B1288" s="22" t="s">
        <v>723</v>
      </c>
      <c r="C1288" s="22" t="s">
        <v>25</v>
      </c>
      <c r="D1288" s="22">
        <v>0</v>
      </c>
      <c r="E1288" s="22">
        <v>0</v>
      </c>
    </row>
    <row r="1289" spans="1:5">
      <c r="A1289" s="22" t="s">
        <v>1320</v>
      </c>
      <c r="B1289" s="22" t="s">
        <v>723</v>
      </c>
      <c r="C1289" s="22" t="s">
        <v>25</v>
      </c>
      <c r="D1289" s="22">
        <v>0</v>
      </c>
      <c r="E1289" s="22">
        <v>0</v>
      </c>
    </row>
    <row r="1290" spans="1:5">
      <c r="A1290" s="22" t="s">
        <v>1321</v>
      </c>
      <c r="B1290" s="22" t="s">
        <v>723</v>
      </c>
      <c r="C1290" s="22" t="s">
        <v>29</v>
      </c>
      <c r="D1290" s="22">
        <v>0</v>
      </c>
      <c r="E1290" s="22">
        <v>0</v>
      </c>
    </row>
    <row r="1291" spans="1:5">
      <c r="A1291" s="22" t="s">
        <v>1322</v>
      </c>
      <c r="B1291" s="22" t="s">
        <v>723</v>
      </c>
      <c r="C1291" s="22" t="s">
        <v>25</v>
      </c>
      <c r="D1291" s="22">
        <v>0</v>
      </c>
      <c r="E1291" s="22">
        <v>0</v>
      </c>
    </row>
    <row r="1292" spans="1:5">
      <c r="A1292" s="22" t="s">
        <v>1323</v>
      </c>
      <c r="B1292" s="22" t="s">
        <v>723</v>
      </c>
      <c r="C1292" s="22" t="s">
        <v>25</v>
      </c>
      <c r="D1292" s="22">
        <v>0</v>
      </c>
      <c r="E1292" s="22">
        <v>0</v>
      </c>
    </row>
    <row r="1293" spans="1:5">
      <c r="A1293" s="22" t="s">
        <v>1324</v>
      </c>
      <c r="B1293" s="22" t="s">
        <v>723</v>
      </c>
      <c r="C1293" s="22" t="s">
        <v>29</v>
      </c>
      <c r="D1293" s="22">
        <v>0</v>
      </c>
      <c r="E1293" s="22">
        <v>0</v>
      </c>
    </row>
    <row r="1294" spans="1:5">
      <c r="A1294" s="22" t="s">
        <v>1325</v>
      </c>
      <c r="B1294" s="22" t="s">
        <v>723</v>
      </c>
      <c r="C1294" s="22" t="s">
        <v>41</v>
      </c>
      <c r="D1294" s="22">
        <v>0</v>
      </c>
      <c r="E1294" s="22">
        <v>0</v>
      </c>
    </row>
    <row r="1295" spans="1:5">
      <c r="A1295" s="22" t="s">
        <v>1326</v>
      </c>
      <c r="B1295" s="22" t="s">
        <v>723</v>
      </c>
      <c r="C1295" s="22" t="s">
        <v>41</v>
      </c>
      <c r="D1295" s="22">
        <v>0</v>
      </c>
      <c r="E1295" s="22">
        <v>0</v>
      </c>
    </row>
    <row r="1296" spans="1:5">
      <c r="A1296" s="22" t="s">
        <v>1327</v>
      </c>
      <c r="B1296" s="22" t="s">
        <v>723</v>
      </c>
      <c r="C1296" s="22" t="s">
        <v>39</v>
      </c>
      <c r="D1296" s="22">
        <v>0</v>
      </c>
      <c r="E1296" s="22">
        <v>0</v>
      </c>
    </row>
    <row r="1297" spans="1:5">
      <c r="A1297" s="22" t="s">
        <v>1328</v>
      </c>
      <c r="B1297" s="22" t="s">
        <v>723</v>
      </c>
      <c r="C1297" s="22" t="s">
        <v>41</v>
      </c>
      <c r="D1297" s="22">
        <v>0</v>
      </c>
      <c r="E1297" s="22">
        <v>0</v>
      </c>
    </row>
    <row r="1298" spans="1:5">
      <c r="A1298" s="22" t="s">
        <v>1329</v>
      </c>
      <c r="B1298" s="22" t="s">
        <v>723</v>
      </c>
      <c r="C1298" s="22" t="s">
        <v>39</v>
      </c>
      <c r="D1298" s="22">
        <v>1</v>
      </c>
      <c r="E1298" s="22">
        <v>1496.09</v>
      </c>
    </row>
    <row r="1299" spans="1:5">
      <c r="A1299" s="22" t="s">
        <v>1330</v>
      </c>
      <c r="B1299" s="22" t="s">
        <v>723</v>
      </c>
      <c r="C1299" s="22" t="s">
        <v>39</v>
      </c>
      <c r="D1299" s="22">
        <v>0</v>
      </c>
      <c r="E1299" s="22">
        <v>0</v>
      </c>
    </row>
    <row r="1300" spans="1:5">
      <c r="A1300" s="22" t="s">
        <v>1331</v>
      </c>
      <c r="B1300" s="22" t="s">
        <v>723</v>
      </c>
      <c r="C1300" s="22" t="s">
        <v>25</v>
      </c>
      <c r="D1300" s="22">
        <v>0</v>
      </c>
      <c r="E1300" s="22">
        <v>0</v>
      </c>
    </row>
    <row r="1301" spans="1:5">
      <c r="A1301" s="22" t="s">
        <v>1332</v>
      </c>
      <c r="B1301" s="22" t="s">
        <v>723</v>
      </c>
      <c r="C1301" s="22" t="s">
        <v>25</v>
      </c>
      <c r="D1301" s="22">
        <v>0</v>
      </c>
      <c r="E1301" s="22">
        <v>0</v>
      </c>
    </row>
    <row r="1302" spans="1:5">
      <c r="A1302" s="22" t="s">
        <v>1333</v>
      </c>
      <c r="B1302" s="22" t="s">
        <v>723</v>
      </c>
      <c r="C1302" s="22" t="s">
        <v>41</v>
      </c>
      <c r="D1302" s="22">
        <v>0</v>
      </c>
      <c r="E1302" s="22">
        <v>0</v>
      </c>
    </row>
    <row r="1303" spans="1:5">
      <c r="A1303" s="22" t="s">
        <v>1334</v>
      </c>
      <c r="B1303" s="22" t="s">
        <v>723</v>
      </c>
      <c r="C1303" s="22" t="s">
        <v>25</v>
      </c>
      <c r="D1303" s="22">
        <v>0</v>
      </c>
      <c r="E1303" s="22">
        <v>0</v>
      </c>
    </row>
    <row r="1304" spans="1:5">
      <c r="A1304" s="22" t="s">
        <v>1335</v>
      </c>
      <c r="B1304" s="22" t="s">
        <v>723</v>
      </c>
      <c r="C1304" s="22" t="s">
        <v>41</v>
      </c>
      <c r="D1304" s="22">
        <v>0</v>
      </c>
      <c r="E1304" s="22">
        <v>0</v>
      </c>
    </row>
    <row r="1305" spans="1:5">
      <c r="A1305" s="22" t="s">
        <v>1336</v>
      </c>
      <c r="B1305" s="22" t="s">
        <v>723</v>
      </c>
      <c r="C1305" s="22" t="s">
        <v>29</v>
      </c>
      <c r="D1305" s="22">
        <v>0</v>
      </c>
      <c r="E1305" s="22">
        <v>0</v>
      </c>
    </row>
    <row r="1306" spans="1:5">
      <c r="A1306" s="22" t="s">
        <v>1337</v>
      </c>
      <c r="B1306" s="22" t="s">
        <v>723</v>
      </c>
      <c r="C1306" s="22" t="s">
        <v>41</v>
      </c>
      <c r="D1306" s="22">
        <v>0</v>
      </c>
      <c r="E1306" s="22">
        <v>0</v>
      </c>
    </row>
    <row r="1307" spans="1:5">
      <c r="A1307" s="22" t="s">
        <v>1338</v>
      </c>
      <c r="B1307" s="22" t="s">
        <v>723</v>
      </c>
      <c r="C1307" s="22" t="s">
        <v>41</v>
      </c>
      <c r="D1307" s="22">
        <v>0</v>
      </c>
      <c r="E1307" s="22">
        <v>0</v>
      </c>
    </row>
    <row r="1308" spans="1:5">
      <c r="A1308" s="22" t="s">
        <v>1339</v>
      </c>
      <c r="B1308" s="22" t="s">
        <v>723</v>
      </c>
      <c r="C1308" s="22" t="s">
        <v>41</v>
      </c>
      <c r="D1308" s="22">
        <v>0</v>
      </c>
      <c r="E1308" s="22">
        <v>0</v>
      </c>
    </row>
    <row r="1309" spans="1:5">
      <c r="A1309" s="22" t="s">
        <v>1340</v>
      </c>
      <c r="B1309" s="22" t="s">
        <v>723</v>
      </c>
      <c r="C1309" s="22" t="s">
        <v>29</v>
      </c>
      <c r="D1309" s="22">
        <v>0</v>
      </c>
      <c r="E1309" s="22">
        <v>0</v>
      </c>
    </row>
    <row r="1310" spans="1:5">
      <c r="A1310" s="22" t="s">
        <v>1341</v>
      </c>
      <c r="B1310" s="22" t="s">
        <v>723</v>
      </c>
      <c r="C1310" s="22" t="s">
        <v>41</v>
      </c>
      <c r="D1310" s="22">
        <v>0</v>
      </c>
      <c r="E1310" s="22">
        <v>0</v>
      </c>
    </row>
    <row r="1311" spans="1:5">
      <c r="A1311" s="22" t="s">
        <v>1342</v>
      </c>
      <c r="B1311" s="22" t="s">
        <v>723</v>
      </c>
      <c r="C1311" s="22" t="s">
        <v>29</v>
      </c>
      <c r="D1311" s="22">
        <v>0</v>
      </c>
      <c r="E1311" s="22">
        <v>0</v>
      </c>
    </row>
    <row r="1312" spans="1:5">
      <c r="A1312" s="22" t="s">
        <v>1343</v>
      </c>
      <c r="B1312" s="22" t="s">
        <v>723</v>
      </c>
      <c r="C1312" s="22" t="s">
        <v>25</v>
      </c>
      <c r="D1312" s="22">
        <v>1</v>
      </c>
      <c r="E1312" s="22">
        <v>428.37</v>
      </c>
    </row>
    <row r="1313" spans="1:5">
      <c r="A1313" s="22" t="s">
        <v>1344</v>
      </c>
      <c r="B1313" s="22" t="s">
        <v>723</v>
      </c>
      <c r="C1313" s="22" t="s">
        <v>20</v>
      </c>
      <c r="D1313" s="22">
        <v>0</v>
      </c>
      <c r="E1313" s="22">
        <v>0</v>
      </c>
    </row>
    <row r="1314" spans="1:5">
      <c r="A1314" s="22" t="s">
        <v>1345</v>
      </c>
      <c r="B1314" s="22" t="s">
        <v>723</v>
      </c>
      <c r="C1314" s="22" t="s">
        <v>39</v>
      </c>
      <c r="D1314" s="22">
        <v>0</v>
      </c>
      <c r="E1314" s="22">
        <v>0</v>
      </c>
    </row>
    <row r="1315" spans="1:5">
      <c r="A1315" s="22" t="s">
        <v>1346</v>
      </c>
      <c r="B1315" s="22" t="s">
        <v>723</v>
      </c>
      <c r="C1315" s="22" t="s">
        <v>41</v>
      </c>
      <c r="D1315" s="22">
        <v>0</v>
      </c>
      <c r="E1315" s="22">
        <v>0</v>
      </c>
    </row>
    <row r="1316" spans="1:5">
      <c r="A1316" s="22" t="s">
        <v>1347</v>
      </c>
      <c r="B1316" s="22" t="s">
        <v>723</v>
      </c>
      <c r="C1316" s="22" t="s">
        <v>1482</v>
      </c>
      <c r="D1316" s="22">
        <v>0</v>
      </c>
      <c r="E1316" s="22">
        <v>0</v>
      </c>
    </row>
    <row r="1317" spans="1:5">
      <c r="A1317" s="22" t="s">
        <v>1348</v>
      </c>
      <c r="B1317" s="22" t="s">
        <v>723</v>
      </c>
      <c r="C1317" s="22" t="s">
        <v>25</v>
      </c>
      <c r="D1317" s="22">
        <v>0</v>
      </c>
      <c r="E1317" s="22">
        <v>0</v>
      </c>
    </row>
    <row r="1318" spans="1:5">
      <c r="A1318" s="22" t="s">
        <v>1349</v>
      </c>
      <c r="B1318" s="22" t="s">
        <v>723</v>
      </c>
      <c r="C1318" s="22" t="s">
        <v>25</v>
      </c>
      <c r="D1318" s="22">
        <v>0</v>
      </c>
      <c r="E1318" s="22">
        <v>0</v>
      </c>
    </row>
    <row r="1319" spans="1:5">
      <c r="A1319" s="22" t="s">
        <v>1350</v>
      </c>
      <c r="B1319" s="22" t="s">
        <v>723</v>
      </c>
      <c r="C1319" s="22" t="s">
        <v>29</v>
      </c>
      <c r="D1319" s="22">
        <v>0</v>
      </c>
      <c r="E1319" s="22">
        <v>0</v>
      </c>
    </row>
    <row r="1320" spans="1:5">
      <c r="A1320" s="22" t="s">
        <v>1351</v>
      </c>
      <c r="B1320" s="22" t="s">
        <v>723</v>
      </c>
      <c r="C1320" s="22" t="s">
        <v>25</v>
      </c>
      <c r="D1320" s="22">
        <v>1</v>
      </c>
      <c r="E1320" s="22">
        <v>444.06</v>
      </c>
    </row>
    <row r="1321" spans="1:5">
      <c r="A1321" s="22" t="s">
        <v>1352</v>
      </c>
      <c r="B1321" s="22" t="s">
        <v>723</v>
      </c>
      <c r="C1321" s="22" t="s">
        <v>29</v>
      </c>
      <c r="D1321" s="22">
        <v>0</v>
      </c>
      <c r="E1321" s="22">
        <v>0</v>
      </c>
    </row>
    <row r="1322" spans="1:5">
      <c r="A1322" s="22" t="s">
        <v>1353</v>
      </c>
      <c r="B1322" s="22" t="s">
        <v>723</v>
      </c>
      <c r="C1322" s="22" t="s">
        <v>29</v>
      </c>
      <c r="D1322" s="22">
        <v>0</v>
      </c>
      <c r="E1322" s="22">
        <v>0</v>
      </c>
    </row>
    <row r="1323" spans="1:5">
      <c r="A1323" s="22" t="s">
        <v>1354</v>
      </c>
      <c r="B1323" s="22" t="s">
        <v>723</v>
      </c>
      <c r="C1323" s="22" t="s">
        <v>25</v>
      </c>
      <c r="D1323" s="22">
        <v>1</v>
      </c>
      <c r="E1323" s="22">
        <v>2660.21</v>
      </c>
    </row>
    <row r="1324" spans="1:5">
      <c r="A1324" s="22" t="s">
        <v>1355</v>
      </c>
      <c r="B1324" s="22" t="s">
        <v>723</v>
      </c>
      <c r="C1324" s="22" t="s">
        <v>20</v>
      </c>
      <c r="D1324" s="22">
        <v>0</v>
      </c>
      <c r="E1324" s="22">
        <v>0</v>
      </c>
    </row>
    <row r="1325" spans="1:5">
      <c r="A1325" s="22" t="s">
        <v>1356</v>
      </c>
      <c r="B1325" s="22" t="s">
        <v>723</v>
      </c>
      <c r="C1325" s="22" t="s">
        <v>20</v>
      </c>
      <c r="D1325" s="22">
        <v>0</v>
      </c>
      <c r="E1325" s="22">
        <v>0</v>
      </c>
    </row>
    <row r="1326" spans="1:5">
      <c r="A1326" s="22" t="s">
        <v>1357</v>
      </c>
      <c r="B1326" s="22" t="s">
        <v>723</v>
      </c>
      <c r="C1326" s="22" t="s">
        <v>29</v>
      </c>
      <c r="D1326" s="22">
        <v>0</v>
      </c>
      <c r="E1326" s="22">
        <v>0</v>
      </c>
    </row>
    <row r="1327" spans="1:5">
      <c r="A1327" s="22" t="s">
        <v>1358</v>
      </c>
      <c r="B1327" s="22" t="s">
        <v>723</v>
      </c>
      <c r="C1327" s="22" t="s">
        <v>25</v>
      </c>
      <c r="D1327" s="22">
        <v>0</v>
      </c>
      <c r="E1327" s="22">
        <v>0</v>
      </c>
    </row>
    <row r="1328" spans="1:5">
      <c r="A1328" s="22" t="s">
        <v>1359</v>
      </c>
      <c r="B1328" s="22" t="s">
        <v>723</v>
      </c>
      <c r="C1328" s="22" t="s">
        <v>29</v>
      </c>
      <c r="D1328" s="22">
        <v>0</v>
      </c>
      <c r="E1328" s="22">
        <v>0</v>
      </c>
    </row>
    <row r="1329" spans="1:5">
      <c r="A1329" s="22" t="s">
        <v>1360</v>
      </c>
      <c r="B1329" s="22" t="s">
        <v>723</v>
      </c>
      <c r="C1329" s="22" t="s">
        <v>1482</v>
      </c>
      <c r="D1329" s="22">
        <v>0</v>
      </c>
      <c r="E1329" s="22">
        <v>0</v>
      </c>
    </row>
    <row r="1330" spans="1:5">
      <c r="A1330" s="22" t="s">
        <v>1361</v>
      </c>
      <c r="B1330" s="22" t="s">
        <v>723</v>
      </c>
      <c r="C1330" s="22" t="s">
        <v>25</v>
      </c>
      <c r="D1330" s="22">
        <v>0</v>
      </c>
      <c r="E1330" s="22">
        <v>0</v>
      </c>
    </row>
    <row r="1331" spans="1:5">
      <c r="A1331" s="22" t="s">
        <v>1362</v>
      </c>
      <c r="B1331" s="22" t="s">
        <v>723</v>
      </c>
      <c r="C1331" s="22" t="s">
        <v>39</v>
      </c>
      <c r="D1331" s="22">
        <v>0</v>
      </c>
      <c r="E1331" s="22">
        <v>0</v>
      </c>
    </row>
    <row r="1332" spans="1:5">
      <c r="A1332" s="22" t="s">
        <v>1363</v>
      </c>
      <c r="B1332" s="22" t="s">
        <v>723</v>
      </c>
      <c r="C1332" s="22" t="s">
        <v>25</v>
      </c>
      <c r="D1332" s="22">
        <v>0</v>
      </c>
      <c r="E1332" s="22">
        <v>0</v>
      </c>
    </row>
    <row r="1333" spans="1:5">
      <c r="A1333" s="22" t="s">
        <v>1364</v>
      </c>
      <c r="B1333" s="22" t="s">
        <v>723</v>
      </c>
      <c r="C1333" s="22" t="s">
        <v>25</v>
      </c>
      <c r="D1333" s="22">
        <v>0</v>
      </c>
      <c r="E1333" s="22">
        <v>0</v>
      </c>
    </row>
    <row r="1334" spans="1:5">
      <c r="A1334" s="22" t="s">
        <v>1365</v>
      </c>
      <c r="B1334" s="22" t="s">
        <v>723</v>
      </c>
      <c r="C1334" s="22" t="s">
        <v>41</v>
      </c>
      <c r="D1334" s="22">
        <v>0</v>
      </c>
      <c r="E1334" s="22">
        <v>0</v>
      </c>
    </row>
    <row r="1335" spans="1:5">
      <c r="A1335" s="22" t="s">
        <v>1366</v>
      </c>
      <c r="B1335" s="22" t="s">
        <v>723</v>
      </c>
      <c r="C1335" s="22" t="s">
        <v>29</v>
      </c>
      <c r="D1335" s="22">
        <v>0</v>
      </c>
      <c r="E1335" s="22">
        <v>0</v>
      </c>
    </row>
    <row r="1336" spans="1:5">
      <c r="A1336" s="22" t="s">
        <v>1367</v>
      </c>
      <c r="B1336" s="22" t="s">
        <v>723</v>
      </c>
      <c r="C1336" s="22" t="s">
        <v>25</v>
      </c>
      <c r="D1336" s="22">
        <v>0</v>
      </c>
      <c r="E1336" s="22">
        <v>0</v>
      </c>
    </row>
    <row r="1337" spans="1:5">
      <c r="A1337" s="22" t="s">
        <v>1368</v>
      </c>
      <c r="B1337" s="22" t="s">
        <v>723</v>
      </c>
      <c r="C1337" s="22" t="s">
        <v>25</v>
      </c>
      <c r="D1337" s="22">
        <v>0</v>
      </c>
      <c r="E1337" s="22">
        <v>0</v>
      </c>
    </row>
    <row r="1338" spans="1:5">
      <c r="A1338" s="22" t="s">
        <v>1369</v>
      </c>
      <c r="B1338" s="22" t="s">
        <v>723</v>
      </c>
      <c r="C1338" s="22" t="s">
        <v>29</v>
      </c>
      <c r="D1338" s="22">
        <v>0</v>
      </c>
      <c r="E1338" s="22">
        <v>0</v>
      </c>
    </row>
    <row r="1339" spans="1:5">
      <c r="A1339" s="22" t="s">
        <v>1370</v>
      </c>
      <c r="B1339" s="22" t="s">
        <v>723</v>
      </c>
      <c r="C1339" s="22" t="s">
        <v>25</v>
      </c>
      <c r="D1339" s="22">
        <v>0</v>
      </c>
      <c r="E1339" s="22">
        <v>0</v>
      </c>
    </row>
    <row r="1340" spans="1:5">
      <c r="A1340" s="22" t="s">
        <v>1371</v>
      </c>
      <c r="B1340" s="22" t="s">
        <v>723</v>
      </c>
      <c r="C1340" s="22" t="s">
        <v>25</v>
      </c>
      <c r="D1340" s="22">
        <v>0</v>
      </c>
      <c r="E1340" s="22">
        <v>0</v>
      </c>
    </row>
    <row r="1341" spans="1:5">
      <c r="A1341" s="22" t="s">
        <v>1372</v>
      </c>
      <c r="B1341" s="22" t="s">
        <v>723</v>
      </c>
      <c r="C1341" s="22" t="s">
        <v>20</v>
      </c>
      <c r="D1341" s="22">
        <v>0</v>
      </c>
      <c r="E1341" s="22">
        <v>0</v>
      </c>
    </row>
    <row r="1342" spans="1:5">
      <c r="A1342" s="22" t="s">
        <v>1373</v>
      </c>
      <c r="B1342" s="22" t="s">
        <v>723</v>
      </c>
      <c r="C1342" s="22" t="s">
        <v>20</v>
      </c>
      <c r="D1342" s="22">
        <v>0</v>
      </c>
      <c r="E1342" s="22">
        <v>0</v>
      </c>
    </row>
    <row r="1343" spans="1:5">
      <c r="A1343" s="22" t="s">
        <v>1374</v>
      </c>
      <c r="B1343" s="22" t="s">
        <v>723</v>
      </c>
      <c r="C1343" s="22" t="s">
        <v>41</v>
      </c>
      <c r="D1343" s="22">
        <v>0</v>
      </c>
      <c r="E1343" s="22">
        <v>0</v>
      </c>
    </row>
    <row r="1344" spans="1:5">
      <c r="A1344" s="22" t="s">
        <v>1375</v>
      </c>
      <c r="B1344" s="22" t="s">
        <v>723</v>
      </c>
      <c r="C1344" s="22" t="s">
        <v>25</v>
      </c>
      <c r="D1344" s="22">
        <v>0</v>
      </c>
      <c r="E1344" s="22">
        <v>0</v>
      </c>
    </row>
    <row r="1345" spans="1:5">
      <c r="A1345" s="22" t="s">
        <v>1376</v>
      </c>
      <c r="B1345" s="22" t="s">
        <v>723</v>
      </c>
      <c r="C1345" s="22" t="s">
        <v>20</v>
      </c>
      <c r="D1345" s="22">
        <v>0</v>
      </c>
      <c r="E1345" s="22">
        <v>0</v>
      </c>
    </row>
    <row r="1346" spans="1:5">
      <c r="A1346" s="22" t="s">
        <v>1377</v>
      </c>
      <c r="B1346" s="22" t="s">
        <v>723</v>
      </c>
      <c r="C1346" s="22" t="s">
        <v>25</v>
      </c>
      <c r="D1346" s="22">
        <v>0</v>
      </c>
      <c r="E1346" s="22">
        <v>0</v>
      </c>
    </row>
    <row r="1347" spans="1:5">
      <c r="A1347" s="22" t="s">
        <v>1378</v>
      </c>
      <c r="B1347" s="22" t="s">
        <v>723</v>
      </c>
      <c r="C1347" s="22" t="s">
        <v>41</v>
      </c>
      <c r="D1347" s="22">
        <v>0</v>
      </c>
      <c r="E1347" s="22">
        <v>0</v>
      </c>
    </row>
    <row r="1348" spans="1:5">
      <c r="A1348" s="22" t="s">
        <v>1379</v>
      </c>
      <c r="B1348" s="22" t="s">
        <v>723</v>
      </c>
      <c r="C1348" s="22" t="s">
        <v>41</v>
      </c>
      <c r="D1348" s="22">
        <v>0</v>
      </c>
      <c r="E1348" s="22">
        <v>0</v>
      </c>
    </row>
    <row r="1349" spans="1:5">
      <c r="A1349" s="22" t="s">
        <v>1380</v>
      </c>
      <c r="B1349" s="22" t="s">
        <v>723</v>
      </c>
      <c r="C1349" s="22" t="s">
        <v>25</v>
      </c>
      <c r="D1349" s="22">
        <v>0</v>
      </c>
      <c r="E1349" s="22">
        <v>0</v>
      </c>
    </row>
    <row r="1350" spans="1:5">
      <c r="A1350" s="22" t="s">
        <v>1381</v>
      </c>
      <c r="B1350" s="22" t="s">
        <v>723</v>
      </c>
      <c r="C1350" s="22" t="s">
        <v>25</v>
      </c>
      <c r="D1350" s="22">
        <v>0</v>
      </c>
      <c r="E1350" s="22">
        <v>0</v>
      </c>
    </row>
    <row r="1351" spans="1:5">
      <c r="A1351" s="22" t="s">
        <v>1382</v>
      </c>
      <c r="B1351" s="22" t="s">
        <v>723</v>
      </c>
      <c r="C1351" s="22" t="s">
        <v>29</v>
      </c>
      <c r="D1351" s="22">
        <v>1</v>
      </c>
      <c r="E1351" s="22">
        <v>323.60000000000002</v>
      </c>
    </row>
    <row r="1352" spans="1:5">
      <c r="A1352" s="22" t="s">
        <v>1383</v>
      </c>
      <c r="B1352" s="22" t="s">
        <v>723</v>
      </c>
      <c r="C1352" s="22" t="s">
        <v>41</v>
      </c>
      <c r="D1352" s="22">
        <v>0</v>
      </c>
      <c r="E1352" s="22">
        <v>0</v>
      </c>
    </row>
    <row r="1353" spans="1:5">
      <c r="A1353" s="22" t="s">
        <v>1384</v>
      </c>
      <c r="B1353" s="22" t="s">
        <v>723</v>
      </c>
      <c r="C1353" s="22" t="s">
        <v>41</v>
      </c>
      <c r="D1353" s="22">
        <v>0</v>
      </c>
      <c r="E1353" s="22">
        <v>0</v>
      </c>
    </row>
    <row r="1354" spans="1:5">
      <c r="A1354" s="22" t="s">
        <v>1385</v>
      </c>
      <c r="B1354" s="22" t="s">
        <v>723</v>
      </c>
      <c r="C1354" s="22" t="s">
        <v>29</v>
      </c>
      <c r="D1354" s="22">
        <v>0</v>
      </c>
      <c r="E1354" s="22">
        <v>0</v>
      </c>
    </row>
    <row r="1355" spans="1:5">
      <c r="A1355" s="22" t="s">
        <v>1386</v>
      </c>
      <c r="B1355" s="22" t="s">
        <v>723</v>
      </c>
      <c r="C1355" s="22" t="s">
        <v>25</v>
      </c>
      <c r="D1355" s="22">
        <v>0</v>
      </c>
      <c r="E1355" s="22">
        <v>0</v>
      </c>
    </row>
    <row r="1356" spans="1:5">
      <c r="A1356" s="22" t="s">
        <v>1387</v>
      </c>
      <c r="B1356" s="22" t="s">
        <v>723</v>
      </c>
      <c r="C1356" s="22" t="s">
        <v>25</v>
      </c>
      <c r="D1356" s="22">
        <v>0</v>
      </c>
      <c r="E1356" s="22">
        <v>0</v>
      </c>
    </row>
    <row r="1357" spans="1:5">
      <c r="A1357" s="22" t="s">
        <v>1388</v>
      </c>
      <c r="B1357" s="22" t="s">
        <v>723</v>
      </c>
      <c r="C1357" s="22" t="s">
        <v>1482</v>
      </c>
      <c r="D1357" s="22">
        <v>0</v>
      </c>
      <c r="E1357" s="22">
        <v>0</v>
      </c>
    </row>
    <row r="1358" spans="1:5">
      <c r="A1358" s="22" t="s">
        <v>1389</v>
      </c>
      <c r="B1358" s="22" t="s">
        <v>723</v>
      </c>
      <c r="C1358" s="22" t="s">
        <v>25</v>
      </c>
      <c r="D1358" s="22">
        <v>0</v>
      </c>
      <c r="E1358" s="22">
        <v>0</v>
      </c>
    </row>
    <row r="1359" spans="1:5">
      <c r="A1359" s="22" t="s">
        <v>1390</v>
      </c>
      <c r="B1359" s="22" t="s">
        <v>723</v>
      </c>
      <c r="C1359" s="22" t="s">
        <v>41</v>
      </c>
      <c r="D1359" s="22">
        <v>0</v>
      </c>
      <c r="E1359" s="22">
        <v>0</v>
      </c>
    </row>
    <row r="1360" spans="1:5">
      <c r="A1360" s="22" t="s">
        <v>1391</v>
      </c>
      <c r="B1360" s="22" t="s">
        <v>723</v>
      </c>
      <c r="C1360" s="22" t="s">
        <v>25</v>
      </c>
      <c r="D1360" s="22">
        <v>0</v>
      </c>
      <c r="E1360" s="22">
        <v>0</v>
      </c>
    </row>
    <row r="1361" spans="1:5">
      <c r="A1361" s="22" t="s">
        <v>1392</v>
      </c>
      <c r="B1361" s="22" t="s">
        <v>723</v>
      </c>
      <c r="C1361" s="22" t="s">
        <v>41</v>
      </c>
      <c r="D1361" s="22">
        <v>0</v>
      </c>
      <c r="E1361" s="22">
        <v>0</v>
      </c>
    </row>
    <row r="1362" spans="1:5">
      <c r="A1362" s="22" t="s">
        <v>1393</v>
      </c>
      <c r="B1362" s="22" t="s">
        <v>723</v>
      </c>
      <c r="C1362" s="22" t="s">
        <v>41</v>
      </c>
      <c r="D1362" s="22">
        <v>0</v>
      </c>
      <c r="E1362" s="22">
        <v>0</v>
      </c>
    </row>
    <row r="1363" spans="1:5">
      <c r="A1363" s="22" t="s">
        <v>1394</v>
      </c>
      <c r="B1363" s="22" t="s">
        <v>723</v>
      </c>
      <c r="C1363" s="22" t="s">
        <v>25</v>
      </c>
      <c r="D1363" s="22">
        <v>0</v>
      </c>
      <c r="E1363" s="22">
        <v>0</v>
      </c>
    </row>
    <row r="1364" spans="1:5">
      <c r="A1364" s="22" t="s">
        <v>1395</v>
      </c>
      <c r="B1364" s="22" t="s">
        <v>723</v>
      </c>
      <c r="C1364" s="22" t="s">
        <v>29</v>
      </c>
      <c r="D1364" s="22">
        <v>0</v>
      </c>
      <c r="E1364" s="22">
        <v>0</v>
      </c>
    </row>
    <row r="1365" spans="1:5">
      <c r="A1365" s="22" t="s">
        <v>1396</v>
      </c>
      <c r="B1365" s="22" t="s">
        <v>723</v>
      </c>
      <c r="C1365" s="22" t="s">
        <v>25</v>
      </c>
      <c r="D1365" s="22">
        <v>0</v>
      </c>
      <c r="E1365" s="22">
        <v>0</v>
      </c>
    </row>
    <row r="1366" spans="1:5">
      <c r="A1366" s="22" t="s">
        <v>1397</v>
      </c>
      <c r="B1366" s="22" t="s">
        <v>723</v>
      </c>
      <c r="C1366" s="22" t="s">
        <v>25</v>
      </c>
      <c r="D1366" s="22">
        <v>0</v>
      </c>
      <c r="E1366" s="22">
        <v>0</v>
      </c>
    </row>
    <row r="1367" spans="1:5">
      <c r="A1367" s="22" t="s">
        <v>1398</v>
      </c>
      <c r="B1367" s="22" t="s">
        <v>723</v>
      </c>
      <c r="C1367" s="22" t="s">
        <v>41</v>
      </c>
      <c r="D1367" s="22">
        <v>0</v>
      </c>
      <c r="E1367" s="22">
        <v>0</v>
      </c>
    </row>
    <row r="1368" spans="1:5">
      <c r="A1368" s="22" t="s">
        <v>1399</v>
      </c>
      <c r="B1368" s="22" t="s">
        <v>723</v>
      </c>
      <c r="C1368" s="22" t="s">
        <v>25</v>
      </c>
      <c r="D1368" s="22">
        <v>0</v>
      </c>
      <c r="E1368" s="22">
        <v>0</v>
      </c>
    </row>
    <row r="1369" spans="1:5">
      <c r="A1369" s="22" t="s">
        <v>1400</v>
      </c>
      <c r="B1369" s="22" t="s">
        <v>723</v>
      </c>
      <c r="C1369" s="22" t="s">
        <v>39</v>
      </c>
      <c r="D1369" s="22">
        <v>0</v>
      </c>
      <c r="E1369" s="22">
        <v>0</v>
      </c>
    </row>
    <row r="1370" spans="1:5">
      <c r="A1370" s="22" t="s">
        <v>1401</v>
      </c>
      <c r="B1370" s="22" t="s">
        <v>723</v>
      </c>
      <c r="C1370" s="22" t="s">
        <v>29</v>
      </c>
      <c r="D1370" s="22">
        <v>0</v>
      </c>
      <c r="E1370" s="22">
        <v>0</v>
      </c>
    </row>
    <row r="1371" spans="1:5">
      <c r="A1371" s="22" t="s">
        <v>1402</v>
      </c>
      <c r="B1371" s="22" t="s">
        <v>723</v>
      </c>
      <c r="C1371" s="22" t="s">
        <v>25</v>
      </c>
      <c r="D1371" s="22">
        <v>0</v>
      </c>
      <c r="E1371" s="22">
        <v>0</v>
      </c>
    </row>
    <row r="1372" spans="1:5">
      <c r="A1372" s="22" t="s">
        <v>1403</v>
      </c>
      <c r="B1372" s="22" t="s">
        <v>723</v>
      </c>
      <c r="C1372" s="22" t="s">
        <v>25</v>
      </c>
      <c r="D1372" s="22">
        <v>0</v>
      </c>
      <c r="E1372" s="22">
        <v>0</v>
      </c>
    </row>
    <row r="1373" spans="1:5">
      <c r="A1373" s="22" t="s">
        <v>1404</v>
      </c>
      <c r="B1373" s="22" t="s">
        <v>723</v>
      </c>
      <c r="C1373" s="22" t="s">
        <v>25</v>
      </c>
      <c r="D1373" s="22">
        <v>0</v>
      </c>
      <c r="E1373" s="22">
        <v>0</v>
      </c>
    </row>
    <row r="1374" spans="1:5">
      <c r="A1374" s="22" t="s">
        <v>1405</v>
      </c>
      <c r="B1374" s="22" t="s">
        <v>723</v>
      </c>
      <c r="C1374" s="22" t="s">
        <v>29</v>
      </c>
      <c r="D1374" s="22">
        <v>0</v>
      </c>
      <c r="E1374" s="22">
        <v>0</v>
      </c>
    </row>
    <row r="1375" spans="1:5">
      <c r="A1375" s="22" t="s">
        <v>1406</v>
      </c>
      <c r="B1375" s="22" t="s">
        <v>723</v>
      </c>
      <c r="C1375" s="22" t="s">
        <v>41</v>
      </c>
      <c r="D1375" s="22">
        <v>0</v>
      </c>
      <c r="E1375" s="22">
        <v>0</v>
      </c>
    </row>
    <row r="1376" spans="1:5">
      <c r="A1376" s="22" t="s">
        <v>1407</v>
      </c>
      <c r="B1376" s="22" t="s">
        <v>723</v>
      </c>
      <c r="C1376" s="22" t="s">
        <v>20</v>
      </c>
      <c r="D1376" s="22">
        <v>0</v>
      </c>
      <c r="E1376" s="22">
        <v>0</v>
      </c>
    </row>
    <row r="1377" spans="1:5">
      <c r="A1377" s="22" t="s">
        <v>1408</v>
      </c>
      <c r="B1377" s="22" t="s">
        <v>723</v>
      </c>
      <c r="C1377" s="22" t="s">
        <v>25</v>
      </c>
      <c r="D1377" s="22">
        <v>0</v>
      </c>
      <c r="E1377" s="22">
        <v>0</v>
      </c>
    </row>
    <row r="1378" spans="1:5">
      <c r="A1378" s="22" t="s">
        <v>1409</v>
      </c>
      <c r="B1378" s="22" t="s">
        <v>723</v>
      </c>
      <c r="C1378" s="22" t="s">
        <v>25</v>
      </c>
      <c r="D1378" s="22">
        <v>0</v>
      </c>
      <c r="E1378" s="22">
        <v>0</v>
      </c>
    </row>
    <row r="1379" spans="1:5">
      <c r="A1379" s="22" t="s">
        <v>1410</v>
      </c>
      <c r="B1379" s="22" t="s">
        <v>723</v>
      </c>
      <c r="C1379" s="22" t="s">
        <v>29</v>
      </c>
      <c r="D1379" s="22">
        <v>0</v>
      </c>
      <c r="E1379" s="22">
        <v>0</v>
      </c>
    </row>
    <row r="1380" spans="1:5">
      <c r="A1380" s="22" t="s">
        <v>1411</v>
      </c>
      <c r="B1380" s="22" t="s">
        <v>723</v>
      </c>
      <c r="C1380" s="22" t="s">
        <v>41</v>
      </c>
      <c r="D1380" s="22">
        <v>1</v>
      </c>
      <c r="E1380" s="22">
        <v>751.33</v>
      </c>
    </row>
    <row r="1381" spans="1:5">
      <c r="A1381" s="22" t="s">
        <v>1412</v>
      </c>
      <c r="B1381" s="22" t="s">
        <v>723</v>
      </c>
      <c r="C1381" s="22" t="s">
        <v>25</v>
      </c>
      <c r="D1381" s="22">
        <v>0</v>
      </c>
      <c r="E1381" s="22">
        <v>0</v>
      </c>
    </row>
    <row r="1382" spans="1:5">
      <c r="A1382" s="22" t="s">
        <v>1413</v>
      </c>
      <c r="B1382" s="22" t="s">
        <v>723</v>
      </c>
      <c r="C1382" s="22" t="s">
        <v>29</v>
      </c>
      <c r="D1382" s="22">
        <v>0</v>
      </c>
      <c r="E1382" s="22">
        <v>0</v>
      </c>
    </row>
    <row r="1383" spans="1:5">
      <c r="A1383" s="22" t="s">
        <v>1414</v>
      </c>
      <c r="B1383" s="22" t="s">
        <v>723</v>
      </c>
      <c r="C1383" s="22" t="s">
        <v>20</v>
      </c>
      <c r="D1383" s="22">
        <v>0</v>
      </c>
      <c r="E1383" s="22">
        <v>0</v>
      </c>
    </row>
    <row r="1384" spans="1:5">
      <c r="A1384" s="22" t="s">
        <v>1415</v>
      </c>
      <c r="B1384" s="22" t="s">
        <v>723</v>
      </c>
      <c r="C1384" s="22" t="s">
        <v>29</v>
      </c>
      <c r="D1384" s="22">
        <v>0</v>
      </c>
      <c r="E1384" s="22">
        <v>0</v>
      </c>
    </row>
    <row r="1385" spans="1:5">
      <c r="A1385" s="22" t="s">
        <v>1416</v>
      </c>
      <c r="B1385" s="22" t="s">
        <v>723</v>
      </c>
      <c r="C1385" s="22" t="s">
        <v>29</v>
      </c>
      <c r="D1385" s="22">
        <v>0</v>
      </c>
      <c r="E1385" s="22">
        <v>0</v>
      </c>
    </row>
    <row r="1386" spans="1:5">
      <c r="A1386" s="22" t="s">
        <v>1417</v>
      </c>
      <c r="B1386" s="22" t="s">
        <v>723</v>
      </c>
      <c r="C1386" s="22" t="s">
        <v>25</v>
      </c>
      <c r="D1386" s="22">
        <v>0</v>
      </c>
      <c r="E1386" s="22">
        <v>0</v>
      </c>
    </row>
    <row r="1387" spans="1:5">
      <c r="A1387" s="22" t="s">
        <v>1418</v>
      </c>
      <c r="B1387" s="22" t="s">
        <v>723</v>
      </c>
      <c r="C1387" s="22" t="s">
        <v>29</v>
      </c>
      <c r="D1387" s="22">
        <v>0</v>
      </c>
      <c r="E1387" s="22">
        <v>0</v>
      </c>
    </row>
    <row r="1388" spans="1:5">
      <c r="A1388" s="22" t="s">
        <v>1419</v>
      </c>
      <c r="B1388" s="22" t="s">
        <v>723</v>
      </c>
      <c r="C1388" s="22" t="s">
        <v>29</v>
      </c>
      <c r="D1388" s="22">
        <v>0</v>
      </c>
      <c r="E1388" s="22">
        <v>0</v>
      </c>
    </row>
    <row r="1389" spans="1:5">
      <c r="A1389" s="22" t="s">
        <v>1420</v>
      </c>
      <c r="B1389" s="22" t="s">
        <v>723</v>
      </c>
      <c r="C1389" s="22" t="s">
        <v>39</v>
      </c>
      <c r="D1389" s="22">
        <v>0</v>
      </c>
      <c r="E1389" s="22">
        <v>0</v>
      </c>
    </row>
    <row r="1390" spans="1:5">
      <c r="A1390" s="22" t="s">
        <v>1421</v>
      </c>
      <c r="B1390" s="22" t="s">
        <v>723</v>
      </c>
      <c r="C1390" s="22" t="s">
        <v>25</v>
      </c>
      <c r="D1390" s="22">
        <v>0</v>
      </c>
      <c r="E1390" s="22">
        <v>0</v>
      </c>
    </row>
    <row r="1391" spans="1:5">
      <c r="A1391" s="22" t="s">
        <v>1422</v>
      </c>
      <c r="B1391" s="22" t="s">
        <v>723</v>
      </c>
      <c r="C1391" s="22" t="s">
        <v>29</v>
      </c>
      <c r="D1391" s="22">
        <v>0</v>
      </c>
      <c r="E1391" s="22">
        <v>0</v>
      </c>
    </row>
    <row r="1392" spans="1:5">
      <c r="A1392" s="22" t="s">
        <v>1423</v>
      </c>
      <c r="B1392" s="22" t="s">
        <v>723</v>
      </c>
      <c r="C1392" s="22" t="s">
        <v>25</v>
      </c>
      <c r="D1392" s="22">
        <v>0</v>
      </c>
      <c r="E1392" s="22">
        <v>0</v>
      </c>
    </row>
    <row r="1393" spans="1:5">
      <c r="A1393" s="22" t="s">
        <v>1424</v>
      </c>
      <c r="B1393" s="22" t="s">
        <v>723</v>
      </c>
      <c r="C1393" s="22" t="s">
        <v>29</v>
      </c>
      <c r="D1393" s="22">
        <v>0</v>
      </c>
      <c r="E1393" s="22">
        <v>0</v>
      </c>
    </row>
    <row r="1394" spans="1:5">
      <c r="A1394" s="22" t="s">
        <v>1425</v>
      </c>
      <c r="B1394" s="22" t="s">
        <v>723</v>
      </c>
      <c r="C1394" s="22" t="s">
        <v>25</v>
      </c>
      <c r="D1394" s="22">
        <v>0</v>
      </c>
      <c r="E1394" s="22">
        <v>0</v>
      </c>
    </row>
    <row r="1395" spans="1:5">
      <c r="A1395" s="22" t="s">
        <v>1426</v>
      </c>
      <c r="B1395" s="22" t="s">
        <v>723</v>
      </c>
      <c r="C1395" s="22" t="s">
        <v>25</v>
      </c>
      <c r="D1395" s="22">
        <v>0</v>
      </c>
      <c r="E1395" s="22">
        <v>0</v>
      </c>
    </row>
    <row r="1396" spans="1:5">
      <c r="A1396" s="22" t="s">
        <v>1427</v>
      </c>
      <c r="B1396" s="22" t="s">
        <v>723</v>
      </c>
      <c r="C1396" s="22" t="s">
        <v>39</v>
      </c>
      <c r="D1396" s="22">
        <v>0</v>
      </c>
      <c r="E1396" s="22">
        <v>0</v>
      </c>
    </row>
    <row r="1397" spans="1:5">
      <c r="A1397" s="22" t="s">
        <v>1428</v>
      </c>
      <c r="B1397" s="22" t="s">
        <v>723</v>
      </c>
      <c r="C1397" s="22" t="s">
        <v>1482</v>
      </c>
      <c r="D1397" s="22">
        <v>1</v>
      </c>
      <c r="E1397" s="22">
        <v>1009.9</v>
      </c>
    </row>
    <row r="1398" spans="1:5">
      <c r="A1398" s="22" t="s">
        <v>1429</v>
      </c>
      <c r="B1398" s="22" t="s">
        <v>723</v>
      </c>
      <c r="C1398" s="22" t="s">
        <v>25</v>
      </c>
      <c r="D1398" s="22">
        <v>0</v>
      </c>
      <c r="E1398" s="22">
        <v>0</v>
      </c>
    </row>
    <row r="1399" spans="1:5">
      <c r="A1399" s="22" t="s">
        <v>1430</v>
      </c>
      <c r="B1399" s="22" t="s">
        <v>723</v>
      </c>
      <c r="C1399" s="22" t="s">
        <v>25</v>
      </c>
      <c r="D1399" s="22">
        <v>0</v>
      </c>
      <c r="E1399" s="22">
        <v>0</v>
      </c>
    </row>
    <row r="1400" spans="1:5">
      <c r="A1400" s="22" t="s">
        <v>1431</v>
      </c>
      <c r="B1400" s="22" t="s">
        <v>723</v>
      </c>
      <c r="C1400" s="22" t="s">
        <v>39</v>
      </c>
      <c r="D1400" s="22">
        <v>0</v>
      </c>
      <c r="E1400" s="22">
        <v>0</v>
      </c>
    </row>
    <row r="1401" spans="1:5">
      <c r="A1401" s="22" t="s">
        <v>1432</v>
      </c>
      <c r="B1401" s="22" t="s">
        <v>723</v>
      </c>
      <c r="C1401" s="22" t="s">
        <v>41</v>
      </c>
      <c r="D1401" s="22">
        <v>0</v>
      </c>
      <c r="E1401" s="22">
        <v>0</v>
      </c>
    </row>
    <row r="1402" spans="1:5">
      <c r="A1402"/>
      <c r="B1402"/>
      <c r="C1402"/>
      <c r="D1402"/>
      <c r="E1402"/>
    </row>
    <row r="1403" spans="1:5">
      <c r="A1403"/>
      <c r="B1403"/>
      <c r="C1403"/>
      <c r="D1403"/>
      <c r="E1403"/>
    </row>
    <row r="1404" spans="1:5">
      <c r="A1404"/>
      <c r="B1404"/>
      <c r="C1404"/>
      <c r="D1404"/>
      <c r="E1404"/>
    </row>
    <row r="1405" spans="1:5">
      <c r="A1405"/>
      <c r="B1405"/>
      <c r="C1405"/>
      <c r="D1405"/>
      <c r="E1405"/>
    </row>
    <row r="1406" spans="1:5">
      <c r="A1406"/>
      <c r="B1406"/>
      <c r="C1406"/>
      <c r="D1406"/>
      <c r="E1406"/>
    </row>
    <row r="1407" spans="1:5">
      <c r="A1407"/>
      <c r="B1407"/>
      <c r="C1407"/>
      <c r="D1407"/>
      <c r="E1407"/>
    </row>
    <row r="1408" spans="1:5">
      <c r="A1408"/>
      <c r="B1408"/>
      <c r="C1408"/>
      <c r="D1408"/>
      <c r="E1408"/>
    </row>
    <row r="1409" customFormat="1"/>
  </sheetData>
  <autoFilter ref="A1:E1401" xr:uid="{EF282589-3402-4F09-9D0B-52D443136FF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28079-FC4E-402D-91EA-20F76286D7FC}">
  <dimension ref="A2:K75"/>
  <sheetViews>
    <sheetView topLeftCell="A44" workbookViewId="0">
      <selection activeCell="I57" sqref="I57"/>
    </sheetView>
  </sheetViews>
  <sheetFormatPr defaultRowHeight="13.8"/>
  <cols>
    <col min="1" max="1" width="17.3984375" bestFit="1" customWidth="1"/>
    <col min="2" max="2" width="16.09765625" bestFit="1" customWidth="1"/>
    <col min="3" max="3" width="9.8984375" bestFit="1" customWidth="1"/>
    <col min="4" max="4" width="15.3984375" bestFit="1" customWidth="1"/>
    <col min="5" max="5" width="24.19921875" bestFit="1" customWidth="1"/>
    <col min="6" max="6" width="20.296875" bestFit="1" customWidth="1"/>
    <col min="7" max="7" width="29.09765625" bestFit="1" customWidth="1"/>
    <col min="8" max="8" width="9.8984375" bestFit="1" customWidth="1"/>
    <col min="10" max="10" width="16.69921875" customWidth="1"/>
    <col min="11" max="11" width="25.8984375" bestFit="1" customWidth="1"/>
    <col min="12" max="12" width="9.8984375" bestFit="1" customWidth="1"/>
    <col min="13" max="13" width="6.296875" bestFit="1" customWidth="1"/>
    <col min="14" max="14" width="9.09765625" bestFit="1" customWidth="1"/>
    <col min="15" max="15" width="11" bestFit="1" customWidth="1"/>
  </cols>
  <sheetData>
    <row r="2" spans="1:11">
      <c r="A2" s="36" t="s">
        <v>1501</v>
      </c>
      <c r="B2" s="20"/>
    </row>
    <row r="3" spans="1:11">
      <c r="A3" s="13" t="s">
        <v>1475</v>
      </c>
      <c r="B3" s="13" t="s">
        <v>1470</v>
      </c>
    </row>
    <row r="4" spans="1:11">
      <c r="A4" s="37" t="s">
        <v>1483</v>
      </c>
      <c r="B4" s="7" t="s">
        <v>17</v>
      </c>
      <c r="C4" s="7" t="s">
        <v>723</v>
      </c>
      <c r="F4" s="36" t="s">
        <v>1505</v>
      </c>
      <c r="G4" s="36"/>
      <c r="I4" s="31"/>
    </row>
    <row r="5" spans="1:11">
      <c r="A5" s="7">
        <v>0</v>
      </c>
      <c r="B5" s="32">
        <v>0.36376811594202896</v>
      </c>
      <c r="C5" s="32">
        <v>0.27605633802816903</v>
      </c>
      <c r="F5" s="35" t="s">
        <v>1489</v>
      </c>
      <c r="G5" s="40" t="s">
        <v>1488</v>
      </c>
      <c r="I5" s="31"/>
      <c r="J5" s="13" t="s">
        <v>1489</v>
      </c>
      <c r="K5" s="39" t="s">
        <v>1498</v>
      </c>
    </row>
    <row r="6" spans="1:11">
      <c r="A6" s="7">
        <v>1</v>
      </c>
      <c r="B6" s="32">
        <v>0.63623188405797104</v>
      </c>
      <c r="C6" s="32">
        <v>0.72394366197183102</v>
      </c>
      <c r="F6" s="7" t="s">
        <v>17</v>
      </c>
      <c r="G6" s="33">
        <v>51.974318840579706</v>
      </c>
      <c r="I6" s="31"/>
      <c r="J6" s="14" t="s">
        <v>17</v>
      </c>
      <c r="K6" s="33">
        <v>57.029532163742729</v>
      </c>
    </row>
    <row r="7" spans="1:11">
      <c r="F7" s="7" t="s">
        <v>723</v>
      </c>
      <c r="G7" s="33">
        <v>54.254521126760551</v>
      </c>
      <c r="J7" s="14" t="s">
        <v>723</v>
      </c>
      <c r="K7" s="33">
        <v>62.940028490028489</v>
      </c>
    </row>
    <row r="10" spans="1:11">
      <c r="A10" s="38" t="s">
        <v>1502</v>
      </c>
      <c r="B10" s="20"/>
      <c r="F10" s="36" t="s">
        <v>1506</v>
      </c>
      <c r="G10" s="36"/>
    </row>
    <row r="11" spans="1:11">
      <c r="A11" s="13" t="s">
        <v>1475</v>
      </c>
      <c r="B11" s="13" t="s">
        <v>1470</v>
      </c>
      <c r="F11" s="37" t="s">
        <v>10</v>
      </c>
      <c r="G11" s="14">
        <v>1</v>
      </c>
    </row>
    <row r="12" spans="1:11">
      <c r="A12" s="37" t="s">
        <v>1484</v>
      </c>
      <c r="B12" s="7" t="s">
        <v>17</v>
      </c>
      <c r="C12" s="7" t="s">
        <v>723</v>
      </c>
    </row>
    <row r="13" spans="1:11">
      <c r="A13" s="7">
        <v>0</v>
      </c>
      <c r="B13" s="32">
        <v>0.74927536231884062</v>
      </c>
      <c r="C13" s="32">
        <v>0.70985915492957752</v>
      </c>
      <c r="F13" s="13" t="s">
        <v>1489</v>
      </c>
      <c r="G13" s="34" t="s">
        <v>1488</v>
      </c>
      <c r="J13" s="13" t="s">
        <v>1456</v>
      </c>
      <c r="K13" s="39" t="s">
        <v>1492</v>
      </c>
    </row>
    <row r="14" spans="1:11">
      <c r="A14" s="7">
        <v>1</v>
      </c>
      <c r="B14" s="32">
        <v>0.25072463768115943</v>
      </c>
      <c r="C14" s="32">
        <v>0.29014084507042254</v>
      </c>
      <c r="F14" s="14" t="s">
        <v>17</v>
      </c>
      <c r="G14" s="33">
        <v>1630.1036363636363</v>
      </c>
      <c r="J14" s="14" t="s">
        <v>17</v>
      </c>
      <c r="K14" s="33">
        <v>8.8636363636363633</v>
      </c>
    </row>
    <row r="15" spans="1:11">
      <c r="F15" s="14" t="s">
        <v>723</v>
      </c>
      <c r="G15" s="33">
        <v>770.41419999999994</v>
      </c>
      <c r="J15" s="14" t="s">
        <v>723</v>
      </c>
      <c r="K15" s="33">
        <v>6.4</v>
      </c>
    </row>
    <row r="17" spans="1:8">
      <c r="A17" s="39" t="s">
        <v>1503</v>
      </c>
      <c r="B17" s="34"/>
      <c r="C17" s="7"/>
      <c r="D17" s="7"/>
      <c r="F17" s="36" t="s">
        <v>1507</v>
      </c>
      <c r="G17" s="20"/>
    </row>
    <row r="18" spans="1:8">
      <c r="A18" s="13" t="s">
        <v>1458</v>
      </c>
      <c r="B18" s="13" t="s">
        <v>1470</v>
      </c>
      <c r="F18" s="13" t="s">
        <v>1475</v>
      </c>
      <c r="G18" s="13" t="s">
        <v>1470</v>
      </c>
    </row>
    <row r="19" spans="1:8">
      <c r="A19" s="37" t="s">
        <v>1486</v>
      </c>
      <c r="B19" s="7" t="s">
        <v>17</v>
      </c>
      <c r="C19" s="7" t="s">
        <v>723</v>
      </c>
      <c r="F19" s="37" t="s">
        <v>1490</v>
      </c>
      <c r="G19" s="7" t="s">
        <v>17</v>
      </c>
      <c r="H19" s="7" t="s">
        <v>723</v>
      </c>
    </row>
    <row r="20" spans="1:8">
      <c r="A20" s="7">
        <v>0</v>
      </c>
      <c r="B20" s="32">
        <v>0.84347826086956523</v>
      </c>
      <c r="C20" s="32">
        <v>0.78873239436619713</v>
      </c>
      <c r="F20" s="7">
        <v>0</v>
      </c>
      <c r="G20" s="32">
        <v>1</v>
      </c>
      <c r="H20" s="32">
        <v>0.99577464788732395</v>
      </c>
    </row>
    <row r="21" spans="1:8">
      <c r="A21" s="7">
        <v>1</v>
      </c>
      <c r="B21" s="32">
        <v>0.15652173913043479</v>
      </c>
      <c r="C21" s="32">
        <v>0.21126760563380281</v>
      </c>
      <c r="F21" s="7">
        <v>1</v>
      </c>
      <c r="G21" s="32">
        <v>0</v>
      </c>
      <c r="H21" s="32">
        <v>4.2253521126760559E-3</v>
      </c>
    </row>
    <row r="23" spans="1:8">
      <c r="F23" s="36" t="s">
        <v>1508</v>
      </c>
      <c r="G23" s="36"/>
    </row>
    <row r="24" spans="1:8">
      <c r="A24" s="36" t="s">
        <v>1504</v>
      </c>
      <c r="B24" s="20"/>
      <c r="F24" s="13" t="s">
        <v>1475</v>
      </c>
      <c r="G24" s="13" t="s">
        <v>1470</v>
      </c>
    </row>
    <row r="25" spans="1:8">
      <c r="A25" s="13" t="s">
        <v>1475</v>
      </c>
      <c r="B25" s="13" t="s">
        <v>1470</v>
      </c>
      <c r="F25" s="37" t="s">
        <v>1491</v>
      </c>
      <c r="G25" t="s">
        <v>17</v>
      </c>
      <c r="H25" t="s">
        <v>723</v>
      </c>
    </row>
    <row r="26" spans="1:8">
      <c r="A26" s="37" t="s">
        <v>1493</v>
      </c>
      <c r="B26" s="7" t="s">
        <v>17</v>
      </c>
      <c r="C26" s="7" t="s">
        <v>723</v>
      </c>
      <c r="F26" s="7">
        <v>0</v>
      </c>
      <c r="G26" s="32">
        <v>0.85217391304347823</v>
      </c>
      <c r="H26" s="32">
        <v>0.75211267605633803</v>
      </c>
    </row>
    <row r="27" spans="1:8">
      <c r="A27" s="7">
        <v>0</v>
      </c>
      <c r="B27" s="31">
        <v>668</v>
      </c>
      <c r="C27" s="31">
        <v>660</v>
      </c>
      <c r="F27" s="7">
        <v>1</v>
      </c>
      <c r="G27" s="32">
        <v>9.2753623188405798E-2</v>
      </c>
      <c r="H27" s="32">
        <v>0.16056338028169015</v>
      </c>
    </row>
    <row r="28" spans="1:8">
      <c r="A28" s="7">
        <v>1</v>
      </c>
      <c r="B28" s="31">
        <v>22</v>
      </c>
      <c r="C28" s="31">
        <v>50</v>
      </c>
      <c r="F28" s="7">
        <v>2</v>
      </c>
      <c r="G28" s="32">
        <v>4.0579710144927533E-2</v>
      </c>
      <c r="H28" s="32">
        <v>5.2112676056338028E-2</v>
      </c>
    </row>
    <row r="29" spans="1:8">
      <c r="F29" s="7">
        <v>3</v>
      </c>
      <c r="G29" s="32">
        <v>1.1594202898550725E-2</v>
      </c>
      <c r="H29" s="32">
        <v>3.2394366197183097E-2</v>
      </c>
    </row>
    <row r="30" spans="1:8">
      <c r="F30" s="7">
        <v>4</v>
      </c>
      <c r="G30" s="32">
        <v>2.8985507246376812E-3</v>
      </c>
      <c r="H30" s="32">
        <v>2.8169014084507044E-3</v>
      </c>
    </row>
    <row r="32" spans="1:8" ht="14.4" thickBot="1"/>
    <row r="33" spans="1:9" ht="16.2" thickBot="1">
      <c r="A33" s="41" t="s">
        <v>1511</v>
      </c>
      <c r="B33" s="42"/>
      <c r="C33" s="42"/>
      <c r="D33" s="43"/>
    </row>
    <row r="35" spans="1:9">
      <c r="A35" s="36" t="s">
        <v>1497</v>
      </c>
      <c r="B35" s="20"/>
      <c r="H35" s="31"/>
      <c r="I35" s="31"/>
    </row>
    <row r="36" spans="1:9">
      <c r="B36" s="13" t="s">
        <v>1470</v>
      </c>
      <c r="H36" s="31"/>
      <c r="I36" s="31"/>
    </row>
    <row r="37" spans="1:9">
      <c r="B37" s="22" t="s">
        <v>17</v>
      </c>
      <c r="C37" s="22"/>
      <c r="D37" s="22" t="s">
        <v>723</v>
      </c>
      <c r="E37" s="22"/>
      <c r="F37" s="26" t="s">
        <v>1494</v>
      </c>
      <c r="G37" s="26" t="s">
        <v>1495</v>
      </c>
      <c r="H37" s="31"/>
    </row>
    <row r="38" spans="1:9">
      <c r="A38" s="13" t="s">
        <v>1471</v>
      </c>
      <c r="B38" s="26" t="s">
        <v>1475</v>
      </c>
      <c r="C38" s="26" t="s">
        <v>1496</v>
      </c>
      <c r="D38" s="26" t="s">
        <v>1475</v>
      </c>
      <c r="E38" s="26" t="s">
        <v>1496</v>
      </c>
      <c r="F38" s="26"/>
      <c r="G38" s="26"/>
      <c r="H38" s="31"/>
    </row>
    <row r="39" spans="1:9">
      <c r="A39" s="14" t="s">
        <v>28</v>
      </c>
      <c r="B39" s="31">
        <v>157</v>
      </c>
      <c r="C39" s="31">
        <v>4</v>
      </c>
      <c r="D39" s="31">
        <v>170</v>
      </c>
      <c r="E39" s="31">
        <v>11</v>
      </c>
      <c r="F39" s="31">
        <v>327</v>
      </c>
      <c r="G39" s="31">
        <v>15</v>
      </c>
      <c r="H39" s="31"/>
    </row>
    <row r="40" spans="1:9">
      <c r="A40" s="14" t="s">
        <v>18</v>
      </c>
      <c r="B40" s="31">
        <v>201</v>
      </c>
      <c r="C40" s="31">
        <v>7</v>
      </c>
      <c r="D40" s="31">
        <v>180</v>
      </c>
      <c r="E40" s="31">
        <v>16</v>
      </c>
      <c r="F40" s="31">
        <v>381</v>
      </c>
      <c r="G40" s="31">
        <v>23</v>
      </c>
    </row>
    <row r="41" spans="1:9">
      <c r="A41" s="14" t="s">
        <v>32</v>
      </c>
      <c r="B41" s="31">
        <v>184</v>
      </c>
      <c r="C41" s="31">
        <v>6</v>
      </c>
      <c r="D41" s="31">
        <v>183</v>
      </c>
      <c r="E41" s="31">
        <v>14</v>
      </c>
      <c r="F41" s="31">
        <v>367</v>
      </c>
      <c r="G41" s="31">
        <v>20</v>
      </c>
    </row>
    <row r="42" spans="1:9">
      <c r="A42" s="14" t="s">
        <v>23</v>
      </c>
      <c r="B42" s="31">
        <v>148</v>
      </c>
      <c r="C42" s="31">
        <v>5</v>
      </c>
      <c r="D42" s="31">
        <v>177</v>
      </c>
      <c r="E42" s="31">
        <v>9</v>
      </c>
      <c r="F42" s="31">
        <v>325</v>
      </c>
      <c r="G42" s="31">
        <v>14</v>
      </c>
    </row>
    <row r="43" spans="1:9">
      <c r="A43" s="14" t="s">
        <v>1457</v>
      </c>
      <c r="B43" s="31">
        <v>690</v>
      </c>
      <c r="C43" s="31">
        <v>22</v>
      </c>
      <c r="D43" s="31">
        <v>710</v>
      </c>
      <c r="E43" s="31">
        <v>50</v>
      </c>
      <c r="F43" s="31">
        <v>1400</v>
      </c>
      <c r="G43" s="31">
        <v>72</v>
      </c>
    </row>
    <row r="46" spans="1:9">
      <c r="A46" s="36" t="s">
        <v>1499</v>
      </c>
      <c r="B46" s="36"/>
      <c r="C46" s="20"/>
    </row>
    <row r="47" spans="1:9">
      <c r="A47" s="37" t="s">
        <v>1498</v>
      </c>
      <c r="B47" s="13" t="s">
        <v>1470</v>
      </c>
    </row>
    <row r="48" spans="1:9">
      <c r="A48" s="13" t="s">
        <v>1473</v>
      </c>
      <c r="B48" t="s">
        <v>17</v>
      </c>
      <c r="C48" t="s">
        <v>723</v>
      </c>
    </row>
    <row r="49" spans="1:3">
      <c r="A49" s="14" t="s">
        <v>20</v>
      </c>
      <c r="B49" s="33">
        <v>57.786301369863011</v>
      </c>
      <c r="C49" s="33">
        <v>62.241071428571438</v>
      </c>
    </row>
    <row r="50" spans="1:3">
      <c r="A50" s="14" t="s">
        <v>25</v>
      </c>
      <c r="B50" s="33">
        <v>58.451428571428558</v>
      </c>
      <c r="C50" s="33">
        <v>61.574678111587964</v>
      </c>
    </row>
    <row r="51" spans="1:3">
      <c r="A51" s="14" t="s">
        <v>29</v>
      </c>
      <c r="B51" s="33">
        <v>54.661038961038969</v>
      </c>
      <c r="C51" s="33">
        <v>62.829310344827569</v>
      </c>
    </row>
    <row r="52" spans="1:3">
      <c r="A52" s="14" t="s">
        <v>39</v>
      </c>
      <c r="B52" s="33">
        <v>58.372500000000016</v>
      </c>
      <c r="C52" s="33">
        <v>64.202222222222204</v>
      </c>
    </row>
    <row r="53" spans="1:3">
      <c r="A53" s="14" t="s">
        <v>41</v>
      </c>
      <c r="B53" s="33">
        <v>55.813492063492042</v>
      </c>
      <c r="C53" s="33">
        <v>63.767938931297742</v>
      </c>
    </row>
    <row r="54" spans="1:3">
      <c r="A54" s="14" t="s">
        <v>1482</v>
      </c>
      <c r="B54" s="33">
        <v>58.183333333333337</v>
      </c>
      <c r="C54" s="33">
        <v>71.522222222222226</v>
      </c>
    </row>
    <row r="57" spans="1:3">
      <c r="A57" s="38" t="s">
        <v>1500</v>
      </c>
      <c r="B57" s="36"/>
      <c r="C57" s="20"/>
    </row>
    <row r="59" spans="1:3">
      <c r="A59" s="13" t="s">
        <v>1487</v>
      </c>
      <c r="B59" s="13" t="s">
        <v>1470</v>
      </c>
    </row>
    <row r="60" spans="1:3">
      <c r="A60" s="13" t="s">
        <v>1456</v>
      </c>
      <c r="B60" s="7" t="s">
        <v>17</v>
      </c>
      <c r="C60" s="7" t="s">
        <v>723</v>
      </c>
    </row>
    <row r="61" spans="1:3">
      <c r="A61" s="14" t="s">
        <v>19</v>
      </c>
      <c r="B61" s="33">
        <v>84.942949999999996</v>
      </c>
      <c r="C61" s="33">
        <v>41.15042253521127</v>
      </c>
    </row>
    <row r="62" spans="1:3">
      <c r="A62" s="14" t="s">
        <v>24</v>
      </c>
      <c r="B62" s="33">
        <v>42.044436619718304</v>
      </c>
      <c r="C62" s="33">
        <v>59.373055555555553</v>
      </c>
    </row>
    <row r="63" spans="1:3">
      <c r="A63" s="14" t="s">
        <v>34</v>
      </c>
      <c r="B63" s="33">
        <v>7.4434545454545455</v>
      </c>
      <c r="C63" s="33">
        <v>73.330535714285716</v>
      </c>
    </row>
    <row r="64" spans="1:3">
      <c r="A64" s="14" t="s">
        <v>1482</v>
      </c>
      <c r="B64" s="33">
        <v>61.485555555555557</v>
      </c>
      <c r="C64" s="33">
        <v>0</v>
      </c>
    </row>
    <row r="67" spans="1:7">
      <c r="A67" s="36" t="s">
        <v>1509</v>
      </c>
      <c r="B67" s="20"/>
      <c r="C67" s="20"/>
    </row>
    <row r="69" spans="1:7">
      <c r="B69" s="13" t="s">
        <v>1470</v>
      </c>
    </row>
    <row r="70" spans="1:7">
      <c r="B70" t="s">
        <v>17</v>
      </c>
      <c r="D70" t="s">
        <v>723</v>
      </c>
      <c r="F70" t="s">
        <v>1494</v>
      </c>
      <c r="G70" t="s">
        <v>1510</v>
      </c>
    </row>
    <row r="71" spans="1:7">
      <c r="A71" s="13" t="s">
        <v>1474</v>
      </c>
      <c r="B71" t="s">
        <v>1475</v>
      </c>
      <c r="C71" t="s">
        <v>1485</v>
      </c>
      <c r="D71" t="s">
        <v>1475</v>
      </c>
      <c r="E71" t="s">
        <v>1485</v>
      </c>
    </row>
    <row r="72" spans="1:7">
      <c r="A72" s="14" t="s">
        <v>21</v>
      </c>
      <c r="B72" s="31">
        <v>221</v>
      </c>
      <c r="C72" s="31">
        <v>8</v>
      </c>
      <c r="D72" s="31">
        <v>232</v>
      </c>
      <c r="E72" s="31">
        <v>9</v>
      </c>
      <c r="F72" s="31">
        <v>453</v>
      </c>
      <c r="G72" s="31">
        <v>17</v>
      </c>
    </row>
    <row r="73" spans="1:7">
      <c r="A73" s="14" t="s">
        <v>26</v>
      </c>
      <c r="B73" s="31">
        <v>360</v>
      </c>
      <c r="C73" s="31">
        <v>11</v>
      </c>
      <c r="D73" s="31">
        <v>366</v>
      </c>
      <c r="E73" s="31">
        <v>34</v>
      </c>
      <c r="F73" s="31">
        <v>726</v>
      </c>
      <c r="G73" s="31">
        <v>45</v>
      </c>
    </row>
    <row r="74" spans="1:7">
      <c r="A74" s="14" t="s">
        <v>30</v>
      </c>
      <c r="B74" s="31">
        <v>109</v>
      </c>
      <c r="C74" s="31">
        <v>3</v>
      </c>
      <c r="D74" s="31">
        <v>112</v>
      </c>
      <c r="E74" s="31">
        <v>7</v>
      </c>
      <c r="F74" s="31">
        <v>221</v>
      </c>
      <c r="G74" s="31">
        <v>10</v>
      </c>
    </row>
    <row r="75" spans="1:7">
      <c r="A75" s="14" t="s">
        <v>1457</v>
      </c>
      <c r="B75" s="31">
        <v>690</v>
      </c>
      <c r="C75" s="31">
        <v>22</v>
      </c>
      <c r="D75" s="31">
        <v>710</v>
      </c>
      <c r="E75" s="31">
        <v>50</v>
      </c>
      <c r="F75" s="31">
        <v>1400</v>
      </c>
      <c r="G75" s="31">
        <v>72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ABEEF-6441-4896-B1E2-D45D3B85AF3A}">
  <dimension ref="A1:I22"/>
  <sheetViews>
    <sheetView workbookViewId="0">
      <selection activeCell="O22" sqref="O22"/>
    </sheetView>
  </sheetViews>
  <sheetFormatPr defaultRowHeight="13.8"/>
  <cols>
    <col min="1" max="1" width="15.19921875" bestFit="1" customWidth="1"/>
    <col min="2" max="2" width="16.09765625" bestFit="1" customWidth="1"/>
    <col min="3" max="4" width="11" bestFit="1" customWidth="1"/>
    <col min="7" max="7" width="11.59765625" bestFit="1" customWidth="1"/>
    <col min="8" max="8" width="16.09765625" bestFit="1" customWidth="1"/>
    <col min="9" max="10" width="11" bestFit="1" customWidth="1"/>
  </cols>
  <sheetData>
    <row r="1" spans="1:9" ht="41.4">
      <c r="A1" s="19" t="s">
        <v>1461</v>
      </c>
    </row>
    <row r="4" spans="1:9">
      <c r="A4" s="13" t="s">
        <v>1475</v>
      </c>
      <c r="B4" s="13" t="s">
        <v>1470</v>
      </c>
      <c r="G4" s="13" t="s">
        <v>1475</v>
      </c>
      <c r="H4" s="13" t="s">
        <v>1470</v>
      </c>
    </row>
    <row r="5" spans="1:9">
      <c r="A5" s="20" t="s">
        <v>1471</v>
      </c>
      <c r="B5" t="s">
        <v>17</v>
      </c>
      <c r="C5" t="s">
        <v>723</v>
      </c>
      <c r="D5" t="s">
        <v>1457</v>
      </c>
      <c r="G5" s="20" t="s">
        <v>1472</v>
      </c>
      <c r="H5" t="s">
        <v>17</v>
      </c>
      <c r="I5" t="s">
        <v>1457</v>
      </c>
    </row>
    <row r="6" spans="1:9">
      <c r="A6" s="14" t="s">
        <v>28</v>
      </c>
      <c r="B6" s="32">
        <v>0.22753623188405797</v>
      </c>
      <c r="C6" s="32">
        <v>0.23943661971830985</v>
      </c>
      <c r="D6" s="32">
        <v>0.23357142857142857</v>
      </c>
      <c r="G6" s="14" t="s">
        <v>19</v>
      </c>
      <c r="H6" s="32">
        <v>0.31372549019607843</v>
      </c>
      <c r="I6" s="32">
        <v>0.31372549019607843</v>
      </c>
    </row>
    <row r="7" spans="1:9">
      <c r="A7" s="14" t="s">
        <v>18</v>
      </c>
      <c r="B7" s="32">
        <v>0.29130434782608694</v>
      </c>
      <c r="C7" s="32">
        <v>0.25352112676056338</v>
      </c>
      <c r="D7" s="32">
        <v>0.27214285714285713</v>
      </c>
      <c r="G7" s="14" t="s">
        <v>24</v>
      </c>
      <c r="H7" s="32">
        <v>0.64052287581699341</v>
      </c>
      <c r="I7" s="32">
        <v>0.64052287581699341</v>
      </c>
    </row>
    <row r="8" spans="1:9">
      <c r="A8" s="14" t="s">
        <v>32</v>
      </c>
      <c r="B8" s="32">
        <v>0.26666666666666666</v>
      </c>
      <c r="C8" s="32">
        <v>0.25774647887323943</v>
      </c>
      <c r="D8" s="32">
        <v>0.26214285714285712</v>
      </c>
      <c r="G8" s="14" t="s">
        <v>34</v>
      </c>
      <c r="H8" s="32">
        <v>3.9215686274509803E-2</v>
      </c>
      <c r="I8" s="32">
        <v>3.9215686274509803E-2</v>
      </c>
    </row>
    <row r="9" spans="1:9">
      <c r="A9" s="14" t="s">
        <v>23</v>
      </c>
      <c r="B9" s="32">
        <v>0.2144927536231884</v>
      </c>
      <c r="C9" s="32">
        <v>0.24929577464788732</v>
      </c>
      <c r="D9" s="32">
        <v>0.23214285714285715</v>
      </c>
      <c r="G9" s="14" t="s">
        <v>1482</v>
      </c>
      <c r="H9" s="32">
        <v>6.5359477124183009E-3</v>
      </c>
      <c r="I9" s="32">
        <v>6.5359477124183009E-3</v>
      </c>
    </row>
    <row r="10" spans="1:9">
      <c r="A10" s="14" t="s">
        <v>1457</v>
      </c>
      <c r="B10" s="32">
        <v>1</v>
      </c>
      <c r="C10" s="32">
        <v>1</v>
      </c>
      <c r="D10" s="32">
        <v>1</v>
      </c>
      <c r="G10" s="14" t="s">
        <v>1457</v>
      </c>
      <c r="H10" s="32">
        <v>1</v>
      </c>
      <c r="I10" s="32">
        <v>1</v>
      </c>
    </row>
    <row r="15" spans="1:9">
      <c r="A15" s="13" t="s">
        <v>1475</v>
      </c>
      <c r="B15" s="13" t="s">
        <v>1470</v>
      </c>
      <c r="G15" s="13" t="s">
        <v>1475</v>
      </c>
      <c r="H15" s="13" t="s">
        <v>1470</v>
      </c>
    </row>
    <row r="16" spans="1:9">
      <c r="A16" s="20" t="s">
        <v>1473</v>
      </c>
      <c r="B16" t="s">
        <v>17</v>
      </c>
      <c r="C16" t="s">
        <v>1457</v>
      </c>
      <c r="G16" s="20" t="s">
        <v>1474</v>
      </c>
      <c r="H16" t="s">
        <v>17</v>
      </c>
      <c r="I16" t="s">
        <v>1457</v>
      </c>
    </row>
    <row r="17" spans="1:9">
      <c r="A17" s="14" t="s">
        <v>20</v>
      </c>
      <c r="B17" s="32">
        <v>0.13071895424836602</v>
      </c>
      <c r="C17" s="32">
        <v>0.13071895424836602</v>
      </c>
      <c r="G17" s="14" t="s">
        <v>21</v>
      </c>
      <c r="H17" s="32">
        <v>0.31372549019607843</v>
      </c>
      <c r="I17" s="32">
        <v>0.31372549019607843</v>
      </c>
    </row>
    <row r="18" spans="1:9">
      <c r="A18" s="14" t="s">
        <v>25</v>
      </c>
      <c r="B18" s="32">
        <v>0.37254901960784315</v>
      </c>
      <c r="C18" s="32">
        <v>0.37254901960784315</v>
      </c>
      <c r="G18" s="14" t="s">
        <v>26</v>
      </c>
      <c r="H18" s="32">
        <v>0.5490196078431373</v>
      </c>
      <c r="I18" s="32">
        <v>0.5490196078431373</v>
      </c>
    </row>
    <row r="19" spans="1:9">
      <c r="A19" s="14" t="s">
        <v>29</v>
      </c>
      <c r="B19" s="32">
        <v>0.21568627450980393</v>
      </c>
      <c r="C19" s="32">
        <v>0.21568627450980393</v>
      </c>
      <c r="G19" s="14" t="s">
        <v>30</v>
      </c>
      <c r="H19" s="32">
        <v>0.13725490196078433</v>
      </c>
      <c r="I19" s="32">
        <v>0.13725490196078433</v>
      </c>
    </row>
    <row r="20" spans="1:9">
      <c r="A20" s="14" t="s">
        <v>39</v>
      </c>
      <c r="B20" s="32">
        <v>8.4967320261437912E-2</v>
      </c>
      <c r="C20" s="32">
        <v>8.4967320261437912E-2</v>
      </c>
      <c r="G20" s="14" t="s">
        <v>1457</v>
      </c>
      <c r="H20" s="32">
        <v>1</v>
      </c>
      <c r="I20" s="32">
        <v>1</v>
      </c>
    </row>
    <row r="21" spans="1:9">
      <c r="A21" s="14" t="s">
        <v>41</v>
      </c>
      <c r="B21" s="32">
        <v>0.19607843137254902</v>
      </c>
      <c r="C21" s="32">
        <v>0.19607843137254902</v>
      </c>
    </row>
    <row r="22" spans="1:9">
      <c r="A22" s="14" t="s">
        <v>1457</v>
      </c>
      <c r="B22" s="32">
        <v>1</v>
      </c>
      <c r="C22" s="32">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49A2F-76CB-4BD8-B78C-03A43375F6F5}">
  <dimension ref="A1:AB1409"/>
  <sheetViews>
    <sheetView topLeftCell="O16" workbookViewId="0">
      <selection activeCell="U19" sqref="U19"/>
    </sheetView>
  </sheetViews>
  <sheetFormatPr defaultRowHeight="13.8"/>
  <cols>
    <col min="1" max="12" width="16" style="7" customWidth="1"/>
    <col min="13" max="13" width="18.3984375" style="7" customWidth="1"/>
    <col min="14" max="14" width="17" style="7" customWidth="1"/>
    <col min="15" max="15" width="16" style="7" customWidth="1"/>
    <col min="16" max="16" width="19.59765625" style="7" customWidth="1"/>
    <col min="17" max="17" width="17.796875" style="7" customWidth="1"/>
    <col min="18" max="18" width="30.3984375" style="21" customWidth="1"/>
    <col min="19" max="19" width="17.796875" style="22" customWidth="1"/>
    <col min="21" max="21" width="19.69921875" customWidth="1"/>
    <col min="22" max="22" width="8.796875" style="7"/>
    <col min="27" max="27" width="13.09765625" bestFit="1" customWidth="1"/>
    <col min="28" max="28" width="15.3984375" bestFit="1" customWidth="1"/>
  </cols>
  <sheetData>
    <row r="1" spans="1:22" ht="22.35" customHeight="1">
      <c r="A1" s="1" t="s">
        <v>0</v>
      </c>
      <c r="B1" s="1" t="s">
        <v>1</v>
      </c>
      <c r="C1" s="1" t="s">
        <v>2</v>
      </c>
      <c r="D1" s="1" t="s">
        <v>3</v>
      </c>
      <c r="E1" s="11" t="s">
        <v>4</v>
      </c>
      <c r="F1" s="11" t="s">
        <v>5</v>
      </c>
      <c r="G1" s="1" t="s">
        <v>6</v>
      </c>
      <c r="H1" s="1" t="s">
        <v>7</v>
      </c>
      <c r="I1" s="1" t="s">
        <v>8</v>
      </c>
      <c r="J1" s="1" t="s">
        <v>9</v>
      </c>
      <c r="K1" s="1" t="s">
        <v>10</v>
      </c>
      <c r="L1" s="1" t="s">
        <v>11</v>
      </c>
      <c r="M1" s="1" t="s">
        <v>12</v>
      </c>
      <c r="N1" s="1" t="s">
        <v>13</v>
      </c>
      <c r="O1" s="11" t="s">
        <v>14</v>
      </c>
      <c r="P1" s="11" t="s">
        <v>15</v>
      </c>
      <c r="Q1" s="1" t="s">
        <v>1462</v>
      </c>
      <c r="R1" s="1" t="s">
        <v>1477</v>
      </c>
      <c r="S1" s="1" t="s">
        <v>1476</v>
      </c>
    </row>
    <row r="2" spans="1:22" ht="41.4">
      <c r="A2" s="22" t="s">
        <v>16</v>
      </c>
      <c r="B2" s="25">
        <v>45732</v>
      </c>
      <c r="C2" s="22" t="s">
        <v>17</v>
      </c>
      <c r="D2" s="22" t="s">
        <v>18</v>
      </c>
      <c r="E2" s="22" t="s">
        <v>19</v>
      </c>
      <c r="F2" s="22" t="s">
        <v>20</v>
      </c>
      <c r="G2" s="22" t="s">
        <v>21</v>
      </c>
      <c r="H2" s="22">
        <v>0</v>
      </c>
      <c r="I2" s="22">
        <v>0</v>
      </c>
      <c r="J2" s="22">
        <v>0</v>
      </c>
      <c r="K2" s="22">
        <v>0</v>
      </c>
      <c r="L2" s="22">
        <v>0</v>
      </c>
      <c r="M2" s="22">
        <v>0</v>
      </c>
      <c r="N2" s="22">
        <v>0</v>
      </c>
      <c r="O2" s="22"/>
      <c r="P2" s="22">
        <v>45.7</v>
      </c>
      <c r="Q2" s="22" t="str">
        <f>IF(OR(L2&lt;$V$40,L2&gt;$V$41),"Outlier","Normal")</f>
        <v>Normal</v>
      </c>
      <c r="R2" s="26" t="str">
        <f>A2&amp;B2&amp;C2&amp;D2&amp;E2&amp;F2&amp;G2&amp;H2&amp;I2&amp;J2&amp;K2&amp;L2&amp;M2&amp;N2&amp;O2&amp;P2</f>
        <v>USR-10000145732ControlNorthDesktopEmailBasic000000045.7</v>
      </c>
      <c r="S2" s="22" t="str">
        <f>IF(COUNTIF($R$2:$R$1409,R2)=1,"OK",IF(COUNTIF($R$2:$R$1409,R2)&gt;1,"Exact Duplicate","Review Required"))</f>
        <v>OK</v>
      </c>
      <c r="U2" s="10" t="s">
        <v>1451</v>
      </c>
      <c r="V2" s="10"/>
    </row>
    <row r="3" spans="1:22" ht="41.4">
      <c r="A3" s="22" t="s">
        <v>22</v>
      </c>
      <c r="B3" s="25">
        <v>45724</v>
      </c>
      <c r="C3" s="22" t="s">
        <v>17</v>
      </c>
      <c r="D3" s="22" t="s">
        <v>23</v>
      </c>
      <c r="E3" s="22" t="s">
        <v>24</v>
      </c>
      <c r="F3" s="22" t="s">
        <v>25</v>
      </c>
      <c r="G3" s="22" t="s">
        <v>26</v>
      </c>
      <c r="H3" s="22">
        <v>1</v>
      </c>
      <c r="I3" s="22">
        <v>0</v>
      </c>
      <c r="J3" s="22">
        <v>0</v>
      </c>
      <c r="K3" s="22">
        <v>0</v>
      </c>
      <c r="L3" s="22">
        <v>0</v>
      </c>
      <c r="M3" s="22">
        <v>0</v>
      </c>
      <c r="N3" s="22">
        <v>0</v>
      </c>
      <c r="O3" s="22"/>
      <c r="P3" s="22">
        <v>48.6</v>
      </c>
      <c r="Q3" s="22" t="str">
        <f t="shared" ref="Q3:Q66" si="0">IF(OR(L3&lt;$V$40,L3&gt;$V$41),"Outlier","Normal")</f>
        <v>Normal</v>
      </c>
      <c r="R3" s="26" t="str">
        <f t="shared" ref="R3:R66" si="1">A3&amp;B3&amp;C3&amp;D3&amp;E3&amp;F3&amp;G3&amp;H3&amp;I3&amp;J3&amp;K3&amp;L3&amp;M3&amp;N3&amp;O3&amp;P3</f>
        <v>USR-10000245724ControlWestMobileOrganicFree100000048.6</v>
      </c>
      <c r="S3" s="22" t="str">
        <f t="shared" ref="S3:S66" si="2">IF(COUNTIF($R$2:$R$1409,R3)=1,"OK",IF(COUNTIF($R$2:$R$1409,R3)&gt;1,"Exact Duplicate","Review Required"))</f>
        <v>OK</v>
      </c>
      <c r="U3" s="9" t="s">
        <v>1452</v>
      </c>
      <c r="V3" s="9" t="s">
        <v>1453</v>
      </c>
    </row>
    <row r="4" spans="1:22" ht="41.4">
      <c r="A4" s="22" t="s">
        <v>27</v>
      </c>
      <c r="B4" s="25">
        <v>45771</v>
      </c>
      <c r="C4" s="22" t="s">
        <v>17</v>
      </c>
      <c r="D4" s="22" t="s">
        <v>28</v>
      </c>
      <c r="E4" s="22" t="s">
        <v>24</v>
      </c>
      <c r="F4" s="22" t="s">
        <v>29</v>
      </c>
      <c r="G4" s="22" t="s">
        <v>30</v>
      </c>
      <c r="H4" s="22">
        <v>1</v>
      </c>
      <c r="I4" s="22">
        <v>0</v>
      </c>
      <c r="J4" s="22">
        <v>0</v>
      </c>
      <c r="K4" s="22">
        <v>0</v>
      </c>
      <c r="L4" s="22">
        <v>0</v>
      </c>
      <c r="M4" s="22">
        <v>1</v>
      </c>
      <c r="N4" s="22">
        <v>0</v>
      </c>
      <c r="O4" s="22"/>
      <c r="P4" s="22">
        <v>35.4</v>
      </c>
      <c r="Q4" s="22" t="str">
        <f t="shared" si="0"/>
        <v>Normal</v>
      </c>
      <c r="R4" s="26" t="str">
        <f t="shared" si="1"/>
        <v>USR-10000345771ControlEastMobilePaid SearchPremium100001035.4</v>
      </c>
      <c r="S4" s="22" t="str">
        <f t="shared" si="2"/>
        <v>OK</v>
      </c>
      <c r="U4" s="4" t="s">
        <v>0</v>
      </c>
      <c r="V4" s="8">
        <f>COUNTBLANK(A2:A1409)</f>
        <v>0</v>
      </c>
    </row>
    <row r="5" spans="1:22" ht="41.4">
      <c r="A5" s="22" t="s">
        <v>31</v>
      </c>
      <c r="B5" s="25">
        <v>45781</v>
      </c>
      <c r="C5" s="22" t="s">
        <v>17</v>
      </c>
      <c r="D5" s="22" t="s">
        <v>32</v>
      </c>
      <c r="E5" s="22" t="s">
        <v>24</v>
      </c>
      <c r="F5" s="22" t="s">
        <v>20</v>
      </c>
      <c r="G5" s="22" t="s">
        <v>21</v>
      </c>
      <c r="H5" s="22">
        <v>1</v>
      </c>
      <c r="I5" s="22">
        <v>0</v>
      </c>
      <c r="J5" s="22">
        <v>0</v>
      </c>
      <c r="K5" s="22">
        <v>0</v>
      </c>
      <c r="L5" s="22">
        <v>0</v>
      </c>
      <c r="M5" s="22">
        <v>0</v>
      </c>
      <c r="N5" s="22">
        <v>0</v>
      </c>
      <c r="O5" s="22"/>
      <c r="P5" s="22">
        <v>64.599999999999994</v>
      </c>
      <c r="Q5" s="22" t="str">
        <f t="shared" si="0"/>
        <v>Normal</v>
      </c>
      <c r="R5" s="26" t="str">
        <f t="shared" si="1"/>
        <v>USR-10000445781ControlSouthMobileEmailBasic100000064.6</v>
      </c>
      <c r="S5" s="22" t="str">
        <f t="shared" si="2"/>
        <v>OK</v>
      </c>
      <c r="U5" s="4" t="s">
        <v>1</v>
      </c>
      <c r="V5" s="8">
        <f>COUNTBLANK(B2:B1409)</f>
        <v>0</v>
      </c>
    </row>
    <row r="6" spans="1:22" ht="41.4">
      <c r="A6" s="22" t="s">
        <v>33</v>
      </c>
      <c r="B6" s="25">
        <v>45700</v>
      </c>
      <c r="C6" s="22" t="s">
        <v>17</v>
      </c>
      <c r="D6" s="22" t="s">
        <v>18</v>
      </c>
      <c r="E6" s="22" t="s">
        <v>34</v>
      </c>
      <c r="F6" s="22" t="s">
        <v>25</v>
      </c>
      <c r="G6" s="22" t="s">
        <v>26</v>
      </c>
      <c r="H6" s="22">
        <v>0</v>
      </c>
      <c r="I6" s="22">
        <v>0</v>
      </c>
      <c r="J6" s="22">
        <v>0</v>
      </c>
      <c r="K6" s="22">
        <v>0</v>
      </c>
      <c r="L6" s="22">
        <v>0</v>
      </c>
      <c r="M6" s="22">
        <v>0</v>
      </c>
      <c r="N6" s="22">
        <v>0</v>
      </c>
      <c r="O6" s="22"/>
      <c r="P6" s="22">
        <v>66.599999999999994</v>
      </c>
      <c r="Q6" s="22" t="str">
        <f t="shared" si="0"/>
        <v>Normal</v>
      </c>
      <c r="R6" s="26" t="str">
        <f t="shared" si="1"/>
        <v>USR-10000545700ControlNorthTabletOrganicFree000000066.6</v>
      </c>
      <c r="S6" s="22" t="str">
        <f t="shared" si="2"/>
        <v>OK</v>
      </c>
      <c r="U6" s="4" t="s">
        <v>2</v>
      </c>
      <c r="V6" s="8">
        <f>COUNTBLANK(C2:C1409)</f>
        <v>0</v>
      </c>
    </row>
    <row r="7" spans="1:22" ht="41.4">
      <c r="A7" s="22" t="s">
        <v>35</v>
      </c>
      <c r="B7" s="25">
        <v>45685</v>
      </c>
      <c r="C7" s="22" t="s">
        <v>17</v>
      </c>
      <c r="D7" s="22" t="s">
        <v>28</v>
      </c>
      <c r="E7" s="22" t="s">
        <v>24</v>
      </c>
      <c r="F7" s="22" t="s">
        <v>25</v>
      </c>
      <c r="G7" s="22" t="s">
        <v>30</v>
      </c>
      <c r="H7" s="22">
        <v>1</v>
      </c>
      <c r="I7" s="22">
        <v>0</v>
      </c>
      <c r="J7" s="22">
        <v>0</v>
      </c>
      <c r="K7" s="22">
        <v>0</v>
      </c>
      <c r="L7" s="22">
        <v>0</v>
      </c>
      <c r="M7" s="22">
        <v>0</v>
      </c>
      <c r="N7" s="22">
        <v>0</v>
      </c>
      <c r="O7" s="22"/>
      <c r="P7" s="22">
        <v>40.799999999999997</v>
      </c>
      <c r="Q7" s="22" t="str">
        <f t="shared" si="0"/>
        <v>Normal</v>
      </c>
      <c r="R7" s="26" t="str">
        <f t="shared" si="1"/>
        <v>USR-10000645685ControlEastMobileOrganicPremium100000040.8</v>
      </c>
      <c r="S7" s="22" t="str">
        <f t="shared" si="2"/>
        <v>OK</v>
      </c>
      <c r="U7" s="4" t="s">
        <v>3</v>
      </c>
      <c r="V7" s="8">
        <f>COUNTBLANK(D2:D1409)</f>
        <v>0</v>
      </c>
    </row>
    <row r="8" spans="1:22" ht="41.4">
      <c r="A8" s="22" t="s">
        <v>36</v>
      </c>
      <c r="B8" s="25">
        <v>45755</v>
      </c>
      <c r="C8" s="22" t="s">
        <v>17</v>
      </c>
      <c r="D8" s="22" t="s">
        <v>28</v>
      </c>
      <c r="E8" s="22" t="s">
        <v>24</v>
      </c>
      <c r="F8" s="22" t="s">
        <v>29</v>
      </c>
      <c r="G8" s="22" t="s">
        <v>21</v>
      </c>
      <c r="H8" s="22">
        <v>1</v>
      </c>
      <c r="I8" s="22">
        <v>1</v>
      </c>
      <c r="J8" s="22">
        <v>0</v>
      </c>
      <c r="K8" s="22">
        <v>0</v>
      </c>
      <c r="L8" s="22">
        <v>0</v>
      </c>
      <c r="M8" s="22">
        <v>0</v>
      </c>
      <c r="N8" s="22">
        <v>0</v>
      </c>
      <c r="O8" s="22"/>
      <c r="P8" s="22">
        <v>57.1</v>
      </c>
      <c r="Q8" s="22" t="str">
        <f t="shared" si="0"/>
        <v>Normal</v>
      </c>
      <c r="R8" s="26" t="str">
        <f t="shared" si="1"/>
        <v>USR-10000745755ControlEastMobilePaid SearchBasic110000057.1</v>
      </c>
      <c r="S8" s="22" t="str">
        <f t="shared" si="2"/>
        <v>OK</v>
      </c>
      <c r="U8" s="4" t="s">
        <v>4</v>
      </c>
      <c r="V8" s="8">
        <f>COUNTBLANK(E2:E1409)</f>
        <v>18</v>
      </c>
    </row>
    <row r="9" spans="1:22" ht="41.4">
      <c r="A9" s="22" t="s">
        <v>37</v>
      </c>
      <c r="B9" s="25">
        <v>45794</v>
      </c>
      <c r="C9" s="22" t="s">
        <v>17</v>
      </c>
      <c r="D9" s="22" t="s">
        <v>32</v>
      </c>
      <c r="E9" s="22" t="s">
        <v>24</v>
      </c>
      <c r="F9" s="22" t="s">
        <v>29</v>
      </c>
      <c r="G9" s="22" t="s">
        <v>26</v>
      </c>
      <c r="H9" s="22">
        <v>0</v>
      </c>
      <c r="I9" s="22">
        <v>0</v>
      </c>
      <c r="J9" s="22">
        <v>0</v>
      </c>
      <c r="K9" s="22">
        <v>0</v>
      </c>
      <c r="L9" s="22">
        <v>0</v>
      </c>
      <c r="M9" s="22">
        <v>0</v>
      </c>
      <c r="N9" s="22">
        <v>0</v>
      </c>
      <c r="O9" s="22"/>
      <c r="P9" s="22">
        <v>36.4</v>
      </c>
      <c r="Q9" s="22" t="str">
        <f t="shared" si="0"/>
        <v>Normal</v>
      </c>
      <c r="R9" s="26" t="str">
        <f t="shared" si="1"/>
        <v>USR-10000845794ControlSouthMobilePaid SearchFree000000036.4</v>
      </c>
      <c r="S9" s="22" t="str">
        <f t="shared" si="2"/>
        <v>OK</v>
      </c>
      <c r="U9" s="4" t="s">
        <v>5</v>
      </c>
      <c r="V9" s="8">
        <f>COUNTBLANK(F2:F1409)</f>
        <v>24</v>
      </c>
    </row>
    <row r="10" spans="1:22" ht="41.4">
      <c r="A10" s="22" t="s">
        <v>38</v>
      </c>
      <c r="B10" s="25">
        <v>45711</v>
      </c>
      <c r="C10" s="22" t="s">
        <v>17</v>
      </c>
      <c r="D10" s="22" t="s">
        <v>32</v>
      </c>
      <c r="E10" s="22" t="s">
        <v>34</v>
      </c>
      <c r="F10" s="22" t="s">
        <v>39</v>
      </c>
      <c r="G10" s="22" t="s">
        <v>21</v>
      </c>
      <c r="H10" s="22">
        <v>0</v>
      </c>
      <c r="I10" s="22">
        <v>0</v>
      </c>
      <c r="J10" s="22">
        <v>0</v>
      </c>
      <c r="K10" s="22">
        <v>0</v>
      </c>
      <c r="L10" s="22">
        <v>0</v>
      </c>
      <c r="M10" s="22">
        <v>0</v>
      </c>
      <c r="N10" s="22">
        <v>0</v>
      </c>
      <c r="O10" s="22"/>
      <c r="P10" s="22">
        <v>55.4</v>
      </c>
      <c r="Q10" s="22" t="str">
        <f t="shared" si="0"/>
        <v>Normal</v>
      </c>
      <c r="R10" s="26" t="str">
        <f t="shared" si="1"/>
        <v>USR-10000945711ControlSouthTabletReferralBasic000000055.4</v>
      </c>
      <c r="S10" s="22" t="str">
        <f t="shared" si="2"/>
        <v>OK</v>
      </c>
      <c r="U10" s="4" t="s">
        <v>6</v>
      </c>
      <c r="V10" s="8">
        <f>COUNTBLANK(G2:G1409)</f>
        <v>0</v>
      </c>
    </row>
    <row r="11" spans="1:22" ht="41.4">
      <c r="A11" s="22" t="s">
        <v>40</v>
      </c>
      <c r="B11" s="25">
        <v>45806</v>
      </c>
      <c r="C11" s="22" t="s">
        <v>17</v>
      </c>
      <c r="D11" s="22" t="s">
        <v>23</v>
      </c>
      <c r="E11" s="22" t="s">
        <v>19</v>
      </c>
      <c r="F11" s="22" t="s">
        <v>41</v>
      </c>
      <c r="G11" s="22" t="s">
        <v>26</v>
      </c>
      <c r="H11" s="22">
        <v>1</v>
      </c>
      <c r="I11" s="22">
        <v>0</v>
      </c>
      <c r="J11" s="22">
        <v>0</v>
      </c>
      <c r="K11" s="22">
        <v>0</v>
      </c>
      <c r="L11" s="22">
        <v>0</v>
      </c>
      <c r="M11" s="22">
        <v>0</v>
      </c>
      <c r="N11" s="22">
        <v>0</v>
      </c>
      <c r="O11" s="22"/>
      <c r="P11" s="22">
        <v>57.3</v>
      </c>
      <c r="Q11" s="22" t="str">
        <f t="shared" si="0"/>
        <v>Normal</v>
      </c>
      <c r="R11" s="26" t="str">
        <f t="shared" si="1"/>
        <v>USR-10001045806ControlWestDesktopSocialFree100000057.3</v>
      </c>
      <c r="S11" s="22" t="str">
        <f t="shared" si="2"/>
        <v>OK</v>
      </c>
      <c r="U11" s="4" t="s">
        <v>7</v>
      </c>
      <c r="V11" s="8">
        <f>COUNTBLANK(H2:H1409)</f>
        <v>0</v>
      </c>
    </row>
    <row r="12" spans="1:22" ht="41.4">
      <c r="A12" s="22" t="s">
        <v>42</v>
      </c>
      <c r="B12" s="25">
        <v>45777</v>
      </c>
      <c r="C12" s="22" t="s">
        <v>17</v>
      </c>
      <c r="D12" s="22" t="s">
        <v>28</v>
      </c>
      <c r="E12" s="22" t="s">
        <v>24</v>
      </c>
      <c r="F12" s="22" t="s">
        <v>29</v>
      </c>
      <c r="G12" s="22" t="s">
        <v>21</v>
      </c>
      <c r="H12" s="22">
        <v>1</v>
      </c>
      <c r="I12" s="22">
        <v>1</v>
      </c>
      <c r="J12" s="22">
        <v>1</v>
      </c>
      <c r="K12" s="22">
        <v>0</v>
      </c>
      <c r="L12" s="22">
        <v>0</v>
      </c>
      <c r="M12" s="22">
        <v>0</v>
      </c>
      <c r="N12" s="22">
        <v>0</v>
      </c>
      <c r="O12" s="22"/>
      <c r="P12" s="22">
        <v>63.6</v>
      </c>
      <c r="Q12" s="22" t="str">
        <f t="shared" si="0"/>
        <v>Normal</v>
      </c>
      <c r="R12" s="26" t="str">
        <f t="shared" si="1"/>
        <v>USR-10001145777ControlEastMobilePaid SearchBasic111000063.6</v>
      </c>
      <c r="S12" s="22" t="str">
        <f t="shared" si="2"/>
        <v>OK</v>
      </c>
      <c r="U12" s="4" t="s">
        <v>8</v>
      </c>
      <c r="V12" s="8">
        <f>COUNTBLANK(I2:I1409)</f>
        <v>0</v>
      </c>
    </row>
    <row r="13" spans="1:22" ht="41.4">
      <c r="A13" s="22" t="s">
        <v>43</v>
      </c>
      <c r="B13" s="25">
        <v>45732</v>
      </c>
      <c r="C13" s="22" t="s">
        <v>17</v>
      </c>
      <c r="D13" s="22" t="s">
        <v>28</v>
      </c>
      <c r="E13" s="22" t="s">
        <v>24</v>
      </c>
      <c r="F13" s="22" t="s">
        <v>41</v>
      </c>
      <c r="G13" s="22" t="s">
        <v>30</v>
      </c>
      <c r="H13" s="22">
        <v>1</v>
      </c>
      <c r="I13" s="22">
        <v>1</v>
      </c>
      <c r="J13" s="22">
        <v>1</v>
      </c>
      <c r="K13" s="22">
        <v>0</v>
      </c>
      <c r="L13" s="22">
        <v>0</v>
      </c>
      <c r="M13" s="22">
        <v>1</v>
      </c>
      <c r="N13" s="22">
        <v>0</v>
      </c>
      <c r="O13" s="22"/>
      <c r="P13" s="22">
        <v>80.400000000000006</v>
      </c>
      <c r="Q13" s="22" t="str">
        <f t="shared" si="0"/>
        <v>Normal</v>
      </c>
      <c r="R13" s="26" t="str">
        <f t="shared" si="1"/>
        <v>USR-10001245732ControlEastMobileSocialPremium111001080.4</v>
      </c>
      <c r="S13" s="22" t="str">
        <f t="shared" si="2"/>
        <v>OK</v>
      </c>
      <c r="U13" s="4" t="s">
        <v>9</v>
      </c>
      <c r="V13" s="8">
        <f>COUNTBLANK(J2:J1409)</f>
        <v>0</v>
      </c>
    </row>
    <row r="14" spans="1:22" ht="41.4">
      <c r="A14" s="22" t="s">
        <v>44</v>
      </c>
      <c r="B14" s="25">
        <v>45695</v>
      </c>
      <c r="C14" s="22" t="s">
        <v>17</v>
      </c>
      <c r="D14" s="22" t="s">
        <v>32</v>
      </c>
      <c r="E14" s="22" t="s">
        <v>19</v>
      </c>
      <c r="F14" s="22" t="s">
        <v>20</v>
      </c>
      <c r="G14" s="22" t="s">
        <v>21</v>
      </c>
      <c r="H14" s="22">
        <v>1</v>
      </c>
      <c r="I14" s="22">
        <v>0</v>
      </c>
      <c r="J14" s="22">
        <v>0</v>
      </c>
      <c r="K14" s="22">
        <v>0</v>
      </c>
      <c r="L14" s="22">
        <v>0</v>
      </c>
      <c r="M14" s="22">
        <v>0</v>
      </c>
      <c r="N14" s="22">
        <v>0</v>
      </c>
      <c r="O14" s="22"/>
      <c r="P14" s="22">
        <v>62.4</v>
      </c>
      <c r="Q14" s="22" t="str">
        <f t="shared" si="0"/>
        <v>Normal</v>
      </c>
      <c r="R14" s="26" t="str">
        <f t="shared" si="1"/>
        <v>USR-10001345695ControlSouthDesktopEmailBasic100000062.4</v>
      </c>
      <c r="S14" s="22" t="str">
        <f t="shared" si="2"/>
        <v>OK</v>
      </c>
      <c r="U14" s="4" t="s">
        <v>10</v>
      </c>
      <c r="V14" s="8">
        <f>COUNTBLANK(K2:K1409)</f>
        <v>0</v>
      </c>
    </row>
    <row r="15" spans="1:22" ht="41.4">
      <c r="A15" s="22" t="s">
        <v>45</v>
      </c>
      <c r="B15" s="25">
        <v>45718</v>
      </c>
      <c r="C15" s="22" t="s">
        <v>17</v>
      </c>
      <c r="D15" s="22" t="s">
        <v>23</v>
      </c>
      <c r="E15" s="22" t="s">
        <v>24</v>
      </c>
      <c r="F15" s="22" t="s">
        <v>41</v>
      </c>
      <c r="G15" s="22" t="s">
        <v>21</v>
      </c>
      <c r="H15" s="22">
        <v>1</v>
      </c>
      <c r="I15" s="22">
        <v>0</v>
      </c>
      <c r="J15" s="22">
        <v>0</v>
      </c>
      <c r="K15" s="22">
        <v>0</v>
      </c>
      <c r="L15" s="22">
        <v>0</v>
      </c>
      <c r="M15" s="22">
        <v>0</v>
      </c>
      <c r="N15" s="22">
        <v>0</v>
      </c>
      <c r="O15" s="22"/>
      <c r="P15" s="22">
        <v>82.4</v>
      </c>
      <c r="Q15" s="22" t="str">
        <f t="shared" si="0"/>
        <v>Normal</v>
      </c>
      <c r="R15" s="26" t="str">
        <f t="shared" si="1"/>
        <v>USR-10001445718ControlWestMobileSocialBasic100000082.4</v>
      </c>
      <c r="S15" s="22" t="str">
        <f t="shared" si="2"/>
        <v>OK</v>
      </c>
      <c r="U15" s="4" t="s">
        <v>11</v>
      </c>
      <c r="V15" s="8">
        <f>COUNTBLANK(L2:L1409)</f>
        <v>0</v>
      </c>
    </row>
    <row r="16" spans="1:22" ht="41.4">
      <c r="A16" s="22" t="s">
        <v>46</v>
      </c>
      <c r="B16" s="25">
        <v>45807</v>
      </c>
      <c r="C16" s="22" t="s">
        <v>17</v>
      </c>
      <c r="D16" s="22" t="s">
        <v>32</v>
      </c>
      <c r="E16" s="22" t="s">
        <v>24</v>
      </c>
      <c r="F16" s="22" t="s">
        <v>25</v>
      </c>
      <c r="G16" s="22" t="s">
        <v>21</v>
      </c>
      <c r="H16" s="22">
        <v>0</v>
      </c>
      <c r="I16" s="22">
        <v>0</v>
      </c>
      <c r="J16" s="22">
        <v>0</v>
      </c>
      <c r="K16" s="22">
        <v>0</v>
      </c>
      <c r="L16" s="22">
        <v>0</v>
      </c>
      <c r="M16" s="22">
        <v>0</v>
      </c>
      <c r="N16" s="22">
        <v>0</v>
      </c>
      <c r="O16" s="22"/>
      <c r="P16" s="22">
        <v>61.2</v>
      </c>
      <c r="Q16" s="22" t="str">
        <f t="shared" si="0"/>
        <v>Normal</v>
      </c>
      <c r="R16" s="26" t="str">
        <f t="shared" si="1"/>
        <v>USR-10001545807ControlSouthMobileOrganicBasic000000061.2</v>
      </c>
      <c r="S16" s="22" t="str">
        <f t="shared" si="2"/>
        <v>OK</v>
      </c>
      <c r="U16" s="4" t="s">
        <v>12</v>
      </c>
      <c r="V16" s="8">
        <f>COUNTBLANK(M2:M1409)</f>
        <v>0</v>
      </c>
    </row>
    <row r="17" spans="1:28" ht="41.4">
      <c r="A17" s="22" t="s">
        <v>47</v>
      </c>
      <c r="B17" s="25">
        <v>45741</v>
      </c>
      <c r="C17" s="22" t="s">
        <v>17</v>
      </c>
      <c r="D17" s="22" t="s">
        <v>32</v>
      </c>
      <c r="E17" s="22" t="s">
        <v>24</v>
      </c>
      <c r="F17" s="22" t="s">
        <v>41</v>
      </c>
      <c r="G17" s="22" t="s">
        <v>21</v>
      </c>
      <c r="H17" s="22">
        <v>1</v>
      </c>
      <c r="I17" s="22">
        <v>0</v>
      </c>
      <c r="J17" s="22">
        <v>0</v>
      </c>
      <c r="K17" s="22">
        <v>0</v>
      </c>
      <c r="L17" s="22">
        <v>0</v>
      </c>
      <c r="M17" s="22">
        <v>0</v>
      </c>
      <c r="N17" s="22">
        <v>0</v>
      </c>
      <c r="O17" s="22"/>
      <c r="P17" s="22">
        <v>68.900000000000006</v>
      </c>
      <c r="Q17" s="22" t="str">
        <f t="shared" si="0"/>
        <v>Normal</v>
      </c>
      <c r="R17" s="26" t="str">
        <f t="shared" si="1"/>
        <v>USR-10001645741ControlSouthMobileSocialBasic100000068.9</v>
      </c>
      <c r="S17" s="22" t="str">
        <f t="shared" si="2"/>
        <v>OK</v>
      </c>
      <c r="U17" s="4" t="s">
        <v>13</v>
      </c>
      <c r="V17" s="8">
        <f>COUNTBLANK(N2:N1409)</f>
        <v>0</v>
      </c>
    </row>
    <row r="18" spans="1:28" ht="41.4">
      <c r="A18" s="22" t="s">
        <v>48</v>
      </c>
      <c r="B18" s="25">
        <v>45743</v>
      </c>
      <c r="C18" s="22" t="s">
        <v>17</v>
      </c>
      <c r="D18" s="22" t="s">
        <v>28</v>
      </c>
      <c r="E18" s="22" t="s">
        <v>19</v>
      </c>
      <c r="F18" s="22" t="s">
        <v>29</v>
      </c>
      <c r="G18" s="22" t="s">
        <v>26</v>
      </c>
      <c r="H18" s="22">
        <v>1</v>
      </c>
      <c r="I18" s="22">
        <v>1</v>
      </c>
      <c r="J18" s="22">
        <v>1</v>
      </c>
      <c r="K18" s="22">
        <v>0</v>
      </c>
      <c r="L18" s="22">
        <v>0</v>
      </c>
      <c r="M18" s="22">
        <v>0</v>
      </c>
      <c r="N18" s="22">
        <v>0</v>
      </c>
      <c r="O18" s="22"/>
      <c r="P18" s="22">
        <v>71.900000000000006</v>
      </c>
      <c r="Q18" s="22" t="str">
        <f t="shared" si="0"/>
        <v>Normal</v>
      </c>
      <c r="R18" s="26" t="str">
        <f t="shared" si="1"/>
        <v>USR-10001745743ControlEastDesktopPaid SearchFree111000071.9</v>
      </c>
      <c r="S18" s="22" t="str">
        <f t="shared" si="2"/>
        <v>OK</v>
      </c>
      <c r="U18" s="4" t="s">
        <v>14</v>
      </c>
      <c r="V18" s="8">
        <f>COUNTBLANK(O2:O1409)</f>
        <v>1336</v>
      </c>
    </row>
    <row r="19" spans="1:28" ht="41.4">
      <c r="A19" s="22" t="s">
        <v>49</v>
      </c>
      <c r="B19" s="25">
        <v>45805</v>
      </c>
      <c r="C19" s="22" t="s">
        <v>17</v>
      </c>
      <c r="D19" s="22" t="s">
        <v>32</v>
      </c>
      <c r="E19" s="22" t="s">
        <v>19</v>
      </c>
      <c r="F19" s="22" t="s">
        <v>29</v>
      </c>
      <c r="G19" s="22" t="s">
        <v>26</v>
      </c>
      <c r="H19" s="22">
        <v>0</v>
      </c>
      <c r="I19" s="22">
        <v>0</v>
      </c>
      <c r="J19" s="22">
        <v>0</v>
      </c>
      <c r="K19" s="22">
        <v>0</v>
      </c>
      <c r="L19" s="22">
        <v>0</v>
      </c>
      <c r="M19" s="22">
        <v>0</v>
      </c>
      <c r="N19" s="22">
        <v>0</v>
      </c>
      <c r="O19" s="22"/>
      <c r="P19" s="22">
        <v>50.5</v>
      </c>
      <c r="Q19" s="22" t="str">
        <f t="shared" si="0"/>
        <v>Normal</v>
      </c>
      <c r="R19" s="26" t="str">
        <f t="shared" si="1"/>
        <v>USR-10001845805ControlSouthDesktopPaid SearchFree000000050.5</v>
      </c>
      <c r="S19" s="22" t="str">
        <f t="shared" si="2"/>
        <v>OK</v>
      </c>
      <c r="U19" s="4" t="s">
        <v>15</v>
      </c>
      <c r="V19" s="8">
        <f>COUNTBLANK(P2:P1409)</f>
        <v>14</v>
      </c>
    </row>
    <row r="20" spans="1:28" ht="41.4">
      <c r="A20" s="22" t="s">
        <v>50</v>
      </c>
      <c r="B20" s="25">
        <v>45703</v>
      </c>
      <c r="C20" s="22" t="s">
        <v>17</v>
      </c>
      <c r="D20" s="22" t="s">
        <v>18</v>
      </c>
      <c r="E20" s="22" t="s">
        <v>19</v>
      </c>
      <c r="F20" s="22" t="s">
        <v>29</v>
      </c>
      <c r="G20" s="22" t="s">
        <v>21</v>
      </c>
      <c r="H20" s="22">
        <v>0</v>
      </c>
      <c r="I20" s="22">
        <v>0</v>
      </c>
      <c r="J20" s="22">
        <v>0</v>
      </c>
      <c r="K20" s="22">
        <v>0</v>
      </c>
      <c r="L20" s="22">
        <v>0</v>
      </c>
      <c r="M20" s="22">
        <v>0</v>
      </c>
      <c r="N20" s="22">
        <v>0</v>
      </c>
      <c r="O20" s="22"/>
      <c r="P20" s="22">
        <v>49.3</v>
      </c>
      <c r="Q20" s="22" t="str">
        <f t="shared" si="0"/>
        <v>Normal</v>
      </c>
      <c r="R20" s="26" t="str">
        <f t="shared" si="1"/>
        <v>USR-10001945703ControlNorthDesktopPaid SearchBasic000000049.3</v>
      </c>
      <c r="S20" s="22" t="str">
        <f t="shared" si="2"/>
        <v>OK</v>
      </c>
    </row>
    <row r="21" spans="1:28" ht="41.4">
      <c r="A21" s="22" t="s">
        <v>51</v>
      </c>
      <c r="B21" s="25">
        <v>45782</v>
      </c>
      <c r="C21" s="22" t="s">
        <v>17</v>
      </c>
      <c r="D21" s="22" t="s">
        <v>23</v>
      </c>
      <c r="E21" s="22" t="s">
        <v>19</v>
      </c>
      <c r="F21" s="22" t="s">
        <v>25</v>
      </c>
      <c r="G21" s="22" t="s">
        <v>21</v>
      </c>
      <c r="H21" s="22">
        <v>0</v>
      </c>
      <c r="I21" s="22">
        <v>0</v>
      </c>
      <c r="J21" s="22">
        <v>0</v>
      </c>
      <c r="K21" s="22">
        <v>0</v>
      </c>
      <c r="L21" s="22">
        <v>0</v>
      </c>
      <c r="M21" s="22">
        <v>2</v>
      </c>
      <c r="N21" s="22">
        <v>0</v>
      </c>
      <c r="O21" s="22"/>
      <c r="P21" s="22">
        <v>60.9</v>
      </c>
      <c r="Q21" s="22" t="str">
        <f t="shared" si="0"/>
        <v>Normal</v>
      </c>
      <c r="R21" s="26" t="str">
        <f t="shared" si="1"/>
        <v>USR-10002045782ControlWestDesktopOrganicBasic000002060.9</v>
      </c>
      <c r="S21" s="22" t="str">
        <f t="shared" si="2"/>
        <v>OK</v>
      </c>
    </row>
    <row r="22" spans="1:28" ht="41.4">
      <c r="A22" s="22" t="s">
        <v>52</v>
      </c>
      <c r="B22" s="25">
        <v>45760</v>
      </c>
      <c r="C22" s="22" t="s">
        <v>17</v>
      </c>
      <c r="D22" s="22" t="s">
        <v>28</v>
      </c>
      <c r="E22" s="22" t="s">
        <v>24</v>
      </c>
      <c r="F22" s="22" t="s">
        <v>41</v>
      </c>
      <c r="G22" s="22" t="s">
        <v>26</v>
      </c>
      <c r="H22" s="22">
        <v>1</v>
      </c>
      <c r="I22" s="22">
        <v>0</v>
      </c>
      <c r="J22" s="22">
        <v>0</v>
      </c>
      <c r="K22" s="22">
        <v>0</v>
      </c>
      <c r="L22" s="22">
        <v>0</v>
      </c>
      <c r="M22" s="22">
        <v>0</v>
      </c>
      <c r="N22" s="22">
        <v>0</v>
      </c>
      <c r="O22" s="22"/>
      <c r="P22" s="22">
        <v>62.7</v>
      </c>
      <c r="Q22" s="22" t="str">
        <f t="shared" si="0"/>
        <v>Normal</v>
      </c>
      <c r="R22" s="26" t="str">
        <f t="shared" si="1"/>
        <v>USR-10002145760ControlEastMobileSocialFree100000062.7</v>
      </c>
      <c r="S22" s="22" t="str">
        <f t="shared" si="2"/>
        <v>OK</v>
      </c>
      <c r="U22" s="10" t="s">
        <v>1455</v>
      </c>
      <c r="V22" s="10"/>
      <c r="AA22" s="13" t="s">
        <v>1456</v>
      </c>
      <c r="AB22" t="s">
        <v>1458</v>
      </c>
    </row>
    <row r="23" spans="1:28" ht="41.4">
      <c r="A23" s="22" t="s">
        <v>53</v>
      </c>
      <c r="B23" s="25">
        <v>45784</v>
      </c>
      <c r="C23" s="22" t="s">
        <v>17</v>
      </c>
      <c r="D23" s="22" t="s">
        <v>18</v>
      </c>
      <c r="E23" s="22" t="s">
        <v>19</v>
      </c>
      <c r="F23" s="22" t="s">
        <v>29</v>
      </c>
      <c r="G23" s="22" t="s">
        <v>26</v>
      </c>
      <c r="H23" s="22">
        <v>0</v>
      </c>
      <c r="I23" s="22">
        <v>0</v>
      </c>
      <c r="J23" s="22">
        <v>0</v>
      </c>
      <c r="K23" s="22">
        <v>0</v>
      </c>
      <c r="L23" s="22">
        <v>0</v>
      </c>
      <c r="M23" s="22">
        <v>0</v>
      </c>
      <c r="N23" s="22">
        <v>0</v>
      </c>
      <c r="O23" s="22"/>
      <c r="P23" s="22">
        <v>52.7</v>
      </c>
      <c r="Q23" s="22" t="str">
        <f t="shared" si="0"/>
        <v>Normal</v>
      </c>
      <c r="R23" s="26" t="str">
        <f t="shared" si="1"/>
        <v>USR-10002245784ControlNorthDesktopPaid SearchFree000000052.7</v>
      </c>
      <c r="S23" s="22" t="str">
        <f t="shared" si="2"/>
        <v>OK</v>
      </c>
      <c r="U23" s="4" t="s">
        <v>17</v>
      </c>
      <c r="V23" s="8">
        <f>COUNTIF(C:C,"Control")</f>
        <v>693</v>
      </c>
      <c r="AA23" s="14" t="s">
        <v>127</v>
      </c>
      <c r="AB23" s="15">
        <v>2</v>
      </c>
    </row>
    <row r="24" spans="1:28" ht="41.4">
      <c r="A24" s="22" t="s">
        <v>54</v>
      </c>
      <c r="B24" s="25">
        <v>45802</v>
      </c>
      <c r="C24" s="22" t="s">
        <v>17</v>
      </c>
      <c r="D24" s="22" t="s">
        <v>18</v>
      </c>
      <c r="E24" s="22" t="s">
        <v>19</v>
      </c>
      <c r="F24" s="22" t="s">
        <v>25</v>
      </c>
      <c r="G24" s="22" t="s">
        <v>26</v>
      </c>
      <c r="H24" s="22">
        <v>0</v>
      </c>
      <c r="I24" s="22">
        <v>0</v>
      </c>
      <c r="J24" s="22">
        <v>0</v>
      </c>
      <c r="K24" s="22">
        <v>0</v>
      </c>
      <c r="L24" s="22">
        <v>0</v>
      </c>
      <c r="M24" s="22">
        <v>0</v>
      </c>
      <c r="N24" s="22">
        <v>0</v>
      </c>
      <c r="O24" s="22"/>
      <c r="P24" s="22">
        <v>54</v>
      </c>
      <c r="Q24" s="22" t="str">
        <f t="shared" si="0"/>
        <v>Normal</v>
      </c>
      <c r="R24" s="26" t="str">
        <f t="shared" si="1"/>
        <v>USR-10002345802ControlNorthDesktopOrganicFree000000054</v>
      </c>
      <c r="S24" s="22" t="str">
        <f t="shared" si="2"/>
        <v>OK</v>
      </c>
      <c r="U24" s="4" t="s">
        <v>723</v>
      </c>
      <c r="V24" s="8">
        <f>COUNTIF(C:C,"Treatment")</f>
        <v>715</v>
      </c>
      <c r="AA24" s="14" t="s">
        <v>464</v>
      </c>
      <c r="AB24" s="15">
        <v>2</v>
      </c>
    </row>
    <row r="25" spans="1:28" ht="41.4">
      <c r="A25" s="22" t="s">
        <v>55</v>
      </c>
      <c r="B25" s="25">
        <v>45748</v>
      </c>
      <c r="C25" s="22" t="s">
        <v>17</v>
      </c>
      <c r="D25" s="22" t="s">
        <v>28</v>
      </c>
      <c r="E25" s="22" t="s">
        <v>24</v>
      </c>
      <c r="F25" s="22" t="s">
        <v>29</v>
      </c>
      <c r="G25" s="22" t="s">
        <v>30</v>
      </c>
      <c r="H25" s="22">
        <v>1</v>
      </c>
      <c r="I25" s="22">
        <v>1</v>
      </c>
      <c r="J25" s="22">
        <v>0</v>
      </c>
      <c r="K25" s="22">
        <v>0</v>
      </c>
      <c r="L25" s="22">
        <v>0</v>
      </c>
      <c r="M25" s="22">
        <v>0</v>
      </c>
      <c r="N25" s="22">
        <v>0</v>
      </c>
      <c r="O25" s="22"/>
      <c r="P25" s="22">
        <v>51.6</v>
      </c>
      <c r="Q25" s="22" t="str">
        <f t="shared" si="0"/>
        <v>Normal</v>
      </c>
      <c r="R25" s="26" t="str">
        <f t="shared" si="1"/>
        <v>USR-10002445748ControlEastMobilePaid SearchPremium110000051.6</v>
      </c>
      <c r="S25" s="22" t="str">
        <f t="shared" si="2"/>
        <v>OK</v>
      </c>
      <c r="AA25" s="14" t="s">
        <v>572</v>
      </c>
      <c r="AB25" s="15">
        <v>2</v>
      </c>
    </row>
    <row r="26" spans="1:28" ht="41.4">
      <c r="A26" s="22" t="s">
        <v>56</v>
      </c>
      <c r="B26" s="25">
        <v>45710</v>
      </c>
      <c r="C26" s="22" t="s">
        <v>17</v>
      </c>
      <c r="D26" s="22" t="s">
        <v>18</v>
      </c>
      <c r="E26" s="22" t="s">
        <v>24</v>
      </c>
      <c r="F26" s="22" t="s">
        <v>29</v>
      </c>
      <c r="G26" s="22" t="s">
        <v>30</v>
      </c>
      <c r="H26" s="22">
        <v>0</v>
      </c>
      <c r="I26" s="22">
        <v>0</v>
      </c>
      <c r="J26" s="22">
        <v>0</v>
      </c>
      <c r="K26" s="22">
        <v>0</v>
      </c>
      <c r="L26" s="22">
        <v>0</v>
      </c>
      <c r="M26" s="22">
        <v>2</v>
      </c>
      <c r="N26" s="22">
        <v>0</v>
      </c>
      <c r="O26" s="22"/>
      <c r="P26" s="22">
        <v>66.900000000000006</v>
      </c>
      <c r="Q26" s="22" t="str">
        <f t="shared" si="0"/>
        <v>Normal</v>
      </c>
      <c r="R26" s="26" t="str">
        <f t="shared" si="1"/>
        <v>USR-10002545710ControlNorthMobilePaid SearchPremium000002066.9</v>
      </c>
      <c r="S26" s="22" t="str">
        <f t="shared" si="2"/>
        <v>OK</v>
      </c>
      <c r="U26" s="4" t="s">
        <v>1454</v>
      </c>
      <c r="V26" s="23" cm="1">
        <f t="array" ref="V26">ROWS(A2:A1409)-SUM(1/COUNTIF(A2:A1409,A2:A1409))</f>
        <v>8</v>
      </c>
      <c r="AA26" s="14" t="s">
        <v>949</v>
      </c>
      <c r="AB26" s="15">
        <v>2</v>
      </c>
    </row>
    <row r="27" spans="1:28" ht="41.4">
      <c r="A27" s="22" t="s">
        <v>57</v>
      </c>
      <c r="B27" s="25">
        <v>45740</v>
      </c>
      <c r="C27" s="22" t="s">
        <v>17</v>
      </c>
      <c r="D27" s="22" t="s">
        <v>28</v>
      </c>
      <c r="E27" s="22" t="s">
        <v>24</v>
      </c>
      <c r="F27" s="22" t="s">
        <v>25</v>
      </c>
      <c r="G27" s="22" t="s">
        <v>21</v>
      </c>
      <c r="H27" s="22">
        <v>0</v>
      </c>
      <c r="I27" s="22">
        <v>0</v>
      </c>
      <c r="J27" s="22">
        <v>0</v>
      </c>
      <c r="K27" s="22">
        <v>0</v>
      </c>
      <c r="L27" s="22">
        <v>0</v>
      </c>
      <c r="M27" s="22">
        <v>0</v>
      </c>
      <c r="N27" s="22">
        <v>0</v>
      </c>
      <c r="O27" s="22"/>
      <c r="P27" s="22">
        <v>67.400000000000006</v>
      </c>
      <c r="Q27" s="22" t="str">
        <f t="shared" si="0"/>
        <v>Normal</v>
      </c>
      <c r="R27" s="26" t="str">
        <f t="shared" si="1"/>
        <v>USR-10002645740ControlEastMobileOrganicBasic000000067.4</v>
      </c>
      <c r="S27" s="22" t="str">
        <f t="shared" si="2"/>
        <v>OK</v>
      </c>
      <c r="AA27" s="14" t="s">
        <v>1091</v>
      </c>
      <c r="AB27" s="15">
        <v>2</v>
      </c>
    </row>
    <row r="28" spans="1:28" ht="41.4">
      <c r="A28" s="22" t="s">
        <v>58</v>
      </c>
      <c r="B28" s="25">
        <v>45701</v>
      </c>
      <c r="C28" s="22" t="s">
        <v>17</v>
      </c>
      <c r="D28" s="22" t="s">
        <v>18</v>
      </c>
      <c r="E28" s="22" t="s">
        <v>24</v>
      </c>
      <c r="F28" s="22" t="s">
        <v>25</v>
      </c>
      <c r="G28" s="22" t="s">
        <v>26</v>
      </c>
      <c r="H28" s="22">
        <v>0</v>
      </c>
      <c r="I28" s="22">
        <v>0</v>
      </c>
      <c r="J28" s="22">
        <v>0</v>
      </c>
      <c r="K28" s="22">
        <v>0</v>
      </c>
      <c r="L28" s="22">
        <v>0</v>
      </c>
      <c r="M28" s="22">
        <v>0</v>
      </c>
      <c r="N28" s="22">
        <v>0</v>
      </c>
      <c r="O28" s="22"/>
      <c r="P28" s="22">
        <v>58.8</v>
      </c>
      <c r="Q28" s="22" t="str">
        <f t="shared" si="0"/>
        <v>Normal</v>
      </c>
      <c r="R28" s="26" t="str">
        <f t="shared" si="1"/>
        <v>USR-10002745701ControlNorthMobileOrganicFree000000058.8</v>
      </c>
      <c r="S28" s="22" t="str">
        <f t="shared" si="2"/>
        <v>OK</v>
      </c>
      <c r="AA28" s="14" t="s">
        <v>1242</v>
      </c>
      <c r="AB28" s="15">
        <v>2</v>
      </c>
    </row>
    <row r="29" spans="1:28" ht="41.4">
      <c r="A29" s="22" t="s">
        <v>59</v>
      </c>
      <c r="B29" s="25">
        <v>45807</v>
      </c>
      <c r="C29" s="22" t="s">
        <v>17</v>
      </c>
      <c r="D29" s="22" t="s">
        <v>32</v>
      </c>
      <c r="E29" s="22" t="s">
        <v>24</v>
      </c>
      <c r="F29" s="22" t="s">
        <v>25</v>
      </c>
      <c r="G29" s="22" t="s">
        <v>26</v>
      </c>
      <c r="H29" s="22">
        <v>1</v>
      </c>
      <c r="I29" s="22">
        <v>0</v>
      </c>
      <c r="J29" s="22">
        <v>0</v>
      </c>
      <c r="K29" s="22">
        <v>0</v>
      </c>
      <c r="L29" s="22">
        <v>0</v>
      </c>
      <c r="M29" s="22">
        <v>0</v>
      </c>
      <c r="N29" s="22">
        <v>0</v>
      </c>
      <c r="O29" s="22"/>
      <c r="P29" s="22">
        <v>73.8</v>
      </c>
      <c r="Q29" s="22" t="str">
        <f t="shared" si="0"/>
        <v>Normal</v>
      </c>
      <c r="R29" s="26" t="str">
        <f t="shared" si="1"/>
        <v>USR-10002845807ControlSouthMobileOrganicFree100000073.8</v>
      </c>
      <c r="S29" s="22" t="str">
        <f t="shared" si="2"/>
        <v>OK</v>
      </c>
      <c r="U29" s="10" t="s">
        <v>1459</v>
      </c>
      <c r="V29" s="10"/>
      <c r="AA29" s="14" t="s">
        <v>1264</v>
      </c>
      <c r="AB29" s="15">
        <v>2</v>
      </c>
    </row>
    <row r="30" spans="1:28" ht="41.4">
      <c r="A30" s="22" t="s">
        <v>60</v>
      </c>
      <c r="B30" s="25">
        <v>45677</v>
      </c>
      <c r="C30" s="22" t="s">
        <v>17</v>
      </c>
      <c r="D30" s="22" t="s">
        <v>28</v>
      </c>
      <c r="E30" s="22" t="s">
        <v>34</v>
      </c>
      <c r="F30" s="22" t="s">
        <v>25</v>
      </c>
      <c r="G30" s="22" t="s">
        <v>21</v>
      </c>
      <c r="H30" s="22">
        <v>0</v>
      </c>
      <c r="I30" s="22">
        <v>0</v>
      </c>
      <c r="J30" s="22">
        <v>0</v>
      </c>
      <c r="K30" s="22">
        <v>0</v>
      </c>
      <c r="L30" s="22">
        <v>0</v>
      </c>
      <c r="M30" s="22">
        <v>0</v>
      </c>
      <c r="N30" s="22">
        <v>0</v>
      </c>
      <c r="O30" s="22"/>
      <c r="P30" s="22">
        <v>60.1</v>
      </c>
      <c r="Q30" s="22" t="str">
        <f t="shared" si="0"/>
        <v>Normal</v>
      </c>
      <c r="R30" s="26" t="str">
        <f t="shared" si="1"/>
        <v>USR-10002945677ControlEastTabletOrganicBasic000000060.1</v>
      </c>
      <c r="S30" s="22" t="str">
        <f t="shared" si="2"/>
        <v>OK</v>
      </c>
      <c r="U30" s="18" t="s">
        <v>7</v>
      </c>
      <c r="V30" s="8">
        <f>COUNTIFS(H2:H1409,"&lt;&gt;0",H2:H1409,"&lt;&gt;1",H2:H1409,"&lt;&gt;")</f>
        <v>0</v>
      </c>
      <c r="AA30" s="14" t="s">
        <v>1394</v>
      </c>
      <c r="AB30" s="15">
        <v>2</v>
      </c>
    </row>
    <row r="31" spans="1:28" ht="41.4">
      <c r="A31" s="22" t="s">
        <v>61</v>
      </c>
      <c r="B31" s="25">
        <v>45796</v>
      </c>
      <c r="C31" s="22" t="s">
        <v>17</v>
      </c>
      <c r="D31" s="22" t="s">
        <v>28</v>
      </c>
      <c r="E31" s="22" t="s">
        <v>24</v>
      </c>
      <c r="F31" s="22" t="s">
        <v>41</v>
      </c>
      <c r="G31" s="22" t="s">
        <v>21</v>
      </c>
      <c r="H31" s="22">
        <v>1</v>
      </c>
      <c r="I31" s="22">
        <v>1</v>
      </c>
      <c r="J31" s="22">
        <v>1</v>
      </c>
      <c r="K31" s="22">
        <v>0</v>
      </c>
      <c r="L31" s="22">
        <v>0</v>
      </c>
      <c r="M31" s="22">
        <v>0</v>
      </c>
      <c r="N31" s="22">
        <v>0</v>
      </c>
      <c r="O31" s="22"/>
      <c r="P31" s="22">
        <v>41</v>
      </c>
      <c r="Q31" s="22" t="str">
        <f t="shared" si="0"/>
        <v>Normal</v>
      </c>
      <c r="R31" s="26" t="str">
        <f t="shared" si="1"/>
        <v>USR-10003045796ControlEastMobileSocialBasic111000041</v>
      </c>
      <c r="S31" s="22" t="str">
        <f t="shared" si="2"/>
        <v>OK</v>
      </c>
      <c r="U31" s="18" t="s">
        <v>8</v>
      </c>
      <c r="V31" s="8">
        <f>COUNTIFS(I2:I1409,"&lt;&gt;0",I2:I1409,"&lt;&gt;1",I2:I1409,"&lt;&gt;")</f>
        <v>0</v>
      </c>
      <c r="AA31" s="14" t="s">
        <v>1457</v>
      </c>
      <c r="AB31" s="15">
        <v>16</v>
      </c>
    </row>
    <row r="32" spans="1:28" ht="41.4">
      <c r="A32" s="22" t="s">
        <v>62</v>
      </c>
      <c r="B32" s="25">
        <v>45706</v>
      </c>
      <c r="C32" s="22" t="s">
        <v>17</v>
      </c>
      <c r="D32" s="22" t="s">
        <v>32</v>
      </c>
      <c r="E32" s="22" t="s">
        <v>24</v>
      </c>
      <c r="F32" s="22" t="s">
        <v>25</v>
      </c>
      <c r="G32" s="22" t="s">
        <v>21</v>
      </c>
      <c r="H32" s="22">
        <v>1</v>
      </c>
      <c r="I32" s="22">
        <v>0</v>
      </c>
      <c r="J32" s="22">
        <v>0</v>
      </c>
      <c r="K32" s="22">
        <v>0</v>
      </c>
      <c r="L32" s="22">
        <v>0</v>
      </c>
      <c r="M32" s="22">
        <v>0</v>
      </c>
      <c r="N32" s="22">
        <v>0</v>
      </c>
      <c r="O32" s="22"/>
      <c r="P32" s="22">
        <v>80.3</v>
      </c>
      <c r="Q32" s="22" t="str">
        <f t="shared" si="0"/>
        <v>Normal</v>
      </c>
      <c r="R32" s="26" t="str">
        <f t="shared" si="1"/>
        <v>USR-10003145706ControlSouthMobileOrganicBasic100000080.3</v>
      </c>
      <c r="S32" s="22" t="str">
        <f t="shared" si="2"/>
        <v>OK</v>
      </c>
      <c r="U32" s="18" t="s">
        <v>9</v>
      </c>
      <c r="V32" s="8">
        <f>COUNTIFS(J2:J1409,"&lt;&gt;0",J2:J1409,"&lt;&gt;1",J2:J1409,"&lt;&gt;")</f>
        <v>0</v>
      </c>
    </row>
    <row r="33" spans="1:22" ht="41.4">
      <c r="A33" s="22" t="s">
        <v>63</v>
      </c>
      <c r="B33" s="25">
        <v>45701</v>
      </c>
      <c r="C33" s="22" t="s">
        <v>17</v>
      </c>
      <c r="D33" s="22" t="s">
        <v>28</v>
      </c>
      <c r="E33" s="22" t="s">
        <v>24</v>
      </c>
      <c r="F33" s="22" t="s">
        <v>25</v>
      </c>
      <c r="G33" s="22" t="s">
        <v>26</v>
      </c>
      <c r="H33" s="22">
        <v>0</v>
      </c>
      <c r="I33" s="22">
        <v>0</v>
      </c>
      <c r="J33" s="22">
        <v>0</v>
      </c>
      <c r="K33" s="22">
        <v>0</v>
      </c>
      <c r="L33" s="22">
        <v>0</v>
      </c>
      <c r="M33" s="22">
        <v>0</v>
      </c>
      <c r="N33" s="22">
        <v>0</v>
      </c>
      <c r="O33" s="22"/>
      <c r="P33" s="22">
        <v>67.599999999999994</v>
      </c>
      <c r="Q33" s="22" t="str">
        <f t="shared" si="0"/>
        <v>Normal</v>
      </c>
      <c r="R33" s="26" t="str">
        <f t="shared" si="1"/>
        <v>USR-10003245701ControlEastMobileOrganicFree000000067.6</v>
      </c>
      <c r="S33" s="22" t="str">
        <f t="shared" si="2"/>
        <v>OK</v>
      </c>
      <c r="U33" s="18" t="s">
        <v>10</v>
      </c>
      <c r="V33" s="8">
        <f>COUNTIFS(K2:K1409,"&lt;&gt;0",K2:K1409,"&lt;&gt;1",K2:K1409,"&lt;&gt;")</f>
        <v>0</v>
      </c>
    </row>
    <row r="34" spans="1:22" ht="41.4">
      <c r="A34" s="22" t="s">
        <v>64</v>
      </c>
      <c r="B34" s="25">
        <v>45724</v>
      </c>
      <c r="C34" s="22" t="s">
        <v>17</v>
      </c>
      <c r="D34" s="22" t="s">
        <v>28</v>
      </c>
      <c r="E34" s="22" t="s">
        <v>19</v>
      </c>
      <c r="F34" s="22" t="s">
        <v>39</v>
      </c>
      <c r="G34" s="22" t="s">
        <v>30</v>
      </c>
      <c r="H34" s="22">
        <v>0</v>
      </c>
      <c r="I34" s="22">
        <v>0</v>
      </c>
      <c r="J34" s="22">
        <v>0</v>
      </c>
      <c r="K34" s="22">
        <v>0</v>
      </c>
      <c r="L34" s="22">
        <v>0</v>
      </c>
      <c r="M34" s="22">
        <v>0</v>
      </c>
      <c r="N34" s="22">
        <v>0</v>
      </c>
      <c r="O34" s="22"/>
      <c r="P34" s="22">
        <v>64</v>
      </c>
      <c r="Q34" s="22" t="str">
        <f t="shared" si="0"/>
        <v>Normal</v>
      </c>
      <c r="R34" s="26" t="str">
        <f t="shared" si="1"/>
        <v>USR-10003345724ControlEastDesktopReferralPremium000000064</v>
      </c>
      <c r="S34" s="22" t="str">
        <f t="shared" si="2"/>
        <v>OK</v>
      </c>
      <c r="U34" s="18" t="s">
        <v>13</v>
      </c>
      <c r="V34" s="8">
        <f>COUNTIFS(N2:N1409,"&lt;&gt;0",N2:N1409,"&lt;&gt;1",N2:N1409,"&lt;&gt;")</f>
        <v>0</v>
      </c>
    </row>
    <row r="35" spans="1:22" ht="41.4">
      <c r="A35" s="22" t="s">
        <v>65</v>
      </c>
      <c r="B35" s="25">
        <v>45668</v>
      </c>
      <c r="C35" s="22" t="s">
        <v>17</v>
      </c>
      <c r="D35" s="22" t="s">
        <v>18</v>
      </c>
      <c r="E35" s="22" t="s">
        <v>24</v>
      </c>
      <c r="F35" s="22" t="s">
        <v>29</v>
      </c>
      <c r="G35" s="22" t="s">
        <v>26</v>
      </c>
      <c r="H35" s="22">
        <v>1</v>
      </c>
      <c r="I35" s="22">
        <v>1</v>
      </c>
      <c r="J35" s="22">
        <v>0</v>
      </c>
      <c r="K35" s="22">
        <v>0</v>
      </c>
      <c r="L35" s="22">
        <v>0</v>
      </c>
      <c r="M35" s="22">
        <v>0</v>
      </c>
      <c r="N35" s="22">
        <v>0</v>
      </c>
      <c r="O35" s="22"/>
      <c r="P35" s="22">
        <v>27.2</v>
      </c>
      <c r="Q35" s="22" t="str">
        <f t="shared" si="0"/>
        <v>Normal</v>
      </c>
      <c r="R35" s="26" t="str">
        <f t="shared" si="1"/>
        <v>USR-10003445668ControlNorthMobilePaid SearchFree110000027.2</v>
      </c>
      <c r="S35" s="22" t="str">
        <f t="shared" si="2"/>
        <v>OK</v>
      </c>
      <c r="U35" s="17"/>
    </row>
    <row r="36" spans="1:22" ht="41.4">
      <c r="A36" s="22" t="s">
        <v>66</v>
      </c>
      <c r="B36" s="25">
        <v>45700</v>
      </c>
      <c r="C36" s="22" t="s">
        <v>17</v>
      </c>
      <c r="D36" s="22" t="s">
        <v>18</v>
      </c>
      <c r="E36" s="22" t="s">
        <v>19</v>
      </c>
      <c r="F36" s="22" t="s">
        <v>25</v>
      </c>
      <c r="G36" s="22" t="s">
        <v>26</v>
      </c>
      <c r="H36" s="22">
        <v>1</v>
      </c>
      <c r="I36" s="22">
        <v>0</v>
      </c>
      <c r="J36" s="22">
        <v>0</v>
      </c>
      <c r="K36" s="22">
        <v>0</v>
      </c>
      <c r="L36" s="22">
        <v>0</v>
      </c>
      <c r="M36" s="22">
        <v>0</v>
      </c>
      <c r="N36" s="22">
        <v>0</v>
      </c>
      <c r="O36" s="22"/>
      <c r="P36" s="22">
        <v>85.4</v>
      </c>
      <c r="Q36" s="22" t="str">
        <f t="shared" si="0"/>
        <v>Normal</v>
      </c>
      <c r="R36" s="26" t="str">
        <f t="shared" si="1"/>
        <v>USR-10003545700ControlNorthDesktopOrganicFree100000085.4</v>
      </c>
      <c r="S36" s="22" t="str">
        <f t="shared" si="2"/>
        <v>OK</v>
      </c>
      <c r="U36" s="10" t="s">
        <v>1460</v>
      </c>
      <c r="V36" s="10"/>
    </row>
    <row r="37" spans="1:22" ht="41.4">
      <c r="A37" s="22" t="s">
        <v>67</v>
      </c>
      <c r="B37" s="25">
        <v>45760</v>
      </c>
      <c r="C37" s="22" t="s">
        <v>17</v>
      </c>
      <c r="D37" s="22" t="s">
        <v>28</v>
      </c>
      <c r="E37" s="22" t="s">
        <v>19</v>
      </c>
      <c r="F37" s="22" t="s">
        <v>25</v>
      </c>
      <c r="G37" s="22" t="s">
        <v>21</v>
      </c>
      <c r="H37" s="22">
        <v>1</v>
      </c>
      <c r="I37" s="22">
        <v>0</v>
      </c>
      <c r="J37" s="22">
        <v>0</v>
      </c>
      <c r="K37" s="22">
        <v>0</v>
      </c>
      <c r="L37" s="22">
        <v>0</v>
      </c>
      <c r="M37" s="22">
        <v>0</v>
      </c>
      <c r="N37" s="22">
        <v>0</v>
      </c>
      <c r="O37" s="22"/>
      <c r="P37" s="22">
        <v>75.900000000000006</v>
      </c>
      <c r="Q37" s="22" t="str">
        <f t="shared" si="0"/>
        <v>Normal</v>
      </c>
      <c r="R37" s="26" t="str">
        <f t="shared" si="1"/>
        <v>USR-10003645760ControlEastDesktopOrganicBasic100000075.9</v>
      </c>
      <c r="S37" s="22" t="str">
        <f t="shared" si="2"/>
        <v>OK</v>
      </c>
      <c r="U37" s="18" t="s">
        <v>1463</v>
      </c>
      <c r="V37" s="8" cm="1">
        <f t="array" ref="V37">_xlfn.QUARTILE.INC(_xlfn._xlws.FILTER(L2:L1409,K2:K1409=1),1)</f>
        <v>404.02</v>
      </c>
    </row>
    <row r="38" spans="1:22" ht="41.4">
      <c r="A38" s="22" t="s">
        <v>68</v>
      </c>
      <c r="B38" s="25">
        <v>45786</v>
      </c>
      <c r="C38" s="22" t="s">
        <v>17</v>
      </c>
      <c r="D38" s="22" t="s">
        <v>28</v>
      </c>
      <c r="E38" s="22" t="s">
        <v>24</v>
      </c>
      <c r="F38" s="22" t="s">
        <v>25</v>
      </c>
      <c r="G38" s="22" t="s">
        <v>30</v>
      </c>
      <c r="H38" s="22">
        <v>1</v>
      </c>
      <c r="I38" s="22">
        <v>0</v>
      </c>
      <c r="J38" s="22">
        <v>0</v>
      </c>
      <c r="K38" s="22">
        <v>0</v>
      </c>
      <c r="L38" s="22">
        <v>0</v>
      </c>
      <c r="M38" s="22">
        <v>1</v>
      </c>
      <c r="N38" s="22">
        <v>0</v>
      </c>
      <c r="O38" s="22"/>
      <c r="P38" s="22">
        <v>34.799999999999997</v>
      </c>
      <c r="Q38" s="22" t="str">
        <f t="shared" si="0"/>
        <v>Normal</v>
      </c>
      <c r="R38" s="26" t="str">
        <f t="shared" si="1"/>
        <v>USR-10003745786ControlEastMobileOrganicPremium100001034.8</v>
      </c>
      <c r="S38" s="22" t="str">
        <f t="shared" si="2"/>
        <v>OK</v>
      </c>
      <c r="U38" s="18" t="s">
        <v>1464</v>
      </c>
      <c r="V38" s="8" cm="1">
        <f t="array" ref="V38">_xlfn.QUARTILE.INC(_xlfn._xlws.FILTER(L2:L1409,K2:K1409=1),3)</f>
        <v>1178.665</v>
      </c>
    </row>
    <row r="39" spans="1:22" ht="41.4">
      <c r="A39" s="22" t="s">
        <v>69</v>
      </c>
      <c r="B39" s="25">
        <v>45677</v>
      </c>
      <c r="C39" s="22" t="s">
        <v>17</v>
      </c>
      <c r="D39" s="22" t="s">
        <v>28</v>
      </c>
      <c r="E39" s="22" t="s">
        <v>24</v>
      </c>
      <c r="F39" s="22" t="s">
        <v>25</v>
      </c>
      <c r="G39" s="22" t="s">
        <v>26</v>
      </c>
      <c r="H39" s="22">
        <v>1</v>
      </c>
      <c r="I39" s="22">
        <v>1</v>
      </c>
      <c r="J39" s="22">
        <v>1</v>
      </c>
      <c r="K39" s="22">
        <v>0</v>
      </c>
      <c r="L39" s="22">
        <v>0</v>
      </c>
      <c r="M39" s="22">
        <v>3</v>
      </c>
      <c r="N39" s="22">
        <v>0</v>
      </c>
      <c r="O39" s="22"/>
      <c r="P39" s="22">
        <v>48.9</v>
      </c>
      <c r="Q39" s="22" t="str">
        <f t="shared" si="0"/>
        <v>Normal</v>
      </c>
      <c r="R39" s="26" t="str">
        <f t="shared" si="1"/>
        <v>USR-10003845677ControlEastMobileOrganicFree111003048.9</v>
      </c>
      <c r="S39" s="22" t="str">
        <f t="shared" si="2"/>
        <v>OK</v>
      </c>
      <c r="U39" s="18" t="s">
        <v>1465</v>
      </c>
      <c r="V39" s="8">
        <f>V38-V37</f>
        <v>774.64499999999998</v>
      </c>
    </row>
    <row r="40" spans="1:22" ht="41.4">
      <c r="A40" s="22" t="s">
        <v>70</v>
      </c>
      <c r="B40" s="25">
        <v>45790</v>
      </c>
      <c r="C40" s="22" t="s">
        <v>17</v>
      </c>
      <c r="D40" s="22" t="s">
        <v>28</v>
      </c>
      <c r="E40" s="22" t="s">
        <v>24</v>
      </c>
      <c r="F40" s="22" t="s">
        <v>20</v>
      </c>
      <c r="G40" s="22" t="s">
        <v>30</v>
      </c>
      <c r="H40" s="22">
        <v>1</v>
      </c>
      <c r="I40" s="22">
        <v>0</v>
      </c>
      <c r="J40" s="22">
        <v>0</v>
      </c>
      <c r="K40" s="22">
        <v>0</v>
      </c>
      <c r="L40" s="22">
        <v>0</v>
      </c>
      <c r="M40" s="22">
        <v>0</v>
      </c>
      <c r="N40" s="22">
        <v>0</v>
      </c>
      <c r="O40" s="22"/>
      <c r="P40" s="22">
        <v>41.5</v>
      </c>
      <c r="Q40" s="22" t="str">
        <f t="shared" si="0"/>
        <v>Normal</v>
      </c>
      <c r="R40" s="26" t="str">
        <f t="shared" si="1"/>
        <v>USR-10003945790ControlEastMobileEmailPremium100000041.5</v>
      </c>
      <c r="S40" s="22" t="str">
        <f t="shared" si="2"/>
        <v>OK</v>
      </c>
      <c r="U40" s="18" t="s">
        <v>1466</v>
      </c>
      <c r="V40" s="8">
        <f>V37-1.5*V39</f>
        <v>-757.94749999999999</v>
      </c>
    </row>
    <row r="41" spans="1:22" ht="41.4">
      <c r="A41" s="22" t="s">
        <v>71</v>
      </c>
      <c r="B41" s="25">
        <v>45754</v>
      </c>
      <c r="C41" s="22" t="s">
        <v>17</v>
      </c>
      <c r="D41" s="22" t="s">
        <v>18</v>
      </c>
      <c r="E41" s="22" t="s">
        <v>19</v>
      </c>
      <c r="F41" s="22" t="s">
        <v>25</v>
      </c>
      <c r="G41" s="22" t="s">
        <v>21</v>
      </c>
      <c r="H41" s="22">
        <v>1</v>
      </c>
      <c r="I41" s="22">
        <v>0</v>
      </c>
      <c r="J41" s="22">
        <v>0</v>
      </c>
      <c r="K41" s="22">
        <v>0</v>
      </c>
      <c r="L41" s="22">
        <v>0</v>
      </c>
      <c r="M41" s="22">
        <v>0</v>
      </c>
      <c r="N41" s="22">
        <v>0</v>
      </c>
      <c r="O41" s="22"/>
      <c r="P41" s="22">
        <v>51.5</v>
      </c>
      <c r="Q41" s="22" t="str">
        <f t="shared" si="0"/>
        <v>Normal</v>
      </c>
      <c r="R41" s="26" t="str">
        <f t="shared" si="1"/>
        <v>USR-10004045754ControlNorthDesktopOrganicBasic100000051.5</v>
      </c>
      <c r="S41" s="22" t="str">
        <f t="shared" si="2"/>
        <v>OK</v>
      </c>
      <c r="U41" s="5" t="s">
        <v>1467</v>
      </c>
      <c r="V41" s="8">
        <f>V38+1.5*V39</f>
        <v>2340.6324999999997</v>
      </c>
    </row>
    <row r="42" spans="1:22" ht="41.4">
      <c r="A42" s="22" t="s">
        <v>72</v>
      </c>
      <c r="B42" s="25">
        <v>45747</v>
      </c>
      <c r="C42" s="22" t="s">
        <v>17</v>
      </c>
      <c r="D42" s="22" t="s">
        <v>18</v>
      </c>
      <c r="E42" s="22" t="s">
        <v>19</v>
      </c>
      <c r="F42" s="22" t="s">
        <v>25</v>
      </c>
      <c r="G42" s="22" t="s">
        <v>26</v>
      </c>
      <c r="H42" s="22">
        <v>0</v>
      </c>
      <c r="I42" s="22">
        <v>0</v>
      </c>
      <c r="J42" s="22">
        <v>0</v>
      </c>
      <c r="K42" s="22">
        <v>0</v>
      </c>
      <c r="L42" s="22">
        <v>0</v>
      </c>
      <c r="M42" s="22">
        <v>0</v>
      </c>
      <c r="N42" s="22">
        <v>0</v>
      </c>
      <c r="O42" s="22"/>
      <c r="P42" s="22">
        <v>53.2</v>
      </c>
      <c r="Q42" s="22" t="str">
        <f t="shared" si="0"/>
        <v>Normal</v>
      </c>
      <c r="R42" s="26" t="str">
        <f t="shared" si="1"/>
        <v>USR-10004145747ControlNorthDesktopOrganicFree000000053.2</v>
      </c>
      <c r="S42" s="22" t="str">
        <f t="shared" si="2"/>
        <v>OK</v>
      </c>
    </row>
    <row r="43" spans="1:22" ht="41.4">
      <c r="A43" s="22" t="s">
        <v>73</v>
      </c>
      <c r="B43" s="25">
        <v>45682</v>
      </c>
      <c r="C43" s="22" t="s">
        <v>17</v>
      </c>
      <c r="D43" s="22" t="s">
        <v>28</v>
      </c>
      <c r="E43" s="22" t="s">
        <v>24</v>
      </c>
      <c r="F43" s="22" t="s">
        <v>20</v>
      </c>
      <c r="G43" s="22" t="s">
        <v>30</v>
      </c>
      <c r="H43" s="22">
        <v>0</v>
      </c>
      <c r="I43" s="22">
        <v>0</v>
      </c>
      <c r="J43" s="22">
        <v>0</v>
      </c>
      <c r="K43" s="22">
        <v>0</v>
      </c>
      <c r="L43" s="22">
        <v>0</v>
      </c>
      <c r="M43" s="22">
        <v>0</v>
      </c>
      <c r="N43" s="22">
        <v>0</v>
      </c>
      <c r="O43" s="22"/>
      <c r="P43" s="22">
        <v>55.6</v>
      </c>
      <c r="Q43" s="22" t="str">
        <f t="shared" si="0"/>
        <v>Normal</v>
      </c>
      <c r="R43" s="26" t="str">
        <f t="shared" si="1"/>
        <v>USR-10004245682ControlEastMobileEmailPremium000000055.6</v>
      </c>
      <c r="S43" s="22" t="str">
        <f t="shared" si="2"/>
        <v>OK</v>
      </c>
      <c r="U43" s="18" t="s">
        <v>1468</v>
      </c>
      <c r="V43" s="23">
        <f>COUNTIF(Q:Q,"Outlier")</f>
        <v>4</v>
      </c>
    </row>
    <row r="44" spans="1:22" ht="41.4">
      <c r="A44" s="22" t="s">
        <v>74</v>
      </c>
      <c r="B44" s="25">
        <v>45702</v>
      </c>
      <c r="C44" s="22" t="s">
        <v>17</v>
      </c>
      <c r="D44" s="22" t="s">
        <v>32</v>
      </c>
      <c r="E44" s="22" t="s">
        <v>19</v>
      </c>
      <c r="F44" s="22" t="s">
        <v>25</v>
      </c>
      <c r="G44" s="22" t="s">
        <v>26</v>
      </c>
      <c r="H44" s="22">
        <v>0</v>
      </c>
      <c r="I44" s="22">
        <v>0</v>
      </c>
      <c r="J44" s="22">
        <v>0</v>
      </c>
      <c r="K44" s="22">
        <v>0</v>
      </c>
      <c r="L44" s="22">
        <v>0</v>
      </c>
      <c r="M44" s="22">
        <v>0</v>
      </c>
      <c r="N44" s="22">
        <v>0</v>
      </c>
      <c r="O44" s="22"/>
      <c r="P44" s="22">
        <v>73</v>
      </c>
      <c r="Q44" s="22" t="str">
        <f t="shared" si="0"/>
        <v>Normal</v>
      </c>
      <c r="R44" s="26" t="str">
        <f t="shared" si="1"/>
        <v>USR-10004345702ControlSouthDesktopOrganicFree000000073</v>
      </c>
      <c r="S44" s="22" t="str">
        <f t="shared" si="2"/>
        <v>OK</v>
      </c>
      <c r="U44" s="18" t="s">
        <v>1469</v>
      </c>
      <c r="V44" s="23">
        <f>COUNTIF(Q:Q,"Normal")</f>
        <v>1404</v>
      </c>
    </row>
    <row r="45" spans="1:22" ht="41.4">
      <c r="A45" s="22" t="s">
        <v>75</v>
      </c>
      <c r="B45" s="25">
        <v>45715</v>
      </c>
      <c r="C45" s="22" t="s">
        <v>17</v>
      </c>
      <c r="D45" s="22" t="s">
        <v>28</v>
      </c>
      <c r="E45" s="22" t="s">
        <v>24</v>
      </c>
      <c r="F45" s="22" t="s">
        <v>20</v>
      </c>
      <c r="G45" s="22" t="s">
        <v>26</v>
      </c>
      <c r="H45" s="22">
        <v>1</v>
      </c>
      <c r="I45" s="22">
        <v>0</v>
      </c>
      <c r="J45" s="22">
        <v>0</v>
      </c>
      <c r="K45" s="22">
        <v>0</v>
      </c>
      <c r="L45" s="22">
        <v>0</v>
      </c>
      <c r="M45" s="22">
        <v>0</v>
      </c>
      <c r="N45" s="22">
        <v>0</v>
      </c>
      <c r="O45" s="22"/>
      <c r="P45" s="22">
        <v>65</v>
      </c>
      <c r="Q45" s="22" t="str">
        <f t="shared" si="0"/>
        <v>Normal</v>
      </c>
      <c r="R45" s="26" t="str">
        <f t="shared" si="1"/>
        <v>USR-10004445715ControlEastMobileEmailFree100000065</v>
      </c>
      <c r="S45" s="22" t="str">
        <f t="shared" si="2"/>
        <v>OK</v>
      </c>
    </row>
    <row r="46" spans="1:22" ht="41.4">
      <c r="A46" s="22" t="s">
        <v>76</v>
      </c>
      <c r="B46" s="25">
        <v>45744</v>
      </c>
      <c r="C46" s="22" t="s">
        <v>17</v>
      </c>
      <c r="D46" s="22" t="s">
        <v>28</v>
      </c>
      <c r="E46" s="22" t="s">
        <v>24</v>
      </c>
      <c r="F46" s="22" t="s">
        <v>41</v>
      </c>
      <c r="G46" s="22" t="s">
        <v>26</v>
      </c>
      <c r="H46" s="22">
        <v>1</v>
      </c>
      <c r="I46" s="22">
        <v>0</v>
      </c>
      <c r="J46" s="22">
        <v>0</v>
      </c>
      <c r="K46" s="22">
        <v>0</v>
      </c>
      <c r="L46" s="22">
        <v>0</v>
      </c>
      <c r="M46" s="22">
        <v>4</v>
      </c>
      <c r="N46" s="22">
        <v>0</v>
      </c>
      <c r="O46" s="22"/>
      <c r="P46" s="22">
        <v>56.3</v>
      </c>
      <c r="Q46" s="22" t="str">
        <f t="shared" si="0"/>
        <v>Normal</v>
      </c>
      <c r="R46" s="26" t="str">
        <f t="shared" si="1"/>
        <v>USR-10004545744ControlEastMobileSocialFree100004056.3</v>
      </c>
      <c r="S46" s="22" t="str">
        <f t="shared" si="2"/>
        <v>OK</v>
      </c>
      <c r="U46" s="24" t="s">
        <v>1478</v>
      </c>
      <c r="V46" s="23">
        <f>COUNTIF(S2:S1409,"Exact Duplicate")</f>
        <v>16</v>
      </c>
    </row>
    <row r="47" spans="1:22" ht="41.4">
      <c r="A47" s="22" t="s">
        <v>77</v>
      </c>
      <c r="B47" s="25">
        <v>45802</v>
      </c>
      <c r="C47" s="22" t="s">
        <v>17</v>
      </c>
      <c r="D47" s="22" t="s">
        <v>28</v>
      </c>
      <c r="E47" s="22" t="s">
        <v>24</v>
      </c>
      <c r="F47" s="22" t="s">
        <v>39</v>
      </c>
      <c r="G47" s="22" t="s">
        <v>30</v>
      </c>
      <c r="H47" s="22">
        <v>1</v>
      </c>
      <c r="I47" s="22">
        <v>0</v>
      </c>
      <c r="J47" s="22">
        <v>0</v>
      </c>
      <c r="K47" s="22">
        <v>0</v>
      </c>
      <c r="L47" s="22">
        <v>0</v>
      </c>
      <c r="M47" s="22">
        <v>0</v>
      </c>
      <c r="N47" s="22">
        <v>0</v>
      </c>
      <c r="O47" s="22"/>
      <c r="P47" s="22">
        <v>62.4</v>
      </c>
      <c r="Q47" s="22" t="str">
        <f t="shared" si="0"/>
        <v>Normal</v>
      </c>
      <c r="R47" s="26" t="str">
        <f t="shared" si="1"/>
        <v>USR-10004645802ControlEastMobileReferralPremium100000062.4</v>
      </c>
      <c r="S47" s="22" t="str">
        <f t="shared" si="2"/>
        <v>OK</v>
      </c>
      <c r="U47" s="24" t="s">
        <v>1479</v>
      </c>
      <c r="V47" s="23">
        <f>COUNTIF(S2:S1409,"Review Required")</f>
        <v>0</v>
      </c>
    </row>
    <row r="48" spans="1:22" ht="41.4">
      <c r="A48" s="22" t="s">
        <v>78</v>
      </c>
      <c r="B48" s="25">
        <v>45782</v>
      </c>
      <c r="C48" s="22" t="s">
        <v>17</v>
      </c>
      <c r="D48" s="22" t="s">
        <v>23</v>
      </c>
      <c r="E48" s="22" t="s">
        <v>19</v>
      </c>
      <c r="F48" s="22" t="s">
        <v>25</v>
      </c>
      <c r="G48" s="22" t="s">
        <v>26</v>
      </c>
      <c r="H48" s="22">
        <v>1</v>
      </c>
      <c r="I48" s="22">
        <v>1</v>
      </c>
      <c r="J48" s="22">
        <v>1</v>
      </c>
      <c r="K48" s="22">
        <v>0</v>
      </c>
      <c r="L48" s="22">
        <v>0</v>
      </c>
      <c r="M48" s="22">
        <v>0</v>
      </c>
      <c r="N48" s="22">
        <v>0</v>
      </c>
      <c r="O48" s="22"/>
      <c r="P48" s="22">
        <v>58.1</v>
      </c>
      <c r="Q48" s="22" t="str">
        <f t="shared" si="0"/>
        <v>Normal</v>
      </c>
      <c r="R48" s="26" t="str">
        <f t="shared" si="1"/>
        <v>USR-10004745782ControlWestDesktopOrganicFree111000058.1</v>
      </c>
      <c r="S48" s="22" t="str">
        <f t="shared" si="2"/>
        <v>OK</v>
      </c>
    </row>
    <row r="49" spans="1:19" ht="41.4">
      <c r="A49" s="22" t="s">
        <v>79</v>
      </c>
      <c r="B49" s="25">
        <v>45793</v>
      </c>
      <c r="C49" s="22" t="s">
        <v>17</v>
      </c>
      <c r="D49" s="22" t="s">
        <v>18</v>
      </c>
      <c r="E49" s="22" t="s">
        <v>24</v>
      </c>
      <c r="F49" s="22" t="s">
        <v>25</v>
      </c>
      <c r="G49" s="22" t="s">
        <v>26</v>
      </c>
      <c r="H49" s="22">
        <v>1</v>
      </c>
      <c r="I49" s="22">
        <v>1</v>
      </c>
      <c r="J49" s="22">
        <v>1</v>
      </c>
      <c r="K49" s="22">
        <v>0</v>
      </c>
      <c r="L49" s="22">
        <v>0</v>
      </c>
      <c r="M49" s="22">
        <v>0</v>
      </c>
      <c r="N49" s="22">
        <v>0</v>
      </c>
      <c r="O49" s="22"/>
      <c r="P49" s="22">
        <v>80.8</v>
      </c>
      <c r="Q49" s="22" t="str">
        <f t="shared" si="0"/>
        <v>Normal</v>
      </c>
      <c r="R49" s="26" t="str">
        <f t="shared" si="1"/>
        <v>USR-10004845793ControlNorthMobileOrganicFree111000080.8</v>
      </c>
      <c r="S49" s="22" t="str">
        <f t="shared" si="2"/>
        <v>OK</v>
      </c>
    </row>
    <row r="50" spans="1:19" ht="41.4">
      <c r="A50" s="22" t="s">
        <v>80</v>
      </c>
      <c r="B50" s="25">
        <v>45665</v>
      </c>
      <c r="C50" s="22" t="s">
        <v>17</v>
      </c>
      <c r="D50" s="22" t="s">
        <v>18</v>
      </c>
      <c r="E50" s="22" t="s">
        <v>24</v>
      </c>
      <c r="F50" s="22" t="s">
        <v>41</v>
      </c>
      <c r="G50" s="22" t="s">
        <v>26</v>
      </c>
      <c r="H50" s="22">
        <v>1</v>
      </c>
      <c r="I50" s="22">
        <v>1</v>
      </c>
      <c r="J50" s="22">
        <v>0</v>
      </c>
      <c r="K50" s="22">
        <v>0</v>
      </c>
      <c r="L50" s="22">
        <v>0</v>
      </c>
      <c r="M50" s="22">
        <v>0</v>
      </c>
      <c r="N50" s="22">
        <v>0</v>
      </c>
      <c r="O50" s="22"/>
      <c r="P50" s="22">
        <v>42.9</v>
      </c>
      <c r="Q50" s="22" t="str">
        <f t="shared" si="0"/>
        <v>Normal</v>
      </c>
      <c r="R50" s="26" t="str">
        <f t="shared" si="1"/>
        <v>USR-10004945665ControlNorthMobileSocialFree110000042.9</v>
      </c>
      <c r="S50" s="22" t="str">
        <f t="shared" si="2"/>
        <v>OK</v>
      </c>
    </row>
    <row r="51" spans="1:19" ht="41.4">
      <c r="A51" s="22" t="s">
        <v>81</v>
      </c>
      <c r="B51" s="25">
        <v>45663</v>
      </c>
      <c r="C51" s="22" t="s">
        <v>17</v>
      </c>
      <c r="D51" s="22" t="s">
        <v>23</v>
      </c>
      <c r="E51" s="22" t="s">
        <v>19</v>
      </c>
      <c r="F51" s="22" t="s">
        <v>29</v>
      </c>
      <c r="G51" s="22" t="s">
        <v>26</v>
      </c>
      <c r="H51" s="22">
        <v>1</v>
      </c>
      <c r="I51" s="22">
        <v>0</v>
      </c>
      <c r="J51" s="22">
        <v>0</v>
      </c>
      <c r="K51" s="22">
        <v>0</v>
      </c>
      <c r="L51" s="22">
        <v>0</v>
      </c>
      <c r="M51" s="22">
        <v>0</v>
      </c>
      <c r="N51" s="22">
        <v>0</v>
      </c>
      <c r="O51" s="22"/>
      <c r="P51" s="22">
        <v>52.7</v>
      </c>
      <c r="Q51" s="22" t="str">
        <f t="shared" si="0"/>
        <v>Normal</v>
      </c>
      <c r="R51" s="26" t="str">
        <f t="shared" si="1"/>
        <v>USR-10005045663ControlWestDesktopPaid SearchFree100000052.7</v>
      </c>
      <c r="S51" s="22" t="str">
        <f t="shared" si="2"/>
        <v>OK</v>
      </c>
    </row>
    <row r="52" spans="1:19" ht="41.4">
      <c r="A52" s="22" t="s">
        <v>82</v>
      </c>
      <c r="B52" s="25">
        <v>45669</v>
      </c>
      <c r="C52" s="22" t="s">
        <v>17</v>
      </c>
      <c r="D52" s="22" t="s">
        <v>18</v>
      </c>
      <c r="E52" s="22" t="s">
        <v>24</v>
      </c>
      <c r="F52" s="22" t="s">
        <v>41</v>
      </c>
      <c r="G52" s="22" t="s">
        <v>21</v>
      </c>
      <c r="H52" s="22">
        <v>0</v>
      </c>
      <c r="I52" s="22">
        <v>0</v>
      </c>
      <c r="J52" s="22">
        <v>0</v>
      </c>
      <c r="K52" s="22">
        <v>0</v>
      </c>
      <c r="L52" s="22">
        <v>0</v>
      </c>
      <c r="M52" s="22">
        <v>0</v>
      </c>
      <c r="N52" s="22">
        <v>0</v>
      </c>
      <c r="O52" s="22"/>
      <c r="P52" s="22">
        <v>46.9</v>
      </c>
      <c r="Q52" s="22" t="str">
        <f t="shared" si="0"/>
        <v>Normal</v>
      </c>
      <c r="R52" s="26" t="str">
        <f t="shared" si="1"/>
        <v>USR-10005145669ControlNorthMobileSocialBasic000000046.9</v>
      </c>
      <c r="S52" s="22" t="str">
        <f t="shared" si="2"/>
        <v>OK</v>
      </c>
    </row>
    <row r="53" spans="1:19" ht="41.4">
      <c r="A53" s="22" t="s">
        <v>83</v>
      </c>
      <c r="B53" s="25">
        <v>45702</v>
      </c>
      <c r="C53" s="22" t="s">
        <v>17</v>
      </c>
      <c r="D53" s="22" t="s">
        <v>28</v>
      </c>
      <c r="E53" s="22" t="s">
        <v>19</v>
      </c>
      <c r="F53" s="22" t="s">
        <v>20</v>
      </c>
      <c r="G53" s="22" t="s">
        <v>30</v>
      </c>
      <c r="H53" s="22">
        <v>1</v>
      </c>
      <c r="I53" s="22">
        <v>0</v>
      </c>
      <c r="J53" s="22">
        <v>0</v>
      </c>
      <c r="K53" s="22">
        <v>0</v>
      </c>
      <c r="L53" s="22">
        <v>0</v>
      </c>
      <c r="M53" s="22">
        <v>0</v>
      </c>
      <c r="N53" s="22">
        <v>0</v>
      </c>
      <c r="O53" s="22"/>
      <c r="P53" s="22">
        <v>63</v>
      </c>
      <c r="Q53" s="22" t="str">
        <f t="shared" si="0"/>
        <v>Normal</v>
      </c>
      <c r="R53" s="26" t="str">
        <f t="shared" si="1"/>
        <v>USR-10005245702ControlEastDesktopEmailPremium100000063</v>
      </c>
      <c r="S53" s="22" t="str">
        <f t="shared" si="2"/>
        <v>OK</v>
      </c>
    </row>
    <row r="54" spans="1:19" ht="41.4">
      <c r="A54" s="22" t="s">
        <v>84</v>
      </c>
      <c r="B54" s="25">
        <v>45726</v>
      </c>
      <c r="C54" s="22" t="s">
        <v>17</v>
      </c>
      <c r="D54" s="22" t="s">
        <v>32</v>
      </c>
      <c r="E54" s="22" t="s">
        <v>34</v>
      </c>
      <c r="F54" s="22" t="s">
        <v>25</v>
      </c>
      <c r="G54" s="22" t="s">
        <v>26</v>
      </c>
      <c r="H54" s="22">
        <v>0</v>
      </c>
      <c r="I54" s="22">
        <v>0</v>
      </c>
      <c r="J54" s="22">
        <v>0</v>
      </c>
      <c r="K54" s="22">
        <v>0</v>
      </c>
      <c r="L54" s="22">
        <v>0</v>
      </c>
      <c r="M54" s="22">
        <v>0</v>
      </c>
      <c r="N54" s="22">
        <v>0</v>
      </c>
      <c r="O54" s="22"/>
      <c r="P54" s="22">
        <v>53.6</v>
      </c>
      <c r="Q54" s="22" t="str">
        <f t="shared" si="0"/>
        <v>Normal</v>
      </c>
      <c r="R54" s="26" t="str">
        <f t="shared" si="1"/>
        <v>USR-10005345726ControlSouthTabletOrganicFree000000053.6</v>
      </c>
      <c r="S54" s="22" t="str">
        <f t="shared" si="2"/>
        <v>OK</v>
      </c>
    </row>
    <row r="55" spans="1:19" ht="41.4">
      <c r="A55" s="22" t="s">
        <v>85</v>
      </c>
      <c r="B55" s="25">
        <v>45767</v>
      </c>
      <c r="C55" s="22" t="s">
        <v>17</v>
      </c>
      <c r="D55" s="22" t="s">
        <v>23</v>
      </c>
      <c r="E55" s="22" t="s">
        <v>19</v>
      </c>
      <c r="F55" s="22" t="s">
        <v>25</v>
      </c>
      <c r="G55" s="22" t="s">
        <v>21</v>
      </c>
      <c r="H55" s="22">
        <v>0</v>
      </c>
      <c r="I55" s="22">
        <v>0</v>
      </c>
      <c r="J55" s="22">
        <v>0</v>
      </c>
      <c r="K55" s="22">
        <v>0</v>
      </c>
      <c r="L55" s="22">
        <v>0</v>
      </c>
      <c r="M55" s="22">
        <v>0</v>
      </c>
      <c r="N55" s="22">
        <v>0</v>
      </c>
      <c r="O55" s="22"/>
      <c r="P55" s="22">
        <v>49.6</v>
      </c>
      <c r="Q55" s="22" t="str">
        <f t="shared" si="0"/>
        <v>Normal</v>
      </c>
      <c r="R55" s="26" t="str">
        <f t="shared" si="1"/>
        <v>USR-10005445767ControlWestDesktopOrganicBasic000000049.6</v>
      </c>
      <c r="S55" s="22" t="str">
        <f t="shared" si="2"/>
        <v>OK</v>
      </c>
    </row>
    <row r="56" spans="1:19" ht="41.4">
      <c r="A56" s="22" t="s">
        <v>86</v>
      </c>
      <c r="B56" s="25">
        <v>45707</v>
      </c>
      <c r="C56" s="22" t="s">
        <v>17</v>
      </c>
      <c r="D56" s="22" t="s">
        <v>32</v>
      </c>
      <c r="E56" s="22" t="s">
        <v>24</v>
      </c>
      <c r="F56" s="22" t="s">
        <v>25</v>
      </c>
      <c r="G56" s="22" t="s">
        <v>26</v>
      </c>
      <c r="H56" s="22">
        <v>0</v>
      </c>
      <c r="I56" s="22">
        <v>0</v>
      </c>
      <c r="J56" s="22">
        <v>0</v>
      </c>
      <c r="K56" s="22">
        <v>0</v>
      </c>
      <c r="L56" s="22">
        <v>0</v>
      </c>
      <c r="M56" s="22">
        <v>0</v>
      </c>
      <c r="N56" s="22">
        <v>0</v>
      </c>
      <c r="O56" s="22"/>
      <c r="P56" s="22">
        <v>54</v>
      </c>
      <c r="Q56" s="22" t="str">
        <f t="shared" si="0"/>
        <v>Normal</v>
      </c>
      <c r="R56" s="26" t="str">
        <f t="shared" si="1"/>
        <v>USR-10005545707ControlSouthMobileOrganicFree000000054</v>
      </c>
      <c r="S56" s="22" t="str">
        <f t="shared" si="2"/>
        <v>OK</v>
      </c>
    </row>
    <row r="57" spans="1:19" ht="41.4">
      <c r="A57" s="22" t="s">
        <v>87</v>
      </c>
      <c r="B57" s="25">
        <v>45794</v>
      </c>
      <c r="C57" s="22" t="s">
        <v>17</v>
      </c>
      <c r="D57" s="22" t="s">
        <v>32</v>
      </c>
      <c r="E57" s="22" t="s">
        <v>24</v>
      </c>
      <c r="F57" s="22" t="s">
        <v>41</v>
      </c>
      <c r="G57" s="22" t="s">
        <v>21</v>
      </c>
      <c r="H57" s="22">
        <v>1</v>
      </c>
      <c r="I57" s="22">
        <v>0</v>
      </c>
      <c r="J57" s="22">
        <v>0</v>
      </c>
      <c r="K57" s="22">
        <v>0</v>
      </c>
      <c r="L57" s="22">
        <v>0</v>
      </c>
      <c r="M57" s="22">
        <v>2</v>
      </c>
      <c r="N57" s="22">
        <v>0</v>
      </c>
      <c r="O57" s="22"/>
      <c r="P57" s="22">
        <v>50</v>
      </c>
      <c r="Q57" s="22" t="str">
        <f t="shared" si="0"/>
        <v>Normal</v>
      </c>
      <c r="R57" s="26" t="str">
        <f t="shared" si="1"/>
        <v>USR-10005645794ControlSouthMobileSocialBasic100002050</v>
      </c>
      <c r="S57" s="22" t="str">
        <f t="shared" si="2"/>
        <v>OK</v>
      </c>
    </row>
    <row r="58" spans="1:19" ht="41.4">
      <c r="A58" s="22" t="s">
        <v>88</v>
      </c>
      <c r="B58" s="25">
        <v>45748</v>
      </c>
      <c r="C58" s="22" t="s">
        <v>17</v>
      </c>
      <c r="D58" s="22" t="s">
        <v>28</v>
      </c>
      <c r="E58" s="22" t="s">
        <v>24</v>
      </c>
      <c r="F58" s="22" t="s">
        <v>41</v>
      </c>
      <c r="G58" s="22" t="s">
        <v>21</v>
      </c>
      <c r="H58" s="22">
        <v>0</v>
      </c>
      <c r="I58" s="22">
        <v>0</v>
      </c>
      <c r="J58" s="22">
        <v>0</v>
      </c>
      <c r="K58" s="22">
        <v>0</v>
      </c>
      <c r="L58" s="22">
        <v>0</v>
      </c>
      <c r="M58" s="22">
        <v>0</v>
      </c>
      <c r="N58" s="22">
        <v>0</v>
      </c>
      <c r="O58" s="22"/>
      <c r="P58" s="22">
        <v>48.1</v>
      </c>
      <c r="Q58" s="22" t="str">
        <f t="shared" si="0"/>
        <v>Normal</v>
      </c>
      <c r="R58" s="26" t="str">
        <f t="shared" si="1"/>
        <v>USR-10005745748ControlEastMobileSocialBasic000000048.1</v>
      </c>
      <c r="S58" s="22" t="str">
        <f t="shared" si="2"/>
        <v>OK</v>
      </c>
    </row>
    <row r="59" spans="1:19" ht="41.4">
      <c r="A59" s="22" t="s">
        <v>89</v>
      </c>
      <c r="B59" s="25">
        <v>45692</v>
      </c>
      <c r="C59" s="22" t="s">
        <v>17</v>
      </c>
      <c r="D59" s="22" t="s">
        <v>18</v>
      </c>
      <c r="E59" s="22" t="s">
        <v>19</v>
      </c>
      <c r="F59" s="22" t="s">
        <v>25</v>
      </c>
      <c r="G59" s="22" t="s">
        <v>26</v>
      </c>
      <c r="H59" s="22">
        <v>1</v>
      </c>
      <c r="I59" s="22">
        <v>0</v>
      </c>
      <c r="J59" s="22">
        <v>0</v>
      </c>
      <c r="K59" s="22">
        <v>0</v>
      </c>
      <c r="L59" s="22">
        <v>0</v>
      </c>
      <c r="M59" s="22">
        <v>0</v>
      </c>
      <c r="N59" s="22">
        <v>0</v>
      </c>
      <c r="O59" s="22"/>
      <c r="P59" s="22">
        <v>49.6</v>
      </c>
      <c r="Q59" s="22" t="str">
        <f t="shared" si="0"/>
        <v>Normal</v>
      </c>
      <c r="R59" s="26" t="str">
        <f t="shared" si="1"/>
        <v>USR-10005845692ControlNorthDesktopOrganicFree100000049.6</v>
      </c>
      <c r="S59" s="22" t="str">
        <f t="shared" si="2"/>
        <v>OK</v>
      </c>
    </row>
    <row r="60" spans="1:19" ht="41.4">
      <c r="A60" s="22" t="s">
        <v>90</v>
      </c>
      <c r="B60" s="25">
        <v>45761</v>
      </c>
      <c r="C60" s="22" t="s">
        <v>17</v>
      </c>
      <c r="D60" s="22" t="s">
        <v>18</v>
      </c>
      <c r="E60" s="22" t="s">
        <v>24</v>
      </c>
      <c r="F60" s="22" t="s">
        <v>41</v>
      </c>
      <c r="G60" s="22" t="s">
        <v>26</v>
      </c>
      <c r="H60" s="22">
        <v>0</v>
      </c>
      <c r="I60" s="22">
        <v>0</v>
      </c>
      <c r="J60" s="22">
        <v>0</v>
      </c>
      <c r="K60" s="22">
        <v>0</v>
      </c>
      <c r="L60" s="22">
        <v>0</v>
      </c>
      <c r="M60" s="22">
        <v>2</v>
      </c>
      <c r="N60" s="22">
        <v>0</v>
      </c>
      <c r="O60" s="22"/>
      <c r="P60" s="22">
        <v>48.9</v>
      </c>
      <c r="Q60" s="22" t="str">
        <f t="shared" si="0"/>
        <v>Normal</v>
      </c>
      <c r="R60" s="26" t="str">
        <f t="shared" si="1"/>
        <v>USR-10005945761ControlNorthMobileSocialFree000002048.9</v>
      </c>
      <c r="S60" s="22" t="str">
        <f t="shared" si="2"/>
        <v>OK</v>
      </c>
    </row>
    <row r="61" spans="1:19" ht="41.4">
      <c r="A61" s="22" t="s">
        <v>91</v>
      </c>
      <c r="B61" s="25">
        <v>45658</v>
      </c>
      <c r="C61" s="22" t="s">
        <v>17</v>
      </c>
      <c r="D61" s="22" t="s">
        <v>23</v>
      </c>
      <c r="E61" s="22" t="s">
        <v>24</v>
      </c>
      <c r="F61" s="22" t="s">
        <v>41</v>
      </c>
      <c r="G61" s="22" t="s">
        <v>26</v>
      </c>
      <c r="H61" s="22">
        <v>1</v>
      </c>
      <c r="I61" s="22">
        <v>1</v>
      </c>
      <c r="J61" s="22">
        <v>1</v>
      </c>
      <c r="K61" s="22">
        <v>1</v>
      </c>
      <c r="L61" s="22">
        <v>240.42</v>
      </c>
      <c r="M61" s="22">
        <v>0</v>
      </c>
      <c r="N61" s="22">
        <v>0</v>
      </c>
      <c r="O61" s="22">
        <v>16</v>
      </c>
      <c r="P61" s="22">
        <v>56.5</v>
      </c>
      <c r="Q61" s="22" t="str">
        <f t="shared" si="0"/>
        <v>Normal</v>
      </c>
      <c r="R61" s="26" t="str">
        <f t="shared" si="1"/>
        <v>USR-10006045658ControlWestMobileSocialFree1111240.42001656.5</v>
      </c>
      <c r="S61" s="22" t="str">
        <f t="shared" si="2"/>
        <v>OK</v>
      </c>
    </row>
    <row r="62" spans="1:19" ht="41.4">
      <c r="A62" s="22" t="s">
        <v>92</v>
      </c>
      <c r="B62" s="25">
        <v>45749</v>
      </c>
      <c r="C62" s="22" t="s">
        <v>17</v>
      </c>
      <c r="D62" s="22" t="s">
        <v>32</v>
      </c>
      <c r="E62" s="22" t="s">
        <v>24</v>
      </c>
      <c r="F62" s="22" t="s">
        <v>39</v>
      </c>
      <c r="G62" s="22" t="s">
        <v>26</v>
      </c>
      <c r="H62" s="22">
        <v>1</v>
      </c>
      <c r="I62" s="22">
        <v>0</v>
      </c>
      <c r="J62" s="22">
        <v>0</v>
      </c>
      <c r="K62" s="22">
        <v>0</v>
      </c>
      <c r="L62" s="22">
        <v>0</v>
      </c>
      <c r="M62" s="22">
        <v>0</v>
      </c>
      <c r="N62" s="22">
        <v>0</v>
      </c>
      <c r="O62" s="22"/>
      <c r="P62" s="22">
        <v>53.7</v>
      </c>
      <c r="Q62" s="22" t="str">
        <f t="shared" si="0"/>
        <v>Normal</v>
      </c>
      <c r="R62" s="26" t="str">
        <f t="shared" si="1"/>
        <v>USR-10006145749ControlSouthMobileReferralFree100000053.7</v>
      </c>
      <c r="S62" s="22" t="str">
        <f t="shared" si="2"/>
        <v>OK</v>
      </c>
    </row>
    <row r="63" spans="1:19" ht="41.4">
      <c r="A63" s="22" t="s">
        <v>93</v>
      </c>
      <c r="B63" s="25">
        <v>45745</v>
      </c>
      <c r="C63" s="22" t="s">
        <v>17</v>
      </c>
      <c r="D63" s="22" t="s">
        <v>18</v>
      </c>
      <c r="E63" s="22" t="s">
        <v>24</v>
      </c>
      <c r="F63" s="22" t="s">
        <v>41</v>
      </c>
      <c r="G63" s="22" t="s">
        <v>30</v>
      </c>
      <c r="H63" s="22">
        <v>0</v>
      </c>
      <c r="I63" s="22">
        <v>0</v>
      </c>
      <c r="J63" s="22">
        <v>0</v>
      </c>
      <c r="K63" s="22">
        <v>0</v>
      </c>
      <c r="L63" s="22">
        <v>0</v>
      </c>
      <c r="M63" s="22">
        <v>0</v>
      </c>
      <c r="N63" s="22">
        <v>0</v>
      </c>
      <c r="O63" s="22"/>
      <c r="P63" s="22">
        <v>62.2</v>
      </c>
      <c r="Q63" s="22" t="str">
        <f t="shared" si="0"/>
        <v>Normal</v>
      </c>
      <c r="R63" s="26" t="str">
        <f t="shared" si="1"/>
        <v>USR-10006245745ControlNorthMobileSocialPremium000000062.2</v>
      </c>
      <c r="S63" s="22" t="str">
        <f t="shared" si="2"/>
        <v>OK</v>
      </c>
    </row>
    <row r="64" spans="1:19" ht="41.4">
      <c r="A64" s="22" t="s">
        <v>94</v>
      </c>
      <c r="B64" s="25">
        <v>45792</v>
      </c>
      <c r="C64" s="22" t="s">
        <v>17</v>
      </c>
      <c r="D64" s="22" t="s">
        <v>32</v>
      </c>
      <c r="E64" s="22" t="s">
        <v>19</v>
      </c>
      <c r="F64" s="22" t="s">
        <v>25</v>
      </c>
      <c r="G64" s="22" t="s">
        <v>26</v>
      </c>
      <c r="H64" s="22">
        <v>1</v>
      </c>
      <c r="I64" s="22">
        <v>0</v>
      </c>
      <c r="J64" s="22">
        <v>0</v>
      </c>
      <c r="K64" s="22">
        <v>0</v>
      </c>
      <c r="L64" s="22">
        <v>0</v>
      </c>
      <c r="M64" s="22">
        <v>0</v>
      </c>
      <c r="N64" s="22">
        <v>0</v>
      </c>
      <c r="O64" s="22"/>
      <c r="P64" s="22">
        <v>50.2</v>
      </c>
      <c r="Q64" s="22" t="str">
        <f t="shared" si="0"/>
        <v>Normal</v>
      </c>
      <c r="R64" s="26" t="str">
        <f t="shared" si="1"/>
        <v>USR-10006345792ControlSouthDesktopOrganicFree100000050.2</v>
      </c>
      <c r="S64" s="22" t="str">
        <f t="shared" si="2"/>
        <v>OK</v>
      </c>
    </row>
    <row r="65" spans="1:19" ht="41.4">
      <c r="A65" s="22" t="s">
        <v>95</v>
      </c>
      <c r="B65" s="25">
        <v>45758</v>
      </c>
      <c r="C65" s="22" t="s">
        <v>17</v>
      </c>
      <c r="D65" s="22" t="s">
        <v>18</v>
      </c>
      <c r="E65" s="22" t="s">
        <v>24</v>
      </c>
      <c r="F65" s="22" t="s">
        <v>25</v>
      </c>
      <c r="G65" s="22" t="s">
        <v>21</v>
      </c>
      <c r="H65" s="22">
        <v>1</v>
      </c>
      <c r="I65" s="22">
        <v>0</v>
      </c>
      <c r="J65" s="22">
        <v>0</v>
      </c>
      <c r="K65" s="22">
        <v>0</v>
      </c>
      <c r="L65" s="22">
        <v>0</v>
      </c>
      <c r="M65" s="22">
        <v>0</v>
      </c>
      <c r="N65" s="22">
        <v>0</v>
      </c>
      <c r="O65" s="22"/>
      <c r="P65" s="22">
        <v>74.3</v>
      </c>
      <c r="Q65" s="22" t="str">
        <f t="shared" si="0"/>
        <v>Normal</v>
      </c>
      <c r="R65" s="26" t="str">
        <f t="shared" si="1"/>
        <v>USR-10006445758ControlNorthMobileOrganicBasic100000074.3</v>
      </c>
      <c r="S65" s="22" t="str">
        <f t="shared" si="2"/>
        <v>OK</v>
      </c>
    </row>
    <row r="66" spans="1:19" ht="41.4">
      <c r="A66" s="22" t="s">
        <v>96</v>
      </c>
      <c r="B66" s="25">
        <v>45723</v>
      </c>
      <c r="C66" s="22" t="s">
        <v>17</v>
      </c>
      <c r="D66" s="22" t="s">
        <v>32</v>
      </c>
      <c r="E66" s="22" t="s">
        <v>19</v>
      </c>
      <c r="F66" s="22" t="s">
        <v>29</v>
      </c>
      <c r="G66" s="22" t="s">
        <v>26</v>
      </c>
      <c r="H66" s="22">
        <v>1</v>
      </c>
      <c r="I66" s="22">
        <v>0</v>
      </c>
      <c r="J66" s="22">
        <v>0</v>
      </c>
      <c r="K66" s="22">
        <v>0</v>
      </c>
      <c r="L66" s="22">
        <v>0</v>
      </c>
      <c r="M66" s="22">
        <v>0</v>
      </c>
      <c r="N66" s="22">
        <v>0</v>
      </c>
      <c r="O66" s="22"/>
      <c r="P66" s="22">
        <v>58</v>
      </c>
      <c r="Q66" s="22" t="str">
        <f t="shared" si="0"/>
        <v>Normal</v>
      </c>
      <c r="R66" s="26" t="str">
        <f t="shared" si="1"/>
        <v>USR-10006545723ControlSouthDesktopPaid SearchFree100000058</v>
      </c>
      <c r="S66" s="22" t="str">
        <f t="shared" si="2"/>
        <v>OK</v>
      </c>
    </row>
    <row r="67" spans="1:19" ht="41.4">
      <c r="A67" s="22" t="s">
        <v>97</v>
      </c>
      <c r="B67" s="25">
        <v>45807</v>
      </c>
      <c r="C67" s="22" t="s">
        <v>17</v>
      </c>
      <c r="D67" s="22" t="s">
        <v>32</v>
      </c>
      <c r="E67" s="22" t="s">
        <v>24</v>
      </c>
      <c r="F67" s="22" t="s">
        <v>25</v>
      </c>
      <c r="G67" s="22" t="s">
        <v>26</v>
      </c>
      <c r="H67" s="22">
        <v>0</v>
      </c>
      <c r="I67" s="22">
        <v>0</v>
      </c>
      <c r="J67" s="22">
        <v>0</v>
      </c>
      <c r="K67" s="22">
        <v>0</v>
      </c>
      <c r="L67" s="22">
        <v>0</v>
      </c>
      <c r="M67" s="22">
        <v>0</v>
      </c>
      <c r="N67" s="22">
        <v>0</v>
      </c>
      <c r="O67" s="22"/>
      <c r="P67" s="22">
        <v>46.7</v>
      </c>
      <c r="Q67" s="22" t="str">
        <f t="shared" ref="Q67:Q130" si="3">IF(OR(L67&lt;$V$40,L67&gt;$V$41),"Outlier","Normal")</f>
        <v>Normal</v>
      </c>
      <c r="R67" s="26" t="str">
        <f t="shared" ref="R67:R130" si="4">A67&amp;B67&amp;C67&amp;D67&amp;E67&amp;F67&amp;G67&amp;H67&amp;I67&amp;J67&amp;K67&amp;L67&amp;M67&amp;N67&amp;O67&amp;P67</f>
        <v>USR-10006645807ControlSouthMobileOrganicFree000000046.7</v>
      </c>
      <c r="S67" s="22" t="str">
        <f t="shared" ref="S67:S130" si="5">IF(COUNTIF($R$2:$R$1409,R67)=1,"OK",IF(COUNTIF($R$2:$R$1409,R67)&gt;1,"Exact Duplicate","Review Required"))</f>
        <v>OK</v>
      </c>
    </row>
    <row r="68" spans="1:19" ht="41.4">
      <c r="A68" s="22" t="s">
        <v>98</v>
      </c>
      <c r="B68" s="25">
        <v>45664</v>
      </c>
      <c r="C68" s="22" t="s">
        <v>17</v>
      </c>
      <c r="D68" s="22" t="s">
        <v>32</v>
      </c>
      <c r="E68" s="22" t="s">
        <v>19</v>
      </c>
      <c r="F68" s="22" t="s">
        <v>25</v>
      </c>
      <c r="G68" s="22" t="s">
        <v>30</v>
      </c>
      <c r="H68" s="22">
        <v>1</v>
      </c>
      <c r="I68" s="22">
        <v>0</v>
      </c>
      <c r="J68" s="22">
        <v>0</v>
      </c>
      <c r="K68" s="22">
        <v>0</v>
      </c>
      <c r="L68" s="22">
        <v>0</v>
      </c>
      <c r="M68" s="22">
        <v>1</v>
      </c>
      <c r="N68" s="22">
        <v>0</v>
      </c>
      <c r="O68" s="22"/>
      <c r="P68" s="22">
        <v>49.6</v>
      </c>
      <c r="Q68" s="22" t="str">
        <f t="shared" si="3"/>
        <v>Normal</v>
      </c>
      <c r="R68" s="26" t="str">
        <f t="shared" si="4"/>
        <v>USR-10006745664ControlSouthDesktopOrganicPremium100001049.6</v>
      </c>
      <c r="S68" s="22" t="str">
        <f t="shared" si="5"/>
        <v>OK</v>
      </c>
    </row>
    <row r="69" spans="1:19" ht="41.4">
      <c r="A69" s="22" t="s">
        <v>99</v>
      </c>
      <c r="B69" s="25">
        <v>45785</v>
      </c>
      <c r="C69" s="22" t="s">
        <v>17</v>
      </c>
      <c r="D69" s="22" t="s">
        <v>23</v>
      </c>
      <c r="E69" s="22" t="s">
        <v>24</v>
      </c>
      <c r="F69" s="22" t="s">
        <v>41</v>
      </c>
      <c r="G69" s="22" t="s">
        <v>26</v>
      </c>
      <c r="H69" s="22">
        <v>0</v>
      </c>
      <c r="I69" s="22">
        <v>0</v>
      </c>
      <c r="J69" s="22">
        <v>0</v>
      </c>
      <c r="K69" s="22">
        <v>0</v>
      </c>
      <c r="L69" s="22">
        <v>0</v>
      </c>
      <c r="M69" s="22">
        <v>0</v>
      </c>
      <c r="N69" s="22">
        <v>0</v>
      </c>
      <c r="O69" s="22"/>
      <c r="P69" s="22">
        <v>60.4</v>
      </c>
      <c r="Q69" s="22" t="str">
        <f t="shared" si="3"/>
        <v>Normal</v>
      </c>
      <c r="R69" s="26" t="str">
        <f t="shared" si="4"/>
        <v>USR-10006845785ControlWestMobileSocialFree000000060.4</v>
      </c>
      <c r="S69" s="22" t="str">
        <f t="shared" si="5"/>
        <v>OK</v>
      </c>
    </row>
    <row r="70" spans="1:19" ht="41.4">
      <c r="A70" s="22" t="s">
        <v>100</v>
      </c>
      <c r="B70" s="25">
        <v>45735</v>
      </c>
      <c r="C70" s="22" t="s">
        <v>17</v>
      </c>
      <c r="D70" s="22" t="s">
        <v>28</v>
      </c>
      <c r="E70" s="22" t="s">
        <v>19</v>
      </c>
      <c r="F70" s="22" t="s">
        <v>20</v>
      </c>
      <c r="G70" s="22" t="s">
        <v>26</v>
      </c>
      <c r="H70" s="22">
        <v>1</v>
      </c>
      <c r="I70" s="22">
        <v>1</v>
      </c>
      <c r="J70" s="22">
        <v>1</v>
      </c>
      <c r="K70" s="22">
        <v>0</v>
      </c>
      <c r="L70" s="22">
        <v>0</v>
      </c>
      <c r="M70" s="22">
        <v>0</v>
      </c>
      <c r="N70" s="22">
        <v>0</v>
      </c>
      <c r="O70" s="22"/>
      <c r="P70" s="22">
        <v>55.3</v>
      </c>
      <c r="Q70" s="22" t="str">
        <f t="shared" si="3"/>
        <v>Normal</v>
      </c>
      <c r="R70" s="26" t="str">
        <f t="shared" si="4"/>
        <v>USR-10006945735ControlEastDesktopEmailFree111000055.3</v>
      </c>
      <c r="S70" s="22" t="str">
        <f t="shared" si="5"/>
        <v>OK</v>
      </c>
    </row>
    <row r="71" spans="1:19" ht="41.4">
      <c r="A71" s="22" t="s">
        <v>101</v>
      </c>
      <c r="B71" s="25">
        <v>45793</v>
      </c>
      <c r="C71" s="22" t="s">
        <v>17</v>
      </c>
      <c r="D71" s="22" t="s">
        <v>18</v>
      </c>
      <c r="E71" s="22" t="s">
        <v>19</v>
      </c>
      <c r="F71" s="22" t="s">
        <v>25</v>
      </c>
      <c r="G71" s="22" t="s">
        <v>26</v>
      </c>
      <c r="H71" s="22">
        <v>0</v>
      </c>
      <c r="I71" s="22">
        <v>0</v>
      </c>
      <c r="J71" s="22">
        <v>0</v>
      </c>
      <c r="K71" s="22">
        <v>0</v>
      </c>
      <c r="L71" s="22">
        <v>0</v>
      </c>
      <c r="M71" s="22">
        <v>0</v>
      </c>
      <c r="N71" s="22">
        <v>0</v>
      </c>
      <c r="O71" s="22"/>
      <c r="P71" s="22">
        <v>56.2</v>
      </c>
      <c r="Q71" s="22" t="str">
        <f t="shared" si="3"/>
        <v>Normal</v>
      </c>
      <c r="R71" s="26" t="str">
        <f t="shared" si="4"/>
        <v>USR-10007045793ControlNorthDesktopOrganicFree000000056.2</v>
      </c>
      <c r="S71" s="22" t="str">
        <f t="shared" si="5"/>
        <v>OK</v>
      </c>
    </row>
    <row r="72" spans="1:19" ht="41.4">
      <c r="A72" s="22" t="s">
        <v>102</v>
      </c>
      <c r="B72" s="25">
        <v>45724</v>
      </c>
      <c r="C72" s="22" t="s">
        <v>17</v>
      </c>
      <c r="D72" s="22" t="s">
        <v>23</v>
      </c>
      <c r="E72" s="22" t="s">
        <v>24</v>
      </c>
      <c r="F72" s="22" t="s">
        <v>20</v>
      </c>
      <c r="G72" s="22" t="s">
        <v>26</v>
      </c>
      <c r="H72" s="22">
        <v>0</v>
      </c>
      <c r="I72" s="22">
        <v>0</v>
      </c>
      <c r="J72" s="22">
        <v>0</v>
      </c>
      <c r="K72" s="22">
        <v>0</v>
      </c>
      <c r="L72" s="22">
        <v>0</v>
      </c>
      <c r="M72" s="22">
        <v>0</v>
      </c>
      <c r="N72" s="22">
        <v>0</v>
      </c>
      <c r="O72" s="22"/>
      <c r="P72" s="22">
        <v>29.4</v>
      </c>
      <c r="Q72" s="22" t="str">
        <f t="shared" si="3"/>
        <v>Normal</v>
      </c>
      <c r="R72" s="26" t="str">
        <f t="shared" si="4"/>
        <v>USR-10007145724ControlWestMobileEmailFree000000029.4</v>
      </c>
      <c r="S72" s="22" t="str">
        <f t="shared" si="5"/>
        <v>OK</v>
      </c>
    </row>
    <row r="73" spans="1:19" ht="41.4">
      <c r="A73" s="22" t="s">
        <v>103</v>
      </c>
      <c r="B73" s="25">
        <v>45724</v>
      </c>
      <c r="C73" s="22" t="s">
        <v>17</v>
      </c>
      <c r="D73" s="22" t="s">
        <v>28</v>
      </c>
      <c r="E73" s="22" t="s">
        <v>24</v>
      </c>
      <c r="F73" s="22" t="s">
        <v>20</v>
      </c>
      <c r="G73" s="22" t="s">
        <v>26</v>
      </c>
      <c r="H73" s="22">
        <v>1</v>
      </c>
      <c r="I73" s="22">
        <v>0</v>
      </c>
      <c r="J73" s="22">
        <v>0</v>
      </c>
      <c r="K73" s="22">
        <v>0</v>
      </c>
      <c r="L73" s="22">
        <v>0</v>
      </c>
      <c r="M73" s="22">
        <v>0</v>
      </c>
      <c r="N73" s="22">
        <v>0</v>
      </c>
      <c r="O73" s="22"/>
      <c r="P73" s="22">
        <v>54.2</v>
      </c>
      <c r="Q73" s="22" t="str">
        <f t="shared" si="3"/>
        <v>Normal</v>
      </c>
      <c r="R73" s="26" t="str">
        <f t="shared" si="4"/>
        <v>USR-10007245724ControlEastMobileEmailFree100000054.2</v>
      </c>
      <c r="S73" s="22" t="str">
        <f t="shared" si="5"/>
        <v>OK</v>
      </c>
    </row>
    <row r="74" spans="1:19" ht="41.4">
      <c r="A74" s="22" t="s">
        <v>104</v>
      </c>
      <c r="B74" s="25">
        <v>45671</v>
      </c>
      <c r="C74" s="22" t="s">
        <v>17</v>
      </c>
      <c r="D74" s="22" t="s">
        <v>28</v>
      </c>
      <c r="E74" s="22" t="s">
        <v>19</v>
      </c>
      <c r="F74" s="22" t="s">
        <v>29</v>
      </c>
      <c r="G74" s="22" t="s">
        <v>21</v>
      </c>
      <c r="H74" s="22">
        <v>0</v>
      </c>
      <c r="I74" s="22">
        <v>0</v>
      </c>
      <c r="J74" s="22">
        <v>0</v>
      </c>
      <c r="K74" s="22">
        <v>0</v>
      </c>
      <c r="L74" s="22">
        <v>0</v>
      </c>
      <c r="M74" s="22">
        <v>0</v>
      </c>
      <c r="N74" s="22">
        <v>0</v>
      </c>
      <c r="O74" s="22"/>
      <c r="P74" s="22">
        <v>46.4</v>
      </c>
      <c r="Q74" s="22" t="str">
        <f t="shared" si="3"/>
        <v>Normal</v>
      </c>
      <c r="R74" s="26" t="str">
        <f t="shared" si="4"/>
        <v>USR-10007345671ControlEastDesktopPaid SearchBasic000000046.4</v>
      </c>
      <c r="S74" s="22" t="str">
        <f t="shared" si="5"/>
        <v>OK</v>
      </c>
    </row>
    <row r="75" spans="1:19" ht="41.4">
      <c r="A75" s="22" t="s">
        <v>105</v>
      </c>
      <c r="B75" s="25">
        <v>45698</v>
      </c>
      <c r="C75" s="22" t="s">
        <v>17</v>
      </c>
      <c r="D75" s="22" t="s">
        <v>32</v>
      </c>
      <c r="E75" s="22" t="s">
        <v>24</v>
      </c>
      <c r="F75" s="22" t="s">
        <v>29</v>
      </c>
      <c r="G75" s="22" t="s">
        <v>21</v>
      </c>
      <c r="H75" s="22">
        <v>0</v>
      </c>
      <c r="I75" s="22">
        <v>0</v>
      </c>
      <c r="J75" s="22">
        <v>0</v>
      </c>
      <c r="K75" s="22">
        <v>0</v>
      </c>
      <c r="L75" s="22">
        <v>0</v>
      </c>
      <c r="M75" s="22">
        <v>0</v>
      </c>
      <c r="N75" s="22">
        <v>0</v>
      </c>
      <c r="O75" s="22"/>
      <c r="P75" s="22">
        <v>54.5</v>
      </c>
      <c r="Q75" s="22" t="str">
        <f t="shared" si="3"/>
        <v>Normal</v>
      </c>
      <c r="R75" s="26" t="str">
        <f t="shared" si="4"/>
        <v>USR-10007445698ControlSouthMobilePaid SearchBasic000000054.5</v>
      </c>
      <c r="S75" s="22" t="str">
        <f t="shared" si="5"/>
        <v>OK</v>
      </c>
    </row>
    <row r="76" spans="1:19" ht="41.4">
      <c r="A76" s="22" t="s">
        <v>106</v>
      </c>
      <c r="B76" s="25">
        <v>45733</v>
      </c>
      <c r="C76" s="22" t="s">
        <v>17</v>
      </c>
      <c r="D76" s="22" t="s">
        <v>18</v>
      </c>
      <c r="E76" s="22" t="s">
        <v>24</v>
      </c>
      <c r="F76" s="22" t="s">
        <v>25</v>
      </c>
      <c r="G76" s="22" t="s">
        <v>26</v>
      </c>
      <c r="H76" s="22">
        <v>0</v>
      </c>
      <c r="I76" s="22">
        <v>0</v>
      </c>
      <c r="J76" s="22">
        <v>0</v>
      </c>
      <c r="K76" s="22">
        <v>0</v>
      </c>
      <c r="L76" s="22">
        <v>0</v>
      </c>
      <c r="M76" s="22">
        <v>0</v>
      </c>
      <c r="N76" s="22">
        <v>0</v>
      </c>
      <c r="O76" s="22"/>
      <c r="P76" s="22">
        <v>58.5</v>
      </c>
      <c r="Q76" s="22" t="str">
        <f t="shared" si="3"/>
        <v>Normal</v>
      </c>
      <c r="R76" s="26" t="str">
        <f t="shared" si="4"/>
        <v>USR-10007545733ControlNorthMobileOrganicFree000000058.5</v>
      </c>
      <c r="S76" s="22" t="str">
        <f t="shared" si="5"/>
        <v>OK</v>
      </c>
    </row>
    <row r="77" spans="1:19" ht="41.4">
      <c r="A77" s="22" t="s">
        <v>107</v>
      </c>
      <c r="B77" s="25">
        <v>45666</v>
      </c>
      <c r="C77" s="22" t="s">
        <v>17</v>
      </c>
      <c r="D77" s="22" t="s">
        <v>32</v>
      </c>
      <c r="E77" s="22" t="s">
        <v>24</v>
      </c>
      <c r="F77" s="22" t="s">
        <v>20</v>
      </c>
      <c r="G77" s="22" t="s">
        <v>26</v>
      </c>
      <c r="H77" s="22">
        <v>0</v>
      </c>
      <c r="I77" s="22">
        <v>0</v>
      </c>
      <c r="J77" s="22">
        <v>0</v>
      </c>
      <c r="K77" s="22">
        <v>0</v>
      </c>
      <c r="L77" s="22">
        <v>0</v>
      </c>
      <c r="M77" s="22">
        <v>0</v>
      </c>
      <c r="N77" s="22">
        <v>0</v>
      </c>
      <c r="O77" s="22"/>
      <c r="P77" s="22">
        <v>75.900000000000006</v>
      </c>
      <c r="Q77" s="22" t="str">
        <f t="shared" si="3"/>
        <v>Normal</v>
      </c>
      <c r="R77" s="26" t="str">
        <f t="shared" si="4"/>
        <v>USR-10007645666ControlSouthMobileEmailFree000000075.9</v>
      </c>
      <c r="S77" s="22" t="str">
        <f t="shared" si="5"/>
        <v>OK</v>
      </c>
    </row>
    <row r="78" spans="1:19" ht="41.4">
      <c r="A78" s="22" t="s">
        <v>108</v>
      </c>
      <c r="B78" s="25">
        <v>45764</v>
      </c>
      <c r="C78" s="22" t="s">
        <v>17</v>
      </c>
      <c r="D78" s="22" t="s">
        <v>18</v>
      </c>
      <c r="E78" s="22" t="s">
        <v>24</v>
      </c>
      <c r="F78" s="22" t="s">
        <v>39</v>
      </c>
      <c r="G78" s="22" t="s">
        <v>26</v>
      </c>
      <c r="H78" s="22">
        <v>0</v>
      </c>
      <c r="I78" s="22">
        <v>0</v>
      </c>
      <c r="J78" s="22">
        <v>0</v>
      </c>
      <c r="K78" s="22">
        <v>0</v>
      </c>
      <c r="L78" s="22">
        <v>0</v>
      </c>
      <c r="M78" s="22">
        <v>1</v>
      </c>
      <c r="N78" s="22">
        <v>0</v>
      </c>
      <c r="O78" s="22"/>
      <c r="P78" s="22">
        <v>84.9</v>
      </c>
      <c r="Q78" s="22" t="str">
        <f t="shared" si="3"/>
        <v>Normal</v>
      </c>
      <c r="R78" s="26" t="str">
        <f t="shared" si="4"/>
        <v>USR-10007745764ControlNorthMobileReferralFree000001084.9</v>
      </c>
      <c r="S78" s="22" t="str">
        <f t="shared" si="5"/>
        <v>OK</v>
      </c>
    </row>
    <row r="79" spans="1:19" ht="41.4">
      <c r="A79" s="22" t="s">
        <v>109</v>
      </c>
      <c r="B79" s="25">
        <v>45673</v>
      </c>
      <c r="C79" s="22" t="s">
        <v>17</v>
      </c>
      <c r="D79" s="22" t="s">
        <v>18</v>
      </c>
      <c r="E79" s="22" t="s">
        <v>24</v>
      </c>
      <c r="F79" s="22" t="s">
        <v>25</v>
      </c>
      <c r="G79" s="22" t="s">
        <v>26</v>
      </c>
      <c r="H79" s="22">
        <v>0</v>
      </c>
      <c r="I79" s="22">
        <v>0</v>
      </c>
      <c r="J79" s="22">
        <v>0</v>
      </c>
      <c r="K79" s="22">
        <v>0</v>
      </c>
      <c r="L79" s="22">
        <v>0</v>
      </c>
      <c r="M79" s="22">
        <v>2</v>
      </c>
      <c r="N79" s="22">
        <v>0</v>
      </c>
      <c r="O79" s="22"/>
      <c r="P79" s="22">
        <v>48.4</v>
      </c>
      <c r="Q79" s="22" t="str">
        <f t="shared" si="3"/>
        <v>Normal</v>
      </c>
      <c r="R79" s="26" t="str">
        <f t="shared" si="4"/>
        <v>USR-10007845673ControlNorthMobileOrganicFree000002048.4</v>
      </c>
      <c r="S79" s="22" t="str">
        <f t="shared" si="5"/>
        <v>OK</v>
      </c>
    </row>
    <row r="80" spans="1:19" ht="41.4">
      <c r="A80" s="22" t="s">
        <v>110</v>
      </c>
      <c r="B80" s="25">
        <v>45708</v>
      </c>
      <c r="C80" s="22" t="s">
        <v>17</v>
      </c>
      <c r="D80" s="22" t="s">
        <v>23</v>
      </c>
      <c r="E80" s="22" t="s">
        <v>19</v>
      </c>
      <c r="F80" s="22" t="s">
        <v>25</v>
      </c>
      <c r="G80" s="22" t="s">
        <v>26</v>
      </c>
      <c r="H80" s="22">
        <v>1</v>
      </c>
      <c r="I80" s="22">
        <v>1</v>
      </c>
      <c r="J80" s="22">
        <v>1</v>
      </c>
      <c r="K80" s="22">
        <v>1</v>
      </c>
      <c r="L80" s="22">
        <v>457.51</v>
      </c>
      <c r="M80" s="22">
        <v>0</v>
      </c>
      <c r="N80" s="22">
        <v>0</v>
      </c>
      <c r="O80" s="22">
        <v>7</v>
      </c>
      <c r="P80" s="22">
        <v>38</v>
      </c>
      <c r="Q80" s="22" t="str">
        <f t="shared" si="3"/>
        <v>Normal</v>
      </c>
      <c r="R80" s="26" t="str">
        <f t="shared" si="4"/>
        <v>USR-10007945708ControlWestDesktopOrganicFree1111457.5100738</v>
      </c>
      <c r="S80" s="22" t="str">
        <f t="shared" si="5"/>
        <v>OK</v>
      </c>
    </row>
    <row r="81" spans="1:19" ht="41.4">
      <c r="A81" s="22" t="s">
        <v>111</v>
      </c>
      <c r="B81" s="25">
        <v>45798</v>
      </c>
      <c r="C81" s="22" t="s">
        <v>17</v>
      </c>
      <c r="D81" s="22" t="s">
        <v>28</v>
      </c>
      <c r="E81" s="22" t="s">
        <v>24</v>
      </c>
      <c r="F81" s="22" t="s">
        <v>41</v>
      </c>
      <c r="G81" s="22" t="s">
        <v>26</v>
      </c>
      <c r="H81" s="22">
        <v>1</v>
      </c>
      <c r="I81" s="22">
        <v>0</v>
      </c>
      <c r="J81" s="22">
        <v>0</v>
      </c>
      <c r="K81" s="22">
        <v>0</v>
      </c>
      <c r="L81" s="22">
        <v>0</v>
      </c>
      <c r="M81" s="22">
        <v>0</v>
      </c>
      <c r="N81" s="22">
        <v>0</v>
      </c>
      <c r="O81" s="22"/>
      <c r="P81" s="22">
        <v>44.2</v>
      </c>
      <c r="Q81" s="22" t="str">
        <f t="shared" si="3"/>
        <v>Normal</v>
      </c>
      <c r="R81" s="26" t="str">
        <f t="shared" si="4"/>
        <v>USR-10008045798ControlEastMobileSocialFree100000044.2</v>
      </c>
      <c r="S81" s="22" t="str">
        <f t="shared" si="5"/>
        <v>OK</v>
      </c>
    </row>
    <row r="82" spans="1:19" ht="41.4">
      <c r="A82" s="22" t="s">
        <v>112</v>
      </c>
      <c r="B82" s="25">
        <v>45785</v>
      </c>
      <c r="C82" s="22" t="s">
        <v>17</v>
      </c>
      <c r="D82" s="22" t="s">
        <v>32</v>
      </c>
      <c r="E82" s="22" t="s">
        <v>24</v>
      </c>
      <c r="F82" s="22" t="s">
        <v>25</v>
      </c>
      <c r="G82" s="22" t="s">
        <v>26</v>
      </c>
      <c r="H82" s="22">
        <v>1</v>
      </c>
      <c r="I82" s="22">
        <v>1</v>
      </c>
      <c r="J82" s="22">
        <v>1</v>
      </c>
      <c r="K82" s="22">
        <v>0</v>
      </c>
      <c r="L82" s="22">
        <v>0</v>
      </c>
      <c r="M82" s="22">
        <v>0</v>
      </c>
      <c r="N82" s="22">
        <v>0</v>
      </c>
      <c r="O82" s="22"/>
      <c r="P82" s="22">
        <v>81.2</v>
      </c>
      <c r="Q82" s="22" t="str">
        <f t="shared" si="3"/>
        <v>Normal</v>
      </c>
      <c r="R82" s="26" t="str">
        <f t="shared" si="4"/>
        <v>USR-10008145785ControlSouthMobileOrganicFree111000081.2</v>
      </c>
      <c r="S82" s="22" t="str">
        <f t="shared" si="5"/>
        <v>OK</v>
      </c>
    </row>
    <row r="83" spans="1:19" ht="41.4">
      <c r="A83" s="22" t="s">
        <v>113</v>
      </c>
      <c r="B83" s="25">
        <v>45724</v>
      </c>
      <c r="C83" s="22" t="s">
        <v>17</v>
      </c>
      <c r="D83" s="22" t="s">
        <v>32</v>
      </c>
      <c r="E83" s="22" t="s">
        <v>24</v>
      </c>
      <c r="F83" s="22" t="s">
        <v>39</v>
      </c>
      <c r="G83" s="22" t="s">
        <v>26</v>
      </c>
      <c r="H83" s="22">
        <v>1</v>
      </c>
      <c r="I83" s="22">
        <v>1</v>
      </c>
      <c r="J83" s="22">
        <v>0</v>
      </c>
      <c r="K83" s="22">
        <v>0</v>
      </c>
      <c r="L83" s="22">
        <v>0</v>
      </c>
      <c r="M83" s="22">
        <v>0</v>
      </c>
      <c r="N83" s="22">
        <v>0</v>
      </c>
      <c r="O83" s="22"/>
      <c r="P83" s="22">
        <v>63.8</v>
      </c>
      <c r="Q83" s="22" t="str">
        <f t="shared" si="3"/>
        <v>Normal</v>
      </c>
      <c r="R83" s="26" t="str">
        <f t="shared" si="4"/>
        <v>USR-10008245724ControlSouthMobileReferralFree110000063.8</v>
      </c>
      <c r="S83" s="22" t="str">
        <f t="shared" si="5"/>
        <v>OK</v>
      </c>
    </row>
    <row r="84" spans="1:19" ht="41.4">
      <c r="A84" s="22" t="s">
        <v>114</v>
      </c>
      <c r="B84" s="25">
        <v>45748</v>
      </c>
      <c r="C84" s="22" t="s">
        <v>17</v>
      </c>
      <c r="D84" s="22" t="s">
        <v>32</v>
      </c>
      <c r="E84" s="22" t="s">
        <v>19</v>
      </c>
      <c r="F84" s="22" t="s">
        <v>20</v>
      </c>
      <c r="G84" s="22" t="s">
        <v>26</v>
      </c>
      <c r="H84" s="22">
        <v>0</v>
      </c>
      <c r="I84" s="22">
        <v>0</v>
      </c>
      <c r="J84" s="22">
        <v>0</v>
      </c>
      <c r="K84" s="22">
        <v>0</v>
      </c>
      <c r="L84" s="22">
        <v>0</v>
      </c>
      <c r="M84" s="22">
        <v>0</v>
      </c>
      <c r="N84" s="22">
        <v>0</v>
      </c>
      <c r="O84" s="22"/>
      <c r="P84" s="22">
        <v>64.7</v>
      </c>
      <c r="Q84" s="22" t="str">
        <f t="shared" si="3"/>
        <v>Normal</v>
      </c>
      <c r="R84" s="26" t="str">
        <f t="shared" si="4"/>
        <v>USR-10008345748ControlSouthDesktopEmailFree000000064.7</v>
      </c>
      <c r="S84" s="22" t="str">
        <f t="shared" si="5"/>
        <v>OK</v>
      </c>
    </row>
    <row r="85" spans="1:19" ht="41.4">
      <c r="A85" s="22" t="s">
        <v>115</v>
      </c>
      <c r="B85" s="25">
        <v>45719</v>
      </c>
      <c r="C85" s="22" t="s">
        <v>17</v>
      </c>
      <c r="D85" s="22" t="s">
        <v>23</v>
      </c>
      <c r="E85" s="22" t="s">
        <v>24</v>
      </c>
      <c r="F85" s="22" t="s">
        <v>41</v>
      </c>
      <c r="G85" s="22" t="s">
        <v>21</v>
      </c>
      <c r="H85" s="22">
        <v>0</v>
      </c>
      <c r="I85" s="22">
        <v>0</v>
      </c>
      <c r="J85" s="22">
        <v>0</v>
      </c>
      <c r="K85" s="22">
        <v>0</v>
      </c>
      <c r="L85" s="22">
        <v>0</v>
      </c>
      <c r="M85" s="22">
        <v>0</v>
      </c>
      <c r="N85" s="22">
        <v>0</v>
      </c>
      <c r="O85" s="22"/>
      <c r="P85" s="22">
        <v>60.4</v>
      </c>
      <c r="Q85" s="22" t="str">
        <f t="shared" si="3"/>
        <v>Normal</v>
      </c>
      <c r="R85" s="26" t="str">
        <f t="shared" si="4"/>
        <v>USR-10008445719ControlWestMobileSocialBasic000000060.4</v>
      </c>
      <c r="S85" s="22" t="str">
        <f t="shared" si="5"/>
        <v>OK</v>
      </c>
    </row>
    <row r="86" spans="1:19" ht="41.4">
      <c r="A86" s="22" t="s">
        <v>116</v>
      </c>
      <c r="B86" s="25">
        <v>45763</v>
      </c>
      <c r="C86" s="22" t="s">
        <v>17</v>
      </c>
      <c r="D86" s="22" t="s">
        <v>32</v>
      </c>
      <c r="E86" s="22" t="s">
        <v>24</v>
      </c>
      <c r="F86" s="22" t="s">
        <v>29</v>
      </c>
      <c r="G86" s="22" t="s">
        <v>26</v>
      </c>
      <c r="H86" s="22">
        <v>0</v>
      </c>
      <c r="I86" s="22">
        <v>0</v>
      </c>
      <c r="J86" s="22">
        <v>0</v>
      </c>
      <c r="K86" s="22">
        <v>0</v>
      </c>
      <c r="L86" s="22">
        <v>0</v>
      </c>
      <c r="M86" s="22">
        <v>0</v>
      </c>
      <c r="N86" s="22">
        <v>0</v>
      </c>
      <c r="O86" s="22"/>
      <c r="P86" s="22">
        <v>66.599999999999994</v>
      </c>
      <c r="Q86" s="22" t="str">
        <f t="shared" si="3"/>
        <v>Normal</v>
      </c>
      <c r="R86" s="26" t="str">
        <f t="shared" si="4"/>
        <v>USR-10008545763ControlSouthMobilePaid SearchFree000000066.6</v>
      </c>
      <c r="S86" s="22" t="str">
        <f t="shared" si="5"/>
        <v>OK</v>
      </c>
    </row>
    <row r="87" spans="1:19" ht="41.4">
      <c r="A87" s="22" t="s">
        <v>117</v>
      </c>
      <c r="B87" s="25">
        <v>45666</v>
      </c>
      <c r="C87" s="22" t="s">
        <v>17</v>
      </c>
      <c r="D87" s="22" t="s">
        <v>18</v>
      </c>
      <c r="E87" s="22" t="s">
        <v>19</v>
      </c>
      <c r="F87" s="22" t="s">
        <v>25</v>
      </c>
      <c r="G87" s="22" t="s">
        <v>26</v>
      </c>
      <c r="H87" s="22">
        <v>1</v>
      </c>
      <c r="I87" s="22">
        <v>0</v>
      </c>
      <c r="J87" s="22">
        <v>0</v>
      </c>
      <c r="K87" s="22">
        <v>0</v>
      </c>
      <c r="L87" s="22">
        <v>0</v>
      </c>
      <c r="M87" s="22">
        <v>0</v>
      </c>
      <c r="N87" s="22">
        <v>0</v>
      </c>
      <c r="O87" s="22"/>
      <c r="P87" s="22">
        <v>50.9</v>
      </c>
      <c r="Q87" s="22" t="str">
        <f t="shared" si="3"/>
        <v>Normal</v>
      </c>
      <c r="R87" s="26" t="str">
        <f t="shared" si="4"/>
        <v>USR-10008645666ControlNorthDesktopOrganicFree100000050.9</v>
      </c>
      <c r="S87" s="22" t="str">
        <f t="shared" si="5"/>
        <v>OK</v>
      </c>
    </row>
    <row r="88" spans="1:19" ht="41.4">
      <c r="A88" s="22" t="s">
        <v>118</v>
      </c>
      <c r="B88" s="25">
        <v>45679</v>
      </c>
      <c r="C88" s="22" t="s">
        <v>17</v>
      </c>
      <c r="D88" s="22" t="s">
        <v>23</v>
      </c>
      <c r="E88" s="22" t="s">
        <v>19</v>
      </c>
      <c r="F88" s="22" t="s">
        <v>41</v>
      </c>
      <c r="G88" s="22" t="s">
        <v>21</v>
      </c>
      <c r="H88" s="22">
        <v>0</v>
      </c>
      <c r="I88" s="22">
        <v>0</v>
      </c>
      <c r="J88" s="22">
        <v>0</v>
      </c>
      <c r="K88" s="22">
        <v>0</v>
      </c>
      <c r="L88" s="22">
        <v>0</v>
      </c>
      <c r="M88" s="22">
        <v>0</v>
      </c>
      <c r="N88" s="22">
        <v>0</v>
      </c>
      <c r="O88" s="22"/>
      <c r="P88" s="22">
        <v>51</v>
      </c>
      <c r="Q88" s="22" t="str">
        <f t="shared" si="3"/>
        <v>Normal</v>
      </c>
      <c r="R88" s="26" t="str">
        <f t="shared" si="4"/>
        <v>USR-10008745679ControlWestDesktopSocialBasic000000051</v>
      </c>
      <c r="S88" s="22" t="str">
        <f t="shared" si="5"/>
        <v>OK</v>
      </c>
    </row>
    <row r="89" spans="1:19" ht="41.4">
      <c r="A89" s="22" t="s">
        <v>119</v>
      </c>
      <c r="B89" s="25">
        <v>45777</v>
      </c>
      <c r="C89" s="22" t="s">
        <v>17</v>
      </c>
      <c r="D89" s="22" t="s">
        <v>32</v>
      </c>
      <c r="E89" s="22" t="s">
        <v>24</v>
      </c>
      <c r="F89" s="22" t="s">
        <v>20</v>
      </c>
      <c r="G89" s="22" t="s">
        <v>30</v>
      </c>
      <c r="H89" s="22">
        <v>0</v>
      </c>
      <c r="I89" s="22">
        <v>0</v>
      </c>
      <c r="J89" s="22">
        <v>0</v>
      </c>
      <c r="K89" s="22">
        <v>0</v>
      </c>
      <c r="L89" s="22">
        <v>0</v>
      </c>
      <c r="M89" s="22">
        <v>0</v>
      </c>
      <c r="N89" s="22">
        <v>0</v>
      </c>
      <c r="O89" s="22"/>
      <c r="P89" s="22">
        <v>65.8</v>
      </c>
      <c r="Q89" s="22" t="str">
        <f t="shared" si="3"/>
        <v>Normal</v>
      </c>
      <c r="R89" s="26" t="str">
        <f t="shared" si="4"/>
        <v>USR-10008845777ControlSouthMobileEmailPremium000000065.8</v>
      </c>
      <c r="S89" s="22" t="str">
        <f t="shared" si="5"/>
        <v>OK</v>
      </c>
    </row>
    <row r="90" spans="1:19" ht="41.4">
      <c r="A90" s="22" t="s">
        <v>120</v>
      </c>
      <c r="B90" s="25">
        <v>45772</v>
      </c>
      <c r="C90" s="22" t="s">
        <v>17</v>
      </c>
      <c r="D90" s="22" t="s">
        <v>18</v>
      </c>
      <c r="E90" s="22" t="s">
        <v>24</v>
      </c>
      <c r="F90" s="22" t="s">
        <v>39</v>
      </c>
      <c r="G90" s="22" t="s">
        <v>21</v>
      </c>
      <c r="H90" s="22">
        <v>1</v>
      </c>
      <c r="I90" s="22">
        <v>0</v>
      </c>
      <c r="J90" s="22">
        <v>0</v>
      </c>
      <c r="K90" s="22">
        <v>0</v>
      </c>
      <c r="L90" s="22">
        <v>0</v>
      </c>
      <c r="M90" s="22">
        <v>0</v>
      </c>
      <c r="N90" s="22">
        <v>0</v>
      </c>
      <c r="O90" s="22"/>
      <c r="P90" s="22">
        <v>61.8</v>
      </c>
      <c r="Q90" s="22" t="str">
        <f t="shared" si="3"/>
        <v>Normal</v>
      </c>
      <c r="R90" s="26" t="str">
        <f t="shared" si="4"/>
        <v>USR-10008945772ControlNorthMobileReferralBasic100000061.8</v>
      </c>
      <c r="S90" s="22" t="str">
        <f t="shared" si="5"/>
        <v>OK</v>
      </c>
    </row>
    <row r="91" spans="1:19" ht="41.4">
      <c r="A91" s="22" t="s">
        <v>121</v>
      </c>
      <c r="B91" s="25">
        <v>45689</v>
      </c>
      <c r="C91" s="22" t="s">
        <v>17</v>
      </c>
      <c r="D91" s="22" t="s">
        <v>18</v>
      </c>
      <c r="E91" s="22" t="s">
        <v>24</v>
      </c>
      <c r="F91" s="22" t="s">
        <v>25</v>
      </c>
      <c r="G91" s="22" t="s">
        <v>21</v>
      </c>
      <c r="H91" s="22">
        <v>1</v>
      </c>
      <c r="I91" s="22">
        <v>0</v>
      </c>
      <c r="J91" s="22">
        <v>0</v>
      </c>
      <c r="K91" s="22">
        <v>0</v>
      </c>
      <c r="L91" s="22">
        <v>0</v>
      </c>
      <c r="M91" s="22">
        <v>0</v>
      </c>
      <c r="N91" s="22">
        <v>0</v>
      </c>
      <c r="O91" s="22"/>
      <c r="P91" s="22">
        <v>54.5</v>
      </c>
      <c r="Q91" s="22" t="str">
        <f t="shared" si="3"/>
        <v>Normal</v>
      </c>
      <c r="R91" s="26" t="str">
        <f t="shared" si="4"/>
        <v>USR-10009045689ControlNorthMobileOrganicBasic100000054.5</v>
      </c>
      <c r="S91" s="22" t="str">
        <f t="shared" si="5"/>
        <v>OK</v>
      </c>
    </row>
    <row r="92" spans="1:19" ht="41.4">
      <c r="A92" s="22" t="s">
        <v>122</v>
      </c>
      <c r="B92" s="25">
        <v>45770</v>
      </c>
      <c r="C92" s="22" t="s">
        <v>17</v>
      </c>
      <c r="D92" s="22" t="s">
        <v>32</v>
      </c>
      <c r="E92" s="22" t="s">
        <v>19</v>
      </c>
      <c r="F92" s="22" t="s">
        <v>25</v>
      </c>
      <c r="G92" s="22" t="s">
        <v>26</v>
      </c>
      <c r="H92" s="22">
        <v>1</v>
      </c>
      <c r="I92" s="22">
        <v>0</v>
      </c>
      <c r="J92" s="22">
        <v>0</v>
      </c>
      <c r="K92" s="22">
        <v>0</v>
      </c>
      <c r="L92" s="22">
        <v>0</v>
      </c>
      <c r="M92" s="22">
        <v>0</v>
      </c>
      <c r="N92" s="22">
        <v>0</v>
      </c>
      <c r="O92" s="22"/>
      <c r="P92" s="22">
        <v>72.2</v>
      </c>
      <c r="Q92" s="22" t="str">
        <f t="shared" si="3"/>
        <v>Normal</v>
      </c>
      <c r="R92" s="26" t="str">
        <f t="shared" si="4"/>
        <v>USR-10009145770ControlSouthDesktopOrganicFree100000072.2</v>
      </c>
      <c r="S92" s="22" t="str">
        <f t="shared" si="5"/>
        <v>OK</v>
      </c>
    </row>
    <row r="93" spans="1:19" ht="41.4">
      <c r="A93" s="22" t="s">
        <v>123</v>
      </c>
      <c r="B93" s="25">
        <v>45715</v>
      </c>
      <c r="C93" s="22" t="s">
        <v>17</v>
      </c>
      <c r="D93" s="22" t="s">
        <v>32</v>
      </c>
      <c r="E93" s="22" t="s">
        <v>24</v>
      </c>
      <c r="F93" s="22" t="s">
        <v>41</v>
      </c>
      <c r="G93" s="22" t="s">
        <v>26</v>
      </c>
      <c r="H93" s="22">
        <v>1</v>
      </c>
      <c r="I93" s="22">
        <v>0</v>
      </c>
      <c r="J93" s="22">
        <v>0</v>
      </c>
      <c r="K93" s="22">
        <v>0</v>
      </c>
      <c r="L93" s="22">
        <v>0</v>
      </c>
      <c r="M93" s="22">
        <v>0</v>
      </c>
      <c r="N93" s="22">
        <v>0</v>
      </c>
      <c r="O93" s="22"/>
      <c r="P93" s="22">
        <v>42.3</v>
      </c>
      <c r="Q93" s="22" t="str">
        <f t="shared" si="3"/>
        <v>Normal</v>
      </c>
      <c r="R93" s="26" t="str">
        <f t="shared" si="4"/>
        <v>USR-10009245715ControlSouthMobileSocialFree100000042.3</v>
      </c>
      <c r="S93" s="22" t="str">
        <f t="shared" si="5"/>
        <v>OK</v>
      </c>
    </row>
    <row r="94" spans="1:19" ht="41.4">
      <c r="A94" s="22" t="s">
        <v>124</v>
      </c>
      <c r="B94" s="25">
        <v>45756</v>
      </c>
      <c r="C94" s="22" t="s">
        <v>17</v>
      </c>
      <c r="D94" s="22" t="s">
        <v>28</v>
      </c>
      <c r="E94" s="22" t="s">
        <v>19</v>
      </c>
      <c r="F94" s="22" t="s">
        <v>25</v>
      </c>
      <c r="G94" s="22" t="s">
        <v>21</v>
      </c>
      <c r="H94" s="22">
        <v>1</v>
      </c>
      <c r="I94" s="22">
        <v>0</v>
      </c>
      <c r="J94" s="22">
        <v>0</v>
      </c>
      <c r="K94" s="22">
        <v>0</v>
      </c>
      <c r="L94" s="22">
        <v>0</v>
      </c>
      <c r="M94" s="22">
        <v>0</v>
      </c>
      <c r="N94" s="22">
        <v>0</v>
      </c>
      <c r="O94" s="22"/>
      <c r="P94" s="22">
        <v>76.2</v>
      </c>
      <c r="Q94" s="22" t="str">
        <f t="shared" si="3"/>
        <v>Normal</v>
      </c>
      <c r="R94" s="26" t="str">
        <f t="shared" si="4"/>
        <v>USR-10009345756ControlEastDesktopOrganicBasic100000076.2</v>
      </c>
      <c r="S94" s="22" t="str">
        <f t="shared" si="5"/>
        <v>OK</v>
      </c>
    </row>
    <row r="95" spans="1:19" ht="41.4">
      <c r="A95" s="22" t="s">
        <v>125</v>
      </c>
      <c r="B95" s="25">
        <v>45790</v>
      </c>
      <c r="C95" s="22" t="s">
        <v>17</v>
      </c>
      <c r="D95" s="22" t="s">
        <v>32</v>
      </c>
      <c r="E95" s="22" t="s">
        <v>34</v>
      </c>
      <c r="F95" s="22" t="s">
        <v>25</v>
      </c>
      <c r="G95" s="22" t="s">
        <v>30</v>
      </c>
      <c r="H95" s="22">
        <v>1</v>
      </c>
      <c r="I95" s="22">
        <v>1</v>
      </c>
      <c r="J95" s="22">
        <v>1</v>
      </c>
      <c r="K95" s="22">
        <v>0</v>
      </c>
      <c r="L95" s="22">
        <v>0</v>
      </c>
      <c r="M95" s="22">
        <v>1</v>
      </c>
      <c r="N95" s="22">
        <v>0</v>
      </c>
      <c r="O95" s="22"/>
      <c r="P95" s="22">
        <v>37.4</v>
      </c>
      <c r="Q95" s="22" t="str">
        <f t="shared" si="3"/>
        <v>Normal</v>
      </c>
      <c r="R95" s="26" t="str">
        <f t="shared" si="4"/>
        <v>USR-10009445790ControlSouthTabletOrganicPremium111001037.4</v>
      </c>
      <c r="S95" s="22" t="str">
        <f t="shared" si="5"/>
        <v>OK</v>
      </c>
    </row>
    <row r="96" spans="1:19" ht="41.4">
      <c r="A96" s="22" t="s">
        <v>126</v>
      </c>
      <c r="B96" s="25">
        <v>45760</v>
      </c>
      <c r="C96" s="22" t="s">
        <v>17</v>
      </c>
      <c r="D96" s="22" t="s">
        <v>28</v>
      </c>
      <c r="E96" s="22" t="s">
        <v>24</v>
      </c>
      <c r="F96" s="22" t="s">
        <v>25</v>
      </c>
      <c r="G96" s="22" t="s">
        <v>26</v>
      </c>
      <c r="H96" s="22">
        <v>0</v>
      </c>
      <c r="I96" s="22">
        <v>0</v>
      </c>
      <c r="J96" s="22">
        <v>0</v>
      </c>
      <c r="K96" s="22">
        <v>0</v>
      </c>
      <c r="L96" s="22">
        <v>0</v>
      </c>
      <c r="M96" s="22">
        <v>0</v>
      </c>
      <c r="N96" s="22">
        <v>0</v>
      </c>
      <c r="O96" s="22"/>
      <c r="P96" s="22">
        <v>84.2</v>
      </c>
      <c r="Q96" s="22" t="str">
        <f t="shared" si="3"/>
        <v>Normal</v>
      </c>
      <c r="R96" s="26" t="str">
        <f t="shared" si="4"/>
        <v>USR-10009545760ControlEastMobileOrganicFree000000084.2</v>
      </c>
      <c r="S96" s="22" t="str">
        <f t="shared" si="5"/>
        <v>OK</v>
      </c>
    </row>
    <row r="97" spans="1:19" ht="41.4">
      <c r="A97" s="22" t="s">
        <v>127</v>
      </c>
      <c r="B97" s="25">
        <v>45693</v>
      </c>
      <c r="C97" s="22" t="s">
        <v>17</v>
      </c>
      <c r="D97" s="22" t="s">
        <v>28</v>
      </c>
      <c r="E97" s="22" t="s">
        <v>24</v>
      </c>
      <c r="F97" s="22" t="s">
        <v>41</v>
      </c>
      <c r="G97" s="22" t="s">
        <v>26</v>
      </c>
      <c r="H97" s="22">
        <v>0</v>
      </c>
      <c r="I97" s="22">
        <v>0</v>
      </c>
      <c r="J97" s="22">
        <v>0</v>
      </c>
      <c r="K97" s="22">
        <v>0</v>
      </c>
      <c r="L97" s="22">
        <v>0</v>
      </c>
      <c r="M97" s="22">
        <v>0</v>
      </c>
      <c r="N97" s="22">
        <v>0</v>
      </c>
      <c r="O97" s="22"/>
      <c r="P97" s="22">
        <v>68</v>
      </c>
      <c r="Q97" s="22" t="str">
        <f t="shared" si="3"/>
        <v>Normal</v>
      </c>
      <c r="R97" s="26" t="str">
        <f t="shared" si="4"/>
        <v>USR-10009645693ControlEastMobileSocialFree000000068</v>
      </c>
      <c r="S97" s="22" t="str">
        <f t="shared" si="5"/>
        <v>Exact Duplicate</v>
      </c>
    </row>
    <row r="98" spans="1:19" ht="41.4">
      <c r="A98" s="22" t="s">
        <v>128</v>
      </c>
      <c r="B98" s="25">
        <v>45702</v>
      </c>
      <c r="C98" s="22" t="s">
        <v>17</v>
      </c>
      <c r="D98" s="22" t="s">
        <v>23</v>
      </c>
      <c r="E98" s="22" t="s">
        <v>24</v>
      </c>
      <c r="F98" s="22" t="s">
        <v>25</v>
      </c>
      <c r="G98" s="22" t="s">
        <v>21</v>
      </c>
      <c r="H98" s="22">
        <v>1</v>
      </c>
      <c r="I98" s="22">
        <v>0</v>
      </c>
      <c r="J98" s="22">
        <v>0</v>
      </c>
      <c r="K98" s="22">
        <v>0</v>
      </c>
      <c r="L98" s="22">
        <v>0</v>
      </c>
      <c r="M98" s="22">
        <v>0</v>
      </c>
      <c r="N98" s="22">
        <v>0</v>
      </c>
      <c r="O98" s="22"/>
      <c r="P98" s="22">
        <v>53.5</v>
      </c>
      <c r="Q98" s="22" t="str">
        <f t="shared" si="3"/>
        <v>Normal</v>
      </c>
      <c r="R98" s="26" t="str">
        <f t="shared" si="4"/>
        <v>USR-10009745702ControlWestMobileOrganicBasic100000053.5</v>
      </c>
      <c r="S98" s="22" t="str">
        <f t="shared" si="5"/>
        <v>OK</v>
      </c>
    </row>
    <row r="99" spans="1:19" ht="41.4">
      <c r="A99" s="22" t="s">
        <v>129</v>
      </c>
      <c r="B99" s="25">
        <v>45699</v>
      </c>
      <c r="C99" s="22" t="s">
        <v>17</v>
      </c>
      <c r="D99" s="22" t="s">
        <v>18</v>
      </c>
      <c r="E99" s="22" t="s">
        <v>19</v>
      </c>
      <c r="F99" s="22" t="s">
        <v>25</v>
      </c>
      <c r="G99" s="22" t="s">
        <v>30</v>
      </c>
      <c r="H99" s="22">
        <v>1</v>
      </c>
      <c r="I99" s="22">
        <v>0</v>
      </c>
      <c r="J99" s="22">
        <v>0</v>
      </c>
      <c r="K99" s="22">
        <v>0</v>
      </c>
      <c r="L99" s="22">
        <v>0</v>
      </c>
      <c r="M99" s="22">
        <v>0</v>
      </c>
      <c r="N99" s="22">
        <v>0</v>
      </c>
      <c r="O99" s="22"/>
      <c r="P99" s="22">
        <v>63.2</v>
      </c>
      <c r="Q99" s="22" t="str">
        <f t="shared" si="3"/>
        <v>Normal</v>
      </c>
      <c r="R99" s="26" t="str">
        <f t="shared" si="4"/>
        <v>USR-10009845699ControlNorthDesktopOrganicPremium100000063.2</v>
      </c>
      <c r="S99" s="22" t="str">
        <f t="shared" si="5"/>
        <v>OK</v>
      </c>
    </row>
    <row r="100" spans="1:19" ht="41.4">
      <c r="A100" s="22" t="s">
        <v>130</v>
      </c>
      <c r="B100" s="25">
        <v>45699</v>
      </c>
      <c r="C100" s="22" t="s">
        <v>17</v>
      </c>
      <c r="D100" s="22" t="s">
        <v>28</v>
      </c>
      <c r="E100" s="22" t="s">
        <v>19</v>
      </c>
      <c r="F100" s="22" t="s">
        <v>41</v>
      </c>
      <c r="G100" s="22" t="s">
        <v>26</v>
      </c>
      <c r="H100" s="22">
        <v>1</v>
      </c>
      <c r="I100" s="22">
        <v>1</v>
      </c>
      <c r="J100" s="22">
        <v>1</v>
      </c>
      <c r="K100" s="22">
        <v>1</v>
      </c>
      <c r="L100" s="22">
        <v>363.32</v>
      </c>
      <c r="M100" s="22">
        <v>0</v>
      </c>
      <c r="N100" s="22">
        <v>0</v>
      </c>
      <c r="O100" s="22">
        <v>9</v>
      </c>
      <c r="P100" s="22">
        <v>55.9</v>
      </c>
      <c r="Q100" s="22" t="str">
        <f t="shared" si="3"/>
        <v>Normal</v>
      </c>
      <c r="R100" s="26" t="str">
        <f t="shared" si="4"/>
        <v>USR-10009945699ControlEastDesktopSocialFree1111363.3200955.9</v>
      </c>
      <c r="S100" s="22" t="str">
        <f t="shared" si="5"/>
        <v>OK</v>
      </c>
    </row>
    <row r="101" spans="1:19" ht="41.4">
      <c r="A101" s="22" t="s">
        <v>131</v>
      </c>
      <c r="B101" s="25">
        <v>45803</v>
      </c>
      <c r="C101" s="22" t="s">
        <v>17</v>
      </c>
      <c r="D101" s="22" t="s">
        <v>18</v>
      </c>
      <c r="E101" s="22" t="s">
        <v>24</v>
      </c>
      <c r="F101" s="22" t="s">
        <v>25</v>
      </c>
      <c r="G101" s="22" t="s">
        <v>26</v>
      </c>
      <c r="H101" s="22">
        <v>1</v>
      </c>
      <c r="I101" s="22">
        <v>0</v>
      </c>
      <c r="J101" s="22">
        <v>0</v>
      </c>
      <c r="K101" s="22">
        <v>0</v>
      </c>
      <c r="L101" s="22">
        <v>0</v>
      </c>
      <c r="M101" s="22">
        <v>0</v>
      </c>
      <c r="N101" s="22">
        <v>0</v>
      </c>
      <c r="O101" s="22"/>
      <c r="P101" s="22">
        <v>63.5</v>
      </c>
      <c r="Q101" s="22" t="str">
        <f t="shared" si="3"/>
        <v>Normal</v>
      </c>
      <c r="R101" s="26" t="str">
        <f t="shared" si="4"/>
        <v>USR-10010045803ControlNorthMobileOrganicFree100000063.5</v>
      </c>
      <c r="S101" s="22" t="str">
        <f t="shared" si="5"/>
        <v>OK</v>
      </c>
    </row>
    <row r="102" spans="1:19" ht="41.4">
      <c r="A102" s="22" t="s">
        <v>132</v>
      </c>
      <c r="B102" s="25">
        <v>45738</v>
      </c>
      <c r="C102" s="22" t="s">
        <v>17</v>
      </c>
      <c r="D102" s="22" t="s">
        <v>18</v>
      </c>
      <c r="E102" s="22" t="s">
        <v>24</v>
      </c>
      <c r="F102" s="22" t="s">
        <v>29</v>
      </c>
      <c r="G102" s="22" t="s">
        <v>21</v>
      </c>
      <c r="H102" s="22">
        <v>1</v>
      </c>
      <c r="I102" s="22">
        <v>0</v>
      </c>
      <c r="J102" s="22">
        <v>0</v>
      </c>
      <c r="K102" s="22">
        <v>0</v>
      </c>
      <c r="L102" s="22">
        <v>0</v>
      </c>
      <c r="M102" s="22">
        <v>0</v>
      </c>
      <c r="N102" s="22">
        <v>0</v>
      </c>
      <c r="O102" s="22"/>
      <c r="P102" s="22">
        <v>51.5</v>
      </c>
      <c r="Q102" s="22" t="str">
        <f t="shared" si="3"/>
        <v>Normal</v>
      </c>
      <c r="R102" s="26" t="str">
        <f t="shared" si="4"/>
        <v>USR-10010145738ControlNorthMobilePaid SearchBasic100000051.5</v>
      </c>
      <c r="S102" s="22" t="str">
        <f t="shared" si="5"/>
        <v>OK</v>
      </c>
    </row>
    <row r="103" spans="1:19" ht="41.4">
      <c r="A103" s="22" t="s">
        <v>133</v>
      </c>
      <c r="B103" s="25">
        <v>45755</v>
      </c>
      <c r="C103" s="22" t="s">
        <v>17</v>
      </c>
      <c r="D103" s="22" t="s">
        <v>23</v>
      </c>
      <c r="E103" s="22" t="s">
        <v>24</v>
      </c>
      <c r="F103" s="22" t="s">
        <v>29</v>
      </c>
      <c r="G103" s="22" t="s">
        <v>26</v>
      </c>
      <c r="H103" s="22">
        <v>1</v>
      </c>
      <c r="I103" s="22">
        <v>0</v>
      </c>
      <c r="J103" s="22">
        <v>0</v>
      </c>
      <c r="K103" s="22">
        <v>0</v>
      </c>
      <c r="L103" s="22">
        <v>0</v>
      </c>
      <c r="M103" s="22">
        <v>0</v>
      </c>
      <c r="N103" s="22">
        <v>0</v>
      </c>
      <c r="O103" s="22"/>
      <c r="P103" s="22">
        <v>74.400000000000006</v>
      </c>
      <c r="Q103" s="22" t="str">
        <f t="shared" si="3"/>
        <v>Normal</v>
      </c>
      <c r="R103" s="26" t="str">
        <f t="shared" si="4"/>
        <v>USR-10010245755ControlWestMobilePaid SearchFree100000074.4</v>
      </c>
      <c r="S103" s="22" t="str">
        <f t="shared" si="5"/>
        <v>OK</v>
      </c>
    </row>
    <row r="104" spans="1:19" ht="41.4">
      <c r="A104" s="22" t="s">
        <v>134</v>
      </c>
      <c r="B104" s="25">
        <v>45761</v>
      </c>
      <c r="C104" s="22" t="s">
        <v>17</v>
      </c>
      <c r="D104" s="22" t="s">
        <v>18</v>
      </c>
      <c r="E104" s="22" t="s">
        <v>19</v>
      </c>
      <c r="F104" s="22" t="s">
        <v>41</v>
      </c>
      <c r="G104" s="22" t="s">
        <v>26</v>
      </c>
      <c r="H104" s="22">
        <v>1</v>
      </c>
      <c r="I104" s="22">
        <v>1</v>
      </c>
      <c r="J104" s="22">
        <v>1</v>
      </c>
      <c r="K104" s="22">
        <v>1</v>
      </c>
      <c r="L104" s="22">
        <v>3887.98</v>
      </c>
      <c r="M104" s="22">
        <v>0</v>
      </c>
      <c r="N104" s="22">
        <v>0</v>
      </c>
      <c r="O104" s="22">
        <v>13</v>
      </c>
      <c r="P104" s="22">
        <v>60.2</v>
      </c>
      <c r="Q104" s="22" t="str">
        <f t="shared" si="3"/>
        <v>Outlier</v>
      </c>
      <c r="R104" s="26" t="str">
        <f t="shared" si="4"/>
        <v>USR-10010345761ControlNorthDesktopSocialFree11113887.98001360.2</v>
      </c>
      <c r="S104" s="22" t="str">
        <f t="shared" si="5"/>
        <v>OK</v>
      </c>
    </row>
    <row r="105" spans="1:19" ht="41.4">
      <c r="A105" s="22" t="s">
        <v>135</v>
      </c>
      <c r="B105" s="25">
        <v>45743</v>
      </c>
      <c r="C105" s="22" t="s">
        <v>17</v>
      </c>
      <c r="D105" s="22" t="s">
        <v>32</v>
      </c>
      <c r="E105" s="22" t="s">
        <v>24</v>
      </c>
      <c r="F105" s="22" t="s">
        <v>20</v>
      </c>
      <c r="G105" s="22" t="s">
        <v>26</v>
      </c>
      <c r="H105" s="22">
        <v>1</v>
      </c>
      <c r="I105" s="22">
        <v>0</v>
      </c>
      <c r="J105" s="22">
        <v>0</v>
      </c>
      <c r="K105" s="22">
        <v>0</v>
      </c>
      <c r="L105" s="22">
        <v>0</v>
      </c>
      <c r="M105" s="22">
        <v>1</v>
      </c>
      <c r="N105" s="22">
        <v>0</v>
      </c>
      <c r="O105" s="22"/>
      <c r="P105" s="22">
        <v>67.2</v>
      </c>
      <c r="Q105" s="22" t="str">
        <f t="shared" si="3"/>
        <v>Normal</v>
      </c>
      <c r="R105" s="26" t="str">
        <f t="shared" si="4"/>
        <v>USR-10010445743ControlSouthMobileEmailFree100001067.2</v>
      </c>
      <c r="S105" s="22" t="str">
        <f t="shared" si="5"/>
        <v>OK</v>
      </c>
    </row>
    <row r="106" spans="1:19" ht="41.4">
      <c r="A106" s="22" t="s">
        <v>136</v>
      </c>
      <c r="B106" s="25">
        <v>45662</v>
      </c>
      <c r="C106" s="22" t="s">
        <v>17</v>
      </c>
      <c r="D106" s="22" t="s">
        <v>32</v>
      </c>
      <c r="E106" s="22" t="s">
        <v>24</v>
      </c>
      <c r="F106" s="22" t="s">
        <v>41</v>
      </c>
      <c r="G106" s="22" t="s">
        <v>26</v>
      </c>
      <c r="H106" s="22">
        <v>1</v>
      </c>
      <c r="I106" s="22">
        <v>1</v>
      </c>
      <c r="J106" s="22">
        <v>1</v>
      </c>
      <c r="K106" s="22">
        <v>0</v>
      </c>
      <c r="L106" s="22">
        <v>0</v>
      </c>
      <c r="M106" s="22">
        <v>0</v>
      </c>
      <c r="N106" s="22">
        <v>0</v>
      </c>
      <c r="O106" s="22"/>
      <c r="P106" s="22">
        <v>79.599999999999994</v>
      </c>
      <c r="Q106" s="22" t="str">
        <f t="shared" si="3"/>
        <v>Normal</v>
      </c>
      <c r="R106" s="26" t="str">
        <f t="shared" si="4"/>
        <v>USR-10010545662ControlSouthMobileSocialFree111000079.6</v>
      </c>
      <c r="S106" s="22" t="str">
        <f t="shared" si="5"/>
        <v>OK</v>
      </c>
    </row>
    <row r="107" spans="1:19" ht="41.4">
      <c r="A107" s="22" t="s">
        <v>137</v>
      </c>
      <c r="B107" s="25">
        <v>45682</v>
      </c>
      <c r="C107" s="22" t="s">
        <v>17</v>
      </c>
      <c r="D107" s="22" t="s">
        <v>32</v>
      </c>
      <c r="E107" s="22" t="s">
        <v>24</v>
      </c>
      <c r="F107" s="22" t="s">
        <v>41</v>
      </c>
      <c r="G107" s="22" t="s">
        <v>21</v>
      </c>
      <c r="H107" s="22">
        <v>1</v>
      </c>
      <c r="I107" s="22">
        <v>1</v>
      </c>
      <c r="J107" s="22">
        <v>1</v>
      </c>
      <c r="K107" s="22">
        <v>1</v>
      </c>
      <c r="L107" s="22">
        <v>8610.7199999999993</v>
      </c>
      <c r="M107" s="22">
        <v>0</v>
      </c>
      <c r="N107" s="22">
        <v>0</v>
      </c>
      <c r="O107" s="22">
        <v>6</v>
      </c>
      <c r="P107" s="22">
        <v>61</v>
      </c>
      <c r="Q107" s="22" t="str">
        <f t="shared" si="3"/>
        <v>Outlier</v>
      </c>
      <c r="R107" s="26" t="str">
        <f t="shared" si="4"/>
        <v>USR-10010645682ControlSouthMobileSocialBasic11118610.7200661</v>
      </c>
      <c r="S107" s="22" t="str">
        <f t="shared" si="5"/>
        <v>OK</v>
      </c>
    </row>
    <row r="108" spans="1:19" ht="41.4">
      <c r="A108" s="22" t="s">
        <v>138</v>
      </c>
      <c r="B108" s="25">
        <v>45680</v>
      </c>
      <c r="C108" s="22" t="s">
        <v>17</v>
      </c>
      <c r="D108" s="22" t="s">
        <v>23</v>
      </c>
      <c r="E108" s="22" t="s">
        <v>24</v>
      </c>
      <c r="F108" s="22" t="s">
        <v>20</v>
      </c>
      <c r="G108" s="22" t="s">
        <v>26</v>
      </c>
      <c r="H108" s="22">
        <v>1</v>
      </c>
      <c r="I108" s="22">
        <v>1</v>
      </c>
      <c r="J108" s="22">
        <v>1</v>
      </c>
      <c r="K108" s="22">
        <v>0</v>
      </c>
      <c r="L108" s="22">
        <v>0</v>
      </c>
      <c r="M108" s="22">
        <v>4</v>
      </c>
      <c r="N108" s="22">
        <v>0</v>
      </c>
      <c r="O108" s="22"/>
      <c r="P108" s="22">
        <v>51.1</v>
      </c>
      <c r="Q108" s="22" t="str">
        <f t="shared" si="3"/>
        <v>Normal</v>
      </c>
      <c r="R108" s="26" t="str">
        <f t="shared" si="4"/>
        <v>USR-10010745680ControlWestMobileEmailFree111004051.1</v>
      </c>
      <c r="S108" s="22" t="str">
        <f t="shared" si="5"/>
        <v>OK</v>
      </c>
    </row>
    <row r="109" spans="1:19" ht="41.4">
      <c r="A109" s="22" t="s">
        <v>139</v>
      </c>
      <c r="B109" s="25">
        <v>45802</v>
      </c>
      <c r="C109" s="22" t="s">
        <v>17</v>
      </c>
      <c r="D109" s="22" t="s">
        <v>28</v>
      </c>
      <c r="E109" s="22" t="s">
        <v>19</v>
      </c>
      <c r="F109" s="22" t="s">
        <v>39</v>
      </c>
      <c r="G109" s="22" t="s">
        <v>26</v>
      </c>
      <c r="H109" s="22">
        <v>1</v>
      </c>
      <c r="I109" s="22">
        <v>0</v>
      </c>
      <c r="J109" s="22">
        <v>0</v>
      </c>
      <c r="K109" s="22">
        <v>0</v>
      </c>
      <c r="L109" s="22">
        <v>0</v>
      </c>
      <c r="M109" s="22">
        <v>0</v>
      </c>
      <c r="N109" s="22">
        <v>0</v>
      </c>
      <c r="O109" s="22"/>
      <c r="P109" s="22">
        <v>92.1</v>
      </c>
      <c r="Q109" s="22" t="str">
        <f t="shared" si="3"/>
        <v>Normal</v>
      </c>
      <c r="R109" s="26" t="str">
        <f t="shared" si="4"/>
        <v>USR-10010845802ControlEastDesktopReferralFree100000092.1</v>
      </c>
      <c r="S109" s="22" t="str">
        <f t="shared" si="5"/>
        <v>OK</v>
      </c>
    </row>
    <row r="110" spans="1:19" ht="41.4">
      <c r="A110" s="22" t="s">
        <v>140</v>
      </c>
      <c r="B110" s="25">
        <v>45738</v>
      </c>
      <c r="C110" s="22" t="s">
        <v>17</v>
      </c>
      <c r="D110" s="22" t="s">
        <v>32</v>
      </c>
      <c r="E110" s="22" t="s">
        <v>24</v>
      </c>
      <c r="F110" s="22" t="s">
        <v>39</v>
      </c>
      <c r="G110" s="22" t="s">
        <v>21</v>
      </c>
      <c r="H110" s="22">
        <v>0</v>
      </c>
      <c r="I110" s="22">
        <v>0</v>
      </c>
      <c r="J110" s="22">
        <v>0</v>
      </c>
      <c r="K110" s="22">
        <v>0</v>
      </c>
      <c r="L110" s="22">
        <v>0</v>
      </c>
      <c r="M110" s="22">
        <v>0</v>
      </c>
      <c r="N110" s="22">
        <v>0</v>
      </c>
      <c r="O110" s="22"/>
      <c r="P110" s="22">
        <v>82.1</v>
      </c>
      <c r="Q110" s="22" t="str">
        <f t="shared" si="3"/>
        <v>Normal</v>
      </c>
      <c r="R110" s="26" t="str">
        <f t="shared" si="4"/>
        <v>USR-10010945738ControlSouthMobileReferralBasic000000082.1</v>
      </c>
      <c r="S110" s="22" t="str">
        <f t="shared" si="5"/>
        <v>OK</v>
      </c>
    </row>
    <row r="111" spans="1:19" ht="41.4">
      <c r="A111" s="22" t="s">
        <v>141</v>
      </c>
      <c r="B111" s="25">
        <v>45700</v>
      </c>
      <c r="C111" s="22" t="s">
        <v>17</v>
      </c>
      <c r="D111" s="22" t="s">
        <v>23</v>
      </c>
      <c r="E111" s="22" t="s">
        <v>19</v>
      </c>
      <c r="F111" s="22" t="s">
        <v>29</v>
      </c>
      <c r="G111" s="22" t="s">
        <v>21</v>
      </c>
      <c r="H111" s="22">
        <v>1</v>
      </c>
      <c r="I111" s="22">
        <v>0</v>
      </c>
      <c r="J111" s="22">
        <v>0</v>
      </c>
      <c r="K111" s="22">
        <v>0</v>
      </c>
      <c r="L111" s="22">
        <v>0</v>
      </c>
      <c r="M111" s="22">
        <v>1</v>
      </c>
      <c r="N111" s="22">
        <v>0</v>
      </c>
      <c r="O111" s="22"/>
      <c r="P111" s="22">
        <v>74</v>
      </c>
      <c r="Q111" s="22" t="str">
        <f t="shared" si="3"/>
        <v>Normal</v>
      </c>
      <c r="R111" s="26" t="str">
        <f t="shared" si="4"/>
        <v>USR-10011045700ControlWestDesktopPaid SearchBasic100001074</v>
      </c>
      <c r="S111" s="22" t="str">
        <f t="shared" si="5"/>
        <v>OK</v>
      </c>
    </row>
    <row r="112" spans="1:19" ht="41.4">
      <c r="A112" s="22" t="s">
        <v>142</v>
      </c>
      <c r="B112" s="25">
        <v>45775</v>
      </c>
      <c r="C112" s="22" t="s">
        <v>17</v>
      </c>
      <c r="D112" s="22" t="s">
        <v>23</v>
      </c>
      <c r="E112" s="22" t="s">
        <v>19</v>
      </c>
      <c r="F112" s="22" t="s">
        <v>25</v>
      </c>
      <c r="G112" s="22" t="s">
        <v>21</v>
      </c>
      <c r="H112" s="22">
        <v>1</v>
      </c>
      <c r="I112" s="22">
        <v>0</v>
      </c>
      <c r="J112" s="22">
        <v>0</v>
      </c>
      <c r="K112" s="22">
        <v>0</v>
      </c>
      <c r="L112" s="22">
        <v>0</v>
      </c>
      <c r="M112" s="22">
        <v>0</v>
      </c>
      <c r="N112" s="22">
        <v>0</v>
      </c>
      <c r="O112" s="22"/>
      <c r="P112" s="22">
        <v>63.4</v>
      </c>
      <c r="Q112" s="22" t="str">
        <f t="shared" si="3"/>
        <v>Normal</v>
      </c>
      <c r="R112" s="26" t="str">
        <f t="shared" si="4"/>
        <v>USR-10011145775ControlWestDesktopOrganicBasic100000063.4</v>
      </c>
      <c r="S112" s="22" t="str">
        <f t="shared" si="5"/>
        <v>OK</v>
      </c>
    </row>
    <row r="113" spans="1:19" ht="41.4">
      <c r="A113" s="22" t="s">
        <v>143</v>
      </c>
      <c r="B113" s="25">
        <v>45687</v>
      </c>
      <c r="C113" s="22" t="s">
        <v>17</v>
      </c>
      <c r="D113" s="22" t="s">
        <v>18</v>
      </c>
      <c r="E113" s="22" t="s">
        <v>24</v>
      </c>
      <c r="F113" s="22" t="s">
        <v>25</v>
      </c>
      <c r="G113" s="22" t="s">
        <v>21</v>
      </c>
      <c r="H113" s="22">
        <v>1</v>
      </c>
      <c r="I113" s="22">
        <v>0</v>
      </c>
      <c r="J113" s="22">
        <v>0</v>
      </c>
      <c r="K113" s="22">
        <v>0</v>
      </c>
      <c r="L113" s="22">
        <v>0</v>
      </c>
      <c r="M113" s="22">
        <v>0</v>
      </c>
      <c r="N113" s="22">
        <v>0</v>
      </c>
      <c r="O113" s="22"/>
      <c r="P113" s="22">
        <v>53.2</v>
      </c>
      <c r="Q113" s="22" t="str">
        <f t="shared" si="3"/>
        <v>Normal</v>
      </c>
      <c r="R113" s="26" t="str">
        <f t="shared" si="4"/>
        <v>USR-10011245687ControlNorthMobileOrganicBasic100000053.2</v>
      </c>
      <c r="S113" s="22" t="str">
        <f t="shared" si="5"/>
        <v>OK</v>
      </c>
    </row>
    <row r="114" spans="1:19" ht="41.4">
      <c r="A114" s="22" t="s">
        <v>144</v>
      </c>
      <c r="B114" s="25">
        <v>45796</v>
      </c>
      <c r="C114" s="22" t="s">
        <v>17</v>
      </c>
      <c r="D114" s="22" t="s">
        <v>28</v>
      </c>
      <c r="E114" s="22" t="s">
        <v>34</v>
      </c>
      <c r="F114" s="22" t="s">
        <v>29</v>
      </c>
      <c r="G114" s="22" t="s">
        <v>26</v>
      </c>
      <c r="H114" s="22">
        <v>0</v>
      </c>
      <c r="I114" s="22">
        <v>0</v>
      </c>
      <c r="J114" s="22">
        <v>0</v>
      </c>
      <c r="K114" s="22">
        <v>0</v>
      </c>
      <c r="L114" s="22">
        <v>0</v>
      </c>
      <c r="M114" s="22">
        <v>0</v>
      </c>
      <c r="N114" s="22">
        <v>0</v>
      </c>
      <c r="O114" s="22"/>
      <c r="P114" s="22">
        <v>48.1</v>
      </c>
      <c r="Q114" s="22" t="str">
        <f t="shared" si="3"/>
        <v>Normal</v>
      </c>
      <c r="R114" s="26" t="str">
        <f t="shared" si="4"/>
        <v>USR-10011345796ControlEastTabletPaid SearchFree000000048.1</v>
      </c>
      <c r="S114" s="22" t="str">
        <f t="shared" si="5"/>
        <v>OK</v>
      </c>
    </row>
    <row r="115" spans="1:19" ht="41.4">
      <c r="A115" s="22" t="s">
        <v>145</v>
      </c>
      <c r="B115" s="25">
        <v>45680</v>
      </c>
      <c r="C115" s="22" t="s">
        <v>17</v>
      </c>
      <c r="D115" s="22" t="s">
        <v>32</v>
      </c>
      <c r="E115" s="22" t="s">
        <v>24</v>
      </c>
      <c r="F115" s="22" t="s">
        <v>41</v>
      </c>
      <c r="G115" s="22" t="s">
        <v>26</v>
      </c>
      <c r="H115" s="22">
        <v>1</v>
      </c>
      <c r="I115" s="22">
        <v>1</v>
      </c>
      <c r="J115" s="22">
        <v>0</v>
      </c>
      <c r="K115" s="22">
        <v>0</v>
      </c>
      <c r="L115" s="22">
        <v>0</v>
      </c>
      <c r="M115" s="22">
        <v>0</v>
      </c>
      <c r="N115" s="22">
        <v>0</v>
      </c>
      <c r="O115" s="22"/>
      <c r="P115" s="22">
        <v>61.5</v>
      </c>
      <c r="Q115" s="22" t="str">
        <f t="shared" si="3"/>
        <v>Normal</v>
      </c>
      <c r="R115" s="26" t="str">
        <f t="shared" si="4"/>
        <v>USR-10011445680ControlSouthMobileSocialFree110000061.5</v>
      </c>
      <c r="S115" s="22" t="str">
        <f t="shared" si="5"/>
        <v>OK</v>
      </c>
    </row>
    <row r="116" spans="1:19" ht="41.4">
      <c r="A116" s="22" t="s">
        <v>146</v>
      </c>
      <c r="B116" s="25">
        <v>45744</v>
      </c>
      <c r="C116" s="22" t="s">
        <v>17</v>
      </c>
      <c r="D116" s="22" t="s">
        <v>28</v>
      </c>
      <c r="E116" s="22" t="s">
        <v>19</v>
      </c>
      <c r="F116" s="22" t="s">
        <v>41</v>
      </c>
      <c r="G116" s="22" t="s">
        <v>26</v>
      </c>
      <c r="H116" s="22">
        <v>1</v>
      </c>
      <c r="I116" s="22">
        <v>0</v>
      </c>
      <c r="J116" s="22">
        <v>0</v>
      </c>
      <c r="K116" s="22">
        <v>0</v>
      </c>
      <c r="L116" s="22">
        <v>0</v>
      </c>
      <c r="M116" s="22">
        <v>0</v>
      </c>
      <c r="N116" s="22">
        <v>0</v>
      </c>
      <c r="O116" s="22"/>
      <c r="P116" s="22">
        <v>63.2</v>
      </c>
      <c r="Q116" s="22" t="str">
        <f t="shared" si="3"/>
        <v>Normal</v>
      </c>
      <c r="R116" s="26" t="str">
        <f t="shared" si="4"/>
        <v>USR-10011545744ControlEastDesktopSocialFree100000063.2</v>
      </c>
      <c r="S116" s="22" t="str">
        <f t="shared" si="5"/>
        <v>OK</v>
      </c>
    </row>
    <row r="117" spans="1:19" ht="41.4">
      <c r="A117" s="22" t="s">
        <v>147</v>
      </c>
      <c r="B117" s="25">
        <v>45668</v>
      </c>
      <c r="C117" s="22" t="s">
        <v>17</v>
      </c>
      <c r="D117" s="22" t="s">
        <v>23</v>
      </c>
      <c r="E117" s="22" t="s">
        <v>24</v>
      </c>
      <c r="F117" s="22" t="s">
        <v>25</v>
      </c>
      <c r="G117" s="22" t="s">
        <v>26</v>
      </c>
      <c r="H117" s="22">
        <v>0</v>
      </c>
      <c r="I117" s="22">
        <v>0</v>
      </c>
      <c r="J117" s="22">
        <v>0</v>
      </c>
      <c r="K117" s="22">
        <v>0</v>
      </c>
      <c r="L117" s="22">
        <v>0</v>
      </c>
      <c r="M117" s="22">
        <v>0</v>
      </c>
      <c r="N117" s="22">
        <v>0</v>
      </c>
      <c r="O117" s="22"/>
      <c r="P117" s="22">
        <v>71.900000000000006</v>
      </c>
      <c r="Q117" s="22" t="str">
        <f t="shared" si="3"/>
        <v>Normal</v>
      </c>
      <c r="R117" s="26" t="str">
        <f t="shared" si="4"/>
        <v>USR-10011645668ControlWestMobileOrganicFree000000071.9</v>
      </c>
      <c r="S117" s="22" t="str">
        <f t="shared" si="5"/>
        <v>OK</v>
      </c>
    </row>
    <row r="118" spans="1:19" ht="41.4">
      <c r="A118" s="22" t="s">
        <v>148</v>
      </c>
      <c r="B118" s="25">
        <v>45758</v>
      </c>
      <c r="C118" s="22" t="s">
        <v>17</v>
      </c>
      <c r="D118" s="22" t="s">
        <v>18</v>
      </c>
      <c r="E118" s="22" t="s">
        <v>24</v>
      </c>
      <c r="F118" s="22" t="s">
        <v>39</v>
      </c>
      <c r="G118" s="22" t="s">
        <v>26</v>
      </c>
      <c r="H118" s="22">
        <v>0</v>
      </c>
      <c r="I118" s="22">
        <v>0</v>
      </c>
      <c r="J118" s="22">
        <v>0</v>
      </c>
      <c r="K118" s="22">
        <v>0</v>
      </c>
      <c r="L118" s="22">
        <v>0</v>
      </c>
      <c r="M118" s="22">
        <v>0</v>
      </c>
      <c r="N118" s="22">
        <v>0</v>
      </c>
      <c r="O118" s="22"/>
      <c r="P118" s="22">
        <v>62.7</v>
      </c>
      <c r="Q118" s="22" t="str">
        <f t="shared" si="3"/>
        <v>Normal</v>
      </c>
      <c r="R118" s="26" t="str">
        <f t="shared" si="4"/>
        <v>USR-10011745758ControlNorthMobileReferralFree000000062.7</v>
      </c>
      <c r="S118" s="22" t="str">
        <f t="shared" si="5"/>
        <v>OK</v>
      </c>
    </row>
    <row r="119" spans="1:19" ht="41.4">
      <c r="A119" s="22" t="s">
        <v>149</v>
      </c>
      <c r="B119" s="25">
        <v>45659</v>
      </c>
      <c r="C119" s="22" t="s">
        <v>17</v>
      </c>
      <c r="D119" s="22" t="s">
        <v>23</v>
      </c>
      <c r="E119" s="22" t="s">
        <v>24</v>
      </c>
      <c r="F119" s="22" t="s">
        <v>29</v>
      </c>
      <c r="G119" s="22" t="s">
        <v>26</v>
      </c>
      <c r="H119" s="22">
        <v>1</v>
      </c>
      <c r="I119" s="22">
        <v>0</v>
      </c>
      <c r="J119" s="22">
        <v>0</v>
      </c>
      <c r="K119" s="22">
        <v>0</v>
      </c>
      <c r="L119" s="22">
        <v>0</v>
      </c>
      <c r="M119" s="22">
        <v>0</v>
      </c>
      <c r="N119" s="22">
        <v>0</v>
      </c>
      <c r="O119" s="22"/>
      <c r="P119" s="22">
        <v>51.5</v>
      </c>
      <c r="Q119" s="22" t="str">
        <f t="shared" si="3"/>
        <v>Normal</v>
      </c>
      <c r="R119" s="26" t="str">
        <f t="shared" si="4"/>
        <v>USR-10011845659ControlWestMobilePaid SearchFree100000051.5</v>
      </c>
      <c r="S119" s="22" t="str">
        <f t="shared" si="5"/>
        <v>OK</v>
      </c>
    </row>
    <row r="120" spans="1:19" ht="41.4">
      <c r="A120" s="22" t="s">
        <v>150</v>
      </c>
      <c r="B120" s="25">
        <v>45734</v>
      </c>
      <c r="C120" s="22" t="s">
        <v>17</v>
      </c>
      <c r="D120" s="22" t="s">
        <v>28</v>
      </c>
      <c r="E120" s="22" t="s">
        <v>24</v>
      </c>
      <c r="F120" s="22" t="s">
        <v>41</v>
      </c>
      <c r="G120" s="22" t="s">
        <v>26</v>
      </c>
      <c r="H120" s="22">
        <v>1</v>
      </c>
      <c r="I120" s="22">
        <v>1</v>
      </c>
      <c r="J120" s="22">
        <v>1</v>
      </c>
      <c r="K120" s="22">
        <v>0</v>
      </c>
      <c r="L120" s="22">
        <v>0</v>
      </c>
      <c r="M120" s="22">
        <v>0</v>
      </c>
      <c r="N120" s="22">
        <v>0</v>
      </c>
      <c r="O120" s="22"/>
      <c r="P120" s="22">
        <v>39.1</v>
      </c>
      <c r="Q120" s="22" t="str">
        <f t="shared" si="3"/>
        <v>Normal</v>
      </c>
      <c r="R120" s="26" t="str">
        <f t="shared" si="4"/>
        <v>USR-10011945734ControlEastMobileSocialFree111000039.1</v>
      </c>
      <c r="S120" s="22" t="str">
        <f t="shared" si="5"/>
        <v>OK</v>
      </c>
    </row>
    <row r="121" spans="1:19" ht="41.4">
      <c r="A121" s="22" t="s">
        <v>151</v>
      </c>
      <c r="B121" s="25">
        <v>45747</v>
      </c>
      <c r="C121" s="22" t="s">
        <v>17</v>
      </c>
      <c r="D121" s="22" t="s">
        <v>18</v>
      </c>
      <c r="E121" s="22" t="s">
        <v>24</v>
      </c>
      <c r="F121" s="22" t="s">
        <v>20</v>
      </c>
      <c r="G121" s="22" t="s">
        <v>26</v>
      </c>
      <c r="H121" s="22">
        <v>1</v>
      </c>
      <c r="I121" s="22">
        <v>0</v>
      </c>
      <c r="J121" s="22">
        <v>0</v>
      </c>
      <c r="K121" s="22">
        <v>0</v>
      </c>
      <c r="L121" s="22">
        <v>0</v>
      </c>
      <c r="M121" s="22">
        <v>0</v>
      </c>
      <c r="N121" s="22">
        <v>0</v>
      </c>
      <c r="O121" s="22"/>
      <c r="P121" s="22">
        <v>43.8</v>
      </c>
      <c r="Q121" s="22" t="str">
        <f t="shared" si="3"/>
        <v>Normal</v>
      </c>
      <c r="R121" s="26" t="str">
        <f t="shared" si="4"/>
        <v>USR-10012045747ControlNorthMobileEmailFree100000043.8</v>
      </c>
      <c r="S121" s="22" t="str">
        <f t="shared" si="5"/>
        <v>OK</v>
      </c>
    </row>
    <row r="122" spans="1:19" ht="41.4">
      <c r="A122" s="22" t="s">
        <v>152</v>
      </c>
      <c r="B122" s="25">
        <v>45663</v>
      </c>
      <c r="C122" s="22" t="s">
        <v>17</v>
      </c>
      <c r="D122" s="22" t="s">
        <v>18</v>
      </c>
      <c r="E122" s="22" t="s">
        <v>24</v>
      </c>
      <c r="F122" s="22" t="s">
        <v>29</v>
      </c>
      <c r="G122" s="22" t="s">
        <v>21</v>
      </c>
      <c r="H122" s="22">
        <v>1</v>
      </c>
      <c r="I122" s="22">
        <v>0</v>
      </c>
      <c r="J122" s="22">
        <v>0</v>
      </c>
      <c r="K122" s="22">
        <v>0</v>
      </c>
      <c r="L122" s="22">
        <v>0</v>
      </c>
      <c r="M122" s="22">
        <v>0</v>
      </c>
      <c r="N122" s="22">
        <v>0</v>
      </c>
      <c r="O122" s="22"/>
      <c r="P122" s="22">
        <v>59.9</v>
      </c>
      <c r="Q122" s="22" t="str">
        <f t="shared" si="3"/>
        <v>Normal</v>
      </c>
      <c r="R122" s="26" t="str">
        <f t="shared" si="4"/>
        <v>USR-10012145663ControlNorthMobilePaid SearchBasic100000059.9</v>
      </c>
      <c r="S122" s="22" t="str">
        <f t="shared" si="5"/>
        <v>OK</v>
      </c>
    </row>
    <row r="123" spans="1:19" ht="41.4">
      <c r="A123" s="22" t="s">
        <v>153</v>
      </c>
      <c r="B123" s="25">
        <v>45683</v>
      </c>
      <c r="C123" s="22" t="s">
        <v>17</v>
      </c>
      <c r="D123" s="22" t="s">
        <v>18</v>
      </c>
      <c r="E123" s="22" t="s">
        <v>24</v>
      </c>
      <c r="F123" s="22" t="s">
        <v>39</v>
      </c>
      <c r="G123" s="22" t="s">
        <v>26</v>
      </c>
      <c r="H123" s="22">
        <v>1</v>
      </c>
      <c r="I123" s="22">
        <v>1</v>
      </c>
      <c r="J123" s="22">
        <v>0</v>
      </c>
      <c r="K123" s="22">
        <v>0</v>
      </c>
      <c r="L123" s="22">
        <v>0</v>
      </c>
      <c r="M123" s="22">
        <v>0</v>
      </c>
      <c r="N123" s="22">
        <v>0</v>
      </c>
      <c r="O123" s="22"/>
      <c r="P123" s="22">
        <v>71.400000000000006</v>
      </c>
      <c r="Q123" s="22" t="str">
        <f t="shared" si="3"/>
        <v>Normal</v>
      </c>
      <c r="R123" s="26" t="str">
        <f t="shared" si="4"/>
        <v>USR-10012245683ControlNorthMobileReferralFree110000071.4</v>
      </c>
      <c r="S123" s="22" t="str">
        <f t="shared" si="5"/>
        <v>OK</v>
      </c>
    </row>
    <row r="124" spans="1:19" ht="41.4">
      <c r="A124" s="22" t="s">
        <v>154</v>
      </c>
      <c r="B124" s="25">
        <v>45769</v>
      </c>
      <c r="C124" s="22" t="s">
        <v>17</v>
      </c>
      <c r="D124" s="22" t="s">
        <v>32</v>
      </c>
      <c r="E124" s="22" t="s">
        <v>24</v>
      </c>
      <c r="F124" s="22" t="s">
        <v>39</v>
      </c>
      <c r="G124" s="22" t="s">
        <v>21</v>
      </c>
      <c r="H124" s="22">
        <v>0</v>
      </c>
      <c r="I124" s="22">
        <v>0</v>
      </c>
      <c r="J124" s="22">
        <v>0</v>
      </c>
      <c r="K124" s="22">
        <v>0</v>
      </c>
      <c r="L124" s="22">
        <v>0</v>
      </c>
      <c r="M124" s="22">
        <v>0</v>
      </c>
      <c r="N124" s="22">
        <v>0</v>
      </c>
      <c r="O124" s="22"/>
      <c r="P124" s="22">
        <v>36.1</v>
      </c>
      <c r="Q124" s="22" t="str">
        <f t="shared" si="3"/>
        <v>Normal</v>
      </c>
      <c r="R124" s="26" t="str">
        <f t="shared" si="4"/>
        <v>USR-10012345769ControlSouthMobileReferralBasic000000036.1</v>
      </c>
      <c r="S124" s="22" t="str">
        <f t="shared" si="5"/>
        <v>OK</v>
      </c>
    </row>
    <row r="125" spans="1:19" ht="41.4">
      <c r="A125" s="22" t="s">
        <v>155</v>
      </c>
      <c r="B125" s="25">
        <v>45807</v>
      </c>
      <c r="C125" s="22" t="s">
        <v>17</v>
      </c>
      <c r="D125" s="22" t="s">
        <v>23</v>
      </c>
      <c r="E125" s="22"/>
      <c r="F125" s="22" t="s">
        <v>20</v>
      </c>
      <c r="G125" s="22" t="s">
        <v>21</v>
      </c>
      <c r="H125" s="22">
        <v>1</v>
      </c>
      <c r="I125" s="22">
        <v>1</v>
      </c>
      <c r="J125" s="22">
        <v>0</v>
      </c>
      <c r="K125" s="22">
        <v>0</v>
      </c>
      <c r="L125" s="22">
        <v>0</v>
      </c>
      <c r="M125" s="22">
        <v>0</v>
      </c>
      <c r="N125" s="22">
        <v>0</v>
      </c>
      <c r="O125" s="22"/>
      <c r="P125" s="22">
        <v>47.9</v>
      </c>
      <c r="Q125" s="22" t="str">
        <f t="shared" si="3"/>
        <v>Normal</v>
      </c>
      <c r="R125" s="26" t="str">
        <f t="shared" si="4"/>
        <v>USR-10012445807ControlWestEmailBasic110000047.9</v>
      </c>
      <c r="S125" s="22" t="str">
        <f t="shared" si="5"/>
        <v>OK</v>
      </c>
    </row>
    <row r="126" spans="1:19" ht="41.4">
      <c r="A126" s="22" t="s">
        <v>156</v>
      </c>
      <c r="B126" s="25">
        <v>45795</v>
      </c>
      <c r="C126" s="22" t="s">
        <v>17</v>
      </c>
      <c r="D126" s="22" t="s">
        <v>23</v>
      </c>
      <c r="E126" s="22" t="s">
        <v>19</v>
      </c>
      <c r="F126" s="22" t="s">
        <v>25</v>
      </c>
      <c r="G126" s="22" t="s">
        <v>30</v>
      </c>
      <c r="H126" s="22">
        <v>1</v>
      </c>
      <c r="I126" s="22">
        <v>0</v>
      </c>
      <c r="J126" s="22">
        <v>0</v>
      </c>
      <c r="K126" s="22">
        <v>0</v>
      </c>
      <c r="L126" s="22">
        <v>0</v>
      </c>
      <c r="M126" s="22">
        <v>0</v>
      </c>
      <c r="N126" s="22">
        <v>0</v>
      </c>
      <c r="O126" s="22"/>
      <c r="P126" s="22">
        <v>62.5</v>
      </c>
      <c r="Q126" s="22" t="str">
        <f t="shared" si="3"/>
        <v>Normal</v>
      </c>
      <c r="R126" s="26" t="str">
        <f t="shared" si="4"/>
        <v>USR-10012545795ControlWestDesktopOrganicPremium100000062.5</v>
      </c>
      <c r="S126" s="22" t="str">
        <f t="shared" si="5"/>
        <v>OK</v>
      </c>
    </row>
    <row r="127" spans="1:19" ht="41.4">
      <c r="A127" s="22" t="s">
        <v>157</v>
      </c>
      <c r="B127" s="25">
        <v>45670</v>
      </c>
      <c r="C127" s="22" t="s">
        <v>17</v>
      </c>
      <c r="D127" s="22" t="s">
        <v>32</v>
      </c>
      <c r="E127" s="22" t="s">
        <v>19</v>
      </c>
      <c r="F127" s="22" t="s">
        <v>29</v>
      </c>
      <c r="G127" s="22" t="s">
        <v>30</v>
      </c>
      <c r="H127" s="22">
        <v>1</v>
      </c>
      <c r="I127" s="22">
        <v>0</v>
      </c>
      <c r="J127" s="22">
        <v>0</v>
      </c>
      <c r="K127" s="22">
        <v>0</v>
      </c>
      <c r="L127" s="22">
        <v>0</v>
      </c>
      <c r="M127" s="22">
        <v>0</v>
      </c>
      <c r="N127" s="22">
        <v>0</v>
      </c>
      <c r="O127" s="22"/>
      <c r="P127" s="22">
        <v>56.9</v>
      </c>
      <c r="Q127" s="22" t="str">
        <f t="shared" si="3"/>
        <v>Normal</v>
      </c>
      <c r="R127" s="26" t="str">
        <f t="shared" si="4"/>
        <v>USR-10012645670ControlSouthDesktopPaid SearchPremium100000056.9</v>
      </c>
      <c r="S127" s="22" t="str">
        <f t="shared" si="5"/>
        <v>OK</v>
      </c>
    </row>
    <row r="128" spans="1:19" ht="41.4">
      <c r="A128" s="22" t="s">
        <v>158</v>
      </c>
      <c r="B128" s="25">
        <v>45741</v>
      </c>
      <c r="C128" s="22" t="s">
        <v>17</v>
      </c>
      <c r="D128" s="22" t="s">
        <v>18</v>
      </c>
      <c r="E128" s="22" t="s">
        <v>19</v>
      </c>
      <c r="F128" s="22" t="s">
        <v>20</v>
      </c>
      <c r="G128" s="22" t="s">
        <v>26</v>
      </c>
      <c r="H128" s="22">
        <v>0</v>
      </c>
      <c r="I128" s="22">
        <v>0</v>
      </c>
      <c r="J128" s="22">
        <v>0</v>
      </c>
      <c r="K128" s="22">
        <v>0</v>
      </c>
      <c r="L128" s="22">
        <v>0</v>
      </c>
      <c r="M128" s="22">
        <v>0</v>
      </c>
      <c r="N128" s="22">
        <v>0</v>
      </c>
      <c r="O128" s="22"/>
      <c r="P128" s="22">
        <v>64.7</v>
      </c>
      <c r="Q128" s="22" t="str">
        <f t="shared" si="3"/>
        <v>Normal</v>
      </c>
      <c r="R128" s="26" t="str">
        <f t="shared" si="4"/>
        <v>USR-10012745741ControlNorthDesktopEmailFree000000064.7</v>
      </c>
      <c r="S128" s="22" t="str">
        <f t="shared" si="5"/>
        <v>OK</v>
      </c>
    </row>
    <row r="129" spans="1:19" ht="41.4">
      <c r="A129" s="22" t="s">
        <v>159</v>
      </c>
      <c r="B129" s="25">
        <v>45776</v>
      </c>
      <c r="C129" s="22" t="s">
        <v>17</v>
      </c>
      <c r="D129" s="22" t="s">
        <v>32</v>
      </c>
      <c r="E129" s="22" t="s">
        <v>19</v>
      </c>
      <c r="F129" s="22" t="s">
        <v>25</v>
      </c>
      <c r="G129" s="22" t="s">
        <v>26</v>
      </c>
      <c r="H129" s="22">
        <v>1</v>
      </c>
      <c r="I129" s="22">
        <v>1</v>
      </c>
      <c r="J129" s="22">
        <v>1</v>
      </c>
      <c r="K129" s="22">
        <v>0</v>
      </c>
      <c r="L129" s="22">
        <v>0</v>
      </c>
      <c r="M129" s="22">
        <v>0</v>
      </c>
      <c r="N129" s="22">
        <v>0</v>
      </c>
      <c r="O129" s="22"/>
      <c r="P129" s="22">
        <v>64</v>
      </c>
      <c r="Q129" s="22" t="str">
        <f t="shared" si="3"/>
        <v>Normal</v>
      </c>
      <c r="R129" s="26" t="str">
        <f t="shared" si="4"/>
        <v>USR-10012845776ControlSouthDesktopOrganicFree111000064</v>
      </c>
      <c r="S129" s="22" t="str">
        <f t="shared" si="5"/>
        <v>OK</v>
      </c>
    </row>
    <row r="130" spans="1:19" ht="41.4">
      <c r="A130" s="22" t="s">
        <v>160</v>
      </c>
      <c r="B130" s="25">
        <v>45794</v>
      </c>
      <c r="C130" s="22" t="s">
        <v>17</v>
      </c>
      <c r="D130" s="22" t="s">
        <v>28</v>
      </c>
      <c r="E130" s="22" t="s">
        <v>24</v>
      </c>
      <c r="F130" s="22" t="s">
        <v>39</v>
      </c>
      <c r="G130" s="22" t="s">
        <v>21</v>
      </c>
      <c r="H130" s="22">
        <v>1</v>
      </c>
      <c r="I130" s="22">
        <v>1</v>
      </c>
      <c r="J130" s="22">
        <v>1</v>
      </c>
      <c r="K130" s="22">
        <v>0</v>
      </c>
      <c r="L130" s="22">
        <v>0</v>
      </c>
      <c r="M130" s="22">
        <v>0</v>
      </c>
      <c r="N130" s="22">
        <v>0</v>
      </c>
      <c r="O130" s="22"/>
      <c r="P130" s="22">
        <v>75.2</v>
      </c>
      <c r="Q130" s="22" t="str">
        <f t="shared" si="3"/>
        <v>Normal</v>
      </c>
      <c r="R130" s="26" t="str">
        <f t="shared" si="4"/>
        <v>USR-10012945794ControlEastMobileReferralBasic111000075.2</v>
      </c>
      <c r="S130" s="22" t="str">
        <f t="shared" si="5"/>
        <v>OK</v>
      </c>
    </row>
    <row r="131" spans="1:19" ht="41.4">
      <c r="A131" s="22" t="s">
        <v>161</v>
      </c>
      <c r="B131" s="25">
        <v>45659</v>
      </c>
      <c r="C131" s="22" t="s">
        <v>17</v>
      </c>
      <c r="D131" s="22" t="s">
        <v>18</v>
      </c>
      <c r="E131" s="22" t="s">
        <v>24</v>
      </c>
      <c r="F131" s="22" t="s">
        <v>29</v>
      </c>
      <c r="G131" s="22" t="s">
        <v>26</v>
      </c>
      <c r="H131" s="22">
        <v>1</v>
      </c>
      <c r="I131" s="22">
        <v>0</v>
      </c>
      <c r="J131" s="22">
        <v>0</v>
      </c>
      <c r="K131" s="22">
        <v>0</v>
      </c>
      <c r="L131" s="22">
        <v>0</v>
      </c>
      <c r="M131" s="22">
        <v>1</v>
      </c>
      <c r="N131" s="22">
        <v>0</v>
      </c>
      <c r="O131" s="22"/>
      <c r="P131" s="22">
        <v>79</v>
      </c>
      <c r="Q131" s="22" t="str">
        <f t="shared" ref="Q131:Q194" si="6">IF(OR(L131&lt;$V$40,L131&gt;$V$41),"Outlier","Normal")</f>
        <v>Normal</v>
      </c>
      <c r="R131" s="26" t="str">
        <f t="shared" ref="R131:R194" si="7">A131&amp;B131&amp;C131&amp;D131&amp;E131&amp;F131&amp;G131&amp;H131&amp;I131&amp;J131&amp;K131&amp;L131&amp;M131&amp;N131&amp;O131&amp;P131</f>
        <v>USR-10013045659ControlNorthMobilePaid SearchFree100001079</v>
      </c>
      <c r="S131" s="22" t="str">
        <f t="shared" ref="S131:S194" si="8">IF(COUNTIF($R$2:$R$1409,R131)=1,"OK",IF(COUNTIF($R$2:$R$1409,R131)&gt;1,"Exact Duplicate","Review Required"))</f>
        <v>OK</v>
      </c>
    </row>
    <row r="132" spans="1:19" ht="41.4">
      <c r="A132" s="22" t="s">
        <v>162</v>
      </c>
      <c r="B132" s="25">
        <v>45691</v>
      </c>
      <c r="C132" s="22" t="s">
        <v>17</v>
      </c>
      <c r="D132" s="22" t="s">
        <v>32</v>
      </c>
      <c r="E132" s="22" t="s">
        <v>24</v>
      </c>
      <c r="F132" s="22" t="s">
        <v>25</v>
      </c>
      <c r="G132" s="22" t="s">
        <v>26</v>
      </c>
      <c r="H132" s="22">
        <v>0</v>
      </c>
      <c r="I132" s="22">
        <v>0</v>
      </c>
      <c r="J132" s="22">
        <v>0</v>
      </c>
      <c r="K132" s="22">
        <v>0</v>
      </c>
      <c r="L132" s="22">
        <v>0</v>
      </c>
      <c r="M132" s="22">
        <v>0</v>
      </c>
      <c r="N132" s="22">
        <v>0</v>
      </c>
      <c r="O132" s="22"/>
      <c r="P132" s="22">
        <v>33</v>
      </c>
      <c r="Q132" s="22" t="str">
        <f t="shared" si="6"/>
        <v>Normal</v>
      </c>
      <c r="R132" s="26" t="str">
        <f t="shared" si="7"/>
        <v>USR-10013145691ControlSouthMobileOrganicFree000000033</v>
      </c>
      <c r="S132" s="22" t="str">
        <f t="shared" si="8"/>
        <v>OK</v>
      </c>
    </row>
    <row r="133" spans="1:19" ht="41.4">
      <c r="A133" s="22" t="s">
        <v>163</v>
      </c>
      <c r="B133" s="25">
        <v>45720</v>
      </c>
      <c r="C133" s="22" t="s">
        <v>17</v>
      </c>
      <c r="D133" s="22" t="s">
        <v>28</v>
      </c>
      <c r="E133" s="22" t="s">
        <v>24</v>
      </c>
      <c r="F133" s="22" t="s">
        <v>25</v>
      </c>
      <c r="G133" s="22" t="s">
        <v>26</v>
      </c>
      <c r="H133" s="22">
        <v>1</v>
      </c>
      <c r="I133" s="22">
        <v>0</v>
      </c>
      <c r="J133" s="22">
        <v>0</v>
      </c>
      <c r="K133" s="22">
        <v>0</v>
      </c>
      <c r="L133" s="22">
        <v>0</v>
      </c>
      <c r="M133" s="22">
        <v>0</v>
      </c>
      <c r="N133" s="22">
        <v>0</v>
      </c>
      <c r="O133" s="22"/>
      <c r="P133" s="22">
        <v>67.900000000000006</v>
      </c>
      <c r="Q133" s="22" t="str">
        <f t="shared" si="6"/>
        <v>Normal</v>
      </c>
      <c r="R133" s="26" t="str">
        <f t="shared" si="7"/>
        <v>USR-10013245720ControlEastMobileOrganicFree100000067.9</v>
      </c>
      <c r="S133" s="22" t="str">
        <f t="shared" si="8"/>
        <v>OK</v>
      </c>
    </row>
    <row r="134" spans="1:19" ht="41.4">
      <c r="A134" s="22" t="s">
        <v>164</v>
      </c>
      <c r="B134" s="25">
        <v>45683</v>
      </c>
      <c r="C134" s="22" t="s">
        <v>17</v>
      </c>
      <c r="D134" s="22" t="s">
        <v>32</v>
      </c>
      <c r="E134" s="22" t="s">
        <v>24</v>
      </c>
      <c r="F134" s="22" t="s">
        <v>29</v>
      </c>
      <c r="G134" s="22" t="s">
        <v>21</v>
      </c>
      <c r="H134" s="22">
        <v>0</v>
      </c>
      <c r="I134" s="22">
        <v>0</v>
      </c>
      <c r="J134" s="22">
        <v>0</v>
      </c>
      <c r="K134" s="22">
        <v>0</v>
      </c>
      <c r="L134" s="22">
        <v>0</v>
      </c>
      <c r="M134" s="22">
        <v>0</v>
      </c>
      <c r="N134" s="22">
        <v>0</v>
      </c>
      <c r="O134" s="22"/>
      <c r="P134" s="22">
        <v>42.2</v>
      </c>
      <c r="Q134" s="22" t="str">
        <f t="shared" si="6"/>
        <v>Normal</v>
      </c>
      <c r="R134" s="26" t="str">
        <f t="shared" si="7"/>
        <v>USR-10013345683ControlSouthMobilePaid SearchBasic000000042.2</v>
      </c>
      <c r="S134" s="22" t="str">
        <f t="shared" si="8"/>
        <v>OK</v>
      </c>
    </row>
    <row r="135" spans="1:19" ht="41.4">
      <c r="A135" s="22" t="s">
        <v>165</v>
      </c>
      <c r="B135" s="25">
        <v>45789</v>
      </c>
      <c r="C135" s="22" t="s">
        <v>17</v>
      </c>
      <c r="D135" s="22" t="s">
        <v>23</v>
      </c>
      <c r="E135" s="22" t="s">
        <v>24</v>
      </c>
      <c r="F135" s="22" t="s">
        <v>29</v>
      </c>
      <c r="G135" s="22" t="s">
        <v>21</v>
      </c>
      <c r="H135" s="22">
        <v>1</v>
      </c>
      <c r="I135" s="22">
        <v>1</v>
      </c>
      <c r="J135" s="22">
        <v>1</v>
      </c>
      <c r="K135" s="22">
        <v>0</v>
      </c>
      <c r="L135" s="22">
        <v>0</v>
      </c>
      <c r="M135" s="22">
        <v>0</v>
      </c>
      <c r="N135" s="22">
        <v>0</v>
      </c>
      <c r="O135" s="22"/>
      <c r="P135" s="22">
        <v>43.4</v>
      </c>
      <c r="Q135" s="22" t="str">
        <f t="shared" si="6"/>
        <v>Normal</v>
      </c>
      <c r="R135" s="26" t="str">
        <f t="shared" si="7"/>
        <v>USR-10013445789ControlWestMobilePaid SearchBasic111000043.4</v>
      </c>
      <c r="S135" s="22" t="str">
        <f t="shared" si="8"/>
        <v>OK</v>
      </c>
    </row>
    <row r="136" spans="1:19" ht="41.4">
      <c r="A136" s="22" t="s">
        <v>166</v>
      </c>
      <c r="B136" s="25">
        <v>45722</v>
      </c>
      <c r="C136" s="22" t="s">
        <v>17</v>
      </c>
      <c r="D136" s="22" t="s">
        <v>18</v>
      </c>
      <c r="E136" s="22" t="s">
        <v>24</v>
      </c>
      <c r="F136" s="22" t="s">
        <v>25</v>
      </c>
      <c r="G136" s="22" t="s">
        <v>21</v>
      </c>
      <c r="H136" s="22">
        <v>0</v>
      </c>
      <c r="I136" s="22">
        <v>0</v>
      </c>
      <c r="J136" s="22">
        <v>0</v>
      </c>
      <c r="K136" s="22">
        <v>0</v>
      </c>
      <c r="L136" s="22">
        <v>0</v>
      </c>
      <c r="M136" s="22">
        <v>0</v>
      </c>
      <c r="N136" s="22">
        <v>0</v>
      </c>
      <c r="O136" s="22"/>
      <c r="P136" s="22">
        <v>54.4</v>
      </c>
      <c r="Q136" s="22" t="str">
        <f t="shared" si="6"/>
        <v>Normal</v>
      </c>
      <c r="R136" s="26" t="str">
        <f t="shared" si="7"/>
        <v>USR-10013545722ControlNorthMobileOrganicBasic000000054.4</v>
      </c>
      <c r="S136" s="22" t="str">
        <f t="shared" si="8"/>
        <v>OK</v>
      </c>
    </row>
    <row r="137" spans="1:19" ht="41.4">
      <c r="A137" s="22" t="s">
        <v>167</v>
      </c>
      <c r="B137" s="25">
        <v>45726</v>
      </c>
      <c r="C137" s="22" t="s">
        <v>17</v>
      </c>
      <c r="D137" s="22" t="s">
        <v>32</v>
      </c>
      <c r="E137" s="22" t="s">
        <v>19</v>
      </c>
      <c r="F137" s="22" t="s">
        <v>20</v>
      </c>
      <c r="G137" s="22" t="s">
        <v>30</v>
      </c>
      <c r="H137" s="22">
        <v>0</v>
      </c>
      <c r="I137" s="22">
        <v>0</v>
      </c>
      <c r="J137" s="22">
        <v>0</v>
      </c>
      <c r="K137" s="22">
        <v>0</v>
      </c>
      <c r="L137" s="22">
        <v>0</v>
      </c>
      <c r="M137" s="22">
        <v>0</v>
      </c>
      <c r="N137" s="22">
        <v>0</v>
      </c>
      <c r="O137" s="22"/>
      <c r="P137" s="22">
        <v>45.7</v>
      </c>
      <c r="Q137" s="22" t="str">
        <f t="shared" si="6"/>
        <v>Normal</v>
      </c>
      <c r="R137" s="26" t="str">
        <f t="shared" si="7"/>
        <v>USR-10013645726ControlSouthDesktopEmailPremium000000045.7</v>
      </c>
      <c r="S137" s="22" t="str">
        <f t="shared" si="8"/>
        <v>OK</v>
      </c>
    </row>
    <row r="138" spans="1:19" ht="41.4">
      <c r="A138" s="22" t="s">
        <v>168</v>
      </c>
      <c r="B138" s="25">
        <v>45783</v>
      </c>
      <c r="C138" s="22" t="s">
        <v>17</v>
      </c>
      <c r="D138" s="22" t="s">
        <v>18</v>
      </c>
      <c r="E138" s="22" t="s">
        <v>24</v>
      </c>
      <c r="F138" s="22" t="s">
        <v>29</v>
      </c>
      <c r="G138" s="22" t="s">
        <v>26</v>
      </c>
      <c r="H138" s="22">
        <v>0</v>
      </c>
      <c r="I138" s="22">
        <v>0</v>
      </c>
      <c r="J138" s="22">
        <v>0</v>
      </c>
      <c r="K138" s="22">
        <v>0</v>
      </c>
      <c r="L138" s="22">
        <v>0</v>
      </c>
      <c r="M138" s="22">
        <v>3</v>
      </c>
      <c r="N138" s="22">
        <v>0</v>
      </c>
      <c r="O138" s="22"/>
      <c r="P138" s="22">
        <v>32</v>
      </c>
      <c r="Q138" s="22" t="str">
        <f t="shared" si="6"/>
        <v>Normal</v>
      </c>
      <c r="R138" s="26" t="str">
        <f t="shared" si="7"/>
        <v>USR-10013745783ControlNorthMobilePaid SearchFree000003032</v>
      </c>
      <c r="S138" s="22" t="str">
        <f t="shared" si="8"/>
        <v>OK</v>
      </c>
    </row>
    <row r="139" spans="1:19" ht="41.4">
      <c r="A139" s="22" t="s">
        <v>169</v>
      </c>
      <c r="B139" s="25">
        <v>45711</v>
      </c>
      <c r="C139" s="22" t="s">
        <v>17</v>
      </c>
      <c r="D139" s="22" t="s">
        <v>32</v>
      </c>
      <c r="E139" s="22" t="s">
        <v>19</v>
      </c>
      <c r="F139" s="22" t="s">
        <v>29</v>
      </c>
      <c r="G139" s="22" t="s">
        <v>26</v>
      </c>
      <c r="H139" s="22">
        <v>1</v>
      </c>
      <c r="I139" s="22">
        <v>0</v>
      </c>
      <c r="J139" s="22">
        <v>0</v>
      </c>
      <c r="K139" s="22">
        <v>0</v>
      </c>
      <c r="L139" s="22">
        <v>0</v>
      </c>
      <c r="M139" s="22">
        <v>0</v>
      </c>
      <c r="N139" s="22">
        <v>0</v>
      </c>
      <c r="O139" s="22"/>
      <c r="P139" s="22">
        <v>70.900000000000006</v>
      </c>
      <c r="Q139" s="22" t="str">
        <f t="shared" si="6"/>
        <v>Normal</v>
      </c>
      <c r="R139" s="26" t="str">
        <f t="shared" si="7"/>
        <v>USR-10013845711ControlSouthDesktopPaid SearchFree100000070.9</v>
      </c>
      <c r="S139" s="22" t="str">
        <f t="shared" si="8"/>
        <v>OK</v>
      </c>
    </row>
    <row r="140" spans="1:19" ht="41.4">
      <c r="A140" s="22" t="s">
        <v>170</v>
      </c>
      <c r="B140" s="25">
        <v>45686</v>
      </c>
      <c r="C140" s="22" t="s">
        <v>17</v>
      </c>
      <c r="D140" s="22" t="s">
        <v>23</v>
      </c>
      <c r="E140" s="22" t="s">
        <v>24</v>
      </c>
      <c r="F140" s="22" t="s">
        <v>41</v>
      </c>
      <c r="G140" s="22" t="s">
        <v>21</v>
      </c>
      <c r="H140" s="22">
        <v>1</v>
      </c>
      <c r="I140" s="22">
        <v>1</v>
      </c>
      <c r="J140" s="22">
        <v>1</v>
      </c>
      <c r="K140" s="22">
        <v>0</v>
      </c>
      <c r="L140" s="22">
        <v>0</v>
      </c>
      <c r="M140" s="22">
        <v>0</v>
      </c>
      <c r="N140" s="22">
        <v>0</v>
      </c>
      <c r="O140" s="22"/>
      <c r="P140" s="22">
        <v>59.1</v>
      </c>
      <c r="Q140" s="22" t="str">
        <f t="shared" si="6"/>
        <v>Normal</v>
      </c>
      <c r="R140" s="26" t="str">
        <f t="shared" si="7"/>
        <v>USR-10013945686ControlWestMobileSocialBasic111000059.1</v>
      </c>
      <c r="S140" s="22" t="str">
        <f t="shared" si="8"/>
        <v>OK</v>
      </c>
    </row>
    <row r="141" spans="1:19" ht="41.4">
      <c r="A141" s="22" t="s">
        <v>171</v>
      </c>
      <c r="B141" s="25">
        <v>45688</v>
      </c>
      <c r="C141" s="22" t="s">
        <v>17</v>
      </c>
      <c r="D141" s="22" t="s">
        <v>18</v>
      </c>
      <c r="E141" s="22" t="s">
        <v>24</v>
      </c>
      <c r="F141" s="22" t="s">
        <v>25</v>
      </c>
      <c r="G141" s="22" t="s">
        <v>21</v>
      </c>
      <c r="H141" s="22">
        <v>0</v>
      </c>
      <c r="I141" s="22">
        <v>0</v>
      </c>
      <c r="J141" s="22">
        <v>0</v>
      </c>
      <c r="K141" s="22">
        <v>0</v>
      </c>
      <c r="L141" s="22">
        <v>0</v>
      </c>
      <c r="M141" s="22">
        <v>0</v>
      </c>
      <c r="N141" s="22">
        <v>0</v>
      </c>
      <c r="O141" s="22"/>
      <c r="P141" s="22">
        <v>62.4</v>
      </c>
      <c r="Q141" s="22" t="str">
        <f t="shared" si="6"/>
        <v>Normal</v>
      </c>
      <c r="R141" s="26" t="str">
        <f t="shared" si="7"/>
        <v>USR-10014045688ControlNorthMobileOrganicBasic000000062.4</v>
      </c>
      <c r="S141" s="22" t="str">
        <f t="shared" si="8"/>
        <v>OK</v>
      </c>
    </row>
    <row r="142" spans="1:19" ht="41.4">
      <c r="A142" s="22" t="s">
        <v>172</v>
      </c>
      <c r="B142" s="25">
        <v>45676</v>
      </c>
      <c r="C142" s="22" t="s">
        <v>17</v>
      </c>
      <c r="D142" s="22" t="s">
        <v>32</v>
      </c>
      <c r="E142" s="22" t="s">
        <v>24</v>
      </c>
      <c r="F142" s="22" t="s">
        <v>25</v>
      </c>
      <c r="G142" s="22" t="s">
        <v>26</v>
      </c>
      <c r="H142" s="22">
        <v>0</v>
      </c>
      <c r="I142" s="22">
        <v>0</v>
      </c>
      <c r="J142" s="22">
        <v>0</v>
      </c>
      <c r="K142" s="22">
        <v>0</v>
      </c>
      <c r="L142" s="22">
        <v>0</v>
      </c>
      <c r="M142" s="22">
        <v>0</v>
      </c>
      <c r="N142" s="22">
        <v>0</v>
      </c>
      <c r="O142" s="22"/>
      <c r="P142" s="22">
        <v>49.6</v>
      </c>
      <c r="Q142" s="22" t="str">
        <f t="shared" si="6"/>
        <v>Normal</v>
      </c>
      <c r="R142" s="26" t="str">
        <f t="shared" si="7"/>
        <v>USR-10014145676ControlSouthMobileOrganicFree000000049.6</v>
      </c>
      <c r="S142" s="22" t="str">
        <f t="shared" si="8"/>
        <v>OK</v>
      </c>
    </row>
    <row r="143" spans="1:19" ht="41.4">
      <c r="A143" s="22" t="s">
        <v>173</v>
      </c>
      <c r="B143" s="25">
        <v>45750</v>
      </c>
      <c r="C143" s="22" t="s">
        <v>17</v>
      </c>
      <c r="D143" s="22" t="s">
        <v>23</v>
      </c>
      <c r="E143" s="22" t="s">
        <v>19</v>
      </c>
      <c r="F143" s="22" t="s">
        <v>41</v>
      </c>
      <c r="G143" s="22" t="s">
        <v>26</v>
      </c>
      <c r="H143" s="22">
        <v>1</v>
      </c>
      <c r="I143" s="22">
        <v>1</v>
      </c>
      <c r="J143" s="22">
        <v>1</v>
      </c>
      <c r="K143" s="22">
        <v>1</v>
      </c>
      <c r="L143" s="22">
        <v>404.4</v>
      </c>
      <c r="M143" s="22">
        <v>0</v>
      </c>
      <c r="N143" s="22">
        <v>0</v>
      </c>
      <c r="O143" s="22">
        <v>9</v>
      </c>
      <c r="P143" s="22">
        <v>80.599999999999994</v>
      </c>
      <c r="Q143" s="22" t="str">
        <f t="shared" si="6"/>
        <v>Normal</v>
      </c>
      <c r="R143" s="26" t="str">
        <f t="shared" si="7"/>
        <v>USR-10014245750ControlWestDesktopSocialFree1111404.400980.6</v>
      </c>
      <c r="S143" s="22" t="str">
        <f t="shared" si="8"/>
        <v>OK</v>
      </c>
    </row>
    <row r="144" spans="1:19" ht="41.4">
      <c r="A144" s="22" t="s">
        <v>174</v>
      </c>
      <c r="B144" s="25">
        <v>45754</v>
      </c>
      <c r="C144" s="22" t="s">
        <v>17</v>
      </c>
      <c r="D144" s="22" t="s">
        <v>18</v>
      </c>
      <c r="E144" s="22" t="s">
        <v>24</v>
      </c>
      <c r="F144" s="22" t="s">
        <v>29</v>
      </c>
      <c r="G144" s="22" t="s">
        <v>26</v>
      </c>
      <c r="H144" s="22">
        <v>1</v>
      </c>
      <c r="I144" s="22">
        <v>0</v>
      </c>
      <c r="J144" s="22">
        <v>0</v>
      </c>
      <c r="K144" s="22">
        <v>0</v>
      </c>
      <c r="L144" s="22">
        <v>0</v>
      </c>
      <c r="M144" s="22">
        <v>0</v>
      </c>
      <c r="N144" s="22">
        <v>0</v>
      </c>
      <c r="O144" s="22"/>
      <c r="P144" s="22">
        <v>47.9</v>
      </c>
      <c r="Q144" s="22" t="str">
        <f t="shared" si="6"/>
        <v>Normal</v>
      </c>
      <c r="R144" s="26" t="str">
        <f t="shared" si="7"/>
        <v>USR-10014345754ControlNorthMobilePaid SearchFree100000047.9</v>
      </c>
      <c r="S144" s="22" t="str">
        <f t="shared" si="8"/>
        <v>OK</v>
      </c>
    </row>
    <row r="145" spans="1:19" ht="41.4">
      <c r="A145" s="22" t="s">
        <v>175</v>
      </c>
      <c r="B145" s="25">
        <v>45663</v>
      </c>
      <c r="C145" s="22" t="s">
        <v>17</v>
      </c>
      <c r="D145" s="22" t="s">
        <v>28</v>
      </c>
      <c r="E145" s="22" t="s">
        <v>24</v>
      </c>
      <c r="F145" s="22" t="s">
        <v>29</v>
      </c>
      <c r="G145" s="22" t="s">
        <v>21</v>
      </c>
      <c r="H145" s="22">
        <v>1</v>
      </c>
      <c r="I145" s="22">
        <v>1</v>
      </c>
      <c r="J145" s="22">
        <v>0</v>
      </c>
      <c r="K145" s="22">
        <v>0</v>
      </c>
      <c r="L145" s="22">
        <v>0</v>
      </c>
      <c r="M145" s="22">
        <v>0</v>
      </c>
      <c r="N145" s="22">
        <v>0</v>
      </c>
      <c r="O145" s="22"/>
      <c r="P145" s="22">
        <v>54.8</v>
      </c>
      <c r="Q145" s="22" t="str">
        <f t="shared" si="6"/>
        <v>Normal</v>
      </c>
      <c r="R145" s="26" t="str">
        <f t="shared" si="7"/>
        <v>USR-10014445663ControlEastMobilePaid SearchBasic110000054.8</v>
      </c>
      <c r="S145" s="22" t="str">
        <f t="shared" si="8"/>
        <v>OK</v>
      </c>
    </row>
    <row r="146" spans="1:19" ht="41.4">
      <c r="A146" s="22" t="s">
        <v>176</v>
      </c>
      <c r="B146" s="25">
        <v>45758</v>
      </c>
      <c r="C146" s="22" t="s">
        <v>17</v>
      </c>
      <c r="D146" s="22" t="s">
        <v>28</v>
      </c>
      <c r="E146" s="22" t="s">
        <v>24</v>
      </c>
      <c r="F146" s="22" t="s">
        <v>25</v>
      </c>
      <c r="G146" s="22" t="s">
        <v>26</v>
      </c>
      <c r="H146" s="22">
        <v>1</v>
      </c>
      <c r="I146" s="22">
        <v>0</v>
      </c>
      <c r="J146" s="22">
        <v>0</v>
      </c>
      <c r="K146" s="22">
        <v>0</v>
      </c>
      <c r="L146" s="22">
        <v>0</v>
      </c>
      <c r="M146" s="22">
        <v>1</v>
      </c>
      <c r="N146" s="22">
        <v>0</v>
      </c>
      <c r="O146" s="22"/>
      <c r="P146" s="22">
        <v>53.9</v>
      </c>
      <c r="Q146" s="22" t="str">
        <f t="shared" si="6"/>
        <v>Normal</v>
      </c>
      <c r="R146" s="26" t="str">
        <f t="shared" si="7"/>
        <v>USR-10014545758ControlEastMobileOrganicFree100001053.9</v>
      </c>
      <c r="S146" s="22" t="str">
        <f t="shared" si="8"/>
        <v>OK</v>
      </c>
    </row>
    <row r="147" spans="1:19" ht="41.4">
      <c r="A147" s="22" t="s">
        <v>177</v>
      </c>
      <c r="B147" s="25">
        <v>45770</v>
      </c>
      <c r="C147" s="22" t="s">
        <v>17</v>
      </c>
      <c r="D147" s="22" t="s">
        <v>28</v>
      </c>
      <c r="E147" s="22" t="s">
        <v>24</v>
      </c>
      <c r="F147" s="22" t="s">
        <v>29</v>
      </c>
      <c r="G147" s="22" t="s">
        <v>26</v>
      </c>
      <c r="H147" s="22">
        <v>1</v>
      </c>
      <c r="I147" s="22">
        <v>0</v>
      </c>
      <c r="J147" s="22">
        <v>0</v>
      </c>
      <c r="K147" s="22">
        <v>0</v>
      </c>
      <c r="L147" s="22">
        <v>0</v>
      </c>
      <c r="M147" s="22">
        <v>0</v>
      </c>
      <c r="N147" s="22">
        <v>0</v>
      </c>
      <c r="O147" s="22"/>
      <c r="P147" s="22">
        <v>41.3</v>
      </c>
      <c r="Q147" s="22" t="str">
        <f t="shared" si="6"/>
        <v>Normal</v>
      </c>
      <c r="R147" s="26" t="str">
        <f t="shared" si="7"/>
        <v>USR-10014645770ControlEastMobilePaid SearchFree100000041.3</v>
      </c>
      <c r="S147" s="22" t="str">
        <f t="shared" si="8"/>
        <v>OK</v>
      </c>
    </row>
    <row r="148" spans="1:19" ht="41.4">
      <c r="A148" s="22" t="s">
        <v>178</v>
      </c>
      <c r="B148" s="25">
        <v>45741</v>
      </c>
      <c r="C148" s="22" t="s">
        <v>17</v>
      </c>
      <c r="D148" s="22" t="s">
        <v>23</v>
      </c>
      <c r="E148" s="22" t="s">
        <v>24</v>
      </c>
      <c r="F148" s="22" t="s">
        <v>25</v>
      </c>
      <c r="G148" s="22" t="s">
        <v>21</v>
      </c>
      <c r="H148" s="22">
        <v>1</v>
      </c>
      <c r="I148" s="22">
        <v>1</v>
      </c>
      <c r="J148" s="22">
        <v>0</v>
      </c>
      <c r="K148" s="22">
        <v>0</v>
      </c>
      <c r="L148" s="22">
        <v>0</v>
      </c>
      <c r="M148" s="22">
        <v>0</v>
      </c>
      <c r="N148" s="22">
        <v>0</v>
      </c>
      <c r="O148" s="22"/>
      <c r="P148" s="22">
        <v>38.9</v>
      </c>
      <c r="Q148" s="22" t="str">
        <f t="shared" si="6"/>
        <v>Normal</v>
      </c>
      <c r="R148" s="26" t="str">
        <f t="shared" si="7"/>
        <v>USR-10014745741ControlWestMobileOrganicBasic110000038.9</v>
      </c>
      <c r="S148" s="22" t="str">
        <f t="shared" si="8"/>
        <v>OK</v>
      </c>
    </row>
    <row r="149" spans="1:19" ht="41.4">
      <c r="A149" s="22" t="s">
        <v>179</v>
      </c>
      <c r="B149" s="25">
        <v>45802</v>
      </c>
      <c r="C149" s="22" t="s">
        <v>17</v>
      </c>
      <c r="D149" s="22" t="s">
        <v>32</v>
      </c>
      <c r="E149" s="22" t="s">
        <v>19</v>
      </c>
      <c r="F149" s="22" t="s">
        <v>25</v>
      </c>
      <c r="G149" s="22" t="s">
        <v>21</v>
      </c>
      <c r="H149" s="22">
        <v>1</v>
      </c>
      <c r="I149" s="22">
        <v>0</v>
      </c>
      <c r="J149" s="22">
        <v>0</v>
      </c>
      <c r="K149" s="22">
        <v>0</v>
      </c>
      <c r="L149" s="22">
        <v>0</v>
      </c>
      <c r="M149" s="22">
        <v>0</v>
      </c>
      <c r="N149" s="22">
        <v>0</v>
      </c>
      <c r="O149" s="22"/>
      <c r="P149" s="22">
        <v>63.6</v>
      </c>
      <c r="Q149" s="22" t="str">
        <f t="shared" si="6"/>
        <v>Normal</v>
      </c>
      <c r="R149" s="26" t="str">
        <f t="shared" si="7"/>
        <v>USR-10014845802ControlSouthDesktopOrganicBasic100000063.6</v>
      </c>
      <c r="S149" s="22" t="str">
        <f t="shared" si="8"/>
        <v>OK</v>
      </c>
    </row>
    <row r="150" spans="1:19" ht="41.4">
      <c r="A150" s="22" t="s">
        <v>180</v>
      </c>
      <c r="B150" s="25">
        <v>45685</v>
      </c>
      <c r="C150" s="22" t="s">
        <v>17</v>
      </c>
      <c r="D150" s="22" t="s">
        <v>18</v>
      </c>
      <c r="E150" s="22" t="s">
        <v>24</v>
      </c>
      <c r="F150" s="22" t="s">
        <v>25</v>
      </c>
      <c r="G150" s="22" t="s">
        <v>26</v>
      </c>
      <c r="H150" s="22">
        <v>1</v>
      </c>
      <c r="I150" s="22">
        <v>1</v>
      </c>
      <c r="J150" s="22">
        <v>1</v>
      </c>
      <c r="K150" s="22">
        <v>1</v>
      </c>
      <c r="L150" s="22">
        <v>577.94000000000005</v>
      </c>
      <c r="M150" s="22">
        <v>0</v>
      </c>
      <c r="N150" s="22">
        <v>0</v>
      </c>
      <c r="O150" s="22">
        <v>9</v>
      </c>
      <c r="P150" s="22">
        <v>76.599999999999994</v>
      </c>
      <c r="Q150" s="22" t="str">
        <f t="shared" si="6"/>
        <v>Normal</v>
      </c>
      <c r="R150" s="26" t="str">
        <f t="shared" si="7"/>
        <v>USR-10014945685ControlNorthMobileOrganicFree1111577.9400976.6</v>
      </c>
      <c r="S150" s="22" t="str">
        <f t="shared" si="8"/>
        <v>OK</v>
      </c>
    </row>
    <row r="151" spans="1:19" ht="41.4">
      <c r="A151" s="22" t="s">
        <v>181</v>
      </c>
      <c r="B151" s="25">
        <v>45700</v>
      </c>
      <c r="C151" s="22" t="s">
        <v>17</v>
      </c>
      <c r="D151" s="22" t="s">
        <v>23</v>
      </c>
      <c r="E151" s="22" t="s">
        <v>24</v>
      </c>
      <c r="F151" s="22" t="s">
        <v>29</v>
      </c>
      <c r="G151" s="22" t="s">
        <v>30</v>
      </c>
      <c r="H151" s="22">
        <v>0</v>
      </c>
      <c r="I151" s="22">
        <v>0</v>
      </c>
      <c r="J151" s="22">
        <v>0</v>
      </c>
      <c r="K151" s="22">
        <v>0</v>
      </c>
      <c r="L151" s="22">
        <v>0</v>
      </c>
      <c r="M151" s="22">
        <v>1</v>
      </c>
      <c r="N151" s="22">
        <v>0</v>
      </c>
      <c r="O151" s="22"/>
      <c r="P151" s="22">
        <v>67.599999999999994</v>
      </c>
      <c r="Q151" s="22" t="str">
        <f t="shared" si="6"/>
        <v>Normal</v>
      </c>
      <c r="R151" s="26" t="str">
        <f t="shared" si="7"/>
        <v>USR-10015045700ControlWestMobilePaid SearchPremium000001067.6</v>
      </c>
      <c r="S151" s="22" t="str">
        <f t="shared" si="8"/>
        <v>OK</v>
      </c>
    </row>
    <row r="152" spans="1:19" ht="41.4">
      <c r="A152" s="22" t="s">
        <v>182</v>
      </c>
      <c r="B152" s="25">
        <v>45776</v>
      </c>
      <c r="C152" s="22" t="s">
        <v>17</v>
      </c>
      <c r="D152" s="22" t="s">
        <v>18</v>
      </c>
      <c r="E152" s="22" t="s">
        <v>24</v>
      </c>
      <c r="F152" s="22" t="s">
        <v>41</v>
      </c>
      <c r="G152" s="22" t="s">
        <v>30</v>
      </c>
      <c r="H152" s="22">
        <v>1</v>
      </c>
      <c r="I152" s="22">
        <v>0</v>
      </c>
      <c r="J152" s="22">
        <v>0</v>
      </c>
      <c r="K152" s="22">
        <v>0</v>
      </c>
      <c r="L152" s="22">
        <v>0</v>
      </c>
      <c r="M152" s="22">
        <v>0</v>
      </c>
      <c r="N152" s="22">
        <v>0</v>
      </c>
      <c r="O152" s="22"/>
      <c r="P152" s="22">
        <v>43.1</v>
      </c>
      <c r="Q152" s="22" t="str">
        <f t="shared" si="6"/>
        <v>Normal</v>
      </c>
      <c r="R152" s="26" t="str">
        <f t="shared" si="7"/>
        <v>USR-10015145776ControlNorthMobileSocialPremium100000043.1</v>
      </c>
      <c r="S152" s="22" t="str">
        <f t="shared" si="8"/>
        <v>OK</v>
      </c>
    </row>
    <row r="153" spans="1:19" ht="41.4">
      <c r="A153" s="22" t="s">
        <v>183</v>
      </c>
      <c r="B153" s="25">
        <v>45729</v>
      </c>
      <c r="C153" s="22" t="s">
        <v>17</v>
      </c>
      <c r="D153" s="22" t="s">
        <v>32</v>
      </c>
      <c r="E153" s="22" t="s">
        <v>24</v>
      </c>
      <c r="F153" s="22" t="s">
        <v>20</v>
      </c>
      <c r="G153" s="22" t="s">
        <v>26</v>
      </c>
      <c r="H153" s="22">
        <v>1</v>
      </c>
      <c r="I153" s="22">
        <v>0</v>
      </c>
      <c r="J153" s="22">
        <v>0</v>
      </c>
      <c r="K153" s="22">
        <v>0</v>
      </c>
      <c r="L153" s="22">
        <v>0</v>
      </c>
      <c r="M153" s="22">
        <v>0</v>
      </c>
      <c r="N153" s="22">
        <v>0</v>
      </c>
      <c r="O153" s="22"/>
      <c r="P153" s="22">
        <v>58.3</v>
      </c>
      <c r="Q153" s="22" t="str">
        <f t="shared" si="6"/>
        <v>Normal</v>
      </c>
      <c r="R153" s="26" t="str">
        <f t="shared" si="7"/>
        <v>USR-10015245729ControlSouthMobileEmailFree100000058.3</v>
      </c>
      <c r="S153" s="22" t="str">
        <f t="shared" si="8"/>
        <v>OK</v>
      </c>
    </row>
    <row r="154" spans="1:19" ht="41.4">
      <c r="A154" s="22" t="s">
        <v>184</v>
      </c>
      <c r="B154" s="25">
        <v>45692</v>
      </c>
      <c r="C154" s="22" t="s">
        <v>17</v>
      </c>
      <c r="D154" s="22" t="s">
        <v>28</v>
      </c>
      <c r="E154" s="22" t="s">
        <v>19</v>
      </c>
      <c r="F154" s="22" t="s">
        <v>29</v>
      </c>
      <c r="G154" s="22" t="s">
        <v>26</v>
      </c>
      <c r="H154" s="22">
        <v>1</v>
      </c>
      <c r="I154" s="22">
        <v>0</v>
      </c>
      <c r="J154" s="22">
        <v>0</v>
      </c>
      <c r="K154" s="22">
        <v>0</v>
      </c>
      <c r="L154" s="22">
        <v>0</v>
      </c>
      <c r="M154" s="22">
        <v>0</v>
      </c>
      <c r="N154" s="22">
        <v>0</v>
      </c>
      <c r="O154" s="22"/>
      <c r="P154" s="22">
        <v>69.8</v>
      </c>
      <c r="Q154" s="22" t="str">
        <f t="shared" si="6"/>
        <v>Normal</v>
      </c>
      <c r="R154" s="26" t="str">
        <f t="shared" si="7"/>
        <v>USR-10015345692ControlEastDesktopPaid SearchFree100000069.8</v>
      </c>
      <c r="S154" s="22" t="str">
        <f t="shared" si="8"/>
        <v>OK</v>
      </c>
    </row>
    <row r="155" spans="1:19" ht="41.4">
      <c r="A155" s="22" t="s">
        <v>185</v>
      </c>
      <c r="B155" s="25">
        <v>45720</v>
      </c>
      <c r="C155" s="22" t="s">
        <v>17</v>
      </c>
      <c r="D155" s="22" t="s">
        <v>32</v>
      </c>
      <c r="E155" s="22" t="s">
        <v>24</v>
      </c>
      <c r="F155" s="22" t="s">
        <v>39</v>
      </c>
      <c r="G155" s="22" t="s">
        <v>26</v>
      </c>
      <c r="H155" s="22">
        <v>1</v>
      </c>
      <c r="I155" s="22">
        <v>1</v>
      </c>
      <c r="J155" s="22">
        <v>0</v>
      </c>
      <c r="K155" s="22">
        <v>0</v>
      </c>
      <c r="L155" s="22">
        <v>0</v>
      </c>
      <c r="M155" s="22">
        <v>0</v>
      </c>
      <c r="N155" s="22">
        <v>0</v>
      </c>
      <c r="O155" s="22"/>
      <c r="P155" s="22"/>
      <c r="Q155" s="22" t="str">
        <f t="shared" si="6"/>
        <v>Normal</v>
      </c>
      <c r="R155" s="26" t="str">
        <f t="shared" si="7"/>
        <v>USR-10015445720ControlSouthMobileReferralFree1100000</v>
      </c>
      <c r="S155" s="22" t="str">
        <f t="shared" si="8"/>
        <v>OK</v>
      </c>
    </row>
    <row r="156" spans="1:19" ht="41.4">
      <c r="A156" s="22" t="s">
        <v>186</v>
      </c>
      <c r="B156" s="25">
        <v>45692</v>
      </c>
      <c r="C156" s="22" t="s">
        <v>17</v>
      </c>
      <c r="D156" s="22" t="s">
        <v>23</v>
      </c>
      <c r="E156" s="22" t="s">
        <v>24</v>
      </c>
      <c r="F156" s="22" t="s">
        <v>29</v>
      </c>
      <c r="G156" s="22" t="s">
        <v>21</v>
      </c>
      <c r="H156" s="22">
        <v>1</v>
      </c>
      <c r="I156" s="22">
        <v>1</v>
      </c>
      <c r="J156" s="22">
        <v>0</v>
      </c>
      <c r="K156" s="22">
        <v>0</v>
      </c>
      <c r="L156" s="22">
        <v>0</v>
      </c>
      <c r="M156" s="22">
        <v>0</v>
      </c>
      <c r="N156" s="22">
        <v>0</v>
      </c>
      <c r="O156" s="22"/>
      <c r="P156" s="22">
        <v>41.9</v>
      </c>
      <c r="Q156" s="22" t="str">
        <f t="shared" si="6"/>
        <v>Normal</v>
      </c>
      <c r="R156" s="26" t="str">
        <f t="shared" si="7"/>
        <v>USR-10015545692ControlWestMobilePaid SearchBasic110000041.9</v>
      </c>
      <c r="S156" s="22" t="str">
        <f t="shared" si="8"/>
        <v>OK</v>
      </c>
    </row>
    <row r="157" spans="1:19" ht="41.4">
      <c r="A157" s="22" t="s">
        <v>187</v>
      </c>
      <c r="B157" s="25">
        <v>45727</v>
      </c>
      <c r="C157" s="22" t="s">
        <v>17</v>
      </c>
      <c r="D157" s="22" t="s">
        <v>18</v>
      </c>
      <c r="E157" s="22" t="s">
        <v>19</v>
      </c>
      <c r="F157" s="22" t="s">
        <v>25</v>
      </c>
      <c r="G157" s="22" t="s">
        <v>26</v>
      </c>
      <c r="H157" s="22">
        <v>0</v>
      </c>
      <c r="I157" s="22">
        <v>0</v>
      </c>
      <c r="J157" s="22">
        <v>0</v>
      </c>
      <c r="K157" s="22">
        <v>0</v>
      </c>
      <c r="L157" s="22">
        <v>0</v>
      </c>
      <c r="M157" s="22">
        <v>0</v>
      </c>
      <c r="N157" s="22">
        <v>0</v>
      </c>
      <c r="O157" s="22"/>
      <c r="P157" s="22">
        <v>33.1</v>
      </c>
      <c r="Q157" s="22" t="str">
        <f t="shared" si="6"/>
        <v>Normal</v>
      </c>
      <c r="R157" s="26" t="str">
        <f t="shared" si="7"/>
        <v>USR-10015645727ControlNorthDesktopOrganicFree000000033.1</v>
      </c>
      <c r="S157" s="22" t="str">
        <f t="shared" si="8"/>
        <v>OK</v>
      </c>
    </row>
    <row r="158" spans="1:19" ht="41.4">
      <c r="A158" s="22" t="s">
        <v>188</v>
      </c>
      <c r="B158" s="25">
        <v>45769</v>
      </c>
      <c r="C158" s="22" t="s">
        <v>17</v>
      </c>
      <c r="D158" s="22" t="s">
        <v>23</v>
      </c>
      <c r="E158" s="22" t="s">
        <v>24</v>
      </c>
      <c r="F158" s="22" t="s">
        <v>25</v>
      </c>
      <c r="G158" s="22" t="s">
        <v>26</v>
      </c>
      <c r="H158" s="22">
        <v>0</v>
      </c>
      <c r="I158" s="22">
        <v>0</v>
      </c>
      <c r="J158" s="22">
        <v>0</v>
      </c>
      <c r="K158" s="22">
        <v>0</v>
      </c>
      <c r="L158" s="22">
        <v>0</v>
      </c>
      <c r="M158" s="22">
        <v>0</v>
      </c>
      <c r="N158" s="22">
        <v>0</v>
      </c>
      <c r="O158" s="22"/>
      <c r="P158" s="22">
        <v>58.6</v>
      </c>
      <c r="Q158" s="22" t="str">
        <f t="shared" si="6"/>
        <v>Normal</v>
      </c>
      <c r="R158" s="26" t="str">
        <f t="shared" si="7"/>
        <v>USR-10015745769ControlWestMobileOrganicFree000000058.6</v>
      </c>
      <c r="S158" s="22" t="str">
        <f t="shared" si="8"/>
        <v>OK</v>
      </c>
    </row>
    <row r="159" spans="1:19" ht="41.4">
      <c r="A159" s="22" t="s">
        <v>189</v>
      </c>
      <c r="B159" s="25">
        <v>45724</v>
      </c>
      <c r="C159" s="22" t="s">
        <v>17</v>
      </c>
      <c r="D159" s="22" t="s">
        <v>18</v>
      </c>
      <c r="E159" s="22" t="s">
        <v>19</v>
      </c>
      <c r="F159" s="22" t="s">
        <v>29</v>
      </c>
      <c r="G159" s="22" t="s">
        <v>26</v>
      </c>
      <c r="H159" s="22">
        <v>0</v>
      </c>
      <c r="I159" s="22">
        <v>0</v>
      </c>
      <c r="J159" s="22">
        <v>0</v>
      </c>
      <c r="K159" s="22">
        <v>0</v>
      </c>
      <c r="L159" s="22">
        <v>0</v>
      </c>
      <c r="M159" s="22">
        <v>0</v>
      </c>
      <c r="N159" s="22">
        <v>0</v>
      </c>
      <c r="O159" s="22"/>
      <c r="P159" s="22">
        <v>55.7</v>
      </c>
      <c r="Q159" s="22" t="str">
        <f t="shared" si="6"/>
        <v>Normal</v>
      </c>
      <c r="R159" s="26" t="str">
        <f t="shared" si="7"/>
        <v>USR-10015845724ControlNorthDesktopPaid SearchFree000000055.7</v>
      </c>
      <c r="S159" s="22" t="str">
        <f t="shared" si="8"/>
        <v>OK</v>
      </c>
    </row>
    <row r="160" spans="1:19" ht="41.4">
      <c r="A160" s="22" t="s">
        <v>190</v>
      </c>
      <c r="B160" s="25">
        <v>45726</v>
      </c>
      <c r="C160" s="22" t="s">
        <v>17</v>
      </c>
      <c r="D160" s="22" t="s">
        <v>28</v>
      </c>
      <c r="E160" s="22" t="s">
        <v>24</v>
      </c>
      <c r="F160" s="22" t="s">
        <v>25</v>
      </c>
      <c r="G160" s="22" t="s">
        <v>26</v>
      </c>
      <c r="H160" s="22">
        <v>0</v>
      </c>
      <c r="I160" s="22">
        <v>0</v>
      </c>
      <c r="J160" s="22">
        <v>0</v>
      </c>
      <c r="K160" s="22">
        <v>0</v>
      </c>
      <c r="L160" s="22">
        <v>0</v>
      </c>
      <c r="M160" s="22">
        <v>2</v>
      </c>
      <c r="N160" s="22">
        <v>0</v>
      </c>
      <c r="O160" s="22"/>
      <c r="P160" s="22">
        <v>64.900000000000006</v>
      </c>
      <c r="Q160" s="22" t="str">
        <f t="shared" si="6"/>
        <v>Normal</v>
      </c>
      <c r="R160" s="26" t="str">
        <f t="shared" si="7"/>
        <v>USR-10015945726ControlEastMobileOrganicFree000002064.9</v>
      </c>
      <c r="S160" s="22" t="str">
        <f t="shared" si="8"/>
        <v>OK</v>
      </c>
    </row>
    <row r="161" spans="1:19" ht="41.4">
      <c r="A161" s="22" t="s">
        <v>191</v>
      </c>
      <c r="B161" s="25">
        <v>45795</v>
      </c>
      <c r="C161" s="22" t="s">
        <v>17</v>
      </c>
      <c r="D161" s="22" t="s">
        <v>18</v>
      </c>
      <c r="E161" s="22" t="s">
        <v>19</v>
      </c>
      <c r="F161" s="22" t="s">
        <v>29</v>
      </c>
      <c r="G161" s="22" t="s">
        <v>21</v>
      </c>
      <c r="H161" s="22">
        <v>0</v>
      </c>
      <c r="I161" s="22">
        <v>0</v>
      </c>
      <c r="J161" s="22">
        <v>0</v>
      </c>
      <c r="K161" s="22">
        <v>0</v>
      </c>
      <c r="L161" s="22">
        <v>0</v>
      </c>
      <c r="M161" s="22">
        <v>0</v>
      </c>
      <c r="N161" s="22">
        <v>0</v>
      </c>
      <c r="O161" s="22"/>
      <c r="P161" s="22">
        <v>72.3</v>
      </c>
      <c r="Q161" s="22" t="str">
        <f t="shared" si="6"/>
        <v>Normal</v>
      </c>
      <c r="R161" s="26" t="str">
        <f t="shared" si="7"/>
        <v>USR-10016045795ControlNorthDesktopPaid SearchBasic000000072.3</v>
      </c>
      <c r="S161" s="22" t="str">
        <f t="shared" si="8"/>
        <v>OK</v>
      </c>
    </row>
    <row r="162" spans="1:19" ht="41.4">
      <c r="A162" s="22" t="s">
        <v>192</v>
      </c>
      <c r="B162" s="25">
        <v>45791</v>
      </c>
      <c r="C162" s="22" t="s">
        <v>17</v>
      </c>
      <c r="D162" s="22" t="s">
        <v>18</v>
      </c>
      <c r="E162" s="22" t="s">
        <v>24</v>
      </c>
      <c r="F162" s="22" t="s">
        <v>41</v>
      </c>
      <c r="G162" s="22" t="s">
        <v>21</v>
      </c>
      <c r="H162" s="22">
        <v>0</v>
      </c>
      <c r="I162" s="22">
        <v>0</v>
      </c>
      <c r="J162" s="22">
        <v>0</v>
      </c>
      <c r="K162" s="22">
        <v>0</v>
      </c>
      <c r="L162" s="22">
        <v>0</v>
      </c>
      <c r="M162" s="22">
        <v>0</v>
      </c>
      <c r="N162" s="22">
        <v>0</v>
      </c>
      <c r="O162" s="22"/>
      <c r="P162" s="22">
        <v>42.1</v>
      </c>
      <c r="Q162" s="22" t="str">
        <f t="shared" si="6"/>
        <v>Normal</v>
      </c>
      <c r="R162" s="26" t="str">
        <f t="shared" si="7"/>
        <v>USR-10016145791ControlNorthMobileSocialBasic000000042.1</v>
      </c>
      <c r="S162" s="22" t="str">
        <f t="shared" si="8"/>
        <v>OK</v>
      </c>
    </row>
    <row r="163" spans="1:19" ht="41.4">
      <c r="A163" s="22" t="s">
        <v>193</v>
      </c>
      <c r="B163" s="25">
        <v>45689</v>
      </c>
      <c r="C163" s="22" t="s">
        <v>17</v>
      </c>
      <c r="D163" s="22" t="s">
        <v>18</v>
      </c>
      <c r="E163" s="22" t="s">
        <v>24</v>
      </c>
      <c r="F163" s="22" t="s">
        <v>25</v>
      </c>
      <c r="G163" s="22" t="s">
        <v>26</v>
      </c>
      <c r="H163" s="22">
        <v>0</v>
      </c>
      <c r="I163" s="22">
        <v>0</v>
      </c>
      <c r="J163" s="22">
        <v>0</v>
      </c>
      <c r="K163" s="22">
        <v>0</v>
      </c>
      <c r="L163" s="22">
        <v>0</v>
      </c>
      <c r="M163" s="22">
        <v>0</v>
      </c>
      <c r="N163" s="22">
        <v>0</v>
      </c>
      <c r="O163" s="22"/>
      <c r="P163" s="22"/>
      <c r="Q163" s="22" t="str">
        <f t="shared" si="6"/>
        <v>Normal</v>
      </c>
      <c r="R163" s="26" t="str">
        <f t="shared" si="7"/>
        <v>USR-10016245689ControlNorthMobileOrganicFree0000000</v>
      </c>
      <c r="S163" s="22" t="str">
        <f t="shared" si="8"/>
        <v>OK</v>
      </c>
    </row>
    <row r="164" spans="1:19" ht="41.4">
      <c r="A164" s="22" t="s">
        <v>194</v>
      </c>
      <c r="B164" s="25">
        <v>45758</v>
      </c>
      <c r="C164" s="22" t="s">
        <v>17</v>
      </c>
      <c r="D164" s="22" t="s">
        <v>32</v>
      </c>
      <c r="E164" s="22" t="s">
        <v>24</v>
      </c>
      <c r="F164" s="22" t="s">
        <v>25</v>
      </c>
      <c r="G164" s="22" t="s">
        <v>21</v>
      </c>
      <c r="H164" s="22">
        <v>0</v>
      </c>
      <c r="I164" s="22">
        <v>0</v>
      </c>
      <c r="J164" s="22">
        <v>0</v>
      </c>
      <c r="K164" s="22">
        <v>0</v>
      </c>
      <c r="L164" s="22">
        <v>0</v>
      </c>
      <c r="M164" s="22">
        <v>1</v>
      </c>
      <c r="N164" s="22">
        <v>0</v>
      </c>
      <c r="O164" s="22"/>
      <c r="P164" s="22">
        <v>64.8</v>
      </c>
      <c r="Q164" s="22" t="str">
        <f t="shared" si="6"/>
        <v>Normal</v>
      </c>
      <c r="R164" s="26" t="str">
        <f t="shared" si="7"/>
        <v>USR-10016345758ControlSouthMobileOrganicBasic000001064.8</v>
      </c>
      <c r="S164" s="22" t="str">
        <f t="shared" si="8"/>
        <v>OK</v>
      </c>
    </row>
    <row r="165" spans="1:19" ht="41.4">
      <c r="A165" s="22" t="s">
        <v>195</v>
      </c>
      <c r="B165" s="25">
        <v>45702</v>
      </c>
      <c r="C165" s="22" t="s">
        <v>17</v>
      </c>
      <c r="D165" s="22" t="s">
        <v>28</v>
      </c>
      <c r="E165" s="22" t="s">
        <v>24</v>
      </c>
      <c r="F165" s="22" t="s">
        <v>25</v>
      </c>
      <c r="G165" s="22" t="s">
        <v>26</v>
      </c>
      <c r="H165" s="22">
        <v>0</v>
      </c>
      <c r="I165" s="22">
        <v>0</v>
      </c>
      <c r="J165" s="22">
        <v>0</v>
      </c>
      <c r="K165" s="22">
        <v>0</v>
      </c>
      <c r="L165" s="22">
        <v>0</v>
      </c>
      <c r="M165" s="22">
        <v>0</v>
      </c>
      <c r="N165" s="22">
        <v>0</v>
      </c>
      <c r="O165" s="22"/>
      <c r="P165" s="22">
        <v>72.099999999999994</v>
      </c>
      <c r="Q165" s="22" t="str">
        <f t="shared" si="6"/>
        <v>Normal</v>
      </c>
      <c r="R165" s="26" t="str">
        <f t="shared" si="7"/>
        <v>USR-10016445702ControlEastMobileOrganicFree000000072.1</v>
      </c>
      <c r="S165" s="22" t="str">
        <f t="shared" si="8"/>
        <v>OK</v>
      </c>
    </row>
    <row r="166" spans="1:19" ht="41.4">
      <c r="A166" s="22" t="s">
        <v>196</v>
      </c>
      <c r="B166" s="25">
        <v>45796</v>
      </c>
      <c r="C166" s="22" t="s">
        <v>17</v>
      </c>
      <c r="D166" s="22" t="s">
        <v>28</v>
      </c>
      <c r="E166" s="22" t="s">
        <v>24</v>
      </c>
      <c r="F166" s="22" t="s">
        <v>41</v>
      </c>
      <c r="G166" s="22" t="s">
        <v>26</v>
      </c>
      <c r="H166" s="22">
        <v>1</v>
      </c>
      <c r="I166" s="22">
        <v>0</v>
      </c>
      <c r="J166" s="22">
        <v>0</v>
      </c>
      <c r="K166" s="22">
        <v>0</v>
      </c>
      <c r="L166" s="22">
        <v>0</v>
      </c>
      <c r="M166" s="22">
        <v>0</v>
      </c>
      <c r="N166" s="22">
        <v>0</v>
      </c>
      <c r="O166" s="22"/>
      <c r="P166" s="22">
        <v>50.6</v>
      </c>
      <c r="Q166" s="22" t="str">
        <f t="shared" si="6"/>
        <v>Normal</v>
      </c>
      <c r="R166" s="26" t="str">
        <f t="shared" si="7"/>
        <v>USR-10016545796ControlEastMobileSocialFree100000050.6</v>
      </c>
      <c r="S166" s="22" t="str">
        <f t="shared" si="8"/>
        <v>OK</v>
      </c>
    </row>
    <row r="167" spans="1:19" ht="55.2">
      <c r="A167" s="22" t="s">
        <v>197</v>
      </c>
      <c r="B167" s="25">
        <v>45773</v>
      </c>
      <c r="C167" s="22" t="s">
        <v>17</v>
      </c>
      <c r="D167" s="22" t="s">
        <v>18</v>
      </c>
      <c r="E167" s="22" t="s">
        <v>19</v>
      </c>
      <c r="F167" s="22" t="s">
        <v>29</v>
      </c>
      <c r="G167" s="22" t="s">
        <v>21</v>
      </c>
      <c r="H167" s="22">
        <v>1</v>
      </c>
      <c r="I167" s="22">
        <v>1</v>
      </c>
      <c r="J167" s="22">
        <v>1</v>
      </c>
      <c r="K167" s="22">
        <v>1</v>
      </c>
      <c r="L167" s="22">
        <v>1281.25</v>
      </c>
      <c r="M167" s="22">
        <v>1</v>
      </c>
      <c r="N167" s="22">
        <v>0</v>
      </c>
      <c r="O167" s="22">
        <v>9</v>
      </c>
      <c r="P167" s="22">
        <v>43.4</v>
      </c>
      <c r="Q167" s="22" t="str">
        <f t="shared" si="6"/>
        <v>Normal</v>
      </c>
      <c r="R167" s="26" t="str">
        <f t="shared" si="7"/>
        <v>USR-10016645773ControlNorthDesktopPaid SearchBasic11111281.2510943.4</v>
      </c>
      <c r="S167" s="22" t="str">
        <f t="shared" si="8"/>
        <v>OK</v>
      </c>
    </row>
    <row r="168" spans="1:19" ht="41.4">
      <c r="A168" s="22" t="s">
        <v>198</v>
      </c>
      <c r="B168" s="25">
        <v>45753</v>
      </c>
      <c r="C168" s="22" t="s">
        <v>17</v>
      </c>
      <c r="D168" s="22" t="s">
        <v>32</v>
      </c>
      <c r="E168" s="22" t="s">
        <v>24</v>
      </c>
      <c r="F168" s="22" t="s">
        <v>41</v>
      </c>
      <c r="G168" s="22" t="s">
        <v>26</v>
      </c>
      <c r="H168" s="22">
        <v>1</v>
      </c>
      <c r="I168" s="22">
        <v>0</v>
      </c>
      <c r="J168" s="22">
        <v>0</v>
      </c>
      <c r="K168" s="22">
        <v>0</v>
      </c>
      <c r="L168" s="22">
        <v>0</v>
      </c>
      <c r="M168" s="22">
        <v>0</v>
      </c>
      <c r="N168" s="22">
        <v>0</v>
      </c>
      <c r="O168" s="22"/>
      <c r="P168" s="22">
        <v>59.7</v>
      </c>
      <c r="Q168" s="22" t="str">
        <f t="shared" si="6"/>
        <v>Normal</v>
      </c>
      <c r="R168" s="26" t="str">
        <f t="shared" si="7"/>
        <v>USR-10016745753ControlSouthMobileSocialFree100000059.7</v>
      </c>
      <c r="S168" s="22" t="str">
        <f t="shared" si="8"/>
        <v>OK</v>
      </c>
    </row>
    <row r="169" spans="1:19" ht="41.4">
      <c r="A169" s="22" t="s">
        <v>199</v>
      </c>
      <c r="B169" s="25">
        <v>45722</v>
      </c>
      <c r="C169" s="22" t="s">
        <v>17</v>
      </c>
      <c r="D169" s="22" t="s">
        <v>32</v>
      </c>
      <c r="E169" s="22" t="s">
        <v>24</v>
      </c>
      <c r="F169" s="22" t="s">
        <v>29</v>
      </c>
      <c r="G169" s="22" t="s">
        <v>26</v>
      </c>
      <c r="H169" s="22">
        <v>1</v>
      </c>
      <c r="I169" s="22">
        <v>0</v>
      </c>
      <c r="J169" s="22">
        <v>0</v>
      </c>
      <c r="K169" s="22">
        <v>0</v>
      </c>
      <c r="L169" s="22">
        <v>0</v>
      </c>
      <c r="M169" s="22">
        <v>1</v>
      </c>
      <c r="N169" s="22">
        <v>0</v>
      </c>
      <c r="O169" s="22"/>
      <c r="P169" s="22"/>
      <c r="Q169" s="22" t="str">
        <f t="shared" si="6"/>
        <v>Normal</v>
      </c>
      <c r="R169" s="26" t="str">
        <f t="shared" si="7"/>
        <v>USR-10016845722ControlSouthMobilePaid SearchFree1000010</v>
      </c>
      <c r="S169" s="22" t="str">
        <f t="shared" si="8"/>
        <v>OK</v>
      </c>
    </row>
    <row r="170" spans="1:19" ht="41.4">
      <c r="A170" s="22" t="s">
        <v>200</v>
      </c>
      <c r="B170" s="25">
        <v>45726</v>
      </c>
      <c r="C170" s="22" t="s">
        <v>17</v>
      </c>
      <c r="D170" s="22" t="s">
        <v>23</v>
      </c>
      <c r="E170" s="22" t="s">
        <v>24</v>
      </c>
      <c r="F170" s="22" t="s">
        <v>41</v>
      </c>
      <c r="G170" s="22" t="s">
        <v>21</v>
      </c>
      <c r="H170" s="22">
        <v>0</v>
      </c>
      <c r="I170" s="22">
        <v>0</v>
      </c>
      <c r="J170" s="22">
        <v>0</v>
      </c>
      <c r="K170" s="22">
        <v>0</v>
      </c>
      <c r="L170" s="22">
        <v>0</v>
      </c>
      <c r="M170" s="22">
        <v>0</v>
      </c>
      <c r="N170" s="22">
        <v>0</v>
      </c>
      <c r="O170" s="22"/>
      <c r="P170" s="22">
        <v>54.5</v>
      </c>
      <c r="Q170" s="22" t="str">
        <f t="shared" si="6"/>
        <v>Normal</v>
      </c>
      <c r="R170" s="26" t="str">
        <f t="shared" si="7"/>
        <v>USR-10016945726ControlWestMobileSocialBasic000000054.5</v>
      </c>
      <c r="S170" s="22" t="str">
        <f t="shared" si="8"/>
        <v>OK</v>
      </c>
    </row>
    <row r="171" spans="1:19" ht="41.4">
      <c r="A171" s="22" t="s">
        <v>201</v>
      </c>
      <c r="B171" s="25">
        <v>45746</v>
      </c>
      <c r="C171" s="22" t="s">
        <v>17</v>
      </c>
      <c r="D171" s="22" t="s">
        <v>18</v>
      </c>
      <c r="E171" s="22" t="s">
        <v>24</v>
      </c>
      <c r="F171" s="22" t="s">
        <v>25</v>
      </c>
      <c r="G171" s="22" t="s">
        <v>26</v>
      </c>
      <c r="H171" s="22">
        <v>1</v>
      </c>
      <c r="I171" s="22">
        <v>0</v>
      </c>
      <c r="J171" s="22">
        <v>0</v>
      </c>
      <c r="K171" s="22">
        <v>0</v>
      </c>
      <c r="L171" s="22">
        <v>0</v>
      </c>
      <c r="M171" s="22">
        <v>0</v>
      </c>
      <c r="N171" s="22">
        <v>0</v>
      </c>
      <c r="O171" s="22"/>
      <c r="P171" s="22">
        <v>71.099999999999994</v>
      </c>
      <c r="Q171" s="22" t="str">
        <f t="shared" si="6"/>
        <v>Normal</v>
      </c>
      <c r="R171" s="26" t="str">
        <f t="shared" si="7"/>
        <v>USR-10017045746ControlNorthMobileOrganicFree100000071.1</v>
      </c>
      <c r="S171" s="22" t="str">
        <f t="shared" si="8"/>
        <v>OK</v>
      </c>
    </row>
    <row r="172" spans="1:19" ht="27.6">
      <c r="A172" s="22" t="s">
        <v>202</v>
      </c>
      <c r="B172" s="25">
        <v>45806</v>
      </c>
      <c r="C172" s="22" t="s">
        <v>17</v>
      </c>
      <c r="D172" s="22" t="s">
        <v>28</v>
      </c>
      <c r="E172" s="22"/>
      <c r="F172" s="22" t="s">
        <v>29</v>
      </c>
      <c r="G172" s="22" t="s">
        <v>26</v>
      </c>
      <c r="H172" s="22">
        <v>1</v>
      </c>
      <c r="I172" s="22">
        <v>1</v>
      </c>
      <c r="J172" s="22">
        <v>1</v>
      </c>
      <c r="K172" s="22">
        <v>0</v>
      </c>
      <c r="L172" s="22">
        <v>0</v>
      </c>
      <c r="M172" s="22">
        <v>0</v>
      </c>
      <c r="N172" s="22">
        <v>0</v>
      </c>
      <c r="O172" s="22"/>
      <c r="P172" s="22">
        <v>44.4</v>
      </c>
      <c r="Q172" s="22" t="str">
        <f t="shared" si="6"/>
        <v>Normal</v>
      </c>
      <c r="R172" s="26" t="str">
        <f t="shared" si="7"/>
        <v>USR-10017145806ControlEastPaid SearchFree111000044.4</v>
      </c>
      <c r="S172" s="22" t="str">
        <f t="shared" si="8"/>
        <v>OK</v>
      </c>
    </row>
    <row r="173" spans="1:19" ht="41.4">
      <c r="A173" s="22" t="s">
        <v>203</v>
      </c>
      <c r="B173" s="25">
        <v>45739</v>
      </c>
      <c r="C173" s="22" t="s">
        <v>17</v>
      </c>
      <c r="D173" s="22" t="s">
        <v>18</v>
      </c>
      <c r="E173" s="22" t="s">
        <v>24</v>
      </c>
      <c r="F173" s="22" t="s">
        <v>25</v>
      </c>
      <c r="G173" s="22" t="s">
        <v>26</v>
      </c>
      <c r="H173" s="22">
        <v>1</v>
      </c>
      <c r="I173" s="22">
        <v>0</v>
      </c>
      <c r="J173" s="22">
        <v>0</v>
      </c>
      <c r="K173" s="22">
        <v>0</v>
      </c>
      <c r="L173" s="22">
        <v>0</v>
      </c>
      <c r="M173" s="22">
        <v>0</v>
      </c>
      <c r="N173" s="22">
        <v>0</v>
      </c>
      <c r="O173" s="22"/>
      <c r="P173" s="22">
        <v>61.7</v>
      </c>
      <c r="Q173" s="22" t="str">
        <f t="shared" si="6"/>
        <v>Normal</v>
      </c>
      <c r="R173" s="26" t="str">
        <f t="shared" si="7"/>
        <v>USR-10017245739ControlNorthMobileOrganicFree100000061.7</v>
      </c>
      <c r="S173" s="22" t="str">
        <f t="shared" si="8"/>
        <v>OK</v>
      </c>
    </row>
    <row r="174" spans="1:19" ht="41.4">
      <c r="A174" s="22" t="s">
        <v>204</v>
      </c>
      <c r="B174" s="25">
        <v>45706</v>
      </c>
      <c r="C174" s="22" t="s">
        <v>17</v>
      </c>
      <c r="D174" s="22" t="s">
        <v>18</v>
      </c>
      <c r="E174" s="22" t="s">
        <v>34</v>
      </c>
      <c r="F174" s="22" t="s">
        <v>25</v>
      </c>
      <c r="G174" s="22" t="s">
        <v>21</v>
      </c>
      <c r="H174" s="22">
        <v>0</v>
      </c>
      <c r="I174" s="22">
        <v>0</v>
      </c>
      <c r="J174" s="22">
        <v>0</v>
      </c>
      <c r="K174" s="22">
        <v>0</v>
      </c>
      <c r="L174" s="22">
        <v>0</v>
      </c>
      <c r="M174" s="22">
        <v>1</v>
      </c>
      <c r="N174" s="22">
        <v>0</v>
      </c>
      <c r="O174" s="22"/>
      <c r="P174" s="22">
        <v>81.3</v>
      </c>
      <c r="Q174" s="22" t="str">
        <f t="shared" si="6"/>
        <v>Normal</v>
      </c>
      <c r="R174" s="26" t="str">
        <f t="shared" si="7"/>
        <v>USR-10017345706ControlNorthTabletOrganicBasic000001081.3</v>
      </c>
      <c r="S174" s="22" t="str">
        <f t="shared" si="8"/>
        <v>OK</v>
      </c>
    </row>
    <row r="175" spans="1:19" ht="41.4">
      <c r="A175" s="22" t="s">
        <v>205</v>
      </c>
      <c r="B175" s="25">
        <v>45683</v>
      </c>
      <c r="C175" s="22" t="s">
        <v>17</v>
      </c>
      <c r="D175" s="22" t="s">
        <v>18</v>
      </c>
      <c r="E175" s="22" t="s">
        <v>19</v>
      </c>
      <c r="F175" s="22" t="s">
        <v>20</v>
      </c>
      <c r="G175" s="22" t="s">
        <v>26</v>
      </c>
      <c r="H175" s="22">
        <v>1</v>
      </c>
      <c r="I175" s="22">
        <v>0</v>
      </c>
      <c r="J175" s="22">
        <v>0</v>
      </c>
      <c r="K175" s="22">
        <v>0</v>
      </c>
      <c r="L175" s="22">
        <v>0</v>
      </c>
      <c r="M175" s="22">
        <v>2</v>
      </c>
      <c r="N175" s="22">
        <v>0</v>
      </c>
      <c r="O175" s="22"/>
      <c r="P175" s="22">
        <v>28.7</v>
      </c>
      <c r="Q175" s="22" t="str">
        <f t="shared" si="6"/>
        <v>Normal</v>
      </c>
      <c r="R175" s="26" t="str">
        <f t="shared" si="7"/>
        <v>USR-10017445683ControlNorthDesktopEmailFree100002028.7</v>
      </c>
      <c r="S175" s="22" t="str">
        <f t="shared" si="8"/>
        <v>OK</v>
      </c>
    </row>
    <row r="176" spans="1:19" ht="41.4">
      <c r="A176" s="22" t="s">
        <v>206</v>
      </c>
      <c r="B176" s="25">
        <v>45770</v>
      </c>
      <c r="C176" s="22" t="s">
        <v>17</v>
      </c>
      <c r="D176" s="22" t="s">
        <v>28</v>
      </c>
      <c r="E176" s="22" t="s">
        <v>24</v>
      </c>
      <c r="F176" s="22" t="s">
        <v>41</v>
      </c>
      <c r="G176" s="22" t="s">
        <v>21</v>
      </c>
      <c r="H176" s="22">
        <v>0</v>
      </c>
      <c r="I176" s="22">
        <v>0</v>
      </c>
      <c r="J176" s="22">
        <v>0</v>
      </c>
      <c r="K176" s="22">
        <v>0</v>
      </c>
      <c r="L176" s="22">
        <v>0</v>
      </c>
      <c r="M176" s="22">
        <v>0</v>
      </c>
      <c r="N176" s="22">
        <v>0</v>
      </c>
      <c r="O176" s="22"/>
      <c r="P176" s="22">
        <v>53</v>
      </c>
      <c r="Q176" s="22" t="str">
        <f t="shared" si="6"/>
        <v>Normal</v>
      </c>
      <c r="R176" s="26" t="str">
        <f t="shared" si="7"/>
        <v>USR-10017545770ControlEastMobileSocialBasic000000053</v>
      </c>
      <c r="S176" s="22" t="str">
        <f t="shared" si="8"/>
        <v>OK</v>
      </c>
    </row>
    <row r="177" spans="1:19" ht="41.4">
      <c r="A177" s="22" t="s">
        <v>207</v>
      </c>
      <c r="B177" s="25">
        <v>45732</v>
      </c>
      <c r="C177" s="22" t="s">
        <v>17</v>
      </c>
      <c r="D177" s="22" t="s">
        <v>32</v>
      </c>
      <c r="E177" s="22" t="s">
        <v>34</v>
      </c>
      <c r="F177" s="22" t="s">
        <v>39</v>
      </c>
      <c r="G177" s="22" t="s">
        <v>21</v>
      </c>
      <c r="H177" s="22">
        <v>1</v>
      </c>
      <c r="I177" s="22">
        <v>0</v>
      </c>
      <c r="J177" s="22">
        <v>0</v>
      </c>
      <c r="K177" s="22">
        <v>0</v>
      </c>
      <c r="L177" s="22">
        <v>0</v>
      </c>
      <c r="M177" s="22">
        <v>0</v>
      </c>
      <c r="N177" s="22">
        <v>0</v>
      </c>
      <c r="O177" s="22"/>
      <c r="P177" s="22">
        <v>54.9</v>
      </c>
      <c r="Q177" s="22" t="str">
        <f t="shared" si="6"/>
        <v>Normal</v>
      </c>
      <c r="R177" s="26" t="str">
        <f t="shared" si="7"/>
        <v>USR-10017645732ControlSouthTabletReferralBasic100000054.9</v>
      </c>
      <c r="S177" s="22" t="str">
        <f t="shared" si="8"/>
        <v>OK</v>
      </c>
    </row>
    <row r="178" spans="1:19" ht="41.4">
      <c r="A178" s="22" t="s">
        <v>208</v>
      </c>
      <c r="B178" s="25">
        <v>45776</v>
      </c>
      <c r="C178" s="22" t="s">
        <v>17</v>
      </c>
      <c r="D178" s="22" t="s">
        <v>23</v>
      </c>
      <c r="E178" s="22" t="s">
        <v>24</v>
      </c>
      <c r="F178" s="22" t="s">
        <v>25</v>
      </c>
      <c r="G178" s="22" t="s">
        <v>21</v>
      </c>
      <c r="H178" s="22">
        <v>1</v>
      </c>
      <c r="I178" s="22">
        <v>0</v>
      </c>
      <c r="J178" s="22">
        <v>0</v>
      </c>
      <c r="K178" s="22">
        <v>0</v>
      </c>
      <c r="L178" s="22">
        <v>0</v>
      </c>
      <c r="M178" s="22">
        <v>0</v>
      </c>
      <c r="N178" s="22">
        <v>0</v>
      </c>
      <c r="O178" s="22"/>
      <c r="P178" s="22">
        <v>58.2</v>
      </c>
      <c r="Q178" s="22" t="str">
        <f t="shared" si="6"/>
        <v>Normal</v>
      </c>
      <c r="R178" s="26" t="str">
        <f t="shared" si="7"/>
        <v>USR-10017745776ControlWestMobileOrganicBasic100000058.2</v>
      </c>
      <c r="S178" s="22" t="str">
        <f t="shared" si="8"/>
        <v>OK</v>
      </c>
    </row>
    <row r="179" spans="1:19" ht="41.4">
      <c r="A179" s="22" t="s">
        <v>209</v>
      </c>
      <c r="B179" s="25">
        <v>45753</v>
      </c>
      <c r="C179" s="22" t="s">
        <v>17</v>
      </c>
      <c r="D179" s="22" t="s">
        <v>18</v>
      </c>
      <c r="E179" s="22" t="s">
        <v>24</v>
      </c>
      <c r="F179" s="22" t="s">
        <v>25</v>
      </c>
      <c r="G179" s="22" t="s">
        <v>26</v>
      </c>
      <c r="H179" s="22">
        <v>0</v>
      </c>
      <c r="I179" s="22">
        <v>0</v>
      </c>
      <c r="J179" s="22">
        <v>0</v>
      </c>
      <c r="K179" s="22">
        <v>0</v>
      </c>
      <c r="L179" s="22">
        <v>0</v>
      </c>
      <c r="M179" s="22">
        <v>0</v>
      </c>
      <c r="N179" s="22">
        <v>0</v>
      </c>
      <c r="O179" s="22"/>
      <c r="P179" s="22">
        <v>80.599999999999994</v>
      </c>
      <c r="Q179" s="22" t="str">
        <f t="shared" si="6"/>
        <v>Normal</v>
      </c>
      <c r="R179" s="26" t="str">
        <f t="shared" si="7"/>
        <v>USR-10017845753ControlNorthMobileOrganicFree000000080.6</v>
      </c>
      <c r="S179" s="22" t="str">
        <f t="shared" si="8"/>
        <v>OK</v>
      </c>
    </row>
    <row r="180" spans="1:19" ht="41.4">
      <c r="A180" s="22" t="s">
        <v>210</v>
      </c>
      <c r="B180" s="25">
        <v>45764</v>
      </c>
      <c r="C180" s="22" t="s">
        <v>17</v>
      </c>
      <c r="D180" s="22" t="s">
        <v>18</v>
      </c>
      <c r="E180" s="22" t="s">
        <v>19</v>
      </c>
      <c r="F180" s="22" t="s">
        <v>39</v>
      </c>
      <c r="G180" s="22" t="s">
        <v>30</v>
      </c>
      <c r="H180" s="22">
        <v>1</v>
      </c>
      <c r="I180" s="22">
        <v>1</v>
      </c>
      <c r="J180" s="22">
        <v>1</v>
      </c>
      <c r="K180" s="22">
        <v>0</v>
      </c>
      <c r="L180" s="22">
        <v>0</v>
      </c>
      <c r="M180" s="22">
        <v>0</v>
      </c>
      <c r="N180" s="22">
        <v>0</v>
      </c>
      <c r="O180" s="22"/>
      <c r="P180" s="22">
        <v>38.4</v>
      </c>
      <c r="Q180" s="22" t="str">
        <f t="shared" si="6"/>
        <v>Normal</v>
      </c>
      <c r="R180" s="26" t="str">
        <f t="shared" si="7"/>
        <v>USR-10017945764ControlNorthDesktopReferralPremium111000038.4</v>
      </c>
      <c r="S180" s="22" t="str">
        <f t="shared" si="8"/>
        <v>OK</v>
      </c>
    </row>
    <row r="181" spans="1:19" ht="41.4">
      <c r="A181" s="22" t="s">
        <v>211</v>
      </c>
      <c r="B181" s="25">
        <v>45750</v>
      </c>
      <c r="C181" s="22" t="s">
        <v>17</v>
      </c>
      <c r="D181" s="22" t="s">
        <v>32</v>
      </c>
      <c r="E181" s="22" t="s">
        <v>24</v>
      </c>
      <c r="F181" s="22" t="s">
        <v>29</v>
      </c>
      <c r="G181" s="22" t="s">
        <v>26</v>
      </c>
      <c r="H181" s="22">
        <v>1</v>
      </c>
      <c r="I181" s="22">
        <v>0</v>
      </c>
      <c r="J181" s="22">
        <v>0</v>
      </c>
      <c r="K181" s="22">
        <v>0</v>
      </c>
      <c r="L181" s="22">
        <v>0</v>
      </c>
      <c r="M181" s="22">
        <v>0</v>
      </c>
      <c r="N181" s="22">
        <v>0</v>
      </c>
      <c r="O181" s="22"/>
      <c r="P181" s="22">
        <v>56.1</v>
      </c>
      <c r="Q181" s="22" t="str">
        <f t="shared" si="6"/>
        <v>Normal</v>
      </c>
      <c r="R181" s="26" t="str">
        <f t="shared" si="7"/>
        <v>USR-10018045750ControlSouthMobilePaid SearchFree100000056.1</v>
      </c>
      <c r="S181" s="22" t="str">
        <f t="shared" si="8"/>
        <v>OK</v>
      </c>
    </row>
    <row r="182" spans="1:19" ht="41.4">
      <c r="A182" s="22" t="s">
        <v>212</v>
      </c>
      <c r="B182" s="25">
        <v>45772</v>
      </c>
      <c r="C182" s="22" t="s">
        <v>17</v>
      </c>
      <c r="D182" s="22" t="s">
        <v>23</v>
      </c>
      <c r="E182" s="22" t="s">
        <v>24</v>
      </c>
      <c r="F182" s="22" t="s">
        <v>29</v>
      </c>
      <c r="G182" s="22" t="s">
        <v>26</v>
      </c>
      <c r="H182" s="22">
        <v>0</v>
      </c>
      <c r="I182" s="22">
        <v>0</v>
      </c>
      <c r="J182" s="22">
        <v>0</v>
      </c>
      <c r="K182" s="22">
        <v>0</v>
      </c>
      <c r="L182" s="22">
        <v>0</v>
      </c>
      <c r="M182" s="22">
        <v>0</v>
      </c>
      <c r="N182" s="22">
        <v>0</v>
      </c>
      <c r="O182" s="22"/>
      <c r="P182" s="22">
        <v>62.6</v>
      </c>
      <c r="Q182" s="22" t="str">
        <f t="shared" si="6"/>
        <v>Normal</v>
      </c>
      <c r="R182" s="26" t="str">
        <f t="shared" si="7"/>
        <v>USR-10018145772ControlWestMobilePaid SearchFree000000062.6</v>
      </c>
      <c r="S182" s="22" t="str">
        <f t="shared" si="8"/>
        <v>OK</v>
      </c>
    </row>
    <row r="183" spans="1:19" ht="41.4">
      <c r="A183" s="22" t="s">
        <v>213</v>
      </c>
      <c r="B183" s="25">
        <v>45777</v>
      </c>
      <c r="C183" s="22" t="s">
        <v>17</v>
      </c>
      <c r="D183" s="22" t="s">
        <v>32</v>
      </c>
      <c r="E183" s="22" t="s">
        <v>24</v>
      </c>
      <c r="F183" s="22" t="s">
        <v>25</v>
      </c>
      <c r="G183" s="22" t="s">
        <v>30</v>
      </c>
      <c r="H183" s="22">
        <v>0</v>
      </c>
      <c r="I183" s="22">
        <v>0</v>
      </c>
      <c r="J183" s="22">
        <v>0</v>
      </c>
      <c r="K183" s="22">
        <v>0</v>
      </c>
      <c r="L183" s="22">
        <v>0</v>
      </c>
      <c r="M183" s="22">
        <v>0</v>
      </c>
      <c r="N183" s="22">
        <v>0</v>
      </c>
      <c r="O183" s="22"/>
      <c r="P183" s="22">
        <v>36.299999999999997</v>
      </c>
      <c r="Q183" s="22" t="str">
        <f t="shared" si="6"/>
        <v>Normal</v>
      </c>
      <c r="R183" s="26" t="str">
        <f t="shared" si="7"/>
        <v>USR-10018245777ControlSouthMobileOrganicPremium000000036.3</v>
      </c>
      <c r="S183" s="22" t="str">
        <f t="shared" si="8"/>
        <v>OK</v>
      </c>
    </row>
    <row r="184" spans="1:19" ht="41.4">
      <c r="A184" s="22" t="s">
        <v>214</v>
      </c>
      <c r="B184" s="25">
        <v>45728</v>
      </c>
      <c r="C184" s="22" t="s">
        <v>17</v>
      </c>
      <c r="D184" s="22" t="s">
        <v>32</v>
      </c>
      <c r="E184" s="22" t="s">
        <v>24</v>
      </c>
      <c r="F184" s="22" t="s">
        <v>29</v>
      </c>
      <c r="G184" s="22" t="s">
        <v>26</v>
      </c>
      <c r="H184" s="22">
        <v>1</v>
      </c>
      <c r="I184" s="22">
        <v>0</v>
      </c>
      <c r="J184" s="22">
        <v>0</v>
      </c>
      <c r="K184" s="22">
        <v>0</v>
      </c>
      <c r="L184" s="22">
        <v>0</v>
      </c>
      <c r="M184" s="22">
        <v>0</v>
      </c>
      <c r="N184" s="22">
        <v>0</v>
      </c>
      <c r="O184" s="22"/>
      <c r="P184" s="22">
        <v>52.1</v>
      </c>
      <c r="Q184" s="22" t="str">
        <f t="shared" si="6"/>
        <v>Normal</v>
      </c>
      <c r="R184" s="26" t="str">
        <f t="shared" si="7"/>
        <v>USR-10018345728ControlSouthMobilePaid SearchFree100000052.1</v>
      </c>
      <c r="S184" s="22" t="str">
        <f t="shared" si="8"/>
        <v>OK</v>
      </c>
    </row>
    <row r="185" spans="1:19" ht="41.4">
      <c r="A185" s="22" t="s">
        <v>215</v>
      </c>
      <c r="B185" s="25">
        <v>45781</v>
      </c>
      <c r="C185" s="22" t="s">
        <v>17</v>
      </c>
      <c r="D185" s="22" t="s">
        <v>32</v>
      </c>
      <c r="E185" s="22" t="s">
        <v>24</v>
      </c>
      <c r="F185" s="22" t="s">
        <v>25</v>
      </c>
      <c r="G185" s="22" t="s">
        <v>26</v>
      </c>
      <c r="H185" s="22">
        <v>1</v>
      </c>
      <c r="I185" s="22">
        <v>0</v>
      </c>
      <c r="J185" s="22">
        <v>0</v>
      </c>
      <c r="K185" s="22">
        <v>0</v>
      </c>
      <c r="L185" s="22">
        <v>0</v>
      </c>
      <c r="M185" s="22">
        <v>0</v>
      </c>
      <c r="N185" s="22">
        <v>0</v>
      </c>
      <c r="O185" s="22"/>
      <c r="P185" s="22">
        <v>45.1</v>
      </c>
      <c r="Q185" s="22" t="str">
        <f t="shared" si="6"/>
        <v>Normal</v>
      </c>
      <c r="R185" s="26" t="str">
        <f t="shared" si="7"/>
        <v>USR-10018445781ControlSouthMobileOrganicFree100000045.1</v>
      </c>
      <c r="S185" s="22" t="str">
        <f t="shared" si="8"/>
        <v>OK</v>
      </c>
    </row>
    <row r="186" spans="1:19" ht="41.4">
      <c r="A186" s="22" t="s">
        <v>216</v>
      </c>
      <c r="B186" s="25">
        <v>45695</v>
      </c>
      <c r="C186" s="22" t="s">
        <v>17</v>
      </c>
      <c r="D186" s="22" t="s">
        <v>32</v>
      </c>
      <c r="E186" s="22" t="s">
        <v>34</v>
      </c>
      <c r="F186" s="22" t="s">
        <v>29</v>
      </c>
      <c r="G186" s="22" t="s">
        <v>30</v>
      </c>
      <c r="H186" s="22">
        <v>0</v>
      </c>
      <c r="I186" s="22">
        <v>0</v>
      </c>
      <c r="J186" s="22">
        <v>0</v>
      </c>
      <c r="K186" s="22">
        <v>0</v>
      </c>
      <c r="L186" s="22">
        <v>0</v>
      </c>
      <c r="M186" s="22">
        <v>0</v>
      </c>
      <c r="N186" s="22">
        <v>0</v>
      </c>
      <c r="O186" s="22"/>
      <c r="P186" s="22">
        <v>67.5</v>
      </c>
      <c r="Q186" s="22" t="str">
        <f t="shared" si="6"/>
        <v>Normal</v>
      </c>
      <c r="R186" s="26" t="str">
        <f t="shared" si="7"/>
        <v>USR-10018545695ControlSouthTabletPaid SearchPremium000000067.5</v>
      </c>
      <c r="S186" s="22" t="str">
        <f t="shared" si="8"/>
        <v>OK</v>
      </c>
    </row>
    <row r="187" spans="1:19" ht="41.4">
      <c r="A187" s="22" t="s">
        <v>217</v>
      </c>
      <c r="B187" s="25">
        <v>45775</v>
      </c>
      <c r="C187" s="22" t="s">
        <v>17</v>
      </c>
      <c r="D187" s="22" t="s">
        <v>28</v>
      </c>
      <c r="E187" s="22" t="s">
        <v>34</v>
      </c>
      <c r="F187" s="22" t="s">
        <v>20</v>
      </c>
      <c r="G187" s="22" t="s">
        <v>21</v>
      </c>
      <c r="H187" s="22">
        <v>1</v>
      </c>
      <c r="I187" s="22">
        <v>1</v>
      </c>
      <c r="J187" s="22">
        <v>1</v>
      </c>
      <c r="K187" s="22">
        <v>0</v>
      </c>
      <c r="L187" s="22">
        <v>0</v>
      </c>
      <c r="M187" s="22">
        <v>0</v>
      </c>
      <c r="N187" s="22">
        <v>0</v>
      </c>
      <c r="O187" s="22"/>
      <c r="P187" s="22">
        <v>80</v>
      </c>
      <c r="Q187" s="22" t="str">
        <f t="shared" si="6"/>
        <v>Normal</v>
      </c>
      <c r="R187" s="26" t="str">
        <f t="shared" si="7"/>
        <v>USR-10018645775ControlEastTabletEmailBasic111000080</v>
      </c>
      <c r="S187" s="22" t="str">
        <f t="shared" si="8"/>
        <v>OK</v>
      </c>
    </row>
    <row r="188" spans="1:19" ht="41.4">
      <c r="A188" s="22" t="s">
        <v>218</v>
      </c>
      <c r="B188" s="25">
        <v>45792</v>
      </c>
      <c r="C188" s="22" t="s">
        <v>17</v>
      </c>
      <c r="D188" s="22" t="s">
        <v>28</v>
      </c>
      <c r="E188" s="22" t="s">
        <v>19</v>
      </c>
      <c r="F188" s="22" t="s">
        <v>39</v>
      </c>
      <c r="G188" s="22" t="s">
        <v>26</v>
      </c>
      <c r="H188" s="22">
        <v>0</v>
      </c>
      <c r="I188" s="22">
        <v>0</v>
      </c>
      <c r="J188" s="22">
        <v>0</v>
      </c>
      <c r="K188" s="22">
        <v>0</v>
      </c>
      <c r="L188" s="22">
        <v>0</v>
      </c>
      <c r="M188" s="22">
        <v>0</v>
      </c>
      <c r="N188" s="22">
        <v>0</v>
      </c>
      <c r="O188" s="22"/>
      <c r="P188" s="22">
        <v>56.4</v>
      </c>
      <c r="Q188" s="22" t="str">
        <f t="shared" si="6"/>
        <v>Normal</v>
      </c>
      <c r="R188" s="26" t="str">
        <f t="shared" si="7"/>
        <v>USR-10018745792ControlEastDesktopReferralFree000000056.4</v>
      </c>
      <c r="S188" s="22" t="str">
        <f t="shared" si="8"/>
        <v>OK</v>
      </c>
    </row>
    <row r="189" spans="1:19" ht="41.4">
      <c r="A189" s="22" t="s">
        <v>219</v>
      </c>
      <c r="B189" s="25">
        <v>45675</v>
      </c>
      <c r="C189" s="22" t="s">
        <v>17</v>
      </c>
      <c r="D189" s="22" t="s">
        <v>23</v>
      </c>
      <c r="E189" s="22" t="s">
        <v>24</v>
      </c>
      <c r="F189" s="22" t="s">
        <v>29</v>
      </c>
      <c r="G189" s="22" t="s">
        <v>21</v>
      </c>
      <c r="H189" s="22">
        <v>0</v>
      </c>
      <c r="I189" s="22">
        <v>0</v>
      </c>
      <c r="J189" s="22">
        <v>0</v>
      </c>
      <c r="K189" s="22">
        <v>0</v>
      </c>
      <c r="L189" s="22">
        <v>0</v>
      </c>
      <c r="M189" s="22">
        <v>0</v>
      </c>
      <c r="N189" s="22">
        <v>0</v>
      </c>
      <c r="O189" s="22"/>
      <c r="P189" s="22">
        <v>55.4</v>
      </c>
      <c r="Q189" s="22" t="str">
        <f t="shared" si="6"/>
        <v>Normal</v>
      </c>
      <c r="R189" s="26" t="str">
        <f t="shared" si="7"/>
        <v>USR-10018845675ControlWestMobilePaid SearchBasic000000055.4</v>
      </c>
      <c r="S189" s="22" t="str">
        <f t="shared" si="8"/>
        <v>OK</v>
      </c>
    </row>
    <row r="190" spans="1:19" ht="41.4">
      <c r="A190" s="22" t="s">
        <v>220</v>
      </c>
      <c r="B190" s="25">
        <v>45703</v>
      </c>
      <c r="C190" s="22" t="s">
        <v>17</v>
      </c>
      <c r="D190" s="22" t="s">
        <v>32</v>
      </c>
      <c r="E190" s="22" t="s">
        <v>24</v>
      </c>
      <c r="F190" s="22" t="s">
        <v>41</v>
      </c>
      <c r="G190" s="22" t="s">
        <v>21</v>
      </c>
      <c r="H190" s="22">
        <v>1</v>
      </c>
      <c r="I190" s="22">
        <v>0</v>
      </c>
      <c r="J190" s="22">
        <v>0</v>
      </c>
      <c r="K190" s="22">
        <v>0</v>
      </c>
      <c r="L190" s="22">
        <v>0</v>
      </c>
      <c r="M190" s="22">
        <v>0</v>
      </c>
      <c r="N190" s="22">
        <v>0</v>
      </c>
      <c r="O190" s="22"/>
      <c r="P190" s="22">
        <v>67.900000000000006</v>
      </c>
      <c r="Q190" s="22" t="str">
        <f t="shared" si="6"/>
        <v>Normal</v>
      </c>
      <c r="R190" s="26" t="str">
        <f t="shared" si="7"/>
        <v>USR-10018945703ControlSouthMobileSocialBasic100000067.9</v>
      </c>
      <c r="S190" s="22" t="str">
        <f t="shared" si="8"/>
        <v>OK</v>
      </c>
    </row>
    <row r="191" spans="1:19" ht="41.4">
      <c r="A191" s="22" t="s">
        <v>221</v>
      </c>
      <c r="B191" s="25">
        <v>45706</v>
      </c>
      <c r="C191" s="22" t="s">
        <v>17</v>
      </c>
      <c r="D191" s="22" t="s">
        <v>18</v>
      </c>
      <c r="E191" s="22" t="s">
        <v>34</v>
      </c>
      <c r="F191" s="22" t="s">
        <v>20</v>
      </c>
      <c r="G191" s="22" t="s">
        <v>26</v>
      </c>
      <c r="H191" s="22">
        <v>1</v>
      </c>
      <c r="I191" s="22">
        <v>0</v>
      </c>
      <c r="J191" s="22">
        <v>0</v>
      </c>
      <c r="K191" s="22">
        <v>0</v>
      </c>
      <c r="L191" s="22">
        <v>0</v>
      </c>
      <c r="M191" s="22">
        <v>0</v>
      </c>
      <c r="N191" s="22">
        <v>0</v>
      </c>
      <c r="O191" s="22"/>
      <c r="P191" s="22">
        <v>62.5</v>
      </c>
      <c r="Q191" s="22" t="str">
        <f t="shared" si="6"/>
        <v>Normal</v>
      </c>
      <c r="R191" s="26" t="str">
        <f t="shared" si="7"/>
        <v>USR-10019045706ControlNorthTabletEmailFree100000062.5</v>
      </c>
      <c r="S191" s="22" t="str">
        <f t="shared" si="8"/>
        <v>OK</v>
      </c>
    </row>
    <row r="192" spans="1:19" ht="41.4">
      <c r="A192" s="22" t="s">
        <v>222</v>
      </c>
      <c r="B192" s="25">
        <v>45687</v>
      </c>
      <c r="C192" s="22" t="s">
        <v>17</v>
      </c>
      <c r="D192" s="22" t="s">
        <v>32</v>
      </c>
      <c r="E192" s="22" t="s">
        <v>19</v>
      </c>
      <c r="F192" s="22" t="s">
        <v>20</v>
      </c>
      <c r="G192" s="22" t="s">
        <v>21</v>
      </c>
      <c r="H192" s="22">
        <v>1</v>
      </c>
      <c r="I192" s="22">
        <v>1</v>
      </c>
      <c r="J192" s="22">
        <v>1</v>
      </c>
      <c r="K192" s="22">
        <v>0</v>
      </c>
      <c r="L192" s="22">
        <v>0</v>
      </c>
      <c r="M192" s="22">
        <v>0</v>
      </c>
      <c r="N192" s="22">
        <v>0</v>
      </c>
      <c r="O192" s="22"/>
      <c r="P192" s="22">
        <v>54.3</v>
      </c>
      <c r="Q192" s="22" t="str">
        <f t="shared" si="6"/>
        <v>Normal</v>
      </c>
      <c r="R192" s="26" t="str">
        <f t="shared" si="7"/>
        <v>USR-10019145687ControlSouthDesktopEmailBasic111000054.3</v>
      </c>
      <c r="S192" s="22" t="str">
        <f t="shared" si="8"/>
        <v>OK</v>
      </c>
    </row>
    <row r="193" spans="1:19" ht="41.4">
      <c r="A193" s="22" t="s">
        <v>223</v>
      </c>
      <c r="B193" s="25">
        <v>45697</v>
      </c>
      <c r="C193" s="22" t="s">
        <v>17</v>
      </c>
      <c r="D193" s="22" t="s">
        <v>32</v>
      </c>
      <c r="E193" s="22" t="s">
        <v>19</v>
      </c>
      <c r="F193" s="22" t="s">
        <v>25</v>
      </c>
      <c r="G193" s="22" t="s">
        <v>21</v>
      </c>
      <c r="H193" s="22">
        <v>1</v>
      </c>
      <c r="I193" s="22">
        <v>0</v>
      </c>
      <c r="J193" s="22">
        <v>0</v>
      </c>
      <c r="K193" s="22">
        <v>0</v>
      </c>
      <c r="L193" s="22">
        <v>0</v>
      </c>
      <c r="M193" s="22">
        <v>0</v>
      </c>
      <c r="N193" s="22">
        <v>0</v>
      </c>
      <c r="O193" s="22"/>
      <c r="P193" s="22">
        <v>37.5</v>
      </c>
      <c r="Q193" s="22" t="str">
        <f t="shared" si="6"/>
        <v>Normal</v>
      </c>
      <c r="R193" s="26" t="str">
        <f t="shared" si="7"/>
        <v>USR-10019245697ControlSouthDesktopOrganicBasic100000037.5</v>
      </c>
      <c r="S193" s="22" t="str">
        <f t="shared" si="8"/>
        <v>OK</v>
      </c>
    </row>
    <row r="194" spans="1:19" ht="41.4">
      <c r="A194" s="22" t="s">
        <v>224</v>
      </c>
      <c r="B194" s="25">
        <v>45732</v>
      </c>
      <c r="C194" s="22" t="s">
        <v>17</v>
      </c>
      <c r="D194" s="22" t="s">
        <v>23</v>
      </c>
      <c r="E194" s="22" t="s">
        <v>24</v>
      </c>
      <c r="F194" s="22" t="s">
        <v>29</v>
      </c>
      <c r="G194" s="22" t="s">
        <v>21</v>
      </c>
      <c r="H194" s="22">
        <v>1</v>
      </c>
      <c r="I194" s="22">
        <v>0</v>
      </c>
      <c r="J194" s="22">
        <v>0</v>
      </c>
      <c r="K194" s="22">
        <v>0</v>
      </c>
      <c r="L194" s="22">
        <v>0</v>
      </c>
      <c r="M194" s="22">
        <v>0</v>
      </c>
      <c r="N194" s="22">
        <v>0</v>
      </c>
      <c r="O194" s="22"/>
      <c r="P194" s="22">
        <v>52.6</v>
      </c>
      <c r="Q194" s="22" t="str">
        <f t="shared" si="6"/>
        <v>Normal</v>
      </c>
      <c r="R194" s="26" t="str">
        <f t="shared" si="7"/>
        <v>USR-10019345732ControlWestMobilePaid SearchBasic100000052.6</v>
      </c>
      <c r="S194" s="22" t="str">
        <f t="shared" si="8"/>
        <v>OK</v>
      </c>
    </row>
    <row r="195" spans="1:19" ht="41.4">
      <c r="A195" s="22" t="s">
        <v>225</v>
      </c>
      <c r="B195" s="25">
        <v>45796</v>
      </c>
      <c r="C195" s="22" t="s">
        <v>17</v>
      </c>
      <c r="D195" s="22" t="s">
        <v>18</v>
      </c>
      <c r="E195" s="22" t="s">
        <v>24</v>
      </c>
      <c r="F195" s="22" t="s">
        <v>29</v>
      </c>
      <c r="G195" s="22" t="s">
        <v>26</v>
      </c>
      <c r="H195" s="22">
        <v>1</v>
      </c>
      <c r="I195" s="22">
        <v>0</v>
      </c>
      <c r="J195" s="22">
        <v>0</v>
      </c>
      <c r="K195" s="22">
        <v>0</v>
      </c>
      <c r="L195" s="22">
        <v>0</v>
      </c>
      <c r="M195" s="22">
        <v>0</v>
      </c>
      <c r="N195" s="22">
        <v>0</v>
      </c>
      <c r="O195" s="22"/>
      <c r="P195" s="22">
        <v>46.1</v>
      </c>
      <c r="Q195" s="22" t="str">
        <f t="shared" ref="Q195:Q258" si="9">IF(OR(L195&lt;$V$40,L195&gt;$V$41),"Outlier","Normal")</f>
        <v>Normal</v>
      </c>
      <c r="R195" s="26" t="str">
        <f t="shared" ref="R195:R258" si="10">A195&amp;B195&amp;C195&amp;D195&amp;E195&amp;F195&amp;G195&amp;H195&amp;I195&amp;J195&amp;K195&amp;L195&amp;M195&amp;N195&amp;O195&amp;P195</f>
        <v>USR-10019445796ControlNorthMobilePaid SearchFree100000046.1</v>
      </c>
      <c r="S195" s="22" t="str">
        <f t="shared" ref="S195:S258" si="11">IF(COUNTIF($R$2:$R$1409,R195)=1,"OK",IF(COUNTIF($R$2:$R$1409,R195)&gt;1,"Exact Duplicate","Review Required"))</f>
        <v>OK</v>
      </c>
    </row>
    <row r="196" spans="1:19" ht="41.4">
      <c r="A196" s="22" t="s">
        <v>226</v>
      </c>
      <c r="B196" s="25">
        <v>45793</v>
      </c>
      <c r="C196" s="22" t="s">
        <v>17</v>
      </c>
      <c r="D196" s="22" t="s">
        <v>32</v>
      </c>
      <c r="E196" s="22" t="s">
        <v>19</v>
      </c>
      <c r="F196" s="22" t="s">
        <v>25</v>
      </c>
      <c r="G196" s="22" t="s">
        <v>21</v>
      </c>
      <c r="H196" s="22">
        <v>1</v>
      </c>
      <c r="I196" s="22">
        <v>0</v>
      </c>
      <c r="J196" s="22">
        <v>0</v>
      </c>
      <c r="K196" s="22">
        <v>0</v>
      </c>
      <c r="L196" s="22">
        <v>0</v>
      </c>
      <c r="M196" s="22">
        <v>0</v>
      </c>
      <c r="N196" s="22">
        <v>0</v>
      </c>
      <c r="O196" s="22"/>
      <c r="P196" s="22">
        <v>54.7</v>
      </c>
      <c r="Q196" s="22" t="str">
        <f t="shared" si="9"/>
        <v>Normal</v>
      </c>
      <c r="R196" s="26" t="str">
        <f t="shared" si="10"/>
        <v>USR-10019545793ControlSouthDesktopOrganicBasic100000054.7</v>
      </c>
      <c r="S196" s="22" t="str">
        <f t="shared" si="11"/>
        <v>OK</v>
      </c>
    </row>
    <row r="197" spans="1:19" ht="41.4">
      <c r="A197" s="22" t="s">
        <v>227</v>
      </c>
      <c r="B197" s="25">
        <v>45772</v>
      </c>
      <c r="C197" s="22" t="s">
        <v>17</v>
      </c>
      <c r="D197" s="22" t="s">
        <v>23</v>
      </c>
      <c r="E197" s="22" t="s">
        <v>19</v>
      </c>
      <c r="F197" s="22" t="s">
        <v>39</v>
      </c>
      <c r="G197" s="22" t="s">
        <v>21</v>
      </c>
      <c r="H197" s="22">
        <v>0</v>
      </c>
      <c r="I197" s="22">
        <v>0</v>
      </c>
      <c r="J197" s="22">
        <v>0</v>
      </c>
      <c r="K197" s="22">
        <v>0</v>
      </c>
      <c r="L197" s="22">
        <v>0</v>
      </c>
      <c r="M197" s="22">
        <v>0</v>
      </c>
      <c r="N197" s="22">
        <v>0</v>
      </c>
      <c r="O197" s="22"/>
      <c r="P197" s="22">
        <v>74.2</v>
      </c>
      <c r="Q197" s="22" t="str">
        <f t="shared" si="9"/>
        <v>Normal</v>
      </c>
      <c r="R197" s="26" t="str">
        <f t="shared" si="10"/>
        <v>USR-10019645772ControlWestDesktopReferralBasic000000074.2</v>
      </c>
      <c r="S197" s="22" t="str">
        <f t="shared" si="11"/>
        <v>OK</v>
      </c>
    </row>
    <row r="198" spans="1:19" ht="41.4">
      <c r="A198" s="22" t="s">
        <v>228</v>
      </c>
      <c r="B198" s="25">
        <v>45715</v>
      </c>
      <c r="C198" s="22" t="s">
        <v>17</v>
      </c>
      <c r="D198" s="22" t="s">
        <v>18</v>
      </c>
      <c r="E198" s="22" t="s">
        <v>24</v>
      </c>
      <c r="F198" s="22" t="s">
        <v>41</v>
      </c>
      <c r="G198" s="22" t="s">
        <v>21</v>
      </c>
      <c r="H198" s="22">
        <v>1</v>
      </c>
      <c r="I198" s="22">
        <v>1</v>
      </c>
      <c r="J198" s="22">
        <v>1</v>
      </c>
      <c r="K198" s="22">
        <v>1</v>
      </c>
      <c r="L198" s="22">
        <v>1052.8</v>
      </c>
      <c r="M198" s="22">
        <v>2</v>
      </c>
      <c r="N198" s="22">
        <v>0</v>
      </c>
      <c r="O198" s="22">
        <v>6</v>
      </c>
      <c r="P198" s="22">
        <v>64.7</v>
      </c>
      <c r="Q198" s="22" t="str">
        <f t="shared" si="9"/>
        <v>Normal</v>
      </c>
      <c r="R198" s="26" t="str">
        <f t="shared" si="10"/>
        <v>USR-10019745715ControlNorthMobileSocialBasic11111052.820664.7</v>
      </c>
      <c r="S198" s="22" t="str">
        <f t="shared" si="11"/>
        <v>OK</v>
      </c>
    </row>
    <row r="199" spans="1:19" ht="41.4">
      <c r="A199" s="22" t="s">
        <v>229</v>
      </c>
      <c r="B199" s="25">
        <v>45773</v>
      </c>
      <c r="C199" s="22" t="s">
        <v>17</v>
      </c>
      <c r="D199" s="22" t="s">
        <v>32</v>
      </c>
      <c r="E199" s="22" t="s">
        <v>24</v>
      </c>
      <c r="F199" s="22" t="s">
        <v>29</v>
      </c>
      <c r="G199" s="22" t="s">
        <v>21</v>
      </c>
      <c r="H199" s="22">
        <v>0</v>
      </c>
      <c r="I199" s="22">
        <v>0</v>
      </c>
      <c r="J199" s="22">
        <v>0</v>
      </c>
      <c r="K199" s="22">
        <v>0</v>
      </c>
      <c r="L199" s="22">
        <v>0</v>
      </c>
      <c r="M199" s="22">
        <v>0</v>
      </c>
      <c r="N199" s="22">
        <v>0</v>
      </c>
      <c r="O199" s="22"/>
      <c r="P199" s="22">
        <v>65.900000000000006</v>
      </c>
      <c r="Q199" s="22" t="str">
        <f t="shared" si="9"/>
        <v>Normal</v>
      </c>
      <c r="R199" s="26" t="str">
        <f t="shared" si="10"/>
        <v>USR-10019845773ControlSouthMobilePaid SearchBasic000000065.9</v>
      </c>
      <c r="S199" s="22" t="str">
        <f t="shared" si="11"/>
        <v>OK</v>
      </c>
    </row>
    <row r="200" spans="1:19" ht="41.4">
      <c r="A200" s="22" t="s">
        <v>230</v>
      </c>
      <c r="B200" s="25">
        <v>45791</v>
      </c>
      <c r="C200" s="22" t="s">
        <v>17</v>
      </c>
      <c r="D200" s="22" t="s">
        <v>18</v>
      </c>
      <c r="E200" s="22" t="s">
        <v>24</v>
      </c>
      <c r="F200" s="22" t="s">
        <v>25</v>
      </c>
      <c r="G200" s="22" t="s">
        <v>21</v>
      </c>
      <c r="H200" s="22">
        <v>1</v>
      </c>
      <c r="I200" s="22">
        <v>0</v>
      </c>
      <c r="J200" s="22">
        <v>0</v>
      </c>
      <c r="K200" s="22">
        <v>0</v>
      </c>
      <c r="L200" s="22">
        <v>0</v>
      </c>
      <c r="M200" s="22">
        <v>0</v>
      </c>
      <c r="N200" s="22">
        <v>0</v>
      </c>
      <c r="O200" s="22"/>
      <c r="P200" s="22">
        <v>64</v>
      </c>
      <c r="Q200" s="22" t="str">
        <f t="shared" si="9"/>
        <v>Normal</v>
      </c>
      <c r="R200" s="26" t="str">
        <f t="shared" si="10"/>
        <v>USR-10019945791ControlNorthMobileOrganicBasic100000064</v>
      </c>
      <c r="S200" s="22" t="str">
        <f t="shared" si="11"/>
        <v>OK</v>
      </c>
    </row>
    <row r="201" spans="1:19" ht="41.4">
      <c r="A201" s="22" t="s">
        <v>231</v>
      </c>
      <c r="B201" s="25">
        <v>45721</v>
      </c>
      <c r="C201" s="22" t="s">
        <v>17</v>
      </c>
      <c r="D201" s="22" t="s">
        <v>18</v>
      </c>
      <c r="E201" s="22" t="s">
        <v>24</v>
      </c>
      <c r="F201" s="22" t="s">
        <v>25</v>
      </c>
      <c r="G201" s="22" t="s">
        <v>30</v>
      </c>
      <c r="H201" s="22">
        <v>1</v>
      </c>
      <c r="I201" s="22">
        <v>0</v>
      </c>
      <c r="J201" s="22">
        <v>0</v>
      </c>
      <c r="K201" s="22">
        <v>0</v>
      </c>
      <c r="L201" s="22">
        <v>0</v>
      </c>
      <c r="M201" s="22">
        <v>0</v>
      </c>
      <c r="N201" s="22">
        <v>0</v>
      </c>
      <c r="O201" s="22"/>
      <c r="P201" s="22">
        <v>57.2</v>
      </c>
      <c r="Q201" s="22" t="str">
        <f t="shared" si="9"/>
        <v>Normal</v>
      </c>
      <c r="R201" s="26" t="str">
        <f t="shared" si="10"/>
        <v>USR-10020045721ControlNorthMobileOrganicPremium100000057.2</v>
      </c>
      <c r="S201" s="22" t="str">
        <f t="shared" si="11"/>
        <v>OK</v>
      </c>
    </row>
    <row r="202" spans="1:19" ht="41.4">
      <c r="A202" s="22" t="s">
        <v>232</v>
      </c>
      <c r="B202" s="25">
        <v>45749</v>
      </c>
      <c r="C202" s="22" t="s">
        <v>17</v>
      </c>
      <c r="D202" s="22" t="s">
        <v>23</v>
      </c>
      <c r="E202" s="22" t="s">
        <v>19</v>
      </c>
      <c r="F202" s="22" t="s">
        <v>25</v>
      </c>
      <c r="G202" s="22" t="s">
        <v>26</v>
      </c>
      <c r="H202" s="22">
        <v>1</v>
      </c>
      <c r="I202" s="22">
        <v>0</v>
      </c>
      <c r="J202" s="22">
        <v>0</v>
      </c>
      <c r="K202" s="22">
        <v>0</v>
      </c>
      <c r="L202" s="22">
        <v>0</v>
      </c>
      <c r="M202" s="22">
        <v>0</v>
      </c>
      <c r="N202" s="22">
        <v>0</v>
      </c>
      <c r="O202" s="22"/>
      <c r="P202" s="22">
        <v>80.5</v>
      </c>
      <c r="Q202" s="22" t="str">
        <f t="shared" si="9"/>
        <v>Normal</v>
      </c>
      <c r="R202" s="26" t="str">
        <f t="shared" si="10"/>
        <v>USR-10020145749ControlWestDesktopOrganicFree100000080.5</v>
      </c>
      <c r="S202" s="22" t="str">
        <f t="shared" si="11"/>
        <v>OK</v>
      </c>
    </row>
    <row r="203" spans="1:19" ht="41.4">
      <c r="A203" s="22" t="s">
        <v>233</v>
      </c>
      <c r="B203" s="25">
        <v>45791</v>
      </c>
      <c r="C203" s="22" t="s">
        <v>17</v>
      </c>
      <c r="D203" s="22" t="s">
        <v>32</v>
      </c>
      <c r="E203" s="22" t="s">
        <v>34</v>
      </c>
      <c r="F203" s="22" t="s">
        <v>25</v>
      </c>
      <c r="G203" s="22" t="s">
        <v>26</v>
      </c>
      <c r="H203" s="22">
        <v>0</v>
      </c>
      <c r="I203" s="22">
        <v>0</v>
      </c>
      <c r="J203" s="22">
        <v>0</v>
      </c>
      <c r="K203" s="22">
        <v>0</v>
      </c>
      <c r="L203" s="22">
        <v>0</v>
      </c>
      <c r="M203" s="22">
        <v>0</v>
      </c>
      <c r="N203" s="22">
        <v>0</v>
      </c>
      <c r="O203" s="22"/>
      <c r="P203" s="22">
        <v>53.9</v>
      </c>
      <c r="Q203" s="22" t="str">
        <f t="shared" si="9"/>
        <v>Normal</v>
      </c>
      <c r="R203" s="26" t="str">
        <f t="shared" si="10"/>
        <v>USR-10020245791ControlSouthTabletOrganicFree000000053.9</v>
      </c>
      <c r="S203" s="22" t="str">
        <f t="shared" si="11"/>
        <v>OK</v>
      </c>
    </row>
    <row r="204" spans="1:19" ht="41.4">
      <c r="A204" s="22" t="s">
        <v>234</v>
      </c>
      <c r="B204" s="25">
        <v>45798</v>
      </c>
      <c r="C204" s="22" t="s">
        <v>17</v>
      </c>
      <c r="D204" s="22" t="s">
        <v>18</v>
      </c>
      <c r="E204" s="22" t="s">
        <v>24</v>
      </c>
      <c r="F204" s="22" t="s">
        <v>29</v>
      </c>
      <c r="G204" s="22" t="s">
        <v>26</v>
      </c>
      <c r="H204" s="22">
        <v>1</v>
      </c>
      <c r="I204" s="22">
        <v>1</v>
      </c>
      <c r="J204" s="22">
        <v>0</v>
      </c>
      <c r="K204" s="22">
        <v>0</v>
      </c>
      <c r="L204" s="22">
        <v>0</v>
      </c>
      <c r="M204" s="22">
        <v>0</v>
      </c>
      <c r="N204" s="22">
        <v>0</v>
      </c>
      <c r="O204" s="22"/>
      <c r="P204" s="22">
        <v>77.5</v>
      </c>
      <c r="Q204" s="22" t="str">
        <f t="shared" si="9"/>
        <v>Normal</v>
      </c>
      <c r="R204" s="26" t="str">
        <f t="shared" si="10"/>
        <v>USR-10020345798ControlNorthMobilePaid SearchFree110000077.5</v>
      </c>
      <c r="S204" s="22" t="str">
        <f t="shared" si="11"/>
        <v>OK</v>
      </c>
    </row>
    <row r="205" spans="1:19" ht="41.4">
      <c r="A205" s="22" t="s">
        <v>235</v>
      </c>
      <c r="B205" s="25">
        <v>45684</v>
      </c>
      <c r="C205" s="22" t="s">
        <v>17</v>
      </c>
      <c r="D205" s="22" t="s">
        <v>28</v>
      </c>
      <c r="E205" s="22" t="s">
        <v>24</v>
      </c>
      <c r="F205" s="22" t="s">
        <v>41</v>
      </c>
      <c r="G205" s="22" t="s">
        <v>21</v>
      </c>
      <c r="H205" s="22">
        <v>0</v>
      </c>
      <c r="I205" s="22">
        <v>0</v>
      </c>
      <c r="J205" s="22">
        <v>0</v>
      </c>
      <c r="K205" s="22">
        <v>0</v>
      </c>
      <c r="L205" s="22">
        <v>0</v>
      </c>
      <c r="M205" s="22">
        <v>0</v>
      </c>
      <c r="N205" s="22">
        <v>0</v>
      </c>
      <c r="O205" s="22"/>
      <c r="P205" s="22">
        <v>84.2</v>
      </c>
      <c r="Q205" s="22" t="str">
        <f t="shared" si="9"/>
        <v>Normal</v>
      </c>
      <c r="R205" s="26" t="str">
        <f t="shared" si="10"/>
        <v>USR-10020445684ControlEastMobileSocialBasic000000084.2</v>
      </c>
      <c r="S205" s="22" t="str">
        <f t="shared" si="11"/>
        <v>OK</v>
      </c>
    </row>
    <row r="206" spans="1:19" ht="41.4">
      <c r="A206" s="22" t="s">
        <v>236</v>
      </c>
      <c r="B206" s="25">
        <v>45799</v>
      </c>
      <c r="C206" s="22" t="s">
        <v>17</v>
      </c>
      <c r="D206" s="22" t="s">
        <v>23</v>
      </c>
      <c r="E206" s="22" t="s">
        <v>19</v>
      </c>
      <c r="F206" s="22" t="s">
        <v>25</v>
      </c>
      <c r="G206" s="22" t="s">
        <v>26</v>
      </c>
      <c r="H206" s="22">
        <v>1</v>
      </c>
      <c r="I206" s="22">
        <v>1</v>
      </c>
      <c r="J206" s="22">
        <v>0</v>
      </c>
      <c r="K206" s="22">
        <v>0</v>
      </c>
      <c r="L206" s="22">
        <v>0</v>
      </c>
      <c r="M206" s="22">
        <v>0</v>
      </c>
      <c r="N206" s="22">
        <v>0</v>
      </c>
      <c r="O206" s="22"/>
      <c r="P206" s="22">
        <v>54.9</v>
      </c>
      <c r="Q206" s="22" t="str">
        <f t="shared" si="9"/>
        <v>Normal</v>
      </c>
      <c r="R206" s="26" t="str">
        <f t="shared" si="10"/>
        <v>USR-10020545799ControlWestDesktopOrganicFree110000054.9</v>
      </c>
      <c r="S206" s="22" t="str">
        <f t="shared" si="11"/>
        <v>OK</v>
      </c>
    </row>
    <row r="207" spans="1:19" ht="41.4">
      <c r="A207" s="22" t="s">
        <v>237</v>
      </c>
      <c r="B207" s="25">
        <v>45796</v>
      </c>
      <c r="C207" s="22" t="s">
        <v>17</v>
      </c>
      <c r="D207" s="22" t="s">
        <v>32</v>
      </c>
      <c r="E207" s="22" t="s">
        <v>24</v>
      </c>
      <c r="F207" s="22" t="s">
        <v>29</v>
      </c>
      <c r="G207" s="22" t="s">
        <v>26</v>
      </c>
      <c r="H207" s="22">
        <v>0</v>
      </c>
      <c r="I207" s="22">
        <v>0</v>
      </c>
      <c r="J207" s="22">
        <v>0</v>
      </c>
      <c r="K207" s="22">
        <v>0</v>
      </c>
      <c r="L207" s="22">
        <v>0</v>
      </c>
      <c r="M207" s="22">
        <v>0</v>
      </c>
      <c r="N207" s="22">
        <v>0</v>
      </c>
      <c r="O207" s="22"/>
      <c r="P207" s="22">
        <v>69.3</v>
      </c>
      <c r="Q207" s="22" t="str">
        <f t="shared" si="9"/>
        <v>Normal</v>
      </c>
      <c r="R207" s="26" t="str">
        <f t="shared" si="10"/>
        <v>USR-10020645796ControlSouthMobilePaid SearchFree000000069.3</v>
      </c>
      <c r="S207" s="22" t="str">
        <f t="shared" si="11"/>
        <v>OK</v>
      </c>
    </row>
    <row r="208" spans="1:19" ht="41.4">
      <c r="A208" s="22" t="s">
        <v>238</v>
      </c>
      <c r="B208" s="25">
        <v>45671</v>
      </c>
      <c r="C208" s="22" t="s">
        <v>17</v>
      </c>
      <c r="D208" s="22" t="s">
        <v>32</v>
      </c>
      <c r="E208" s="22" t="s">
        <v>19</v>
      </c>
      <c r="F208" s="22" t="s">
        <v>29</v>
      </c>
      <c r="G208" s="22" t="s">
        <v>26</v>
      </c>
      <c r="H208" s="22">
        <v>1</v>
      </c>
      <c r="I208" s="22">
        <v>0</v>
      </c>
      <c r="J208" s="22">
        <v>0</v>
      </c>
      <c r="K208" s="22">
        <v>0</v>
      </c>
      <c r="L208" s="22">
        <v>0</v>
      </c>
      <c r="M208" s="22">
        <v>2</v>
      </c>
      <c r="N208" s="22">
        <v>0</v>
      </c>
      <c r="O208" s="22"/>
      <c r="P208" s="22">
        <v>42.3</v>
      </c>
      <c r="Q208" s="22" t="str">
        <f t="shared" si="9"/>
        <v>Normal</v>
      </c>
      <c r="R208" s="26" t="str">
        <f t="shared" si="10"/>
        <v>USR-10020745671ControlSouthDesktopPaid SearchFree100002042.3</v>
      </c>
      <c r="S208" s="22" t="str">
        <f t="shared" si="11"/>
        <v>OK</v>
      </c>
    </row>
    <row r="209" spans="1:19" ht="41.4">
      <c r="A209" s="22" t="s">
        <v>239</v>
      </c>
      <c r="B209" s="25">
        <v>45678</v>
      </c>
      <c r="C209" s="22" t="s">
        <v>17</v>
      </c>
      <c r="D209" s="22" t="s">
        <v>18</v>
      </c>
      <c r="E209" s="22" t="s">
        <v>19</v>
      </c>
      <c r="F209" s="22" t="s">
        <v>39</v>
      </c>
      <c r="G209" s="22" t="s">
        <v>30</v>
      </c>
      <c r="H209" s="22">
        <v>1</v>
      </c>
      <c r="I209" s="22">
        <v>0</v>
      </c>
      <c r="J209" s="22">
        <v>0</v>
      </c>
      <c r="K209" s="22">
        <v>0</v>
      </c>
      <c r="L209" s="22">
        <v>0</v>
      </c>
      <c r="M209" s="22">
        <v>1</v>
      </c>
      <c r="N209" s="22">
        <v>0</v>
      </c>
      <c r="O209" s="22"/>
      <c r="P209" s="22">
        <v>69.599999999999994</v>
      </c>
      <c r="Q209" s="22" t="str">
        <f t="shared" si="9"/>
        <v>Normal</v>
      </c>
      <c r="R209" s="26" t="str">
        <f t="shared" si="10"/>
        <v>USR-10020845678ControlNorthDesktopReferralPremium100001069.6</v>
      </c>
      <c r="S209" s="22" t="str">
        <f t="shared" si="11"/>
        <v>OK</v>
      </c>
    </row>
    <row r="210" spans="1:19" ht="41.4">
      <c r="A210" s="22" t="s">
        <v>240</v>
      </c>
      <c r="B210" s="25">
        <v>45793</v>
      </c>
      <c r="C210" s="22" t="s">
        <v>17</v>
      </c>
      <c r="D210" s="22" t="s">
        <v>28</v>
      </c>
      <c r="E210" s="22" t="s">
        <v>24</v>
      </c>
      <c r="F210" s="22" t="s">
        <v>25</v>
      </c>
      <c r="G210" s="22" t="s">
        <v>26</v>
      </c>
      <c r="H210" s="22">
        <v>0</v>
      </c>
      <c r="I210" s="22">
        <v>0</v>
      </c>
      <c r="J210" s="22">
        <v>0</v>
      </c>
      <c r="K210" s="22">
        <v>0</v>
      </c>
      <c r="L210" s="22">
        <v>0</v>
      </c>
      <c r="M210" s="22">
        <v>0</v>
      </c>
      <c r="N210" s="22">
        <v>0</v>
      </c>
      <c r="O210" s="22"/>
      <c r="P210" s="22">
        <v>40.700000000000003</v>
      </c>
      <c r="Q210" s="22" t="str">
        <f t="shared" si="9"/>
        <v>Normal</v>
      </c>
      <c r="R210" s="26" t="str">
        <f t="shared" si="10"/>
        <v>USR-10020945793ControlEastMobileOrganicFree000000040.7</v>
      </c>
      <c r="S210" s="22" t="str">
        <f t="shared" si="11"/>
        <v>OK</v>
      </c>
    </row>
    <row r="211" spans="1:19" ht="41.4">
      <c r="A211" s="22" t="s">
        <v>241</v>
      </c>
      <c r="B211" s="25">
        <v>45690</v>
      </c>
      <c r="C211" s="22" t="s">
        <v>17</v>
      </c>
      <c r="D211" s="22" t="s">
        <v>18</v>
      </c>
      <c r="E211" s="22" t="s">
        <v>24</v>
      </c>
      <c r="F211" s="22" t="s">
        <v>20</v>
      </c>
      <c r="G211" s="22" t="s">
        <v>26</v>
      </c>
      <c r="H211" s="22">
        <v>1</v>
      </c>
      <c r="I211" s="22">
        <v>0</v>
      </c>
      <c r="J211" s="22">
        <v>0</v>
      </c>
      <c r="K211" s="22">
        <v>0</v>
      </c>
      <c r="L211" s="22">
        <v>0</v>
      </c>
      <c r="M211" s="22">
        <v>0</v>
      </c>
      <c r="N211" s="22">
        <v>0</v>
      </c>
      <c r="O211" s="22"/>
      <c r="P211" s="22">
        <v>54</v>
      </c>
      <c r="Q211" s="22" t="str">
        <f t="shared" si="9"/>
        <v>Normal</v>
      </c>
      <c r="R211" s="26" t="str">
        <f t="shared" si="10"/>
        <v>USR-10021045690ControlNorthMobileEmailFree100000054</v>
      </c>
      <c r="S211" s="22" t="str">
        <f t="shared" si="11"/>
        <v>OK</v>
      </c>
    </row>
    <row r="212" spans="1:19" ht="41.4">
      <c r="A212" s="22" t="s">
        <v>242</v>
      </c>
      <c r="B212" s="25">
        <v>45739</v>
      </c>
      <c r="C212" s="22" t="s">
        <v>17</v>
      </c>
      <c r="D212" s="22" t="s">
        <v>28</v>
      </c>
      <c r="E212" s="22"/>
      <c r="F212" s="22" t="s">
        <v>39</v>
      </c>
      <c r="G212" s="22" t="s">
        <v>26</v>
      </c>
      <c r="H212" s="22">
        <v>1</v>
      </c>
      <c r="I212" s="22">
        <v>1</v>
      </c>
      <c r="J212" s="22">
        <v>1</v>
      </c>
      <c r="K212" s="22">
        <v>1</v>
      </c>
      <c r="L212" s="22">
        <v>553.37</v>
      </c>
      <c r="M212" s="22">
        <v>0</v>
      </c>
      <c r="N212" s="22">
        <v>0</v>
      </c>
      <c r="O212" s="22">
        <v>5</v>
      </c>
      <c r="P212" s="22">
        <v>46.3</v>
      </c>
      <c r="Q212" s="22" t="str">
        <f t="shared" si="9"/>
        <v>Normal</v>
      </c>
      <c r="R212" s="26" t="str">
        <f t="shared" si="10"/>
        <v>USR-10021145739ControlEastReferralFree1111553.3700546.3</v>
      </c>
      <c r="S212" s="22" t="str">
        <f t="shared" si="11"/>
        <v>OK</v>
      </c>
    </row>
    <row r="213" spans="1:19" ht="41.4">
      <c r="A213" s="22" t="s">
        <v>243</v>
      </c>
      <c r="B213" s="25">
        <v>45681</v>
      </c>
      <c r="C213" s="22" t="s">
        <v>17</v>
      </c>
      <c r="D213" s="22" t="s">
        <v>28</v>
      </c>
      <c r="E213" s="22" t="s">
        <v>24</v>
      </c>
      <c r="F213" s="22" t="s">
        <v>25</v>
      </c>
      <c r="G213" s="22" t="s">
        <v>26</v>
      </c>
      <c r="H213" s="22">
        <v>1</v>
      </c>
      <c r="I213" s="22">
        <v>0</v>
      </c>
      <c r="J213" s="22">
        <v>0</v>
      </c>
      <c r="K213" s="22">
        <v>0</v>
      </c>
      <c r="L213" s="22">
        <v>0</v>
      </c>
      <c r="M213" s="22">
        <v>0</v>
      </c>
      <c r="N213" s="22">
        <v>0</v>
      </c>
      <c r="O213" s="22"/>
      <c r="P213" s="22">
        <v>64.2</v>
      </c>
      <c r="Q213" s="22" t="str">
        <f t="shared" si="9"/>
        <v>Normal</v>
      </c>
      <c r="R213" s="26" t="str">
        <f t="shared" si="10"/>
        <v>USR-10021245681ControlEastMobileOrganicFree100000064.2</v>
      </c>
      <c r="S213" s="22" t="str">
        <f t="shared" si="11"/>
        <v>OK</v>
      </c>
    </row>
    <row r="214" spans="1:19" ht="41.4">
      <c r="A214" s="22" t="s">
        <v>244</v>
      </c>
      <c r="B214" s="25">
        <v>45759</v>
      </c>
      <c r="C214" s="22" t="s">
        <v>17</v>
      </c>
      <c r="D214" s="22" t="s">
        <v>18</v>
      </c>
      <c r="E214" s="22" t="s">
        <v>19</v>
      </c>
      <c r="F214" s="22" t="s">
        <v>25</v>
      </c>
      <c r="G214" s="22" t="s">
        <v>26</v>
      </c>
      <c r="H214" s="22">
        <v>1</v>
      </c>
      <c r="I214" s="22">
        <v>0</v>
      </c>
      <c r="J214" s="22">
        <v>0</v>
      </c>
      <c r="K214" s="22">
        <v>0</v>
      </c>
      <c r="L214" s="22">
        <v>0</v>
      </c>
      <c r="M214" s="22">
        <v>0</v>
      </c>
      <c r="N214" s="22">
        <v>0</v>
      </c>
      <c r="O214" s="22"/>
      <c r="P214" s="22">
        <v>75.2</v>
      </c>
      <c r="Q214" s="22" t="str">
        <f t="shared" si="9"/>
        <v>Normal</v>
      </c>
      <c r="R214" s="26" t="str">
        <f t="shared" si="10"/>
        <v>USR-10021345759ControlNorthDesktopOrganicFree100000075.2</v>
      </c>
      <c r="S214" s="22" t="str">
        <f t="shared" si="11"/>
        <v>OK</v>
      </c>
    </row>
    <row r="215" spans="1:19" ht="41.4">
      <c r="A215" s="22" t="s">
        <v>245</v>
      </c>
      <c r="B215" s="25">
        <v>45706</v>
      </c>
      <c r="C215" s="22" t="s">
        <v>17</v>
      </c>
      <c r="D215" s="22" t="s">
        <v>28</v>
      </c>
      <c r="E215" s="22" t="s">
        <v>19</v>
      </c>
      <c r="F215" s="22" t="s">
        <v>29</v>
      </c>
      <c r="G215" s="22" t="s">
        <v>26</v>
      </c>
      <c r="H215" s="22">
        <v>1</v>
      </c>
      <c r="I215" s="22">
        <v>1</v>
      </c>
      <c r="J215" s="22">
        <v>0</v>
      </c>
      <c r="K215" s="22">
        <v>0</v>
      </c>
      <c r="L215" s="22">
        <v>0</v>
      </c>
      <c r="M215" s="22">
        <v>0</v>
      </c>
      <c r="N215" s="22">
        <v>0</v>
      </c>
      <c r="O215" s="22"/>
      <c r="P215" s="22">
        <v>60.9</v>
      </c>
      <c r="Q215" s="22" t="str">
        <f t="shared" si="9"/>
        <v>Normal</v>
      </c>
      <c r="R215" s="26" t="str">
        <f t="shared" si="10"/>
        <v>USR-10021445706ControlEastDesktopPaid SearchFree110000060.9</v>
      </c>
      <c r="S215" s="22" t="str">
        <f t="shared" si="11"/>
        <v>OK</v>
      </c>
    </row>
    <row r="216" spans="1:19" ht="41.4">
      <c r="A216" s="22" t="s">
        <v>246</v>
      </c>
      <c r="B216" s="25">
        <v>45805</v>
      </c>
      <c r="C216" s="22" t="s">
        <v>17</v>
      </c>
      <c r="D216" s="22" t="s">
        <v>32</v>
      </c>
      <c r="E216" s="22" t="s">
        <v>24</v>
      </c>
      <c r="F216" s="22" t="s">
        <v>20</v>
      </c>
      <c r="G216" s="22" t="s">
        <v>21</v>
      </c>
      <c r="H216" s="22">
        <v>1</v>
      </c>
      <c r="I216" s="22">
        <v>1</v>
      </c>
      <c r="J216" s="22">
        <v>1</v>
      </c>
      <c r="K216" s="22">
        <v>0</v>
      </c>
      <c r="L216" s="22">
        <v>0</v>
      </c>
      <c r="M216" s="22">
        <v>0</v>
      </c>
      <c r="N216" s="22">
        <v>0</v>
      </c>
      <c r="O216" s="22"/>
      <c r="P216" s="22">
        <v>62.1</v>
      </c>
      <c r="Q216" s="22" t="str">
        <f t="shared" si="9"/>
        <v>Normal</v>
      </c>
      <c r="R216" s="26" t="str">
        <f t="shared" si="10"/>
        <v>USR-10021545805ControlSouthMobileEmailBasic111000062.1</v>
      </c>
      <c r="S216" s="22" t="str">
        <f t="shared" si="11"/>
        <v>OK</v>
      </c>
    </row>
    <row r="217" spans="1:19" ht="41.4">
      <c r="A217" s="22" t="s">
        <v>247</v>
      </c>
      <c r="B217" s="25">
        <v>45765</v>
      </c>
      <c r="C217" s="22" t="s">
        <v>17</v>
      </c>
      <c r="D217" s="22" t="s">
        <v>32</v>
      </c>
      <c r="E217" s="22" t="s">
        <v>24</v>
      </c>
      <c r="F217" s="22" t="s">
        <v>41</v>
      </c>
      <c r="G217" s="22" t="s">
        <v>21</v>
      </c>
      <c r="H217" s="22">
        <v>0</v>
      </c>
      <c r="I217" s="22">
        <v>0</v>
      </c>
      <c r="J217" s="22">
        <v>0</v>
      </c>
      <c r="K217" s="22">
        <v>0</v>
      </c>
      <c r="L217" s="22">
        <v>0</v>
      </c>
      <c r="M217" s="22">
        <v>0</v>
      </c>
      <c r="N217" s="22">
        <v>0</v>
      </c>
      <c r="O217" s="22"/>
      <c r="P217" s="22">
        <v>45.4</v>
      </c>
      <c r="Q217" s="22" t="str">
        <f t="shared" si="9"/>
        <v>Normal</v>
      </c>
      <c r="R217" s="26" t="str">
        <f t="shared" si="10"/>
        <v>USR-10021645765ControlSouthMobileSocialBasic000000045.4</v>
      </c>
      <c r="S217" s="22" t="str">
        <f t="shared" si="11"/>
        <v>OK</v>
      </c>
    </row>
    <row r="218" spans="1:19" ht="41.4">
      <c r="A218" s="22" t="s">
        <v>248</v>
      </c>
      <c r="B218" s="25">
        <v>45743</v>
      </c>
      <c r="C218" s="22" t="s">
        <v>17</v>
      </c>
      <c r="D218" s="22" t="s">
        <v>18</v>
      </c>
      <c r="E218" s="22" t="s">
        <v>24</v>
      </c>
      <c r="F218" s="22" t="s">
        <v>29</v>
      </c>
      <c r="G218" s="22" t="s">
        <v>21</v>
      </c>
      <c r="H218" s="22">
        <v>1</v>
      </c>
      <c r="I218" s="22">
        <v>0</v>
      </c>
      <c r="J218" s="22">
        <v>0</v>
      </c>
      <c r="K218" s="22">
        <v>0</v>
      </c>
      <c r="L218" s="22">
        <v>0</v>
      </c>
      <c r="M218" s="22">
        <v>0</v>
      </c>
      <c r="N218" s="22">
        <v>0</v>
      </c>
      <c r="O218" s="22"/>
      <c r="P218" s="22">
        <v>53.3</v>
      </c>
      <c r="Q218" s="22" t="str">
        <f t="shared" si="9"/>
        <v>Normal</v>
      </c>
      <c r="R218" s="26" t="str">
        <f t="shared" si="10"/>
        <v>USR-10021745743ControlNorthMobilePaid SearchBasic100000053.3</v>
      </c>
      <c r="S218" s="22" t="str">
        <f t="shared" si="11"/>
        <v>OK</v>
      </c>
    </row>
    <row r="219" spans="1:19" ht="41.4">
      <c r="A219" s="22" t="s">
        <v>249</v>
      </c>
      <c r="B219" s="25">
        <v>45713</v>
      </c>
      <c r="C219" s="22" t="s">
        <v>17</v>
      </c>
      <c r="D219" s="22" t="s">
        <v>18</v>
      </c>
      <c r="E219" s="22" t="s">
        <v>34</v>
      </c>
      <c r="F219" s="22" t="s">
        <v>41</v>
      </c>
      <c r="G219" s="22" t="s">
        <v>26</v>
      </c>
      <c r="H219" s="22">
        <v>1</v>
      </c>
      <c r="I219" s="22">
        <v>0</v>
      </c>
      <c r="J219" s="22">
        <v>0</v>
      </c>
      <c r="K219" s="22">
        <v>0</v>
      </c>
      <c r="L219" s="22">
        <v>0</v>
      </c>
      <c r="M219" s="22">
        <v>0</v>
      </c>
      <c r="N219" s="22">
        <v>0</v>
      </c>
      <c r="O219" s="22"/>
      <c r="P219" s="22"/>
      <c r="Q219" s="22" t="str">
        <f t="shared" si="9"/>
        <v>Normal</v>
      </c>
      <c r="R219" s="26" t="str">
        <f t="shared" si="10"/>
        <v>USR-10021845713ControlNorthTabletSocialFree1000000</v>
      </c>
      <c r="S219" s="22" t="str">
        <f t="shared" si="11"/>
        <v>OK</v>
      </c>
    </row>
    <row r="220" spans="1:19" ht="41.4">
      <c r="A220" s="22" t="s">
        <v>250</v>
      </c>
      <c r="B220" s="25">
        <v>45707</v>
      </c>
      <c r="C220" s="22" t="s">
        <v>17</v>
      </c>
      <c r="D220" s="22" t="s">
        <v>28</v>
      </c>
      <c r="E220" s="22" t="s">
        <v>24</v>
      </c>
      <c r="F220" s="22" t="s">
        <v>29</v>
      </c>
      <c r="G220" s="22" t="s">
        <v>26</v>
      </c>
      <c r="H220" s="22">
        <v>0</v>
      </c>
      <c r="I220" s="22">
        <v>0</v>
      </c>
      <c r="J220" s="22">
        <v>0</v>
      </c>
      <c r="K220" s="22">
        <v>0</v>
      </c>
      <c r="L220" s="22">
        <v>0</v>
      </c>
      <c r="M220" s="22">
        <v>1</v>
      </c>
      <c r="N220" s="22">
        <v>0</v>
      </c>
      <c r="O220" s="22"/>
      <c r="P220" s="22">
        <v>38.200000000000003</v>
      </c>
      <c r="Q220" s="22" t="str">
        <f t="shared" si="9"/>
        <v>Normal</v>
      </c>
      <c r="R220" s="26" t="str">
        <f t="shared" si="10"/>
        <v>USR-10021945707ControlEastMobilePaid SearchFree000001038.2</v>
      </c>
      <c r="S220" s="22" t="str">
        <f t="shared" si="11"/>
        <v>OK</v>
      </c>
    </row>
    <row r="221" spans="1:19" ht="41.4">
      <c r="A221" s="22" t="s">
        <v>251</v>
      </c>
      <c r="B221" s="25">
        <v>45758</v>
      </c>
      <c r="C221" s="22" t="s">
        <v>17</v>
      </c>
      <c r="D221" s="22" t="s">
        <v>23</v>
      </c>
      <c r="E221" s="22" t="s">
        <v>24</v>
      </c>
      <c r="F221" s="22" t="s">
        <v>29</v>
      </c>
      <c r="G221" s="22" t="s">
        <v>26</v>
      </c>
      <c r="H221" s="22">
        <v>1</v>
      </c>
      <c r="I221" s="22">
        <v>1</v>
      </c>
      <c r="J221" s="22">
        <v>0</v>
      </c>
      <c r="K221" s="22">
        <v>0</v>
      </c>
      <c r="L221" s="22">
        <v>0</v>
      </c>
      <c r="M221" s="22">
        <v>3</v>
      </c>
      <c r="N221" s="22">
        <v>0</v>
      </c>
      <c r="O221" s="22"/>
      <c r="P221" s="22">
        <v>59</v>
      </c>
      <c r="Q221" s="22" t="str">
        <f t="shared" si="9"/>
        <v>Normal</v>
      </c>
      <c r="R221" s="26" t="str">
        <f t="shared" si="10"/>
        <v>USR-10022045758ControlWestMobilePaid SearchFree110003059</v>
      </c>
      <c r="S221" s="22" t="str">
        <f t="shared" si="11"/>
        <v>OK</v>
      </c>
    </row>
    <row r="222" spans="1:19" ht="41.4">
      <c r="A222" s="22" t="s">
        <v>252</v>
      </c>
      <c r="B222" s="25">
        <v>45679</v>
      </c>
      <c r="C222" s="22" t="s">
        <v>17</v>
      </c>
      <c r="D222" s="22" t="s">
        <v>28</v>
      </c>
      <c r="E222" s="22" t="s">
        <v>34</v>
      </c>
      <c r="F222" s="22" t="s">
        <v>39</v>
      </c>
      <c r="G222" s="22" t="s">
        <v>30</v>
      </c>
      <c r="H222" s="22">
        <v>1</v>
      </c>
      <c r="I222" s="22">
        <v>1</v>
      </c>
      <c r="J222" s="22">
        <v>1</v>
      </c>
      <c r="K222" s="22">
        <v>0</v>
      </c>
      <c r="L222" s="22">
        <v>0</v>
      </c>
      <c r="M222" s="22">
        <v>0</v>
      </c>
      <c r="N222" s="22">
        <v>0</v>
      </c>
      <c r="O222" s="22"/>
      <c r="P222" s="22">
        <v>80.599999999999994</v>
      </c>
      <c r="Q222" s="22" t="str">
        <f t="shared" si="9"/>
        <v>Normal</v>
      </c>
      <c r="R222" s="26" t="str">
        <f t="shared" si="10"/>
        <v>USR-10022145679ControlEastTabletReferralPremium111000080.6</v>
      </c>
      <c r="S222" s="22" t="str">
        <f t="shared" si="11"/>
        <v>OK</v>
      </c>
    </row>
    <row r="223" spans="1:19" ht="41.4">
      <c r="A223" s="22" t="s">
        <v>253</v>
      </c>
      <c r="B223" s="25">
        <v>45669</v>
      </c>
      <c r="C223" s="22" t="s">
        <v>17</v>
      </c>
      <c r="D223" s="22" t="s">
        <v>32</v>
      </c>
      <c r="E223" s="22" t="s">
        <v>24</v>
      </c>
      <c r="F223" s="22" t="s">
        <v>41</v>
      </c>
      <c r="G223" s="22" t="s">
        <v>26</v>
      </c>
      <c r="H223" s="22">
        <v>1</v>
      </c>
      <c r="I223" s="22">
        <v>0</v>
      </c>
      <c r="J223" s="22">
        <v>0</v>
      </c>
      <c r="K223" s="22">
        <v>0</v>
      </c>
      <c r="L223" s="22">
        <v>0</v>
      </c>
      <c r="M223" s="22">
        <v>0</v>
      </c>
      <c r="N223" s="22">
        <v>0</v>
      </c>
      <c r="O223" s="22"/>
      <c r="P223" s="22">
        <v>67</v>
      </c>
      <c r="Q223" s="22" t="str">
        <f t="shared" si="9"/>
        <v>Normal</v>
      </c>
      <c r="R223" s="26" t="str">
        <f t="shared" si="10"/>
        <v>USR-10022245669ControlSouthMobileSocialFree100000067</v>
      </c>
      <c r="S223" s="22" t="str">
        <f t="shared" si="11"/>
        <v>OK</v>
      </c>
    </row>
    <row r="224" spans="1:19" ht="41.4">
      <c r="A224" s="22" t="s">
        <v>254</v>
      </c>
      <c r="B224" s="25">
        <v>45705</v>
      </c>
      <c r="C224" s="22" t="s">
        <v>17</v>
      </c>
      <c r="D224" s="22" t="s">
        <v>23</v>
      </c>
      <c r="E224" s="22" t="s">
        <v>24</v>
      </c>
      <c r="F224" s="22" t="s">
        <v>20</v>
      </c>
      <c r="G224" s="22" t="s">
        <v>26</v>
      </c>
      <c r="H224" s="22">
        <v>1</v>
      </c>
      <c r="I224" s="22">
        <v>0</v>
      </c>
      <c r="J224" s="22">
        <v>0</v>
      </c>
      <c r="K224" s="22">
        <v>0</v>
      </c>
      <c r="L224" s="22">
        <v>0</v>
      </c>
      <c r="M224" s="22">
        <v>1</v>
      </c>
      <c r="N224" s="22">
        <v>0</v>
      </c>
      <c r="O224" s="22"/>
      <c r="P224" s="22">
        <v>72.099999999999994</v>
      </c>
      <c r="Q224" s="22" t="str">
        <f t="shared" si="9"/>
        <v>Normal</v>
      </c>
      <c r="R224" s="26" t="str">
        <f t="shared" si="10"/>
        <v>USR-10022345705ControlWestMobileEmailFree100001072.1</v>
      </c>
      <c r="S224" s="22" t="str">
        <f t="shared" si="11"/>
        <v>OK</v>
      </c>
    </row>
    <row r="225" spans="1:19" ht="41.4">
      <c r="A225" s="22" t="s">
        <v>255</v>
      </c>
      <c r="B225" s="25">
        <v>45758</v>
      </c>
      <c r="C225" s="22" t="s">
        <v>17</v>
      </c>
      <c r="D225" s="22" t="s">
        <v>23</v>
      </c>
      <c r="E225" s="22" t="s">
        <v>19</v>
      </c>
      <c r="F225" s="22" t="s">
        <v>25</v>
      </c>
      <c r="G225" s="22" t="s">
        <v>26</v>
      </c>
      <c r="H225" s="22">
        <v>0</v>
      </c>
      <c r="I225" s="22">
        <v>0</v>
      </c>
      <c r="J225" s="22">
        <v>0</v>
      </c>
      <c r="K225" s="22">
        <v>0</v>
      </c>
      <c r="L225" s="22">
        <v>0</v>
      </c>
      <c r="M225" s="22">
        <v>0</v>
      </c>
      <c r="N225" s="22">
        <v>0</v>
      </c>
      <c r="O225" s="22"/>
      <c r="P225" s="22">
        <v>74.099999999999994</v>
      </c>
      <c r="Q225" s="22" t="str">
        <f t="shared" si="9"/>
        <v>Normal</v>
      </c>
      <c r="R225" s="26" t="str">
        <f t="shared" si="10"/>
        <v>USR-10022445758ControlWestDesktopOrganicFree000000074.1</v>
      </c>
      <c r="S225" s="22" t="str">
        <f t="shared" si="11"/>
        <v>OK</v>
      </c>
    </row>
    <row r="226" spans="1:19" ht="41.4">
      <c r="A226" s="22" t="s">
        <v>256</v>
      </c>
      <c r="B226" s="25">
        <v>45802</v>
      </c>
      <c r="C226" s="22" t="s">
        <v>17</v>
      </c>
      <c r="D226" s="22" t="s">
        <v>32</v>
      </c>
      <c r="E226" s="22" t="s">
        <v>24</v>
      </c>
      <c r="F226" s="22" t="s">
        <v>39</v>
      </c>
      <c r="G226" s="22" t="s">
        <v>30</v>
      </c>
      <c r="H226" s="22">
        <v>0</v>
      </c>
      <c r="I226" s="22">
        <v>0</v>
      </c>
      <c r="J226" s="22">
        <v>0</v>
      </c>
      <c r="K226" s="22">
        <v>0</v>
      </c>
      <c r="L226" s="22">
        <v>0</v>
      </c>
      <c r="M226" s="22">
        <v>0</v>
      </c>
      <c r="N226" s="22">
        <v>0</v>
      </c>
      <c r="O226" s="22"/>
      <c r="P226" s="22">
        <v>84.8</v>
      </c>
      <c r="Q226" s="22" t="str">
        <f t="shared" si="9"/>
        <v>Normal</v>
      </c>
      <c r="R226" s="26" t="str">
        <f t="shared" si="10"/>
        <v>USR-10022545802ControlSouthMobileReferralPremium000000084.8</v>
      </c>
      <c r="S226" s="22" t="str">
        <f t="shared" si="11"/>
        <v>OK</v>
      </c>
    </row>
    <row r="227" spans="1:19" ht="41.4">
      <c r="A227" s="22" t="s">
        <v>257</v>
      </c>
      <c r="B227" s="25">
        <v>45728</v>
      </c>
      <c r="C227" s="22" t="s">
        <v>17</v>
      </c>
      <c r="D227" s="22" t="s">
        <v>32</v>
      </c>
      <c r="E227" s="22" t="s">
        <v>24</v>
      </c>
      <c r="F227" s="22" t="s">
        <v>25</v>
      </c>
      <c r="G227" s="22" t="s">
        <v>21</v>
      </c>
      <c r="H227" s="22">
        <v>1</v>
      </c>
      <c r="I227" s="22">
        <v>0</v>
      </c>
      <c r="J227" s="22">
        <v>0</v>
      </c>
      <c r="K227" s="22">
        <v>0</v>
      </c>
      <c r="L227" s="22">
        <v>0</v>
      </c>
      <c r="M227" s="22">
        <v>0</v>
      </c>
      <c r="N227" s="22">
        <v>0</v>
      </c>
      <c r="O227" s="22"/>
      <c r="P227" s="22">
        <v>33</v>
      </c>
      <c r="Q227" s="22" t="str">
        <f t="shared" si="9"/>
        <v>Normal</v>
      </c>
      <c r="R227" s="26" t="str">
        <f t="shared" si="10"/>
        <v>USR-10022645728ControlSouthMobileOrganicBasic100000033</v>
      </c>
      <c r="S227" s="22" t="str">
        <f t="shared" si="11"/>
        <v>OK</v>
      </c>
    </row>
    <row r="228" spans="1:19" ht="41.4">
      <c r="A228" s="22" t="s">
        <v>258</v>
      </c>
      <c r="B228" s="25">
        <v>45767</v>
      </c>
      <c r="C228" s="22" t="s">
        <v>17</v>
      </c>
      <c r="D228" s="22" t="s">
        <v>18</v>
      </c>
      <c r="E228" s="22" t="s">
        <v>34</v>
      </c>
      <c r="F228" s="22" t="s">
        <v>20</v>
      </c>
      <c r="G228" s="22" t="s">
        <v>26</v>
      </c>
      <c r="H228" s="22">
        <v>0</v>
      </c>
      <c r="I228" s="22">
        <v>0</v>
      </c>
      <c r="J228" s="22">
        <v>0</v>
      </c>
      <c r="K228" s="22">
        <v>0</v>
      </c>
      <c r="L228" s="22">
        <v>0</v>
      </c>
      <c r="M228" s="22">
        <v>0</v>
      </c>
      <c r="N228" s="22">
        <v>0</v>
      </c>
      <c r="O228" s="22"/>
      <c r="P228" s="22">
        <v>52.5</v>
      </c>
      <c r="Q228" s="22" t="str">
        <f t="shared" si="9"/>
        <v>Normal</v>
      </c>
      <c r="R228" s="26" t="str">
        <f t="shared" si="10"/>
        <v>USR-10022745767ControlNorthTabletEmailFree000000052.5</v>
      </c>
      <c r="S228" s="22" t="str">
        <f t="shared" si="11"/>
        <v>OK</v>
      </c>
    </row>
    <row r="229" spans="1:19" ht="41.4">
      <c r="A229" s="22" t="s">
        <v>259</v>
      </c>
      <c r="B229" s="25">
        <v>45711</v>
      </c>
      <c r="C229" s="22" t="s">
        <v>17</v>
      </c>
      <c r="D229" s="22" t="s">
        <v>18</v>
      </c>
      <c r="E229" s="22" t="s">
        <v>34</v>
      </c>
      <c r="F229" s="22" t="s">
        <v>25</v>
      </c>
      <c r="G229" s="22" t="s">
        <v>26</v>
      </c>
      <c r="H229" s="22">
        <v>0</v>
      </c>
      <c r="I229" s="22">
        <v>0</v>
      </c>
      <c r="J229" s="22">
        <v>0</v>
      </c>
      <c r="K229" s="22">
        <v>0</v>
      </c>
      <c r="L229" s="22">
        <v>0</v>
      </c>
      <c r="M229" s="22">
        <v>0</v>
      </c>
      <c r="N229" s="22">
        <v>0</v>
      </c>
      <c r="O229" s="22"/>
      <c r="P229" s="22">
        <v>66.900000000000006</v>
      </c>
      <c r="Q229" s="22" t="str">
        <f t="shared" si="9"/>
        <v>Normal</v>
      </c>
      <c r="R229" s="26" t="str">
        <f t="shared" si="10"/>
        <v>USR-10022845711ControlNorthTabletOrganicFree000000066.9</v>
      </c>
      <c r="S229" s="22" t="str">
        <f t="shared" si="11"/>
        <v>OK</v>
      </c>
    </row>
    <row r="230" spans="1:19" ht="41.4">
      <c r="A230" s="22" t="s">
        <v>260</v>
      </c>
      <c r="B230" s="25">
        <v>45681</v>
      </c>
      <c r="C230" s="22" t="s">
        <v>17</v>
      </c>
      <c r="D230" s="22" t="s">
        <v>18</v>
      </c>
      <c r="E230" s="22" t="s">
        <v>24</v>
      </c>
      <c r="F230" s="22" t="s">
        <v>25</v>
      </c>
      <c r="G230" s="22" t="s">
        <v>21</v>
      </c>
      <c r="H230" s="22">
        <v>1</v>
      </c>
      <c r="I230" s="22">
        <v>1</v>
      </c>
      <c r="J230" s="22">
        <v>1</v>
      </c>
      <c r="K230" s="22">
        <v>0</v>
      </c>
      <c r="L230" s="22">
        <v>0</v>
      </c>
      <c r="M230" s="22">
        <v>1</v>
      </c>
      <c r="N230" s="22">
        <v>0</v>
      </c>
      <c r="O230" s="22"/>
      <c r="P230" s="22">
        <v>32.700000000000003</v>
      </c>
      <c r="Q230" s="22" t="str">
        <f t="shared" si="9"/>
        <v>Normal</v>
      </c>
      <c r="R230" s="26" t="str">
        <f t="shared" si="10"/>
        <v>USR-10022945681ControlNorthMobileOrganicBasic111001032.7</v>
      </c>
      <c r="S230" s="22" t="str">
        <f t="shared" si="11"/>
        <v>OK</v>
      </c>
    </row>
    <row r="231" spans="1:19" ht="41.4">
      <c r="A231" s="22" t="s">
        <v>261</v>
      </c>
      <c r="B231" s="25">
        <v>45673</v>
      </c>
      <c r="C231" s="22" t="s">
        <v>17</v>
      </c>
      <c r="D231" s="22" t="s">
        <v>23</v>
      </c>
      <c r="E231" s="22" t="s">
        <v>24</v>
      </c>
      <c r="F231" s="22" t="s">
        <v>25</v>
      </c>
      <c r="G231" s="22" t="s">
        <v>30</v>
      </c>
      <c r="H231" s="22">
        <v>1</v>
      </c>
      <c r="I231" s="22">
        <v>1</v>
      </c>
      <c r="J231" s="22">
        <v>1</v>
      </c>
      <c r="K231" s="22">
        <v>0</v>
      </c>
      <c r="L231" s="22">
        <v>0</v>
      </c>
      <c r="M231" s="22">
        <v>1</v>
      </c>
      <c r="N231" s="22">
        <v>0</v>
      </c>
      <c r="O231" s="22"/>
      <c r="P231" s="22">
        <v>70.599999999999994</v>
      </c>
      <c r="Q231" s="22" t="str">
        <f t="shared" si="9"/>
        <v>Normal</v>
      </c>
      <c r="R231" s="26" t="str">
        <f t="shared" si="10"/>
        <v>USR-10023045673ControlWestMobileOrganicPremium111001070.6</v>
      </c>
      <c r="S231" s="22" t="str">
        <f t="shared" si="11"/>
        <v>OK</v>
      </c>
    </row>
    <row r="232" spans="1:19" ht="41.4">
      <c r="A232" s="22" t="s">
        <v>262</v>
      </c>
      <c r="B232" s="25">
        <v>45705</v>
      </c>
      <c r="C232" s="22" t="s">
        <v>17</v>
      </c>
      <c r="D232" s="22" t="s">
        <v>18</v>
      </c>
      <c r="E232" s="22" t="s">
        <v>24</v>
      </c>
      <c r="F232" s="22" t="s">
        <v>41</v>
      </c>
      <c r="G232" s="22" t="s">
        <v>26</v>
      </c>
      <c r="H232" s="22">
        <v>0</v>
      </c>
      <c r="I232" s="22">
        <v>0</v>
      </c>
      <c r="J232" s="22">
        <v>0</v>
      </c>
      <c r="K232" s="22">
        <v>0</v>
      </c>
      <c r="L232" s="22">
        <v>0</v>
      </c>
      <c r="M232" s="22">
        <v>0</v>
      </c>
      <c r="N232" s="22">
        <v>0</v>
      </c>
      <c r="O232" s="22"/>
      <c r="P232" s="22">
        <v>69.400000000000006</v>
      </c>
      <c r="Q232" s="22" t="str">
        <f t="shared" si="9"/>
        <v>Normal</v>
      </c>
      <c r="R232" s="26" t="str">
        <f t="shared" si="10"/>
        <v>USR-10023145705ControlNorthMobileSocialFree000000069.4</v>
      </c>
      <c r="S232" s="22" t="str">
        <f t="shared" si="11"/>
        <v>OK</v>
      </c>
    </row>
    <row r="233" spans="1:19" ht="41.4">
      <c r="A233" s="22" t="s">
        <v>263</v>
      </c>
      <c r="B233" s="25">
        <v>45781</v>
      </c>
      <c r="C233" s="22" t="s">
        <v>17</v>
      </c>
      <c r="D233" s="22" t="s">
        <v>18</v>
      </c>
      <c r="E233" s="22" t="s">
        <v>19</v>
      </c>
      <c r="F233" s="22" t="s">
        <v>25</v>
      </c>
      <c r="G233" s="22" t="s">
        <v>21</v>
      </c>
      <c r="H233" s="22">
        <v>1</v>
      </c>
      <c r="I233" s="22">
        <v>0</v>
      </c>
      <c r="J233" s="22">
        <v>0</v>
      </c>
      <c r="K233" s="22">
        <v>0</v>
      </c>
      <c r="L233" s="22">
        <v>0</v>
      </c>
      <c r="M233" s="22">
        <v>0</v>
      </c>
      <c r="N233" s="22">
        <v>0</v>
      </c>
      <c r="O233" s="22"/>
      <c r="P233" s="22">
        <v>56.1</v>
      </c>
      <c r="Q233" s="22" t="str">
        <f t="shared" si="9"/>
        <v>Normal</v>
      </c>
      <c r="R233" s="26" t="str">
        <f t="shared" si="10"/>
        <v>USR-10023245781ControlNorthDesktopOrganicBasic100000056.1</v>
      </c>
      <c r="S233" s="22" t="str">
        <f t="shared" si="11"/>
        <v>OK</v>
      </c>
    </row>
    <row r="234" spans="1:19" ht="41.4">
      <c r="A234" s="22" t="s">
        <v>264</v>
      </c>
      <c r="B234" s="25">
        <v>45669</v>
      </c>
      <c r="C234" s="22" t="s">
        <v>17</v>
      </c>
      <c r="D234" s="22" t="s">
        <v>23</v>
      </c>
      <c r="E234" s="22" t="s">
        <v>24</v>
      </c>
      <c r="F234" s="22" t="s">
        <v>25</v>
      </c>
      <c r="G234" s="22" t="s">
        <v>21</v>
      </c>
      <c r="H234" s="22">
        <v>0</v>
      </c>
      <c r="I234" s="22">
        <v>0</v>
      </c>
      <c r="J234" s="22">
        <v>0</v>
      </c>
      <c r="K234" s="22">
        <v>0</v>
      </c>
      <c r="L234" s="22">
        <v>0</v>
      </c>
      <c r="M234" s="22">
        <v>0</v>
      </c>
      <c r="N234" s="22">
        <v>0</v>
      </c>
      <c r="O234" s="22"/>
      <c r="P234" s="22">
        <v>55.8</v>
      </c>
      <c r="Q234" s="22" t="str">
        <f t="shared" si="9"/>
        <v>Normal</v>
      </c>
      <c r="R234" s="26" t="str">
        <f t="shared" si="10"/>
        <v>USR-10023345669ControlWestMobileOrganicBasic000000055.8</v>
      </c>
      <c r="S234" s="22" t="str">
        <f t="shared" si="11"/>
        <v>OK</v>
      </c>
    </row>
    <row r="235" spans="1:19" ht="41.4">
      <c r="A235" s="22" t="s">
        <v>265</v>
      </c>
      <c r="B235" s="25">
        <v>45775</v>
      </c>
      <c r="C235" s="22" t="s">
        <v>17</v>
      </c>
      <c r="D235" s="22" t="s">
        <v>18</v>
      </c>
      <c r="E235" s="22" t="s">
        <v>34</v>
      </c>
      <c r="F235" s="22" t="s">
        <v>25</v>
      </c>
      <c r="G235" s="22" t="s">
        <v>26</v>
      </c>
      <c r="H235" s="22">
        <v>0</v>
      </c>
      <c r="I235" s="22">
        <v>0</v>
      </c>
      <c r="J235" s="22">
        <v>0</v>
      </c>
      <c r="K235" s="22">
        <v>0</v>
      </c>
      <c r="L235" s="22">
        <v>0</v>
      </c>
      <c r="M235" s="22">
        <v>0</v>
      </c>
      <c r="N235" s="22">
        <v>0</v>
      </c>
      <c r="O235" s="22"/>
      <c r="P235" s="22">
        <v>49.3</v>
      </c>
      <c r="Q235" s="22" t="str">
        <f t="shared" si="9"/>
        <v>Normal</v>
      </c>
      <c r="R235" s="26" t="str">
        <f t="shared" si="10"/>
        <v>USR-10023445775ControlNorthTabletOrganicFree000000049.3</v>
      </c>
      <c r="S235" s="22" t="str">
        <f t="shared" si="11"/>
        <v>OK</v>
      </c>
    </row>
    <row r="236" spans="1:19" ht="41.4">
      <c r="A236" s="22" t="s">
        <v>266</v>
      </c>
      <c r="B236" s="25">
        <v>45714</v>
      </c>
      <c r="C236" s="22" t="s">
        <v>17</v>
      </c>
      <c r="D236" s="22" t="s">
        <v>18</v>
      </c>
      <c r="E236" s="22" t="s">
        <v>24</v>
      </c>
      <c r="F236" s="22" t="s">
        <v>25</v>
      </c>
      <c r="G236" s="22" t="s">
        <v>26</v>
      </c>
      <c r="H236" s="22">
        <v>0</v>
      </c>
      <c r="I236" s="22">
        <v>0</v>
      </c>
      <c r="J236" s="22">
        <v>0</v>
      </c>
      <c r="K236" s="22">
        <v>0</v>
      </c>
      <c r="L236" s="22">
        <v>0</v>
      </c>
      <c r="M236" s="22">
        <v>0</v>
      </c>
      <c r="N236" s="22">
        <v>0</v>
      </c>
      <c r="O236" s="22"/>
      <c r="P236" s="22">
        <v>71.8</v>
      </c>
      <c r="Q236" s="22" t="str">
        <f t="shared" si="9"/>
        <v>Normal</v>
      </c>
      <c r="R236" s="26" t="str">
        <f t="shared" si="10"/>
        <v>USR-10023545714ControlNorthMobileOrganicFree000000071.8</v>
      </c>
      <c r="S236" s="22" t="str">
        <f t="shared" si="11"/>
        <v>OK</v>
      </c>
    </row>
    <row r="237" spans="1:19" ht="41.4">
      <c r="A237" s="22" t="s">
        <v>267</v>
      </c>
      <c r="B237" s="25">
        <v>45734</v>
      </c>
      <c r="C237" s="22" t="s">
        <v>17</v>
      </c>
      <c r="D237" s="22" t="s">
        <v>23</v>
      </c>
      <c r="E237" s="22" t="s">
        <v>24</v>
      </c>
      <c r="F237" s="22" t="s">
        <v>41</v>
      </c>
      <c r="G237" s="22" t="s">
        <v>26</v>
      </c>
      <c r="H237" s="22">
        <v>1</v>
      </c>
      <c r="I237" s="22">
        <v>0</v>
      </c>
      <c r="J237" s="22">
        <v>0</v>
      </c>
      <c r="K237" s="22">
        <v>0</v>
      </c>
      <c r="L237" s="22">
        <v>0</v>
      </c>
      <c r="M237" s="22">
        <v>3</v>
      </c>
      <c r="N237" s="22">
        <v>0</v>
      </c>
      <c r="O237" s="22"/>
      <c r="P237" s="22">
        <v>39.700000000000003</v>
      </c>
      <c r="Q237" s="22" t="str">
        <f t="shared" si="9"/>
        <v>Normal</v>
      </c>
      <c r="R237" s="26" t="str">
        <f t="shared" si="10"/>
        <v>USR-10023645734ControlWestMobileSocialFree100003039.7</v>
      </c>
      <c r="S237" s="22" t="str">
        <f t="shared" si="11"/>
        <v>OK</v>
      </c>
    </row>
    <row r="238" spans="1:19" ht="41.4">
      <c r="A238" s="22" t="s">
        <v>268</v>
      </c>
      <c r="B238" s="25">
        <v>45717</v>
      </c>
      <c r="C238" s="22" t="s">
        <v>17</v>
      </c>
      <c r="D238" s="22" t="s">
        <v>32</v>
      </c>
      <c r="E238" s="22" t="s">
        <v>19</v>
      </c>
      <c r="F238" s="22" t="s">
        <v>25</v>
      </c>
      <c r="G238" s="22" t="s">
        <v>30</v>
      </c>
      <c r="H238" s="22">
        <v>1</v>
      </c>
      <c r="I238" s="22">
        <v>0</v>
      </c>
      <c r="J238" s="22">
        <v>0</v>
      </c>
      <c r="K238" s="22">
        <v>0</v>
      </c>
      <c r="L238" s="22">
        <v>0</v>
      </c>
      <c r="M238" s="22">
        <v>0</v>
      </c>
      <c r="N238" s="22">
        <v>0</v>
      </c>
      <c r="O238" s="22"/>
      <c r="P238" s="22">
        <v>45.4</v>
      </c>
      <c r="Q238" s="22" t="str">
        <f t="shared" si="9"/>
        <v>Normal</v>
      </c>
      <c r="R238" s="26" t="str">
        <f t="shared" si="10"/>
        <v>USR-10023745717ControlSouthDesktopOrganicPremium100000045.4</v>
      </c>
      <c r="S238" s="22" t="str">
        <f t="shared" si="11"/>
        <v>OK</v>
      </c>
    </row>
    <row r="239" spans="1:19" ht="41.4">
      <c r="A239" s="22" t="s">
        <v>269</v>
      </c>
      <c r="B239" s="25">
        <v>45752</v>
      </c>
      <c r="C239" s="22" t="s">
        <v>17</v>
      </c>
      <c r="D239" s="22" t="s">
        <v>18</v>
      </c>
      <c r="E239" s="22" t="s">
        <v>19</v>
      </c>
      <c r="F239" s="22" t="s">
        <v>41</v>
      </c>
      <c r="G239" s="22" t="s">
        <v>30</v>
      </c>
      <c r="H239" s="22">
        <v>1</v>
      </c>
      <c r="I239" s="22">
        <v>0</v>
      </c>
      <c r="J239" s="22">
        <v>0</v>
      </c>
      <c r="K239" s="22">
        <v>0</v>
      </c>
      <c r="L239" s="22">
        <v>0</v>
      </c>
      <c r="M239" s="22">
        <v>0</v>
      </c>
      <c r="N239" s="22">
        <v>0</v>
      </c>
      <c r="O239" s="22"/>
      <c r="P239" s="22">
        <v>69.900000000000006</v>
      </c>
      <c r="Q239" s="22" t="str">
        <f t="shared" si="9"/>
        <v>Normal</v>
      </c>
      <c r="R239" s="26" t="str">
        <f t="shared" si="10"/>
        <v>USR-10023845752ControlNorthDesktopSocialPremium100000069.9</v>
      </c>
      <c r="S239" s="22" t="str">
        <f t="shared" si="11"/>
        <v>OK</v>
      </c>
    </row>
    <row r="240" spans="1:19" ht="41.4">
      <c r="A240" s="22" t="s">
        <v>270</v>
      </c>
      <c r="B240" s="25">
        <v>45728</v>
      </c>
      <c r="C240" s="22" t="s">
        <v>17</v>
      </c>
      <c r="D240" s="22" t="s">
        <v>18</v>
      </c>
      <c r="E240" s="22" t="s">
        <v>19</v>
      </c>
      <c r="F240" s="22" t="s">
        <v>41</v>
      </c>
      <c r="G240" s="22" t="s">
        <v>26</v>
      </c>
      <c r="H240" s="22">
        <v>1</v>
      </c>
      <c r="I240" s="22">
        <v>1</v>
      </c>
      <c r="J240" s="22">
        <v>1</v>
      </c>
      <c r="K240" s="22">
        <v>0</v>
      </c>
      <c r="L240" s="22">
        <v>0</v>
      </c>
      <c r="M240" s="22">
        <v>0</v>
      </c>
      <c r="N240" s="22">
        <v>0</v>
      </c>
      <c r="O240" s="22"/>
      <c r="P240" s="22">
        <v>56.1</v>
      </c>
      <c r="Q240" s="22" t="str">
        <f t="shared" si="9"/>
        <v>Normal</v>
      </c>
      <c r="R240" s="26" t="str">
        <f t="shared" si="10"/>
        <v>USR-10023945728ControlNorthDesktopSocialFree111000056.1</v>
      </c>
      <c r="S240" s="22" t="str">
        <f t="shared" si="11"/>
        <v>OK</v>
      </c>
    </row>
    <row r="241" spans="1:19" ht="41.4">
      <c r="A241" s="22" t="s">
        <v>271</v>
      </c>
      <c r="B241" s="25">
        <v>45731</v>
      </c>
      <c r="C241" s="22" t="s">
        <v>17</v>
      </c>
      <c r="D241" s="22" t="s">
        <v>23</v>
      </c>
      <c r="E241" s="22" t="s">
        <v>24</v>
      </c>
      <c r="F241" s="22" t="s">
        <v>39</v>
      </c>
      <c r="G241" s="22" t="s">
        <v>21</v>
      </c>
      <c r="H241" s="22">
        <v>1</v>
      </c>
      <c r="I241" s="22">
        <v>1</v>
      </c>
      <c r="J241" s="22">
        <v>0</v>
      </c>
      <c r="K241" s="22">
        <v>0</v>
      </c>
      <c r="L241" s="22">
        <v>0</v>
      </c>
      <c r="M241" s="22">
        <v>0</v>
      </c>
      <c r="N241" s="22">
        <v>0</v>
      </c>
      <c r="O241" s="22"/>
      <c r="P241" s="22">
        <v>45.9</v>
      </c>
      <c r="Q241" s="22" t="str">
        <f t="shared" si="9"/>
        <v>Normal</v>
      </c>
      <c r="R241" s="26" t="str">
        <f t="shared" si="10"/>
        <v>USR-10024045731ControlWestMobileReferralBasic110000045.9</v>
      </c>
      <c r="S241" s="22" t="str">
        <f t="shared" si="11"/>
        <v>OK</v>
      </c>
    </row>
    <row r="242" spans="1:19" ht="41.4">
      <c r="A242" s="22" t="s">
        <v>272</v>
      </c>
      <c r="B242" s="25">
        <v>45711</v>
      </c>
      <c r="C242" s="22" t="s">
        <v>17</v>
      </c>
      <c r="D242" s="22" t="s">
        <v>23</v>
      </c>
      <c r="E242" s="22" t="s">
        <v>24</v>
      </c>
      <c r="F242" s="22" t="s">
        <v>20</v>
      </c>
      <c r="G242" s="22" t="s">
        <v>26</v>
      </c>
      <c r="H242" s="22">
        <v>0</v>
      </c>
      <c r="I242" s="22">
        <v>0</v>
      </c>
      <c r="J242" s="22">
        <v>0</v>
      </c>
      <c r="K242" s="22">
        <v>0</v>
      </c>
      <c r="L242" s="22">
        <v>0</v>
      </c>
      <c r="M242" s="22">
        <v>0</v>
      </c>
      <c r="N242" s="22">
        <v>0</v>
      </c>
      <c r="O242" s="22"/>
      <c r="P242" s="22">
        <v>65.8</v>
      </c>
      <c r="Q242" s="22" t="str">
        <f t="shared" si="9"/>
        <v>Normal</v>
      </c>
      <c r="R242" s="26" t="str">
        <f t="shared" si="10"/>
        <v>USR-10024145711ControlWestMobileEmailFree000000065.8</v>
      </c>
      <c r="S242" s="22" t="str">
        <f t="shared" si="11"/>
        <v>OK</v>
      </c>
    </row>
    <row r="243" spans="1:19" ht="41.4">
      <c r="A243" s="22" t="s">
        <v>273</v>
      </c>
      <c r="B243" s="25">
        <v>45769</v>
      </c>
      <c r="C243" s="22" t="s">
        <v>17</v>
      </c>
      <c r="D243" s="22" t="s">
        <v>18</v>
      </c>
      <c r="E243" s="22" t="s">
        <v>24</v>
      </c>
      <c r="F243" s="22" t="s">
        <v>25</v>
      </c>
      <c r="G243" s="22" t="s">
        <v>21</v>
      </c>
      <c r="H243" s="22">
        <v>1</v>
      </c>
      <c r="I243" s="22">
        <v>0</v>
      </c>
      <c r="J243" s="22">
        <v>0</v>
      </c>
      <c r="K243" s="22">
        <v>0</v>
      </c>
      <c r="L243" s="22">
        <v>0</v>
      </c>
      <c r="M243" s="22">
        <v>0</v>
      </c>
      <c r="N243" s="22">
        <v>0</v>
      </c>
      <c r="O243" s="22"/>
      <c r="P243" s="22">
        <v>48.2</v>
      </c>
      <c r="Q243" s="22" t="str">
        <f t="shared" si="9"/>
        <v>Normal</v>
      </c>
      <c r="R243" s="26" t="str">
        <f t="shared" si="10"/>
        <v>USR-10024245769ControlNorthMobileOrganicBasic100000048.2</v>
      </c>
      <c r="S243" s="22" t="str">
        <f t="shared" si="11"/>
        <v>OK</v>
      </c>
    </row>
    <row r="244" spans="1:19" ht="41.4">
      <c r="A244" s="22" t="s">
        <v>274</v>
      </c>
      <c r="B244" s="25">
        <v>45666</v>
      </c>
      <c r="C244" s="22" t="s">
        <v>17</v>
      </c>
      <c r="D244" s="22" t="s">
        <v>28</v>
      </c>
      <c r="E244" s="22" t="s">
        <v>24</v>
      </c>
      <c r="F244" s="22" t="s">
        <v>25</v>
      </c>
      <c r="G244" s="22" t="s">
        <v>21</v>
      </c>
      <c r="H244" s="22">
        <v>1</v>
      </c>
      <c r="I244" s="22">
        <v>1</v>
      </c>
      <c r="J244" s="22">
        <v>1</v>
      </c>
      <c r="K244" s="22">
        <v>0</v>
      </c>
      <c r="L244" s="22">
        <v>0</v>
      </c>
      <c r="M244" s="22">
        <v>0</v>
      </c>
      <c r="N244" s="22">
        <v>0</v>
      </c>
      <c r="O244" s="22"/>
      <c r="P244" s="22">
        <v>81.099999999999994</v>
      </c>
      <c r="Q244" s="22" t="str">
        <f t="shared" si="9"/>
        <v>Normal</v>
      </c>
      <c r="R244" s="26" t="str">
        <f t="shared" si="10"/>
        <v>USR-10024345666ControlEastMobileOrganicBasic111000081.1</v>
      </c>
      <c r="S244" s="22" t="str">
        <f t="shared" si="11"/>
        <v>OK</v>
      </c>
    </row>
    <row r="245" spans="1:19" ht="41.4">
      <c r="A245" s="22" t="s">
        <v>275</v>
      </c>
      <c r="B245" s="25">
        <v>45721</v>
      </c>
      <c r="C245" s="22" t="s">
        <v>17</v>
      </c>
      <c r="D245" s="22" t="s">
        <v>28</v>
      </c>
      <c r="E245" s="22" t="s">
        <v>34</v>
      </c>
      <c r="F245" s="22" t="s">
        <v>41</v>
      </c>
      <c r="G245" s="22" t="s">
        <v>30</v>
      </c>
      <c r="H245" s="22">
        <v>1</v>
      </c>
      <c r="I245" s="22">
        <v>1</v>
      </c>
      <c r="J245" s="22">
        <v>0</v>
      </c>
      <c r="K245" s="22">
        <v>0</v>
      </c>
      <c r="L245" s="22">
        <v>0</v>
      </c>
      <c r="M245" s="22">
        <v>0</v>
      </c>
      <c r="N245" s="22">
        <v>0</v>
      </c>
      <c r="O245" s="22"/>
      <c r="P245" s="22">
        <v>53.2</v>
      </c>
      <c r="Q245" s="22" t="str">
        <f t="shared" si="9"/>
        <v>Normal</v>
      </c>
      <c r="R245" s="26" t="str">
        <f t="shared" si="10"/>
        <v>USR-10024445721ControlEastTabletSocialPremium110000053.2</v>
      </c>
      <c r="S245" s="22" t="str">
        <f t="shared" si="11"/>
        <v>OK</v>
      </c>
    </row>
    <row r="246" spans="1:19" ht="41.4">
      <c r="A246" s="22" t="s">
        <v>276</v>
      </c>
      <c r="B246" s="25">
        <v>45685</v>
      </c>
      <c r="C246" s="22" t="s">
        <v>17</v>
      </c>
      <c r="D246" s="22" t="s">
        <v>18</v>
      </c>
      <c r="E246" s="22" t="s">
        <v>24</v>
      </c>
      <c r="F246" s="22" t="s">
        <v>41</v>
      </c>
      <c r="G246" s="22" t="s">
        <v>26</v>
      </c>
      <c r="H246" s="22">
        <v>1</v>
      </c>
      <c r="I246" s="22">
        <v>1</v>
      </c>
      <c r="J246" s="22">
        <v>1</v>
      </c>
      <c r="K246" s="22">
        <v>0</v>
      </c>
      <c r="L246" s="22">
        <v>0</v>
      </c>
      <c r="M246" s="22">
        <v>0</v>
      </c>
      <c r="N246" s="22">
        <v>0</v>
      </c>
      <c r="O246" s="22"/>
      <c r="P246" s="22">
        <v>57.7</v>
      </c>
      <c r="Q246" s="22" t="str">
        <f t="shared" si="9"/>
        <v>Normal</v>
      </c>
      <c r="R246" s="26" t="str">
        <f t="shared" si="10"/>
        <v>USR-10024545685ControlNorthMobileSocialFree111000057.7</v>
      </c>
      <c r="S246" s="22" t="str">
        <f t="shared" si="11"/>
        <v>OK</v>
      </c>
    </row>
    <row r="247" spans="1:19" ht="41.4">
      <c r="A247" s="22" t="s">
        <v>277</v>
      </c>
      <c r="B247" s="25">
        <v>45678</v>
      </c>
      <c r="C247" s="22" t="s">
        <v>17</v>
      </c>
      <c r="D247" s="22" t="s">
        <v>23</v>
      </c>
      <c r="E247" s="22" t="s">
        <v>24</v>
      </c>
      <c r="F247" s="22" t="s">
        <v>29</v>
      </c>
      <c r="G247" s="22" t="s">
        <v>30</v>
      </c>
      <c r="H247" s="22">
        <v>1</v>
      </c>
      <c r="I247" s="22">
        <v>1</v>
      </c>
      <c r="J247" s="22">
        <v>0</v>
      </c>
      <c r="K247" s="22">
        <v>0</v>
      </c>
      <c r="L247" s="22">
        <v>0</v>
      </c>
      <c r="M247" s="22">
        <v>0</v>
      </c>
      <c r="N247" s="22">
        <v>0</v>
      </c>
      <c r="O247" s="22"/>
      <c r="P247" s="22">
        <v>78.900000000000006</v>
      </c>
      <c r="Q247" s="22" t="str">
        <f t="shared" si="9"/>
        <v>Normal</v>
      </c>
      <c r="R247" s="26" t="str">
        <f t="shared" si="10"/>
        <v>USR-10024645678ControlWestMobilePaid SearchPremium110000078.9</v>
      </c>
      <c r="S247" s="22" t="str">
        <f t="shared" si="11"/>
        <v>OK</v>
      </c>
    </row>
    <row r="248" spans="1:19" ht="41.4">
      <c r="A248" s="22" t="s">
        <v>278</v>
      </c>
      <c r="B248" s="25">
        <v>45730</v>
      </c>
      <c r="C248" s="22" t="s">
        <v>17</v>
      </c>
      <c r="D248" s="22" t="s">
        <v>32</v>
      </c>
      <c r="E248" s="22" t="s">
        <v>24</v>
      </c>
      <c r="F248" s="22" t="s">
        <v>39</v>
      </c>
      <c r="G248" s="22" t="s">
        <v>21</v>
      </c>
      <c r="H248" s="22">
        <v>0</v>
      </c>
      <c r="I248" s="22">
        <v>0</v>
      </c>
      <c r="J248" s="22">
        <v>0</v>
      </c>
      <c r="K248" s="22">
        <v>0</v>
      </c>
      <c r="L248" s="22">
        <v>0</v>
      </c>
      <c r="M248" s="22">
        <v>0</v>
      </c>
      <c r="N248" s="22">
        <v>0</v>
      </c>
      <c r="O248" s="22"/>
      <c r="P248" s="22">
        <v>55.7</v>
      </c>
      <c r="Q248" s="22" t="str">
        <f t="shared" si="9"/>
        <v>Normal</v>
      </c>
      <c r="R248" s="26" t="str">
        <f t="shared" si="10"/>
        <v>USR-10024745730ControlSouthMobileReferralBasic000000055.7</v>
      </c>
      <c r="S248" s="22" t="str">
        <f t="shared" si="11"/>
        <v>OK</v>
      </c>
    </row>
    <row r="249" spans="1:19" ht="41.4">
      <c r="A249" s="22" t="s">
        <v>279</v>
      </c>
      <c r="B249" s="25">
        <v>45691</v>
      </c>
      <c r="C249" s="22" t="s">
        <v>17</v>
      </c>
      <c r="D249" s="22" t="s">
        <v>23</v>
      </c>
      <c r="E249" s="22" t="s">
        <v>24</v>
      </c>
      <c r="F249" s="22" t="s">
        <v>29</v>
      </c>
      <c r="G249" s="22" t="s">
        <v>26</v>
      </c>
      <c r="H249" s="22">
        <v>0</v>
      </c>
      <c r="I249" s="22">
        <v>0</v>
      </c>
      <c r="J249" s="22">
        <v>0</v>
      </c>
      <c r="K249" s="22">
        <v>0</v>
      </c>
      <c r="L249" s="22">
        <v>0</v>
      </c>
      <c r="M249" s="22">
        <v>0</v>
      </c>
      <c r="N249" s="22">
        <v>0</v>
      </c>
      <c r="O249" s="22"/>
      <c r="P249" s="22">
        <v>52.3</v>
      </c>
      <c r="Q249" s="22" t="str">
        <f t="shared" si="9"/>
        <v>Normal</v>
      </c>
      <c r="R249" s="26" t="str">
        <f t="shared" si="10"/>
        <v>USR-10024845691ControlWestMobilePaid SearchFree000000052.3</v>
      </c>
      <c r="S249" s="22" t="str">
        <f t="shared" si="11"/>
        <v>OK</v>
      </c>
    </row>
    <row r="250" spans="1:19" ht="41.4">
      <c r="A250" s="22" t="s">
        <v>280</v>
      </c>
      <c r="B250" s="25">
        <v>45799</v>
      </c>
      <c r="C250" s="22" t="s">
        <v>17</v>
      </c>
      <c r="D250" s="22" t="s">
        <v>18</v>
      </c>
      <c r="E250" s="22" t="s">
        <v>24</v>
      </c>
      <c r="F250" s="22" t="s">
        <v>41</v>
      </c>
      <c r="G250" s="22" t="s">
        <v>26</v>
      </c>
      <c r="H250" s="22">
        <v>1</v>
      </c>
      <c r="I250" s="22">
        <v>0</v>
      </c>
      <c r="J250" s="22">
        <v>0</v>
      </c>
      <c r="K250" s="22">
        <v>0</v>
      </c>
      <c r="L250" s="22">
        <v>0</v>
      </c>
      <c r="M250" s="22">
        <v>0</v>
      </c>
      <c r="N250" s="22">
        <v>0</v>
      </c>
      <c r="O250" s="22"/>
      <c r="P250" s="22">
        <v>51.5</v>
      </c>
      <c r="Q250" s="22" t="str">
        <f t="shared" si="9"/>
        <v>Normal</v>
      </c>
      <c r="R250" s="26" t="str">
        <f t="shared" si="10"/>
        <v>USR-10024945799ControlNorthMobileSocialFree100000051.5</v>
      </c>
      <c r="S250" s="22" t="str">
        <f t="shared" si="11"/>
        <v>OK</v>
      </c>
    </row>
    <row r="251" spans="1:19" ht="41.4">
      <c r="A251" s="22" t="s">
        <v>281</v>
      </c>
      <c r="B251" s="25">
        <v>45772</v>
      </c>
      <c r="C251" s="22" t="s">
        <v>17</v>
      </c>
      <c r="D251" s="22" t="s">
        <v>18</v>
      </c>
      <c r="E251" s="22" t="s">
        <v>19</v>
      </c>
      <c r="F251" s="22" t="s">
        <v>20</v>
      </c>
      <c r="G251" s="22" t="s">
        <v>26</v>
      </c>
      <c r="H251" s="22">
        <v>1</v>
      </c>
      <c r="I251" s="22">
        <v>0</v>
      </c>
      <c r="J251" s="22">
        <v>0</v>
      </c>
      <c r="K251" s="22">
        <v>0</v>
      </c>
      <c r="L251" s="22">
        <v>0</v>
      </c>
      <c r="M251" s="22">
        <v>0</v>
      </c>
      <c r="N251" s="22">
        <v>0</v>
      </c>
      <c r="O251" s="22"/>
      <c r="P251" s="22">
        <v>70.8</v>
      </c>
      <c r="Q251" s="22" t="str">
        <f t="shared" si="9"/>
        <v>Normal</v>
      </c>
      <c r="R251" s="26" t="str">
        <f t="shared" si="10"/>
        <v>USR-10025045772ControlNorthDesktopEmailFree100000070.8</v>
      </c>
      <c r="S251" s="22" t="str">
        <f t="shared" si="11"/>
        <v>OK</v>
      </c>
    </row>
    <row r="252" spans="1:19" ht="41.4">
      <c r="A252" s="22" t="s">
        <v>282</v>
      </c>
      <c r="B252" s="25">
        <v>45687</v>
      </c>
      <c r="C252" s="22" t="s">
        <v>17</v>
      </c>
      <c r="D252" s="22" t="s">
        <v>18</v>
      </c>
      <c r="E252" s="22" t="s">
        <v>19</v>
      </c>
      <c r="F252" s="22" t="s">
        <v>20</v>
      </c>
      <c r="G252" s="22" t="s">
        <v>21</v>
      </c>
      <c r="H252" s="22">
        <v>1</v>
      </c>
      <c r="I252" s="22">
        <v>1</v>
      </c>
      <c r="J252" s="22">
        <v>1</v>
      </c>
      <c r="K252" s="22">
        <v>1</v>
      </c>
      <c r="L252" s="22">
        <v>1250.78</v>
      </c>
      <c r="M252" s="22">
        <v>0</v>
      </c>
      <c r="N252" s="22">
        <v>0</v>
      </c>
      <c r="O252" s="22">
        <v>10</v>
      </c>
      <c r="P252" s="22">
        <v>39</v>
      </c>
      <c r="Q252" s="22" t="str">
        <f t="shared" si="9"/>
        <v>Normal</v>
      </c>
      <c r="R252" s="26" t="str">
        <f t="shared" si="10"/>
        <v>USR-10025145687ControlNorthDesktopEmailBasic11111250.78001039</v>
      </c>
      <c r="S252" s="22" t="str">
        <f t="shared" si="11"/>
        <v>OK</v>
      </c>
    </row>
    <row r="253" spans="1:19" ht="41.4">
      <c r="A253" s="22" t="s">
        <v>283</v>
      </c>
      <c r="B253" s="25">
        <v>45800</v>
      </c>
      <c r="C253" s="22" t="s">
        <v>17</v>
      </c>
      <c r="D253" s="22" t="s">
        <v>23</v>
      </c>
      <c r="E253" s="22" t="s">
        <v>24</v>
      </c>
      <c r="F253" s="22" t="s">
        <v>25</v>
      </c>
      <c r="G253" s="22" t="s">
        <v>26</v>
      </c>
      <c r="H253" s="22">
        <v>1</v>
      </c>
      <c r="I253" s="22">
        <v>0</v>
      </c>
      <c r="J253" s="22">
        <v>0</v>
      </c>
      <c r="K253" s="22">
        <v>0</v>
      </c>
      <c r="L253" s="22">
        <v>0</v>
      </c>
      <c r="M253" s="22">
        <v>0</v>
      </c>
      <c r="N253" s="22">
        <v>0</v>
      </c>
      <c r="O253" s="22"/>
      <c r="P253" s="22">
        <v>61.6</v>
      </c>
      <c r="Q253" s="22" t="str">
        <f t="shared" si="9"/>
        <v>Normal</v>
      </c>
      <c r="R253" s="26" t="str">
        <f t="shared" si="10"/>
        <v>USR-10025245800ControlWestMobileOrganicFree100000061.6</v>
      </c>
      <c r="S253" s="22" t="str">
        <f t="shared" si="11"/>
        <v>OK</v>
      </c>
    </row>
    <row r="254" spans="1:19" ht="41.4">
      <c r="A254" s="22" t="s">
        <v>284</v>
      </c>
      <c r="B254" s="25">
        <v>45702</v>
      </c>
      <c r="C254" s="22" t="s">
        <v>17</v>
      </c>
      <c r="D254" s="22" t="s">
        <v>28</v>
      </c>
      <c r="E254" s="22" t="s">
        <v>19</v>
      </c>
      <c r="F254" s="22" t="s">
        <v>25</v>
      </c>
      <c r="G254" s="22" t="s">
        <v>26</v>
      </c>
      <c r="H254" s="22">
        <v>1</v>
      </c>
      <c r="I254" s="22">
        <v>1</v>
      </c>
      <c r="J254" s="22">
        <v>1</v>
      </c>
      <c r="K254" s="22">
        <v>0</v>
      </c>
      <c r="L254" s="22">
        <v>0</v>
      </c>
      <c r="M254" s="22">
        <v>0</v>
      </c>
      <c r="N254" s="22">
        <v>0</v>
      </c>
      <c r="O254" s="22"/>
      <c r="P254" s="22">
        <v>46.8</v>
      </c>
      <c r="Q254" s="22" t="str">
        <f t="shared" si="9"/>
        <v>Normal</v>
      </c>
      <c r="R254" s="26" t="str">
        <f t="shared" si="10"/>
        <v>USR-10025345702ControlEastDesktopOrganicFree111000046.8</v>
      </c>
      <c r="S254" s="22" t="str">
        <f t="shared" si="11"/>
        <v>OK</v>
      </c>
    </row>
    <row r="255" spans="1:19" ht="41.4">
      <c r="A255" s="22" t="s">
        <v>285</v>
      </c>
      <c r="B255" s="25">
        <v>45721</v>
      </c>
      <c r="C255" s="22" t="s">
        <v>17</v>
      </c>
      <c r="D255" s="22" t="s">
        <v>18</v>
      </c>
      <c r="E255" s="22" t="s">
        <v>24</v>
      </c>
      <c r="F255" s="22" t="s">
        <v>29</v>
      </c>
      <c r="G255" s="22" t="s">
        <v>30</v>
      </c>
      <c r="H255" s="22">
        <v>0</v>
      </c>
      <c r="I255" s="22">
        <v>0</v>
      </c>
      <c r="J255" s="22">
        <v>0</v>
      </c>
      <c r="K255" s="22">
        <v>0</v>
      </c>
      <c r="L255" s="22">
        <v>0</v>
      </c>
      <c r="M255" s="22">
        <v>1</v>
      </c>
      <c r="N255" s="22">
        <v>0</v>
      </c>
      <c r="O255" s="22"/>
      <c r="P255" s="22">
        <v>58.5</v>
      </c>
      <c r="Q255" s="22" t="str">
        <f t="shared" si="9"/>
        <v>Normal</v>
      </c>
      <c r="R255" s="26" t="str">
        <f t="shared" si="10"/>
        <v>USR-10025445721ControlNorthMobilePaid SearchPremium000001058.5</v>
      </c>
      <c r="S255" s="22" t="str">
        <f t="shared" si="11"/>
        <v>OK</v>
      </c>
    </row>
    <row r="256" spans="1:19" ht="41.4">
      <c r="A256" s="22" t="s">
        <v>286</v>
      </c>
      <c r="B256" s="25">
        <v>45804</v>
      </c>
      <c r="C256" s="22" t="s">
        <v>17</v>
      </c>
      <c r="D256" s="22" t="s">
        <v>18</v>
      </c>
      <c r="E256" s="22" t="s">
        <v>24</v>
      </c>
      <c r="F256" s="22" t="s">
        <v>29</v>
      </c>
      <c r="G256" s="22" t="s">
        <v>21</v>
      </c>
      <c r="H256" s="22">
        <v>0</v>
      </c>
      <c r="I256" s="22">
        <v>0</v>
      </c>
      <c r="J256" s="22">
        <v>0</v>
      </c>
      <c r="K256" s="22">
        <v>0</v>
      </c>
      <c r="L256" s="22">
        <v>0</v>
      </c>
      <c r="M256" s="22">
        <v>0</v>
      </c>
      <c r="N256" s="22">
        <v>0</v>
      </c>
      <c r="O256" s="22"/>
      <c r="P256" s="22">
        <v>70.900000000000006</v>
      </c>
      <c r="Q256" s="22" t="str">
        <f t="shared" si="9"/>
        <v>Normal</v>
      </c>
      <c r="R256" s="26" t="str">
        <f t="shared" si="10"/>
        <v>USR-10025545804ControlNorthMobilePaid SearchBasic000000070.9</v>
      </c>
      <c r="S256" s="22" t="str">
        <f t="shared" si="11"/>
        <v>OK</v>
      </c>
    </row>
    <row r="257" spans="1:19" ht="41.4">
      <c r="A257" s="22" t="s">
        <v>287</v>
      </c>
      <c r="B257" s="25">
        <v>45664</v>
      </c>
      <c r="C257" s="22" t="s">
        <v>17</v>
      </c>
      <c r="D257" s="22" t="s">
        <v>32</v>
      </c>
      <c r="E257" s="22" t="s">
        <v>24</v>
      </c>
      <c r="F257" s="22" t="s">
        <v>29</v>
      </c>
      <c r="G257" s="22" t="s">
        <v>26</v>
      </c>
      <c r="H257" s="22">
        <v>1</v>
      </c>
      <c r="I257" s="22">
        <v>0</v>
      </c>
      <c r="J257" s="22">
        <v>0</v>
      </c>
      <c r="K257" s="22">
        <v>0</v>
      </c>
      <c r="L257" s="22">
        <v>0</v>
      </c>
      <c r="M257" s="22">
        <v>0</v>
      </c>
      <c r="N257" s="22">
        <v>0</v>
      </c>
      <c r="O257" s="22"/>
      <c r="P257" s="22">
        <v>48.4</v>
      </c>
      <c r="Q257" s="22" t="str">
        <f t="shared" si="9"/>
        <v>Normal</v>
      </c>
      <c r="R257" s="26" t="str">
        <f t="shared" si="10"/>
        <v>USR-10025645664ControlSouthMobilePaid SearchFree100000048.4</v>
      </c>
      <c r="S257" s="22" t="str">
        <f t="shared" si="11"/>
        <v>OK</v>
      </c>
    </row>
    <row r="258" spans="1:19" ht="41.4">
      <c r="A258" s="22" t="s">
        <v>288</v>
      </c>
      <c r="B258" s="25">
        <v>45768</v>
      </c>
      <c r="C258" s="22" t="s">
        <v>17</v>
      </c>
      <c r="D258" s="22" t="s">
        <v>18</v>
      </c>
      <c r="E258" s="22" t="s">
        <v>24</v>
      </c>
      <c r="F258" s="22" t="s">
        <v>20</v>
      </c>
      <c r="G258" s="22" t="s">
        <v>26</v>
      </c>
      <c r="H258" s="22">
        <v>1</v>
      </c>
      <c r="I258" s="22">
        <v>0</v>
      </c>
      <c r="J258" s="22">
        <v>0</v>
      </c>
      <c r="K258" s="22">
        <v>0</v>
      </c>
      <c r="L258" s="22">
        <v>0</v>
      </c>
      <c r="M258" s="22">
        <v>0</v>
      </c>
      <c r="N258" s="22">
        <v>0</v>
      </c>
      <c r="O258" s="22"/>
      <c r="P258" s="22">
        <v>58</v>
      </c>
      <c r="Q258" s="22" t="str">
        <f t="shared" si="9"/>
        <v>Normal</v>
      </c>
      <c r="R258" s="26" t="str">
        <f t="shared" si="10"/>
        <v>USR-10025745768ControlNorthMobileEmailFree100000058</v>
      </c>
      <c r="S258" s="22" t="str">
        <f t="shared" si="11"/>
        <v>OK</v>
      </c>
    </row>
    <row r="259" spans="1:19" ht="41.4">
      <c r="A259" s="22" t="s">
        <v>289</v>
      </c>
      <c r="B259" s="25">
        <v>45790</v>
      </c>
      <c r="C259" s="22" t="s">
        <v>17</v>
      </c>
      <c r="D259" s="22" t="s">
        <v>18</v>
      </c>
      <c r="E259" s="22" t="s">
        <v>24</v>
      </c>
      <c r="F259" s="22" t="s">
        <v>29</v>
      </c>
      <c r="G259" s="22" t="s">
        <v>26</v>
      </c>
      <c r="H259" s="22">
        <v>0</v>
      </c>
      <c r="I259" s="22">
        <v>0</v>
      </c>
      <c r="J259" s="22">
        <v>0</v>
      </c>
      <c r="K259" s="22">
        <v>0</v>
      </c>
      <c r="L259" s="22">
        <v>0</v>
      </c>
      <c r="M259" s="22">
        <v>0</v>
      </c>
      <c r="N259" s="22">
        <v>0</v>
      </c>
      <c r="O259" s="22"/>
      <c r="P259" s="22">
        <v>61.6</v>
      </c>
      <c r="Q259" s="22" t="str">
        <f t="shared" ref="Q259:Q322" si="12">IF(OR(L259&lt;$V$40,L259&gt;$V$41),"Outlier","Normal")</f>
        <v>Normal</v>
      </c>
      <c r="R259" s="26" t="str">
        <f t="shared" ref="R259:R322" si="13">A259&amp;B259&amp;C259&amp;D259&amp;E259&amp;F259&amp;G259&amp;H259&amp;I259&amp;J259&amp;K259&amp;L259&amp;M259&amp;N259&amp;O259&amp;P259</f>
        <v>USR-10025845790ControlNorthMobilePaid SearchFree000000061.6</v>
      </c>
      <c r="S259" s="22" t="str">
        <f t="shared" ref="S259:S322" si="14">IF(COUNTIF($R$2:$R$1409,R259)=1,"OK",IF(COUNTIF($R$2:$R$1409,R259)&gt;1,"Exact Duplicate","Review Required"))</f>
        <v>OK</v>
      </c>
    </row>
    <row r="260" spans="1:19" ht="41.4">
      <c r="A260" s="22" t="s">
        <v>290</v>
      </c>
      <c r="B260" s="25">
        <v>45685</v>
      </c>
      <c r="C260" s="22" t="s">
        <v>17</v>
      </c>
      <c r="D260" s="22" t="s">
        <v>28</v>
      </c>
      <c r="E260" s="22" t="s">
        <v>19</v>
      </c>
      <c r="F260" s="22" t="s">
        <v>25</v>
      </c>
      <c r="G260" s="22" t="s">
        <v>26</v>
      </c>
      <c r="H260" s="22">
        <v>1</v>
      </c>
      <c r="I260" s="22">
        <v>0</v>
      </c>
      <c r="J260" s="22">
        <v>0</v>
      </c>
      <c r="K260" s="22">
        <v>0</v>
      </c>
      <c r="L260" s="22">
        <v>0</v>
      </c>
      <c r="M260" s="22">
        <v>0</v>
      </c>
      <c r="N260" s="22">
        <v>0</v>
      </c>
      <c r="O260" s="22"/>
      <c r="P260" s="22">
        <v>43.2</v>
      </c>
      <c r="Q260" s="22" t="str">
        <f t="shared" si="12"/>
        <v>Normal</v>
      </c>
      <c r="R260" s="26" t="str">
        <f t="shared" si="13"/>
        <v>USR-10025945685ControlEastDesktopOrganicFree100000043.2</v>
      </c>
      <c r="S260" s="22" t="str">
        <f t="shared" si="14"/>
        <v>OK</v>
      </c>
    </row>
    <row r="261" spans="1:19" ht="41.4">
      <c r="A261" s="22" t="s">
        <v>291</v>
      </c>
      <c r="B261" s="25">
        <v>45732</v>
      </c>
      <c r="C261" s="22" t="s">
        <v>17</v>
      </c>
      <c r="D261" s="22" t="s">
        <v>28</v>
      </c>
      <c r="E261" s="22" t="s">
        <v>19</v>
      </c>
      <c r="F261" s="22" t="s">
        <v>29</v>
      </c>
      <c r="G261" s="22" t="s">
        <v>21</v>
      </c>
      <c r="H261" s="22">
        <v>1</v>
      </c>
      <c r="I261" s="22">
        <v>0</v>
      </c>
      <c r="J261" s="22">
        <v>0</v>
      </c>
      <c r="K261" s="22">
        <v>0</v>
      </c>
      <c r="L261" s="22">
        <v>0</v>
      </c>
      <c r="M261" s="22">
        <v>1</v>
      </c>
      <c r="N261" s="22">
        <v>0</v>
      </c>
      <c r="O261" s="22"/>
      <c r="P261" s="22">
        <v>53.3</v>
      </c>
      <c r="Q261" s="22" t="str">
        <f t="shared" si="12"/>
        <v>Normal</v>
      </c>
      <c r="R261" s="26" t="str">
        <f t="shared" si="13"/>
        <v>USR-10026045732ControlEastDesktopPaid SearchBasic100001053.3</v>
      </c>
      <c r="S261" s="22" t="str">
        <f t="shared" si="14"/>
        <v>OK</v>
      </c>
    </row>
    <row r="262" spans="1:19" ht="41.4">
      <c r="A262" s="22" t="s">
        <v>292</v>
      </c>
      <c r="B262" s="25">
        <v>45757</v>
      </c>
      <c r="C262" s="22" t="s">
        <v>17</v>
      </c>
      <c r="D262" s="22" t="s">
        <v>28</v>
      </c>
      <c r="E262" s="22" t="s">
        <v>19</v>
      </c>
      <c r="F262" s="22" t="s">
        <v>41</v>
      </c>
      <c r="G262" s="22" t="s">
        <v>21</v>
      </c>
      <c r="H262" s="22">
        <v>0</v>
      </c>
      <c r="I262" s="22">
        <v>0</v>
      </c>
      <c r="J262" s="22">
        <v>0</v>
      </c>
      <c r="K262" s="22">
        <v>0</v>
      </c>
      <c r="L262" s="22">
        <v>0</v>
      </c>
      <c r="M262" s="22">
        <v>0</v>
      </c>
      <c r="N262" s="22">
        <v>0</v>
      </c>
      <c r="O262" s="22"/>
      <c r="P262" s="22">
        <v>33.9</v>
      </c>
      <c r="Q262" s="22" t="str">
        <f t="shared" si="12"/>
        <v>Normal</v>
      </c>
      <c r="R262" s="26" t="str">
        <f t="shared" si="13"/>
        <v>USR-10026145757ControlEastDesktopSocialBasic000000033.9</v>
      </c>
      <c r="S262" s="22" t="str">
        <f t="shared" si="14"/>
        <v>OK</v>
      </c>
    </row>
    <row r="263" spans="1:19" ht="41.4">
      <c r="A263" s="22" t="s">
        <v>293</v>
      </c>
      <c r="B263" s="25">
        <v>45731</v>
      </c>
      <c r="C263" s="22" t="s">
        <v>17</v>
      </c>
      <c r="D263" s="22" t="s">
        <v>28</v>
      </c>
      <c r="E263" s="22" t="s">
        <v>19</v>
      </c>
      <c r="F263" s="22" t="s">
        <v>39</v>
      </c>
      <c r="G263" s="22" t="s">
        <v>26</v>
      </c>
      <c r="H263" s="22">
        <v>1</v>
      </c>
      <c r="I263" s="22">
        <v>1</v>
      </c>
      <c r="J263" s="22">
        <v>1</v>
      </c>
      <c r="K263" s="22">
        <v>0</v>
      </c>
      <c r="L263" s="22">
        <v>0</v>
      </c>
      <c r="M263" s="22">
        <v>0</v>
      </c>
      <c r="N263" s="22">
        <v>0</v>
      </c>
      <c r="O263" s="22"/>
      <c r="P263" s="22">
        <v>35.4</v>
      </c>
      <c r="Q263" s="22" t="str">
        <f t="shared" si="12"/>
        <v>Normal</v>
      </c>
      <c r="R263" s="26" t="str">
        <f t="shared" si="13"/>
        <v>USR-10026245731ControlEastDesktopReferralFree111000035.4</v>
      </c>
      <c r="S263" s="22" t="str">
        <f t="shared" si="14"/>
        <v>OK</v>
      </c>
    </row>
    <row r="264" spans="1:19" ht="41.4">
      <c r="A264" s="22" t="s">
        <v>294</v>
      </c>
      <c r="B264" s="25">
        <v>45754</v>
      </c>
      <c r="C264" s="22" t="s">
        <v>17</v>
      </c>
      <c r="D264" s="22" t="s">
        <v>23</v>
      </c>
      <c r="E264" s="22" t="s">
        <v>19</v>
      </c>
      <c r="F264" s="22" t="s">
        <v>25</v>
      </c>
      <c r="G264" s="22" t="s">
        <v>21</v>
      </c>
      <c r="H264" s="22">
        <v>1</v>
      </c>
      <c r="I264" s="22">
        <v>0</v>
      </c>
      <c r="J264" s="22">
        <v>0</v>
      </c>
      <c r="K264" s="22">
        <v>0</v>
      </c>
      <c r="L264" s="22">
        <v>0</v>
      </c>
      <c r="M264" s="22">
        <v>0</v>
      </c>
      <c r="N264" s="22">
        <v>0</v>
      </c>
      <c r="O264" s="22"/>
      <c r="P264" s="22">
        <v>45</v>
      </c>
      <c r="Q264" s="22" t="str">
        <f t="shared" si="12"/>
        <v>Normal</v>
      </c>
      <c r="R264" s="26" t="str">
        <f t="shared" si="13"/>
        <v>USR-10026345754ControlWestDesktopOrganicBasic100000045</v>
      </c>
      <c r="S264" s="22" t="str">
        <f t="shared" si="14"/>
        <v>OK</v>
      </c>
    </row>
    <row r="265" spans="1:19" ht="41.4">
      <c r="A265" s="22" t="s">
        <v>295</v>
      </c>
      <c r="B265" s="25">
        <v>45700</v>
      </c>
      <c r="C265" s="22" t="s">
        <v>17</v>
      </c>
      <c r="D265" s="22" t="s">
        <v>32</v>
      </c>
      <c r="E265" s="22" t="s">
        <v>24</v>
      </c>
      <c r="F265" s="22" t="s">
        <v>25</v>
      </c>
      <c r="G265" s="22" t="s">
        <v>26</v>
      </c>
      <c r="H265" s="22">
        <v>1</v>
      </c>
      <c r="I265" s="22">
        <v>1</v>
      </c>
      <c r="J265" s="22">
        <v>0</v>
      </c>
      <c r="K265" s="22">
        <v>0</v>
      </c>
      <c r="L265" s="22">
        <v>0</v>
      </c>
      <c r="M265" s="22">
        <v>0</v>
      </c>
      <c r="N265" s="22">
        <v>0</v>
      </c>
      <c r="O265" s="22"/>
      <c r="P265" s="22">
        <v>86.5</v>
      </c>
      <c r="Q265" s="22" t="str">
        <f t="shared" si="12"/>
        <v>Normal</v>
      </c>
      <c r="R265" s="26" t="str">
        <f t="shared" si="13"/>
        <v>USR-10026445700ControlSouthMobileOrganicFree110000086.5</v>
      </c>
      <c r="S265" s="22" t="str">
        <f t="shared" si="14"/>
        <v>OK</v>
      </c>
    </row>
    <row r="266" spans="1:19" ht="41.4">
      <c r="A266" s="22" t="s">
        <v>296</v>
      </c>
      <c r="B266" s="25">
        <v>45782</v>
      </c>
      <c r="C266" s="22" t="s">
        <v>17</v>
      </c>
      <c r="D266" s="22" t="s">
        <v>23</v>
      </c>
      <c r="E266" s="22" t="s">
        <v>24</v>
      </c>
      <c r="F266" s="22" t="s">
        <v>41</v>
      </c>
      <c r="G266" s="22" t="s">
        <v>26</v>
      </c>
      <c r="H266" s="22">
        <v>0</v>
      </c>
      <c r="I266" s="22">
        <v>0</v>
      </c>
      <c r="J266" s="22">
        <v>0</v>
      </c>
      <c r="K266" s="22">
        <v>0</v>
      </c>
      <c r="L266" s="22">
        <v>0</v>
      </c>
      <c r="M266" s="22">
        <v>0</v>
      </c>
      <c r="N266" s="22">
        <v>0</v>
      </c>
      <c r="O266" s="22"/>
      <c r="P266" s="22">
        <v>58.1</v>
      </c>
      <c r="Q266" s="22" t="str">
        <f t="shared" si="12"/>
        <v>Normal</v>
      </c>
      <c r="R266" s="26" t="str">
        <f t="shared" si="13"/>
        <v>USR-10026545782ControlWestMobileSocialFree000000058.1</v>
      </c>
      <c r="S266" s="22" t="str">
        <f t="shared" si="14"/>
        <v>OK</v>
      </c>
    </row>
    <row r="267" spans="1:19" ht="41.4">
      <c r="A267" s="22" t="s">
        <v>297</v>
      </c>
      <c r="B267" s="25">
        <v>45727</v>
      </c>
      <c r="C267" s="22" t="s">
        <v>17</v>
      </c>
      <c r="D267" s="22" t="s">
        <v>23</v>
      </c>
      <c r="E267" s="22" t="s">
        <v>24</v>
      </c>
      <c r="F267" s="22" t="s">
        <v>39</v>
      </c>
      <c r="G267" s="22" t="s">
        <v>26</v>
      </c>
      <c r="H267" s="22">
        <v>1</v>
      </c>
      <c r="I267" s="22">
        <v>0</v>
      </c>
      <c r="J267" s="22">
        <v>0</v>
      </c>
      <c r="K267" s="22">
        <v>0</v>
      </c>
      <c r="L267" s="22">
        <v>0</v>
      </c>
      <c r="M267" s="22">
        <v>0</v>
      </c>
      <c r="N267" s="22">
        <v>0</v>
      </c>
      <c r="O267" s="22"/>
      <c r="P267" s="22">
        <v>36.1</v>
      </c>
      <c r="Q267" s="22" t="str">
        <f t="shared" si="12"/>
        <v>Normal</v>
      </c>
      <c r="R267" s="26" t="str">
        <f t="shared" si="13"/>
        <v>USR-10026645727ControlWestMobileReferralFree100000036.1</v>
      </c>
      <c r="S267" s="22" t="str">
        <f t="shared" si="14"/>
        <v>OK</v>
      </c>
    </row>
    <row r="268" spans="1:19" ht="41.4">
      <c r="A268" s="22" t="s">
        <v>298</v>
      </c>
      <c r="B268" s="25">
        <v>45698</v>
      </c>
      <c r="C268" s="22" t="s">
        <v>17</v>
      </c>
      <c r="D268" s="22" t="s">
        <v>28</v>
      </c>
      <c r="E268" s="22" t="s">
        <v>24</v>
      </c>
      <c r="F268" s="22" t="s">
        <v>41</v>
      </c>
      <c r="G268" s="22" t="s">
        <v>26</v>
      </c>
      <c r="H268" s="22">
        <v>0</v>
      </c>
      <c r="I268" s="22">
        <v>0</v>
      </c>
      <c r="J268" s="22">
        <v>0</v>
      </c>
      <c r="K268" s="22">
        <v>0</v>
      </c>
      <c r="L268" s="22">
        <v>0</v>
      </c>
      <c r="M268" s="22">
        <v>0</v>
      </c>
      <c r="N268" s="22">
        <v>0</v>
      </c>
      <c r="O268" s="22"/>
      <c r="P268" s="22">
        <v>62.8</v>
      </c>
      <c r="Q268" s="22" t="str">
        <f t="shared" si="12"/>
        <v>Normal</v>
      </c>
      <c r="R268" s="26" t="str">
        <f t="shared" si="13"/>
        <v>USR-10026745698ControlEastMobileSocialFree000000062.8</v>
      </c>
      <c r="S268" s="22" t="str">
        <f t="shared" si="14"/>
        <v>OK</v>
      </c>
    </row>
    <row r="269" spans="1:19" ht="41.4">
      <c r="A269" s="22" t="s">
        <v>299</v>
      </c>
      <c r="B269" s="25">
        <v>45753</v>
      </c>
      <c r="C269" s="22" t="s">
        <v>17</v>
      </c>
      <c r="D269" s="22" t="s">
        <v>32</v>
      </c>
      <c r="E269" s="22" t="s">
        <v>24</v>
      </c>
      <c r="F269" s="22" t="s">
        <v>25</v>
      </c>
      <c r="G269" s="22" t="s">
        <v>26</v>
      </c>
      <c r="H269" s="22">
        <v>0</v>
      </c>
      <c r="I269" s="22">
        <v>0</v>
      </c>
      <c r="J269" s="22">
        <v>0</v>
      </c>
      <c r="K269" s="22">
        <v>0</v>
      </c>
      <c r="L269" s="22">
        <v>0</v>
      </c>
      <c r="M269" s="22">
        <v>0</v>
      </c>
      <c r="N269" s="22">
        <v>0</v>
      </c>
      <c r="O269" s="22"/>
      <c r="P269" s="22">
        <v>54.2</v>
      </c>
      <c r="Q269" s="22" t="str">
        <f t="shared" si="12"/>
        <v>Normal</v>
      </c>
      <c r="R269" s="26" t="str">
        <f t="shared" si="13"/>
        <v>USR-10026845753ControlSouthMobileOrganicFree000000054.2</v>
      </c>
      <c r="S269" s="22" t="str">
        <f t="shared" si="14"/>
        <v>OK</v>
      </c>
    </row>
    <row r="270" spans="1:19" ht="41.4">
      <c r="A270" s="22" t="s">
        <v>300</v>
      </c>
      <c r="B270" s="25">
        <v>45663</v>
      </c>
      <c r="C270" s="22" t="s">
        <v>17</v>
      </c>
      <c r="D270" s="22" t="s">
        <v>28</v>
      </c>
      <c r="E270" s="22" t="s">
        <v>24</v>
      </c>
      <c r="F270" s="22" t="s">
        <v>39</v>
      </c>
      <c r="G270" s="22" t="s">
        <v>26</v>
      </c>
      <c r="H270" s="22">
        <v>0</v>
      </c>
      <c r="I270" s="22">
        <v>0</v>
      </c>
      <c r="J270" s="22">
        <v>0</v>
      </c>
      <c r="K270" s="22">
        <v>0</v>
      </c>
      <c r="L270" s="22">
        <v>0</v>
      </c>
      <c r="M270" s="22">
        <v>0</v>
      </c>
      <c r="N270" s="22">
        <v>0</v>
      </c>
      <c r="O270" s="22"/>
      <c r="P270" s="22">
        <v>50</v>
      </c>
      <c r="Q270" s="22" t="str">
        <f t="shared" si="12"/>
        <v>Normal</v>
      </c>
      <c r="R270" s="26" t="str">
        <f t="shared" si="13"/>
        <v>USR-10026945663ControlEastMobileReferralFree000000050</v>
      </c>
      <c r="S270" s="22" t="str">
        <f t="shared" si="14"/>
        <v>OK</v>
      </c>
    </row>
    <row r="271" spans="1:19" ht="41.4">
      <c r="A271" s="22" t="s">
        <v>301</v>
      </c>
      <c r="B271" s="25">
        <v>45741</v>
      </c>
      <c r="C271" s="22" t="s">
        <v>17</v>
      </c>
      <c r="D271" s="22" t="s">
        <v>28</v>
      </c>
      <c r="E271" s="22" t="s">
        <v>34</v>
      </c>
      <c r="F271" s="22" t="s">
        <v>29</v>
      </c>
      <c r="G271" s="22" t="s">
        <v>21</v>
      </c>
      <c r="H271" s="22">
        <v>1</v>
      </c>
      <c r="I271" s="22">
        <v>0</v>
      </c>
      <c r="J271" s="22">
        <v>0</v>
      </c>
      <c r="K271" s="22">
        <v>0</v>
      </c>
      <c r="L271" s="22">
        <v>0</v>
      </c>
      <c r="M271" s="22">
        <v>0</v>
      </c>
      <c r="N271" s="22">
        <v>0</v>
      </c>
      <c r="O271" s="22"/>
      <c r="P271" s="22">
        <v>62</v>
      </c>
      <c r="Q271" s="22" t="str">
        <f t="shared" si="12"/>
        <v>Normal</v>
      </c>
      <c r="R271" s="26" t="str">
        <f t="shared" si="13"/>
        <v>USR-10027045741ControlEastTabletPaid SearchBasic100000062</v>
      </c>
      <c r="S271" s="22" t="str">
        <f t="shared" si="14"/>
        <v>OK</v>
      </c>
    </row>
    <row r="272" spans="1:19" ht="41.4">
      <c r="A272" s="22" t="s">
        <v>302</v>
      </c>
      <c r="B272" s="25">
        <v>45701</v>
      </c>
      <c r="C272" s="22" t="s">
        <v>17</v>
      </c>
      <c r="D272" s="22" t="s">
        <v>28</v>
      </c>
      <c r="E272" s="22" t="s">
        <v>19</v>
      </c>
      <c r="F272" s="22" t="s">
        <v>39</v>
      </c>
      <c r="G272" s="22" t="s">
        <v>26</v>
      </c>
      <c r="H272" s="22">
        <v>1</v>
      </c>
      <c r="I272" s="22">
        <v>0</v>
      </c>
      <c r="J272" s="22">
        <v>0</v>
      </c>
      <c r="K272" s="22">
        <v>0</v>
      </c>
      <c r="L272" s="22">
        <v>0</v>
      </c>
      <c r="M272" s="22">
        <v>0</v>
      </c>
      <c r="N272" s="22">
        <v>0</v>
      </c>
      <c r="O272" s="22"/>
      <c r="P272" s="22">
        <v>29.3</v>
      </c>
      <c r="Q272" s="22" t="str">
        <f t="shared" si="12"/>
        <v>Normal</v>
      </c>
      <c r="R272" s="26" t="str">
        <f t="shared" si="13"/>
        <v>USR-10027145701ControlEastDesktopReferralFree100000029.3</v>
      </c>
      <c r="S272" s="22" t="str">
        <f t="shared" si="14"/>
        <v>OK</v>
      </c>
    </row>
    <row r="273" spans="1:19" ht="41.4">
      <c r="A273" s="22" t="s">
        <v>303</v>
      </c>
      <c r="B273" s="25">
        <v>45733</v>
      </c>
      <c r="C273" s="22" t="s">
        <v>17</v>
      </c>
      <c r="D273" s="22" t="s">
        <v>23</v>
      </c>
      <c r="E273" s="22" t="s">
        <v>19</v>
      </c>
      <c r="F273" s="22" t="s">
        <v>25</v>
      </c>
      <c r="G273" s="22" t="s">
        <v>26</v>
      </c>
      <c r="H273" s="22">
        <v>1</v>
      </c>
      <c r="I273" s="22">
        <v>0</v>
      </c>
      <c r="J273" s="22">
        <v>0</v>
      </c>
      <c r="K273" s="22">
        <v>0</v>
      </c>
      <c r="L273" s="22">
        <v>0</v>
      </c>
      <c r="M273" s="22">
        <v>0</v>
      </c>
      <c r="N273" s="22">
        <v>0</v>
      </c>
      <c r="O273" s="22"/>
      <c r="P273" s="22">
        <v>67.900000000000006</v>
      </c>
      <c r="Q273" s="22" t="str">
        <f t="shared" si="12"/>
        <v>Normal</v>
      </c>
      <c r="R273" s="26" t="str">
        <f t="shared" si="13"/>
        <v>USR-10027245733ControlWestDesktopOrganicFree100000067.9</v>
      </c>
      <c r="S273" s="22" t="str">
        <f t="shared" si="14"/>
        <v>OK</v>
      </c>
    </row>
    <row r="274" spans="1:19" ht="41.4">
      <c r="A274" s="22" t="s">
        <v>304</v>
      </c>
      <c r="B274" s="25">
        <v>45787</v>
      </c>
      <c r="C274" s="22" t="s">
        <v>17</v>
      </c>
      <c r="D274" s="22" t="s">
        <v>18</v>
      </c>
      <c r="E274" s="22" t="s">
        <v>24</v>
      </c>
      <c r="F274" s="22" t="s">
        <v>39</v>
      </c>
      <c r="G274" s="22" t="s">
        <v>26</v>
      </c>
      <c r="H274" s="22">
        <v>1</v>
      </c>
      <c r="I274" s="22">
        <v>1</v>
      </c>
      <c r="J274" s="22">
        <v>1</v>
      </c>
      <c r="K274" s="22">
        <v>0</v>
      </c>
      <c r="L274" s="22">
        <v>0</v>
      </c>
      <c r="M274" s="22">
        <v>0</v>
      </c>
      <c r="N274" s="22">
        <v>0</v>
      </c>
      <c r="O274" s="22"/>
      <c r="P274" s="22">
        <v>67.599999999999994</v>
      </c>
      <c r="Q274" s="22" t="str">
        <f t="shared" si="12"/>
        <v>Normal</v>
      </c>
      <c r="R274" s="26" t="str">
        <f t="shared" si="13"/>
        <v>USR-10027345787ControlNorthMobileReferralFree111000067.6</v>
      </c>
      <c r="S274" s="22" t="str">
        <f t="shared" si="14"/>
        <v>OK</v>
      </c>
    </row>
    <row r="275" spans="1:19" ht="41.4">
      <c r="A275" s="22" t="s">
        <v>305</v>
      </c>
      <c r="B275" s="25">
        <v>45784</v>
      </c>
      <c r="C275" s="22" t="s">
        <v>17</v>
      </c>
      <c r="D275" s="22" t="s">
        <v>32</v>
      </c>
      <c r="E275" s="22" t="s">
        <v>24</v>
      </c>
      <c r="F275" s="22" t="s">
        <v>29</v>
      </c>
      <c r="G275" s="22" t="s">
        <v>21</v>
      </c>
      <c r="H275" s="22">
        <v>0</v>
      </c>
      <c r="I275" s="22">
        <v>0</v>
      </c>
      <c r="J275" s="22">
        <v>0</v>
      </c>
      <c r="K275" s="22">
        <v>0</v>
      </c>
      <c r="L275" s="22">
        <v>0</v>
      </c>
      <c r="M275" s="22">
        <v>0</v>
      </c>
      <c r="N275" s="22">
        <v>0</v>
      </c>
      <c r="O275" s="22"/>
      <c r="P275" s="22">
        <v>67.400000000000006</v>
      </c>
      <c r="Q275" s="22" t="str">
        <f t="shared" si="12"/>
        <v>Normal</v>
      </c>
      <c r="R275" s="26" t="str">
        <f t="shared" si="13"/>
        <v>USR-10027445784ControlSouthMobilePaid SearchBasic000000067.4</v>
      </c>
      <c r="S275" s="22" t="str">
        <f t="shared" si="14"/>
        <v>OK</v>
      </c>
    </row>
    <row r="276" spans="1:19" ht="41.4">
      <c r="A276" s="22" t="s">
        <v>306</v>
      </c>
      <c r="B276" s="25">
        <v>45714</v>
      </c>
      <c r="C276" s="22" t="s">
        <v>17</v>
      </c>
      <c r="D276" s="22" t="s">
        <v>23</v>
      </c>
      <c r="E276" s="22" t="s">
        <v>19</v>
      </c>
      <c r="F276" s="22" t="s">
        <v>29</v>
      </c>
      <c r="G276" s="22" t="s">
        <v>30</v>
      </c>
      <c r="H276" s="22">
        <v>0</v>
      </c>
      <c r="I276" s="22">
        <v>0</v>
      </c>
      <c r="J276" s="22">
        <v>0</v>
      </c>
      <c r="K276" s="22">
        <v>0</v>
      </c>
      <c r="L276" s="22">
        <v>0</v>
      </c>
      <c r="M276" s="22">
        <v>2</v>
      </c>
      <c r="N276" s="22">
        <v>0</v>
      </c>
      <c r="O276" s="22"/>
      <c r="P276" s="22">
        <v>53</v>
      </c>
      <c r="Q276" s="22" t="str">
        <f t="shared" si="12"/>
        <v>Normal</v>
      </c>
      <c r="R276" s="26" t="str">
        <f t="shared" si="13"/>
        <v>USR-10027545714ControlWestDesktopPaid SearchPremium000002053</v>
      </c>
      <c r="S276" s="22" t="str">
        <f t="shared" si="14"/>
        <v>OK</v>
      </c>
    </row>
    <row r="277" spans="1:19" ht="41.4">
      <c r="A277" s="22" t="s">
        <v>307</v>
      </c>
      <c r="B277" s="25">
        <v>45788</v>
      </c>
      <c r="C277" s="22" t="s">
        <v>17</v>
      </c>
      <c r="D277" s="22" t="s">
        <v>18</v>
      </c>
      <c r="E277" s="22" t="s">
        <v>24</v>
      </c>
      <c r="F277" s="22" t="s">
        <v>25</v>
      </c>
      <c r="G277" s="22" t="s">
        <v>21</v>
      </c>
      <c r="H277" s="22">
        <v>0</v>
      </c>
      <c r="I277" s="22">
        <v>0</v>
      </c>
      <c r="J277" s="22">
        <v>0</v>
      </c>
      <c r="K277" s="22">
        <v>0</v>
      </c>
      <c r="L277" s="22">
        <v>0</v>
      </c>
      <c r="M277" s="22">
        <v>0</v>
      </c>
      <c r="N277" s="22">
        <v>0</v>
      </c>
      <c r="O277" s="22"/>
      <c r="P277" s="22">
        <v>65.5</v>
      </c>
      <c r="Q277" s="22" t="str">
        <f t="shared" si="12"/>
        <v>Normal</v>
      </c>
      <c r="R277" s="26" t="str">
        <f t="shared" si="13"/>
        <v>USR-10027645788ControlNorthMobileOrganicBasic000000065.5</v>
      </c>
      <c r="S277" s="22" t="str">
        <f t="shared" si="14"/>
        <v>OK</v>
      </c>
    </row>
    <row r="278" spans="1:19" ht="41.4">
      <c r="A278" s="22" t="s">
        <v>308</v>
      </c>
      <c r="B278" s="25">
        <v>45736</v>
      </c>
      <c r="C278" s="22" t="s">
        <v>17</v>
      </c>
      <c r="D278" s="22" t="s">
        <v>32</v>
      </c>
      <c r="E278" s="22" t="s">
        <v>24</v>
      </c>
      <c r="F278" s="22" t="s">
        <v>25</v>
      </c>
      <c r="G278" s="22" t="s">
        <v>21</v>
      </c>
      <c r="H278" s="22">
        <v>1</v>
      </c>
      <c r="I278" s="22">
        <v>1</v>
      </c>
      <c r="J278" s="22">
        <v>0</v>
      </c>
      <c r="K278" s="22">
        <v>0</v>
      </c>
      <c r="L278" s="22">
        <v>0</v>
      </c>
      <c r="M278" s="22">
        <v>0</v>
      </c>
      <c r="N278" s="22">
        <v>0</v>
      </c>
      <c r="O278" s="22"/>
      <c r="P278" s="22">
        <v>49.6</v>
      </c>
      <c r="Q278" s="22" t="str">
        <f t="shared" si="12"/>
        <v>Normal</v>
      </c>
      <c r="R278" s="26" t="str">
        <f t="shared" si="13"/>
        <v>USR-10027745736ControlSouthMobileOrganicBasic110000049.6</v>
      </c>
      <c r="S278" s="22" t="str">
        <f t="shared" si="14"/>
        <v>OK</v>
      </c>
    </row>
    <row r="279" spans="1:19" ht="41.4">
      <c r="A279" s="22" t="s">
        <v>309</v>
      </c>
      <c r="B279" s="25">
        <v>45676</v>
      </c>
      <c r="C279" s="22" t="s">
        <v>17</v>
      </c>
      <c r="D279" s="22" t="s">
        <v>18</v>
      </c>
      <c r="E279" s="22" t="s">
        <v>24</v>
      </c>
      <c r="F279" s="22" t="s">
        <v>20</v>
      </c>
      <c r="G279" s="22" t="s">
        <v>26</v>
      </c>
      <c r="H279" s="22">
        <v>1</v>
      </c>
      <c r="I279" s="22">
        <v>1</v>
      </c>
      <c r="J279" s="22">
        <v>0</v>
      </c>
      <c r="K279" s="22">
        <v>0</v>
      </c>
      <c r="L279" s="22">
        <v>0</v>
      </c>
      <c r="M279" s="22">
        <v>0</v>
      </c>
      <c r="N279" s="22">
        <v>0</v>
      </c>
      <c r="O279" s="22"/>
      <c r="P279" s="22">
        <v>74.5</v>
      </c>
      <c r="Q279" s="22" t="str">
        <f t="shared" si="12"/>
        <v>Normal</v>
      </c>
      <c r="R279" s="26" t="str">
        <f t="shared" si="13"/>
        <v>USR-10027845676ControlNorthMobileEmailFree110000074.5</v>
      </c>
      <c r="S279" s="22" t="str">
        <f t="shared" si="14"/>
        <v>OK</v>
      </c>
    </row>
    <row r="280" spans="1:19" ht="41.4">
      <c r="A280" s="22" t="s">
        <v>310</v>
      </c>
      <c r="B280" s="25">
        <v>45724</v>
      </c>
      <c r="C280" s="22" t="s">
        <v>17</v>
      </c>
      <c r="D280" s="22" t="s">
        <v>18</v>
      </c>
      <c r="E280" s="22" t="s">
        <v>34</v>
      </c>
      <c r="F280" s="22" t="s">
        <v>29</v>
      </c>
      <c r="G280" s="22" t="s">
        <v>30</v>
      </c>
      <c r="H280" s="22">
        <v>1</v>
      </c>
      <c r="I280" s="22">
        <v>0</v>
      </c>
      <c r="J280" s="22">
        <v>0</v>
      </c>
      <c r="K280" s="22">
        <v>0</v>
      </c>
      <c r="L280" s="22">
        <v>0</v>
      </c>
      <c r="M280" s="22">
        <v>1</v>
      </c>
      <c r="N280" s="22">
        <v>0</v>
      </c>
      <c r="O280" s="22"/>
      <c r="P280" s="22">
        <v>46.9</v>
      </c>
      <c r="Q280" s="22" t="str">
        <f t="shared" si="12"/>
        <v>Normal</v>
      </c>
      <c r="R280" s="26" t="str">
        <f t="shared" si="13"/>
        <v>USR-10027945724ControlNorthTabletPaid SearchPremium100001046.9</v>
      </c>
      <c r="S280" s="22" t="str">
        <f t="shared" si="14"/>
        <v>OK</v>
      </c>
    </row>
    <row r="281" spans="1:19" ht="41.4">
      <c r="A281" s="22" t="s">
        <v>311</v>
      </c>
      <c r="B281" s="25">
        <v>45772</v>
      </c>
      <c r="C281" s="22" t="s">
        <v>17</v>
      </c>
      <c r="D281" s="22" t="s">
        <v>18</v>
      </c>
      <c r="E281" s="22" t="s">
        <v>24</v>
      </c>
      <c r="F281" s="22" t="s">
        <v>25</v>
      </c>
      <c r="G281" s="22" t="s">
        <v>26</v>
      </c>
      <c r="H281" s="22">
        <v>0</v>
      </c>
      <c r="I281" s="22">
        <v>0</v>
      </c>
      <c r="J281" s="22">
        <v>0</v>
      </c>
      <c r="K281" s="22">
        <v>0</v>
      </c>
      <c r="L281" s="22">
        <v>0</v>
      </c>
      <c r="M281" s="22">
        <v>0</v>
      </c>
      <c r="N281" s="22">
        <v>0</v>
      </c>
      <c r="O281" s="22"/>
      <c r="P281" s="22">
        <v>87.1</v>
      </c>
      <c r="Q281" s="22" t="str">
        <f t="shared" si="12"/>
        <v>Normal</v>
      </c>
      <c r="R281" s="26" t="str">
        <f t="shared" si="13"/>
        <v>USR-10028045772ControlNorthMobileOrganicFree000000087.1</v>
      </c>
      <c r="S281" s="22" t="str">
        <f t="shared" si="14"/>
        <v>OK</v>
      </c>
    </row>
    <row r="282" spans="1:19" ht="41.4">
      <c r="A282" s="22" t="s">
        <v>312</v>
      </c>
      <c r="B282" s="25">
        <v>45751</v>
      </c>
      <c r="C282" s="22" t="s">
        <v>17</v>
      </c>
      <c r="D282" s="22" t="s">
        <v>18</v>
      </c>
      <c r="E282" s="22" t="s">
        <v>19</v>
      </c>
      <c r="F282" s="22" t="s">
        <v>25</v>
      </c>
      <c r="G282" s="22" t="s">
        <v>26</v>
      </c>
      <c r="H282" s="22">
        <v>1</v>
      </c>
      <c r="I282" s="22">
        <v>0</v>
      </c>
      <c r="J282" s="22">
        <v>0</v>
      </c>
      <c r="K282" s="22">
        <v>0</v>
      </c>
      <c r="L282" s="22">
        <v>0</v>
      </c>
      <c r="M282" s="22">
        <v>0</v>
      </c>
      <c r="N282" s="22">
        <v>0</v>
      </c>
      <c r="O282" s="22"/>
      <c r="P282" s="22">
        <v>56</v>
      </c>
      <c r="Q282" s="22" t="str">
        <f t="shared" si="12"/>
        <v>Normal</v>
      </c>
      <c r="R282" s="26" t="str">
        <f t="shared" si="13"/>
        <v>USR-10028145751ControlNorthDesktopOrganicFree100000056</v>
      </c>
      <c r="S282" s="22" t="str">
        <f t="shared" si="14"/>
        <v>OK</v>
      </c>
    </row>
    <row r="283" spans="1:19" ht="41.4">
      <c r="A283" s="22" t="s">
        <v>313</v>
      </c>
      <c r="B283" s="25">
        <v>45778</v>
      </c>
      <c r="C283" s="22" t="s">
        <v>17</v>
      </c>
      <c r="D283" s="22" t="s">
        <v>28</v>
      </c>
      <c r="E283" s="22" t="s">
        <v>24</v>
      </c>
      <c r="F283" s="22" t="s">
        <v>29</v>
      </c>
      <c r="G283" s="22" t="s">
        <v>30</v>
      </c>
      <c r="H283" s="22">
        <v>1</v>
      </c>
      <c r="I283" s="22">
        <v>0</v>
      </c>
      <c r="J283" s="22">
        <v>0</v>
      </c>
      <c r="K283" s="22">
        <v>0</v>
      </c>
      <c r="L283" s="22">
        <v>0</v>
      </c>
      <c r="M283" s="22">
        <v>1</v>
      </c>
      <c r="N283" s="22">
        <v>0</v>
      </c>
      <c r="O283" s="22"/>
      <c r="P283" s="22">
        <v>61.7</v>
      </c>
      <c r="Q283" s="22" t="str">
        <f t="shared" si="12"/>
        <v>Normal</v>
      </c>
      <c r="R283" s="26" t="str">
        <f t="shared" si="13"/>
        <v>USR-10028245778ControlEastMobilePaid SearchPremium100001061.7</v>
      </c>
      <c r="S283" s="22" t="str">
        <f t="shared" si="14"/>
        <v>OK</v>
      </c>
    </row>
    <row r="284" spans="1:19" ht="41.4">
      <c r="A284" s="22" t="s">
        <v>314</v>
      </c>
      <c r="B284" s="25">
        <v>45678</v>
      </c>
      <c r="C284" s="22" t="s">
        <v>17</v>
      </c>
      <c r="D284" s="22" t="s">
        <v>32</v>
      </c>
      <c r="E284" s="22" t="s">
        <v>24</v>
      </c>
      <c r="F284" s="22" t="s">
        <v>41</v>
      </c>
      <c r="G284" s="22" t="s">
        <v>26</v>
      </c>
      <c r="H284" s="22">
        <v>1</v>
      </c>
      <c r="I284" s="22">
        <v>0</v>
      </c>
      <c r="J284" s="22">
        <v>0</v>
      </c>
      <c r="K284" s="22">
        <v>0</v>
      </c>
      <c r="L284" s="22">
        <v>0</v>
      </c>
      <c r="M284" s="22">
        <v>1</v>
      </c>
      <c r="N284" s="22">
        <v>0</v>
      </c>
      <c r="O284" s="22"/>
      <c r="P284" s="22">
        <v>70.5</v>
      </c>
      <c r="Q284" s="22" t="str">
        <f t="shared" si="12"/>
        <v>Normal</v>
      </c>
      <c r="R284" s="26" t="str">
        <f t="shared" si="13"/>
        <v>USR-10028345678ControlSouthMobileSocialFree100001070.5</v>
      </c>
      <c r="S284" s="22" t="str">
        <f t="shared" si="14"/>
        <v>OK</v>
      </c>
    </row>
    <row r="285" spans="1:19" ht="41.4">
      <c r="A285" s="22" t="s">
        <v>315</v>
      </c>
      <c r="B285" s="25">
        <v>45698</v>
      </c>
      <c r="C285" s="22" t="s">
        <v>17</v>
      </c>
      <c r="D285" s="22" t="s">
        <v>18</v>
      </c>
      <c r="E285" s="22" t="s">
        <v>19</v>
      </c>
      <c r="F285" s="22" t="s">
        <v>39</v>
      </c>
      <c r="G285" s="22" t="s">
        <v>21</v>
      </c>
      <c r="H285" s="22">
        <v>1</v>
      </c>
      <c r="I285" s="22">
        <v>0</v>
      </c>
      <c r="J285" s="22">
        <v>0</v>
      </c>
      <c r="K285" s="22">
        <v>0</v>
      </c>
      <c r="L285" s="22">
        <v>0</v>
      </c>
      <c r="M285" s="22">
        <v>0</v>
      </c>
      <c r="N285" s="22">
        <v>0</v>
      </c>
      <c r="O285" s="22"/>
      <c r="P285" s="22">
        <v>33.4</v>
      </c>
      <c r="Q285" s="22" t="str">
        <f t="shared" si="12"/>
        <v>Normal</v>
      </c>
      <c r="R285" s="26" t="str">
        <f t="shared" si="13"/>
        <v>USR-10028445698ControlNorthDesktopReferralBasic100000033.4</v>
      </c>
      <c r="S285" s="22" t="str">
        <f t="shared" si="14"/>
        <v>OK</v>
      </c>
    </row>
    <row r="286" spans="1:19" ht="41.4">
      <c r="A286" s="22" t="s">
        <v>316</v>
      </c>
      <c r="B286" s="25">
        <v>45783</v>
      </c>
      <c r="C286" s="22" t="s">
        <v>17</v>
      </c>
      <c r="D286" s="22" t="s">
        <v>32</v>
      </c>
      <c r="E286" s="22" t="s">
        <v>19</v>
      </c>
      <c r="F286" s="22" t="s">
        <v>25</v>
      </c>
      <c r="G286" s="22" t="s">
        <v>26</v>
      </c>
      <c r="H286" s="22">
        <v>1</v>
      </c>
      <c r="I286" s="22">
        <v>0</v>
      </c>
      <c r="J286" s="22">
        <v>0</v>
      </c>
      <c r="K286" s="22">
        <v>0</v>
      </c>
      <c r="L286" s="22">
        <v>0</v>
      </c>
      <c r="M286" s="22">
        <v>0</v>
      </c>
      <c r="N286" s="22">
        <v>0</v>
      </c>
      <c r="O286" s="22"/>
      <c r="P286" s="22">
        <v>57.5</v>
      </c>
      <c r="Q286" s="22" t="str">
        <f t="shared" si="12"/>
        <v>Normal</v>
      </c>
      <c r="R286" s="26" t="str">
        <f t="shared" si="13"/>
        <v>USR-10028545783ControlSouthDesktopOrganicFree100000057.5</v>
      </c>
      <c r="S286" s="22" t="str">
        <f t="shared" si="14"/>
        <v>OK</v>
      </c>
    </row>
    <row r="287" spans="1:19" ht="41.4">
      <c r="A287" s="22" t="s">
        <v>317</v>
      </c>
      <c r="B287" s="25">
        <v>45696</v>
      </c>
      <c r="C287" s="22" t="s">
        <v>17</v>
      </c>
      <c r="D287" s="22" t="s">
        <v>18</v>
      </c>
      <c r="E287" s="22" t="s">
        <v>19</v>
      </c>
      <c r="F287" s="22" t="s">
        <v>29</v>
      </c>
      <c r="G287" s="22" t="s">
        <v>21</v>
      </c>
      <c r="H287" s="22">
        <v>1</v>
      </c>
      <c r="I287" s="22">
        <v>1</v>
      </c>
      <c r="J287" s="22">
        <v>0</v>
      </c>
      <c r="K287" s="22">
        <v>0</v>
      </c>
      <c r="L287" s="22">
        <v>0</v>
      </c>
      <c r="M287" s="22">
        <v>0</v>
      </c>
      <c r="N287" s="22">
        <v>0</v>
      </c>
      <c r="O287" s="22"/>
      <c r="P287" s="22">
        <v>85.7</v>
      </c>
      <c r="Q287" s="22" t="str">
        <f t="shared" si="12"/>
        <v>Normal</v>
      </c>
      <c r="R287" s="26" t="str">
        <f t="shared" si="13"/>
        <v>USR-10028645696ControlNorthDesktopPaid SearchBasic110000085.7</v>
      </c>
      <c r="S287" s="22" t="str">
        <f t="shared" si="14"/>
        <v>OK</v>
      </c>
    </row>
    <row r="288" spans="1:19" ht="41.4">
      <c r="A288" s="22" t="s">
        <v>318</v>
      </c>
      <c r="B288" s="25">
        <v>45808</v>
      </c>
      <c r="C288" s="22" t="s">
        <v>17</v>
      </c>
      <c r="D288" s="22" t="s">
        <v>28</v>
      </c>
      <c r="E288" s="22" t="s">
        <v>24</v>
      </c>
      <c r="F288" s="22" t="s">
        <v>41</v>
      </c>
      <c r="G288" s="22" t="s">
        <v>26</v>
      </c>
      <c r="H288" s="22">
        <v>1</v>
      </c>
      <c r="I288" s="22">
        <v>0</v>
      </c>
      <c r="J288" s="22">
        <v>0</v>
      </c>
      <c r="K288" s="22">
        <v>0</v>
      </c>
      <c r="L288" s="22">
        <v>0</v>
      </c>
      <c r="M288" s="22">
        <v>0</v>
      </c>
      <c r="N288" s="22">
        <v>0</v>
      </c>
      <c r="O288" s="22"/>
      <c r="P288" s="22">
        <v>41.9</v>
      </c>
      <c r="Q288" s="22" t="str">
        <f t="shared" si="12"/>
        <v>Normal</v>
      </c>
      <c r="R288" s="26" t="str">
        <f t="shared" si="13"/>
        <v>USR-10028745808ControlEastMobileSocialFree100000041.9</v>
      </c>
      <c r="S288" s="22" t="str">
        <f t="shared" si="14"/>
        <v>OK</v>
      </c>
    </row>
    <row r="289" spans="1:19" ht="41.4">
      <c r="A289" s="22" t="s">
        <v>319</v>
      </c>
      <c r="B289" s="25">
        <v>45695</v>
      </c>
      <c r="C289" s="22" t="s">
        <v>17</v>
      </c>
      <c r="D289" s="22" t="s">
        <v>23</v>
      </c>
      <c r="E289" s="22" t="s">
        <v>24</v>
      </c>
      <c r="F289" s="22" t="s">
        <v>20</v>
      </c>
      <c r="G289" s="22" t="s">
        <v>21</v>
      </c>
      <c r="H289" s="22">
        <v>1</v>
      </c>
      <c r="I289" s="22">
        <v>0</v>
      </c>
      <c r="J289" s="22">
        <v>0</v>
      </c>
      <c r="K289" s="22">
        <v>0</v>
      </c>
      <c r="L289" s="22">
        <v>0</v>
      </c>
      <c r="M289" s="22">
        <v>0</v>
      </c>
      <c r="N289" s="22">
        <v>0</v>
      </c>
      <c r="O289" s="22"/>
      <c r="P289" s="22">
        <v>70.2</v>
      </c>
      <c r="Q289" s="22" t="str">
        <f t="shared" si="12"/>
        <v>Normal</v>
      </c>
      <c r="R289" s="26" t="str">
        <f t="shared" si="13"/>
        <v>USR-10028845695ControlWestMobileEmailBasic100000070.2</v>
      </c>
      <c r="S289" s="22" t="str">
        <f t="shared" si="14"/>
        <v>OK</v>
      </c>
    </row>
    <row r="290" spans="1:19" ht="41.4">
      <c r="A290" s="22" t="s">
        <v>320</v>
      </c>
      <c r="B290" s="25">
        <v>45698</v>
      </c>
      <c r="C290" s="22" t="s">
        <v>17</v>
      </c>
      <c r="D290" s="22" t="s">
        <v>18</v>
      </c>
      <c r="E290" s="22" t="s">
        <v>24</v>
      </c>
      <c r="F290" s="22" t="s">
        <v>41</v>
      </c>
      <c r="G290" s="22" t="s">
        <v>26</v>
      </c>
      <c r="H290" s="22">
        <v>1</v>
      </c>
      <c r="I290" s="22">
        <v>0</v>
      </c>
      <c r="J290" s="22">
        <v>0</v>
      </c>
      <c r="K290" s="22">
        <v>0</v>
      </c>
      <c r="L290" s="22">
        <v>0</v>
      </c>
      <c r="M290" s="22">
        <v>0</v>
      </c>
      <c r="N290" s="22">
        <v>0</v>
      </c>
      <c r="O290" s="22"/>
      <c r="P290" s="22">
        <v>42.6</v>
      </c>
      <c r="Q290" s="22" t="str">
        <f t="shared" si="12"/>
        <v>Normal</v>
      </c>
      <c r="R290" s="26" t="str">
        <f t="shared" si="13"/>
        <v>USR-10028945698ControlNorthMobileSocialFree100000042.6</v>
      </c>
      <c r="S290" s="22" t="str">
        <f t="shared" si="14"/>
        <v>OK</v>
      </c>
    </row>
    <row r="291" spans="1:19" ht="41.4">
      <c r="A291" s="22" t="s">
        <v>321</v>
      </c>
      <c r="B291" s="25">
        <v>45688</v>
      </c>
      <c r="C291" s="22" t="s">
        <v>17</v>
      </c>
      <c r="D291" s="22" t="s">
        <v>23</v>
      </c>
      <c r="E291" s="22" t="s">
        <v>24</v>
      </c>
      <c r="F291" s="22" t="s">
        <v>41</v>
      </c>
      <c r="G291" s="22" t="s">
        <v>21</v>
      </c>
      <c r="H291" s="22">
        <v>0</v>
      </c>
      <c r="I291" s="22">
        <v>0</v>
      </c>
      <c r="J291" s="22">
        <v>0</v>
      </c>
      <c r="K291" s="22">
        <v>0</v>
      </c>
      <c r="L291" s="22">
        <v>0</v>
      </c>
      <c r="M291" s="22">
        <v>2</v>
      </c>
      <c r="N291" s="22">
        <v>0</v>
      </c>
      <c r="O291" s="22"/>
      <c r="P291" s="22">
        <v>30.4</v>
      </c>
      <c r="Q291" s="22" t="str">
        <f t="shared" si="12"/>
        <v>Normal</v>
      </c>
      <c r="R291" s="26" t="str">
        <f t="shared" si="13"/>
        <v>USR-10029045688ControlWestMobileSocialBasic000002030.4</v>
      </c>
      <c r="S291" s="22" t="str">
        <f t="shared" si="14"/>
        <v>OK</v>
      </c>
    </row>
    <row r="292" spans="1:19" ht="41.4">
      <c r="A292" s="22" t="s">
        <v>322</v>
      </c>
      <c r="B292" s="25">
        <v>45732</v>
      </c>
      <c r="C292" s="22" t="s">
        <v>17</v>
      </c>
      <c r="D292" s="22" t="s">
        <v>28</v>
      </c>
      <c r="E292" s="22" t="s">
        <v>24</v>
      </c>
      <c r="F292" s="22" t="s">
        <v>29</v>
      </c>
      <c r="G292" s="22" t="s">
        <v>21</v>
      </c>
      <c r="H292" s="22">
        <v>1</v>
      </c>
      <c r="I292" s="22">
        <v>0</v>
      </c>
      <c r="J292" s="22">
        <v>0</v>
      </c>
      <c r="K292" s="22">
        <v>0</v>
      </c>
      <c r="L292" s="22">
        <v>0</v>
      </c>
      <c r="M292" s="22">
        <v>0</v>
      </c>
      <c r="N292" s="22">
        <v>0</v>
      </c>
      <c r="O292" s="22"/>
      <c r="P292" s="22">
        <v>63.7</v>
      </c>
      <c r="Q292" s="22" t="str">
        <f t="shared" si="12"/>
        <v>Normal</v>
      </c>
      <c r="R292" s="26" t="str">
        <f t="shared" si="13"/>
        <v>USR-10029145732ControlEastMobilePaid SearchBasic100000063.7</v>
      </c>
      <c r="S292" s="22" t="str">
        <f t="shared" si="14"/>
        <v>OK</v>
      </c>
    </row>
    <row r="293" spans="1:19" ht="41.4">
      <c r="A293" s="22" t="s">
        <v>323</v>
      </c>
      <c r="B293" s="25">
        <v>45771</v>
      </c>
      <c r="C293" s="22" t="s">
        <v>17</v>
      </c>
      <c r="D293" s="22" t="s">
        <v>32</v>
      </c>
      <c r="E293" s="22" t="s">
        <v>24</v>
      </c>
      <c r="F293" s="22" t="s">
        <v>41</v>
      </c>
      <c r="G293" s="22" t="s">
        <v>21</v>
      </c>
      <c r="H293" s="22">
        <v>0</v>
      </c>
      <c r="I293" s="22">
        <v>0</v>
      </c>
      <c r="J293" s="22">
        <v>0</v>
      </c>
      <c r="K293" s="22">
        <v>0</v>
      </c>
      <c r="L293" s="22">
        <v>0</v>
      </c>
      <c r="M293" s="22">
        <v>0</v>
      </c>
      <c r="N293" s="22">
        <v>0</v>
      </c>
      <c r="O293" s="22"/>
      <c r="P293" s="22">
        <v>42.7</v>
      </c>
      <c r="Q293" s="22" t="str">
        <f t="shared" si="12"/>
        <v>Normal</v>
      </c>
      <c r="R293" s="26" t="str">
        <f t="shared" si="13"/>
        <v>USR-10029245771ControlSouthMobileSocialBasic000000042.7</v>
      </c>
      <c r="S293" s="22" t="str">
        <f t="shared" si="14"/>
        <v>OK</v>
      </c>
    </row>
    <row r="294" spans="1:19" ht="41.4">
      <c r="A294" s="22" t="s">
        <v>324</v>
      </c>
      <c r="B294" s="25">
        <v>45685</v>
      </c>
      <c r="C294" s="22" t="s">
        <v>17</v>
      </c>
      <c r="D294" s="22" t="s">
        <v>18</v>
      </c>
      <c r="E294" s="22" t="s">
        <v>24</v>
      </c>
      <c r="F294" s="22" t="s">
        <v>25</v>
      </c>
      <c r="G294" s="22" t="s">
        <v>26</v>
      </c>
      <c r="H294" s="22">
        <v>0</v>
      </c>
      <c r="I294" s="22">
        <v>0</v>
      </c>
      <c r="J294" s="22">
        <v>0</v>
      </c>
      <c r="K294" s="22">
        <v>0</v>
      </c>
      <c r="L294" s="22">
        <v>0</v>
      </c>
      <c r="M294" s="22">
        <v>0</v>
      </c>
      <c r="N294" s="22">
        <v>0</v>
      </c>
      <c r="O294" s="22"/>
      <c r="P294" s="22">
        <v>74.3</v>
      </c>
      <c r="Q294" s="22" t="str">
        <f t="shared" si="12"/>
        <v>Normal</v>
      </c>
      <c r="R294" s="26" t="str">
        <f t="shared" si="13"/>
        <v>USR-10029345685ControlNorthMobileOrganicFree000000074.3</v>
      </c>
      <c r="S294" s="22" t="str">
        <f t="shared" si="14"/>
        <v>OK</v>
      </c>
    </row>
    <row r="295" spans="1:19" ht="41.4">
      <c r="A295" s="22" t="s">
        <v>325</v>
      </c>
      <c r="B295" s="25">
        <v>45704</v>
      </c>
      <c r="C295" s="22" t="s">
        <v>17</v>
      </c>
      <c r="D295" s="22" t="s">
        <v>23</v>
      </c>
      <c r="E295" s="22" t="s">
        <v>19</v>
      </c>
      <c r="F295" s="22" t="s">
        <v>20</v>
      </c>
      <c r="G295" s="22" t="s">
        <v>26</v>
      </c>
      <c r="H295" s="22">
        <v>1</v>
      </c>
      <c r="I295" s="22">
        <v>0</v>
      </c>
      <c r="J295" s="22">
        <v>0</v>
      </c>
      <c r="K295" s="22">
        <v>0</v>
      </c>
      <c r="L295" s="22">
        <v>0</v>
      </c>
      <c r="M295" s="22">
        <v>0</v>
      </c>
      <c r="N295" s="22">
        <v>0</v>
      </c>
      <c r="O295" s="22"/>
      <c r="P295" s="22">
        <v>40.6</v>
      </c>
      <c r="Q295" s="22" t="str">
        <f t="shared" si="12"/>
        <v>Normal</v>
      </c>
      <c r="R295" s="26" t="str">
        <f t="shared" si="13"/>
        <v>USR-10029445704ControlWestDesktopEmailFree100000040.6</v>
      </c>
      <c r="S295" s="22" t="str">
        <f t="shared" si="14"/>
        <v>OK</v>
      </c>
    </row>
    <row r="296" spans="1:19" ht="41.4">
      <c r="A296" s="22" t="s">
        <v>326</v>
      </c>
      <c r="B296" s="25">
        <v>45739</v>
      </c>
      <c r="C296" s="22" t="s">
        <v>17</v>
      </c>
      <c r="D296" s="22" t="s">
        <v>28</v>
      </c>
      <c r="E296" s="22" t="s">
        <v>24</v>
      </c>
      <c r="F296" s="22" t="s">
        <v>25</v>
      </c>
      <c r="G296" s="22" t="s">
        <v>30</v>
      </c>
      <c r="H296" s="22">
        <v>0</v>
      </c>
      <c r="I296" s="22">
        <v>0</v>
      </c>
      <c r="J296" s="22">
        <v>0</v>
      </c>
      <c r="K296" s="22">
        <v>0</v>
      </c>
      <c r="L296" s="22">
        <v>0</v>
      </c>
      <c r="M296" s="22">
        <v>0</v>
      </c>
      <c r="N296" s="22">
        <v>0</v>
      </c>
      <c r="O296" s="22"/>
      <c r="P296" s="22">
        <v>67</v>
      </c>
      <c r="Q296" s="22" t="str">
        <f t="shared" si="12"/>
        <v>Normal</v>
      </c>
      <c r="R296" s="26" t="str">
        <f t="shared" si="13"/>
        <v>USR-10029545739ControlEastMobileOrganicPremium000000067</v>
      </c>
      <c r="S296" s="22" t="str">
        <f t="shared" si="14"/>
        <v>OK</v>
      </c>
    </row>
    <row r="297" spans="1:19" ht="41.4">
      <c r="A297" s="22" t="s">
        <v>327</v>
      </c>
      <c r="B297" s="25">
        <v>45808</v>
      </c>
      <c r="C297" s="22" t="s">
        <v>17</v>
      </c>
      <c r="D297" s="22" t="s">
        <v>28</v>
      </c>
      <c r="E297" s="22" t="s">
        <v>24</v>
      </c>
      <c r="F297" s="22" t="s">
        <v>29</v>
      </c>
      <c r="G297" s="22" t="s">
        <v>30</v>
      </c>
      <c r="H297" s="22">
        <v>0</v>
      </c>
      <c r="I297" s="22">
        <v>0</v>
      </c>
      <c r="J297" s="22">
        <v>0</v>
      </c>
      <c r="K297" s="22">
        <v>0</v>
      </c>
      <c r="L297" s="22">
        <v>0</v>
      </c>
      <c r="M297" s="22">
        <v>0</v>
      </c>
      <c r="N297" s="22">
        <v>0</v>
      </c>
      <c r="O297" s="22"/>
      <c r="P297" s="22">
        <v>51</v>
      </c>
      <c r="Q297" s="22" t="str">
        <f t="shared" si="12"/>
        <v>Normal</v>
      </c>
      <c r="R297" s="26" t="str">
        <f t="shared" si="13"/>
        <v>USR-10029645808ControlEastMobilePaid SearchPremium000000051</v>
      </c>
      <c r="S297" s="22" t="str">
        <f t="shared" si="14"/>
        <v>OK</v>
      </c>
    </row>
    <row r="298" spans="1:19" ht="41.4">
      <c r="A298" s="22" t="s">
        <v>328</v>
      </c>
      <c r="B298" s="25">
        <v>45760</v>
      </c>
      <c r="C298" s="22" t="s">
        <v>17</v>
      </c>
      <c r="D298" s="22" t="s">
        <v>23</v>
      </c>
      <c r="E298" s="22" t="s">
        <v>24</v>
      </c>
      <c r="F298" s="22" t="s">
        <v>41</v>
      </c>
      <c r="G298" s="22" t="s">
        <v>21</v>
      </c>
      <c r="H298" s="22">
        <v>1</v>
      </c>
      <c r="I298" s="22">
        <v>1</v>
      </c>
      <c r="J298" s="22">
        <v>0</v>
      </c>
      <c r="K298" s="22">
        <v>0</v>
      </c>
      <c r="L298" s="22">
        <v>0</v>
      </c>
      <c r="M298" s="22">
        <v>1</v>
      </c>
      <c r="N298" s="22">
        <v>0</v>
      </c>
      <c r="O298" s="22"/>
      <c r="P298" s="22">
        <v>54.8</v>
      </c>
      <c r="Q298" s="22" t="str">
        <f t="shared" si="12"/>
        <v>Normal</v>
      </c>
      <c r="R298" s="26" t="str">
        <f t="shared" si="13"/>
        <v>USR-10029745760ControlWestMobileSocialBasic110001054.8</v>
      </c>
      <c r="S298" s="22" t="str">
        <f t="shared" si="14"/>
        <v>OK</v>
      </c>
    </row>
    <row r="299" spans="1:19" ht="41.4">
      <c r="A299" s="22" t="s">
        <v>329</v>
      </c>
      <c r="B299" s="25">
        <v>45791</v>
      </c>
      <c r="C299" s="22" t="s">
        <v>17</v>
      </c>
      <c r="D299" s="22" t="s">
        <v>18</v>
      </c>
      <c r="E299" s="22" t="s">
        <v>34</v>
      </c>
      <c r="F299" s="22" t="s">
        <v>20</v>
      </c>
      <c r="G299" s="22" t="s">
        <v>21</v>
      </c>
      <c r="H299" s="22">
        <v>0</v>
      </c>
      <c r="I299" s="22">
        <v>0</v>
      </c>
      <c r="J299" s="22">
        <v>0</v>
      </c>
      <c r="K299" s="22">
        <v>0</v>
      </c>
      <c r="L299" s="22">
        <v>0</v>
      </c>
      <c r="M299" s="22">
        <v>0</v>
      </c>
      <c r="N299" s="22">
        <v>0</v>
      </c>
      <c r="O299" s="22"/>
      <c r="P299" s="22">
        <v>40.799999999999997</v>
      </c>
      <c r="Q299" s="22" t="str">
        <f t="shared" si="12"/>
        <v>Normal</v>
      </c>
      <c r="R299" s="26" t="str">
        <f t="shared" si="13"/>
        <v>USR-10029845791ControlNorthTabletEmailBasic000000040.8</v>
      </c>
      <c r="S299" s="22" t="str">
        <f t="shared" si="14"/>
        <v>OK</v>
      </c>
    </row>
    <row r="300" spans="1:19" ht="41.4">
      <c r="A300" s="22" t="s">
        <v>330</v>
      </c>
      <c r="B300" s="25">
        <v>45707</v>
      </c>
      <c r="C300" s="22" t="s">
        <v>17</v>
      </c>
      <c r="D300" s="22" t="s">
        <v>28</v>
      </c>
      <c r="E300" s="22" t="s">
        <v>24</v>
      </c>
      <c r="F300" s="22" t="s">
        <v>29</v>
      </c>
      <c r="G300" s="22" t="s">
        <v>26</v>
      </c>
      <c r="H300" s="22">
        <v>0</v>
      </c>
      <c r="I300" s="22">
        <v>0</v>
      </c>
      <c r="J300" s="22">
        <v>0</v>
      </c>
      <c r="K300" s="22">
        <v>0</v>
      </c>
      <c r="L300" s="22">
        <v>0</v>
      </c>
      <c r="M300" s="22">
        <v>0</v>
      </c>
      <c r="N300" s="22">
        <v>0</v>
      </c>
      <c r="O300" s="22"/>
      <c r="P300" s="22">
        <v>48.8</v>
      </c>
      <c r="Q300" s="22" t="str">
        <f t="shared" si="12"/>
        <v>Normal</v>
      </c>
      <c r="R300" s="26" t="str">
        <f t="shared" si="13"/>
        <v>USR-10029945707ControlEastMobilePaid SearchFree000000048.8</v>
      </c>
      <c r="S300" s="22" t="str">
        <f t="shared" si="14"/>
        <v>OK</v>
      </c>
    </row>
    <row r="301" spans="1:19" ht="41.4">
      <c r="A301" s="22" t="s">
        <v>331</v>
      </c>
      <c r="B301" s="25">
        <v>45681</v>
      </c>
      <c r="C301" s="22" t="s">
        <v>17</v>
      </c>
      <c r="D301" s="22" t="s">
        <v>32</v>
      </c>
      <c r="E301" s="22" t="s">
        <v>24</v>
      </c>
      <c r="F301" s="22"/>
      <c r="G301" s="22" t="s">
        <v>21</v>
      </c>
      <c r="H301" s="22">
        <v>1</v>
      </c>
      <c r="I301" s="22">
        <v>1</v>
      </c>
      <c r="J301" s="22">
        <v>1</v>
      </c>
      <c r="K301" s="22">
        <v>1</v>
      </c>
      <c r="L301" s="22">
        <v>1198.69</v>
      </c>
      <c r="M301" s="22">
        <v>1</v>
      </c>
      <c r="N301" s="22">
        <v>0</v>
      </c>
      <c r="O301" s="22">
        <v>6</v>
      </c>
      <c r="P301" s="22">
        <v>88.9</v>
      </c>
      <c r="Q301" s="22" t="str">
        <f t="shared" si="12"/>
        <v>Normal</v>
      </c>
      <c r="R301" s="26" t="str">
        <f t="shared" si="13"/>
        <v>USR-10030045681ControlSouthMobileBasic11111198.6910688.9</v>
      </c>
      <c r="S301" s="22" t="str">
        <f t="shared" si="14"/>
        <v>OK</v>
      </c>
    </row>
    <row r="302" spans="1:19" ht="41.4">
      <c r="A302" s="22" t="s">
        <v>332</v>
      </c>
      <c r="B302" s="25">
        <v>45786</v>
      </c>
      <c r="C302" s="22" t="s">
        <v>17</v>
      </c>
      <c r="D302" s="22" t="s">
        <v>18</v>
      </c>
      <c r="E302" s="22" t="s">
        <v>24</v>
      </c>
      <c r="F302" s="22" t="s">
        <v>20</v>
      </c>
      <c r="G302" s="22" t="s">
        <v>21</v>
      </c>
      <c r="H302" s="22">
        <v>1</v>
      </c>
      <c r="I302" s="22">
        <v>1</v>
      </c>
      <c r="J302" s="22">
        <v>1</v>
      </c>
      <c r="K302" s="22">
        <v>0</v>
      </c>
      <c r="L302" s="22">
        <v>0</v>
      </c>
      <c r="M302" s="22">
        <v>1</v>
      </c>
      <c r="N302" s="22">
        <v>0</v>
      </c>
      <c r="O302" s="22"/>
      <c r="P302" s="22">
        <v>60.5</v>
      </c>
      <c r="Q302" s="22" t="str">
        <f t="shared" si="12"/>
        <v>Normal</v>
      </c>
      <c r="R302" s="26" t="str">
        <f t="shared" si="13"/>
        <v>USR-10030145786ControlNorthMobileEmailBasic111001060.5</v>
      </c>
      <c r="S302" s="22" t="str">
        <f t="shared" si="14"/>
        <v>OK</v>
      </c>
    </row>
    <row r="303" spans="1:19" ht="41.4">
      <c r="A303" s="22" t="s">
        <v>333</v>
      </c>
      <c r="B303" s="25">
        <v>45699</v>
      </c>
      <c r="C303" s="22" t="s">
        <v>17</v>
      </c>
      <c r="D303" s="22" t="s">
        <v>18</v>
      </c>
      <c r="E303" s="22" t="s">
        <v>24</v>
      </c>
      <c r="F303" s="22" t="s">
        <v>25</v>
      </c>
      <c r="G303" s="22" t="s">
        <v>21</v>
      </c>
      <c r="H303" s="22">
        <v>1</v>
      </c>
      <c r="I303" s="22">
        <v>0</v>
      </c>
      <c r="J303" s="22">
        <v>0</v>
      </c>
      <c r="K303" s="22">
        <v>0</v>
      </c>
      <c r="L303" s="22">
        <v>0</v>
      </c>
      <c r="M303" s="22">
        <v>0</v>
      </c>
      <c r="N303" s="22">
        <v>0</v>
      </c>
      <c r="O303" s="22"/>
      <c r="P303" s="22">
        <v>63.6</v>
      </c>
      <c r="Q303" s="22" t="str">
        <f t="shared" si="12"/>
        <v>Normal</v>
      </c>
      <c r="R303" s="26" t="str">
        <f t="shared" si="13"/>
        <v>USR-10030245699ControlNorthMobileOrganicBasic100000063.6</v>
      </c>
      <c r="S303" s="22" t="str">
        <f t="shared" si="14"/>
        <v>OK</v>
      </c>
    </row>
    <row r="304" spans="1:19" ht="41.4">
      <c r="A304" s="22" t="s">
        <v>334</v>
      </c>
      <c r="B304" s="25">
        <v>45714</v>
      </c>
      <c r="C304" s="22" t="s">
        <v>17</v>
      </c>
      <c r="D304" s="22" t="s">
        <v>18</v>
      </c>
      <c r="E304" s="22" t="s">
        <v>19</v>
      </c>
      <c r="F304" s="22" t="s">
        <v>25</v>
      </c>
      <c r="G304" s="22" t="s">
        <v>21</v>
      </c>
      <c r="H304" s="22">
        <v>1</v>
      </c>
      <c r="I304" s="22">
        <v>1</v>
      </c>
      <c r="J304" s="22">
        <v>1</v>
      </c>
      <c r="K304" s="22">
        <v>1</v>
      </c>
      <c r="L304" s="22">
        <v>6788.95</v>
      </c>
      <c r="M304" s="22">
        <v>0</v>
      </c>
      <c r="N304" s="22">
        <v>0</v>
      </c>
      <c r="O304" s="22">
        <v>17</v>
      </c>
      <c r="P304" s="22">
        <v>58.4</v>
      </c>
      <c r="Q304" s="22" t="str">
        <f t="shared" si="12"/>
        <v>Outlier</v>
      </c>
      <c r="R304" s="26" t="str">
        <f t="shared" si="13"/>
        <v>USR-10030345714ControlNorthDesktopOrganicBasic11116788.95001758.4</v>
      </c>
      <c r="S304" s="22" t="str">
        <f t="shared" si="14"/>
        <v>OK</v>
      </c>
    </row>
    <row r="305" spans="1:19" ht="41.4">
      <c r="A305" s="22" t="s">
        <v>335</v>
      </c>
      <c r="B305" s="25">
        <v>45700</v>
      </c>
      <c r="C305" s="22" t="s">
        <v>17</v>
      </c>
      <c r="D305" s="22" t="s">
        <v>32</v>
      </c>
      <c r="E305" s="22" t="s">
        <v>24</v>
      </c>
      <c r="F305" s="22" t="s">
        <v>41</v>
      </c>
      <c r="G305" s="22" t="s">
        <v>30</v>
      </c>
      <c r="H305" s="22">
        <v>0</v>
      </c>
      <c r="I305" s="22">
        <v>0</v>
      </c>
      <c r="J305" s="22">
        <v>0</v>
      </c>
      <c r="K305" s="22">
        <v>0</v>
      </c>
      <c r="L305" s="22">
        <v>0</v>
      </c>
      <c r="M305" s="22">
        <v>0</v>
      </c>
      <c r="N305" s="22">
        <v>0</v>
      </c>
      <c r="O305" s="22"/>
      <c r="P305" s="22">
        <v>52.7</v>
      </c>
      <c r="Q305" s="22" t="str">
        <f t="shared" si="12"/>
        <v>Normal</v>
      </c>
      <c r="R305" s="26" t="str">
        <f t="shared" si="13"/>
        <v>USR-10030445700ControlSouthMobileSocialPremium000000052.7</v>
      </c>
      <c r="S305" s="22" t="str">
        <f t="shared" si="14"/>
        <v>OK</v>
      </c>
    </row>
    <row r="306" spans="1:19" ht="41.4">
      <c r="A306" s="22" t="s">
        <v>336</v>
      </c>
      <c r="B306" s="25">
        <v>45662</v>
      </c>
      <c r="C306" s="22" t="s">
        <v>17</v>
      </c>
      <c r="D306" s="22" t="s">
        <v>32</v>
      </c>
      <c r="E306" s="22" t="s">
        <v>34</v>
      </c>
      <c r="F306" s="22" t="s">
        <v>41</v>
      </c>
      <c r="G306" s="22" t="s">
        <v>30</v>
      </c>
      <c r="H306" s="22">
        <v>1</v>
      </c>
      <c r="I306" s="22">
        <v>1</v>
      </c>
      <c r="J306" s="22">
        <v>1</v>
      </c>
      <c r="K306" s="22">
        <v>0</v>
      </c>
      <c r="L306" s="22">
        <v>0</v>
      </c>
      <c r="M306" s="22">
        <v>2</v>
      </c>
      <c r="N306" s="22">
        <v>0</v>
      </c>
      <c r="O306" s="22"/>
      <c r="P306" s="22">
        <v>48.9</v>
      </c>
      <c r="Q306" s="22" t="str">
        <f t="shared" si="12"/>
        <v>Normal</v>
      </c>
      <c r="R306" s="26" t="str">
        <f t="shared" si="13"/>
        <v>USR-10030545662ControlSouthTabletSocialPremium111002048.9</v>
      </c>
      <c r="S306" s="22" t="str">
        <f t="shared" si="14"/>
        <v>OK</v>
      </c>
    </row>
    <row r="307" spans="1:19" ht="41.4">
      <c r="A307" s="22" t="s">
        <v>337</v>
      </c>
      <c r="B307" s="25">
        <v>45796</v>
      </c>
      <c r="C307" s="22" t="s">
        <v>17</v>
      </c>
      <c r="D307" s="22" t="s">
        <v>23</v>
      </c>
      <c r="E307" s="22" t="s">
        <v>24</v>
      </c>
      <c r="F307" s="22" t="s">
        <v>25</v>
      </c>
      <c r="G307" s="22" t="s">
        <v>30</v>
      </c>
      <c r="H307" s="22">
        <v>0</v>
      </c>
      <c r="I307" s="22">
        <v>0</v>
      </c>
      <c r="J307" s="22">
        <v>0</v>
      </c>
      <c r="K307" s="22">
        <v>0</v>
      </c>
      <c r="L307" s="22">
        <v>0</v>
      </c>
      <c r="M307" s="22">
        <v>0</v>
      </c>
      <c r="N307" s="22">
        <v>0</v>
      </c>
      <c r="O307" s="22"/>
      <c r="P307" s="22">
        <v>79.7</v>
      </c>
      <c r="Q307" s="22" t="str">
        <f t="shared" si="12"/>
        <v>Normal</v>
      </c>
      <c r="R307" s="26" t="str">
        <f t="shared" si="13"/>
        <v>USR-10030645796ControlWestMobileOrganicPremium000000079.7</v>
      </c>
      <c r="S307" s="22" t="str">
        <f t="shared" si="14"/>
        <v>OK</v>
      </c>
    </row>
    <row r="308" spans="1:19" ht="41.4">
      <c r="A308" s="22" t="s">
        <v>338</v>
      </c>
      <c r="B308" s="25">
        <v>45690</v>
      </c>
      <c r="C308" s="22" t="s">
        <v>17</v>
      </c>
      <c r="D308" s="22" t="s">
        <v>18</v>
      </c>
      <c r="E308" s="22" t="s">
        <v>24</v>
      </c>
      <c r="F308" s="22" t="s">
        <v>41</v>
      </c>
      <c r="G308" s="22" t="s">
        <v>26</v>
      </c>
      <c r="H308" s="22">
        <v>1</v>
      </c>
      <c r="I308" s="22">
        <v>0</v>
      </c>
      <c r="J308" s="22">
        <v>0</v>
      </c>
      <c r="K308" s="22">
        <v>0</v>
      </c>
      <c r="L308" s="22">
        <v>0</v>
      </c>
      <c r="M308" s="22">
        <v>0</v>
      </c>
      <c r="N308" s="22">
        <v>0</v>
      </c>
      <c r="O308" s="22"/>
      <c r="P308" s="22">
        <v>44.9</v>
      </c>
      <c r="Q308" s="22" t="str">
        <f t="shared" si="12"/>
        <v>Normal</v>
      </c>
      <c r="R308" s="26" t="str">
        <f t="shared" si="13"/>
        <v>USR-10030745690ControlNorthMobileSocialFree100000044.9</v>
      </c>
      <c r="S308" s="22" t="str">
        <f t="shared" si="14"/>
        <v>OK</v>
      </c>
    </row>
    <row r="309" spans="1:19" ht="41.4">
      <c r="A309" s="22" t="s">
        <v>339</v>
      </c>
      <c r="B309" s="25">
        <v>45687</v>
      </c>
      <c r="C309" s="22" t="s">
        <v>17</v>
      </c>
      <c r="D309" s="22" t="s">
        <v>23</v>
      </c>
      <c r="E309" s="22" t="s">
        <v>34</v>
      </c>
      <c r="F309" s="22" t="s">
        <v>29</v>
      </c>
      <c r="G309" s="22" t="s">
        <v>26</v>
      </c>
      <c r="H309" s="22">
        <v>1</v>
      </c>
      <c r="I309" s="22">
        <v>1</v>
      </c>
      <c r="J309" s="22">
        <v>1</v>
      </c>
      <c r="K309" s="22">
        <v>1</v>
      </c>
      <c r="L309" s="22">
        <v>409.39</v>
      </c>
      <c r="M309" s="22">
        <v>0</v>
      </c>
      <c r="N309" s="22">
        <v>0</v>
      </c>
      <c r="O309" s="22">
        <v>10</v>
      </c>
      <c r="P309" s="22">
        <v>38.799999999999997</v>
      </c>
      <c r="Q309" s="22" t="str">
        <f t="shared" si="12"/>
        <v>Normal</v>
      </c>
      <c r="R309" s="26" t="str">
        <f t="shared" si="13"/>
        <v>USR-10030845687ControlWestTabletPaid SearchFree1111409.39001038.8</v>
      </c>
      <c r="S309" s="22" t="str">
        <f t="shared" si="14"/>
        <v>OK</v>
      </c>
    </row>
    <row r="310" spans="1:19" ht="41.4">
      <c r="A310" s="22" t="s">
        <v>340</v>
      </c>
      <c r="B310" s="25">
        <v>45778</v>
      </c>
      <c r="C310" s="22" t="s">
        <v>17</v>
      </c>
      <c r="D310" s="22" t="s">
        <v>32</v>
      </c>
      <c r="E310" s="22" t="s">
        <v>19</v>
      </c>
      <c r="F310" s="22" t="s">
        <v>20</v>
      </c>
      <c r="G310" s="22" t="s">
        <v>26</v>
      </c>
      <c r="H310" s="22">
        <v>0</v>
      </c>
      <c r="I310" s="22">
        <v>0</v>
      </c>
      <c r="J310" s="22">
        <v>0</v>
      </c>
      <c r="K310" s="22">
        <v>0</v>
      </c>
      <c r="L310" s="22">
        <v>0</v>
      </c>
      <c r="M310" s="22">
        <v>0</v>
      </c>
      <c r="N310" s="22">
        <v>0</v>
      </c>
      <c r="O310" s="22"/>
      <c r="P310" s="22">
        <v>70</v>
      </c>
      <c r="Q310" s="22" t="str">
        <f t="shared" si="12"/>
        <v>Normal</v>
      </c>
      <c r="R310" s="26" t="str">
        <f t="shared" si="13"/>
        <v>USR-10030945778ControlSouthDesktopEmailFree000000070</v>
      </c>
      <c r="S310" s="22" t="str">
        <f t="shared" si="14"/>
        <v>OK</v>
      </c>
    </row>
    <row r="311" spans="1:19" ht="41.4">
      <c r="A311" s="22" t="s">
        <v>341</v>
      </c>
      <c r="B311" s="25">
        <v>45793</v>
      </c>
      <c r="C311" s="22" t="s">
        <v>17</v>
      </c>
      <c r="D311" s="22" t="s">
        <v>32</v>
      </c>
      <c r="E311" s="22" t="s">
        <v>19</v>
      </c>
      <c r="F311" s="22" t="s">
        <v>39</v>
      </c>
      <c r="G311" s="22" t="s">
        <v>21</v>
      </c>
      <c r="H311" s="22">
        <v>1</v>
      </c>
      <c r="I311" s="22">
        <v>0</v>
      </c>
      <c r="J311" s="22">
        <v>0</v>
      </c>
      <c r="K311" s="22">
        <v>0</v>
      </c>
      <c r="L311" s="22">
        <v>0</v>
      </c>
      <c r="M311" s="22">
        <v>0</v>
      </c>
      <c r="N311" s="22">
        <v>0</v>
      </c>
      <c r="O311" s="22"/>
      <c r="P311" s="22">
        <v>77.7</v>
      </c>
      <c r="Q311" s="22" t="str">
        <f t="shared" si="12"/>
        <v>Normal</v>
      </c>
      <c r="R311" s="26" t="str">
        <f t="shared" si="13"/>
        <v>USR-10031045793ControlSouthDesktopReferralBasic100000077.7</v>
      </c>
      <c r="S311" s="22" t="str">
        <f t="shared" si="14"/>
        <v>OK</v>
      </c>
    </row>
    <row r="312" spans="1:19" ht="41.4">
      <c r="A312" s="22" t="s">
        <v>342</v>
      </c>
      <c r="B312" s="25">
        <v>45724</v>
      </c>
      <c r="C312" s="22" t="s">
        <v>17</v>
      </c>
      <c r="D312" s="22" t="s">
        <v>23</v>
      </c>
      <c r="E312" s="22" t="s">
        <v>24</v>
      </c>
      <c r="F312" s="22" t="s">
        <v>25</v>
      </c>
      <c r="G312" s="22" t="s">
        <v>26</v>
      </c>
      <c r="H312" s="22">
        <v>0</v>
      </c>
      <c r="I312" s="22">
        <v>0</v>
      </c>
      <c r="J312" s="22">
        <v>0</v>
      </c>
      <c r="K312" s="22">
        <v>0</v>
      </c>
      <c r="L312" s="22">
        <v>0</v>
      </c>
      <c r="M312" s="22">
        <v>0</v>
      </c>
      <c r="N312" s="22">
        <v>0</v>
      </c>
      <c r="O312" s="22"/>
      <c r="P312" s="22">
        <v>71.2</v>
      </c>
      <c r="Q312" s="22" t="str">
        <f t="shared" si="12"/>
        <v>Normal</v>
      </c>
      <c r="R312" s="26" t="str">
        <f t="shared" si="13"/>
        <v>USR-10031145724ControlWestMobileOrganicFree000000071.2</v>
      </c>
      <c r="S312" s="22" t="str">
        <f t="shared" si="14"/>
        <v>OK</v>
      </c>
    </row>
    <row r="313" spans="1:19" ht="41.4">
      <c r="A313" s="22" t="s">
        <v>343</v>
      </c>
      <c r="B313" s="25">
        <v>45751</v>
      </c>
      <c r="C313" s="22" t="s">
        <v>17</v>
      </c>
      <c r="D313" s="22" t="s">
        <v>18</v>
      </c>
      <c r="E313" s="22" t="s">
        <v>24</v>
      </c>
      <c r="F313" s="22" t="s">
        <v>25</v>
      </c>
      <c r="G313" s="22" t="s">
        <v>21</v>
      </c>
      <c r="H313" s="22">
        <v>1</v>
      </c>
      <c r="I313" s="22">
        <v>0</v>
      </c>
      <c r="J313" s="22">
        <v>0</v>
      </c>
      <c r="K313" s="22">
        <v>0</v>
      </c>
      <c r="L313" s="22">
        <v>0</v>
      </c>
      <c r="M313" s="22">
        <v>0</v>
      </c>
      <c r="N313" s="22">
        <v>0</v>
      </c>
      <c r="O313" s="22"/>
      <c r="P313" s="22">
        <v>43.8</v>
      </c>
      <c r="Q313" s="22" t="str">
        <f t="shared" si="12"/>
        <v>Normal</v>
      </c>
      <c r="R313" s="26" t="str">
        <f t="shared" si="13"/>
        <v>USR-10031245751ControlNorthMobileOrganicBasic100000043.8</v>
      </c>
      <c r="S313" s="22" t="str">
        <f t="shared" si="14"/>
        <v>OK</v>
      </c>
    </row>
    <row r="314" spans="1:19" ht="41.4">
      <c r="A314" s="22" t="s">
        <v>344</v>
      </c>
      <c r="B314" s="25">
        <v>45807</v>
      </c>
      <c r="C314" s="22" t="s">
        <v>17</v>
      </c>
      <c r="D314" s="22" t="s">
        <v>32</v>
      </c>
      <c r="E314" s="22" t="s">
        <v>34</v>
      </c>
      <c r="F314" s="22" t="s">
        <v>25</v>
      </c>
      <c r="G314" s="22" t="s">
        <v>26</v>
      </c>
      <c r="H314" s="22">
        <v>1</v>
      </c>
      <c r="I314" s="22">
        <v>0</v>
      </c>
      <c r="J314" s="22">
        <v>0</v>
      </c>
      <c r="K314" s="22">
        <v>0</v>
      </c>
      <c r="L314" s="22">
        <v>0</v>
      </c>
      <c r="M314" s="22">
        <v>0</v>
      </c>
      <c r="N314" s="22">
        <v>0</v>
      </c>
      <c r="O314" s="22"/>
      <c r="P314" s="22">
        <v>50.9</v>
      </c>
      <c r="Q314" s="22" t="str">
        <f t="shared" si="12"/>
        <v>Normal</v>
      </c>
      <c r="R314" s="26" t="str">
        <f t="shared" si="13"/>
        <v>USR-10031345807ControlSouthTabletOrganicFree100000050.9</v>
      </c>
      <c r="S314" s="22" t="str">
        <f t="shared" si="14"/>
        <v>OK</v>
      </c>
    </row>
    <row r="315" spans="1:19" ht="41.4">
      <c r="A315" s="22" t="s">
        <v>345</v>
      </c>
      <c r="B315" s="25">
        <v>45662</v>
      </c>
      <c r="C315" s="22" t="s">
        <v>17</v>
      </c>
      <c r="D315" s="22" t="s">
        <v>23</v>
      </c>
      <c r="E315" s="22" t="s">
        <v>24</v>
      </c>
      <c r="F315" s="22" t="s">
        <v>25</v>
      </c>
      <c r="G315" s="22" t="s">
        <v>30</v>
      </c>
      <c r="H315" s="22">
        <v>0</v>
      </c>
      <c r="I315" s="22">
        <v>0</v>
      </c>
      <c r="J315" s="22">
        <v>0</v>
      </c>
      <c r="K315" s="22">
        <v>0</v>
      </c>
      <c r="L315" s="22">
        <v>0</v>
      </c>
      <c r="M315" s="22">
        <v>0</v>
      </c>
      <c r="N315" s="22">
        <v>0</v>
      </c>
      <c r="O315" s="22"/>
      <c r="P315" s="22">
        <v>58.5</v>
      </c>
      <c r="Q315" s="22" t="str">
        <f t="shared" si="12"/>
        <v>Normal</v>
      </c>
      <c r="R315" s="26" t="str">
        <f t="shared" si="13"/>
        <v>USR-10031445662ControlWestMobileOrganicPremium000000058.5</v>
      </c>
      <c r="S315" s="22" t="str">
        <f t="shared" si="14"/>
        <v>OK</v>
      </c>
    </row>
    <row r="316" spans="1:19" ht="41.4">
      <c r="A316" s="22" t="s">
        <v>346</v>
      </c>
      <c r="B316" s="25">
        <v>45677</v>
      </c>
      <c r="C316" s="22" t="s">
        <v>17</v>
      </c>
      <c r="D316" s="22" t="s">
        <v>28</v>
      </c>
      <c r="E316" s="22" t="s">
        <v>24</v>
      </c>
      <c r="F316" s="22" t="s">
        <v>25</v>
      </c>
      <c r="G316" s="22" t="s">
        <v>26</v>
      </c>
      <c r="H316" s="22">
        <v>1</v>
      </c>
      <c r="I316" s="22">
        <v>1</v>
      </c>
      <c r="J316" s="22">
        <v>1</v>
      </c>
      <c r="K316" s="22">
        <v>0</v>
      </c>
      <c r="L316" s="22">
        <v>0</v>
      </c>
      <c r="M316" s="22">
        <v>0</v>
      </c>
      <c r="N316" s="22">
        <v>0</v>
      </c>
      <c r="O316" s="22"/>
      <c r="P316" s="22">
        <v>53.6</v>
      </c>
      <c r="Q316" s="22" t="str">
        <f t="shared" si="12"/>
        <v>Normal</v>
      </c>
      <c r="R316" s="26" t="str">
        <f t="shared" si="13"/>
        <v>USR-10031545677ControlEastMobileOrganicFree111000053.6</v>
      </c>
      <c r="S316" s="22" t="str">
        <f t="shared" si="14"/>
        <v>OK</v>
      </c>
    </row>
    <row r="317" spans="1:19" ht="41.4">
      <c r="A317" s="22" t="s">
        <v>347</v>
      </c>
      <c r="B317" s="25">
        <v>45778</v>
      </c>
      <c r="C317" s="22" t="s">
        <v>17</v>
      </c>
      <c r="D317" s="22" t="s">
        <v>28</v>
      </c>
      <c r="E317" s="22" t="s">
        <v>24</v>
      </c>
      <c r="F317" s="22" t="s">
        <v>20</v>
      </c>
      <c r="G317" s="22" t="s">
        <v>26</v>
      </c>
      <c r="H317" s="22">
        <v>0</v>
      </c>
      <c r="I317" s="22">
        <v>0</v>
      </c>
      <c r="J317" s="22">
        <v>0</v>
      </c>
      <c r="K317" s="22">
        <v>0</v>
      </c>
      <c r="L317" s="22">
        <v>0</v>
      </c>
      <c r="M317" s="22">
        <v>0</v>
      </c>
      <c r="N317" s="22">
        <v>0</v>
      </c>
      <c r="O317" s="22"/>
      <c r="P317" s="22">
        <v>54.9</v>
      </c>
      <c r="Q317" s="22" t="str">
        <f t="shared" si="12"/>
        <v>Normal</v>
      </c>
      <c r="R317" s="26" t="str">
        <f t="shared" si="13"/>
        <v>USR-10031645778ControlEastMobileEmailFree000000054.9</v>
      </c>
      <c r="S317" s="22" t="str">
        <f t="shared" si="14"/>
        <v>OK</v>
      </c>
    </row>
    <row r="318" spans="1:19" ht="41.4">
      <c r="A318" s="22" t="s">
        <v>348</v>
      </c>
      <c r="B318" s="25">
        <v>45721</v>
      </c>
      <c r="C318" s="22" t="s">
        <v>17</v>
      </c>
      <c r="D318" s="22" t="s">
        <v>18</v>
      </c>
      <c r="E318" s="22" t="s">
        <v>19</v>
      </c>
      <c r="F318" s="22" t="s">
        <v>25</v>
      </c>
      <c r="G318" s="22" t="s">
        <v>30</v>
      </c>
      <c r="H318" s="22">
        <v>0</v>
      </c>
      <c r="I318" s="22">
        <v>0</v>
      </c>
      <c r="J318" s="22">
        <v>0</v>
      </c>
      <c r="K318" s="22">
        <v>0</v>
      </c>
      <c r="L318" s="22">
        <v>0</v>
      </c>
      <c r="M318" s="22">
        <v>0</v>
      </c>
      <c r="N318" s="22">
        <v>0</v>
      </c>
      <c r="O318" s="22"/>
      <c r="P318" s="22">
        <v>57.3</v>
      </c>
      <c r="Q318" s="22" t="str">
        <f t="shared" si="12"/>
        <v>Normal</v>
      </c>
      <c r="R318" s="26" t="str">
        <f t="shared" si="13"/>
        <v>USR-10031745721ControlNorthDesktopOrganicPremium000000057.3</v>
      </c>
      <c r="S318" s="22" t="str">
        <f t="shared" si="14"/>
        <v>OK</v>
      </c>
    </row>
    <row r="319" spans="1:19" ht="41.4">
      <c r="A319" s="22" t="s">
        <v>349</v>
      </c>
      <c r="B319" s="25">
        <v>45748</v>
      </c>
      <c r="C319" s="22" t="s">
        <v>17</v>
      </c>
      <c r="D319" s="22" t="s">
        <v>28</v>
      </c>
      <c r="E319" s="22" t="s">
        <v>19</v>
      </c>
      <c r="F319" s="22" t="s">
        <v>39</v>
      </c>
      <c r="G319" s="22" t="s">
        <v>26</v>
      </c>
      <c r="H319" s="22">
        <v>1</v>
      </c>
      <c r="I319" s="22">
        <v>0</v>
      </c>
      <c r="J319" s="22">
        <v>0</v>
      </c>
      <c r="K319" s="22">
        <v>0</v>
      </c>
      <c r="L319" s="22">
        <v>0</v>
      </c>
      <c r="M319" s="22">
        <v>0</v>
      </c>
      <c r="N319" s="22">
        <v>0</v>
      </c>
      <c r="O319" s="22"/>
      <c r="P319" s="22">
        <v>52.1</v>
      </c>
      <c r="Q319" s="22" t="str">
        <f t="shared" si="12"/>
        <v>Normal</v>
      </c>
      <c r="R319" s="26" t="str">
        <f t="shared" si="13"/>
        <v>USR-10031845748ControlEastDesktopReferralFree100000052.1</v>
      </c>
      <c r="S319" s="22" t="str">
        <f t="shared" si="14"/>
        <v>OK</v>
      </c>
    </row>
    <row r="320" spans="1:19" ht="41.4">
      <c r="A320" s="22" t="s">
        <v>350</v>
      </c>
      <c r="B320" s="25">
        <v>45780</v>
      </c>
      <c r="C320" s="22" t="s">
        <v>17</v>
      </c>
      <c r="D320" s="22" t="s">
        <v>18</v>
      </c>
      <c r="E320" s="22" t="s">
        <v>24</v>
      </c>
      <c r="F320" s="22" t="s">
        <v>25</v>
      </c>
      <c r="G320" s="22" t="s">
        <v>26</v>
      </c>
      <c r="H320" s="22">
        <v>1</v>
      </c>
      <c r="I320" s="22">
        <v>0</v>
      </c>
      <c r="J320" s="22">
        <v>0</v>
      </c>
      <c r="K320" s="22">
        <v>0</v>
      </c>
      <c r="L320" s="22">
        <v>0</v>
      </c>
      <c r="M320" s="22">
        <v>0</v>
      </c>
      <c r="N320" s="22">
        <v>0</v>
      </c>
      <c r="O320" s="22"/>
      <c r="P320" s="22">
        <v>80</v>
      </c>
      <c r="Q320" s="22" t="str">
        <f t="shared" si="12"/>
        <v>Normal</v>
      </c>
      <c r="R320" s="26" t="str">
        <f t="shared" si="13"/>
        <v>USR-10031945780ControlNorthMobileOrganicFree100000080</v>
      </c>
      <c r="S320" s="22" t="str">
        <f t="shared" si="14"/>
        <v>OK</v>
      </c>
    </row>
    <row r="321" spans="1:19" ht="41.4">
      <c r="A321" s="22" t="s">
        <v>351</v>
      </c>
      <c r="B321" s="25">
        <v>45722</v>
      </c>
      <c r="C321" s="22" t="s">
        <v>17</v>
      </c>
      <c r="D321" s="22" t="s">
        <v>32</v>
      </c>
      <c r="E321" s="22" t="s">
        <v>19</v>
      </c>
      <c r="F321" s="22" t="s">
        <v>29</v>
      </c>
      <c r="G321" s="22" t="s">
        <v>30</v>
      </c>
      <c r="H321" s="22">
        <v>1</v>
      </c>
      <c r="I321" s="22">
        <v>0</v>
      </c>
      <c r="J321" s="22">
        <v>0</v>
      </c>
      <c r="K321" s="22">
        <v>0</v>
      </c>
      <c r="L321" s="22">
        <v>0</v>
      </c>
      <c r="M321" s="22">
        <v>0</v>
      </c>
      <c r="N321" s="22">
        <v>0</v>
      </c>
      <c r="O321" s="22"/>
      <c r="P321" s="22">
        <v>39.299999999999997</v>
      </c>
      <c r="Q321" s="22" t="str">
        <f t="shared" si="12"/>
        <v>Normal</v>
      </c>
      <c r="R321" s="26" t="str">
        <f t="shared" si="13"/>
        <v>USR-10032045722ControlSouthDesktopPaid SearchPremium100000039.3</v>
      </c>
      <c r="S321" s="22" t="str">
        <f t="shared" si="14"/>
        <v>OK</v>
      </c>
    </row>
    <row r="322" spans="1:19" ht="41.4">
      <c r="A322" s="22" t="s">
        <v>352</v>
      </c>
      <c r="B322" s="25">
        <v>45748</v>
      </c>
      <c r="C322" s="22" t="s">
        <v>17</v>
      </c>
      <c r="D322" s="22" t="s">
        <v>18</v>
      </c>
      <c r="E322" s="22" t="s">
        <v>19</v>
      </c>
      <c r="F322" s="22" t="s">
        <v>39</v>
      </c>
      <c r="G322" s="22" t="s">
        <v>30</v>
      </c>
      <c r="H322" s="22">
        <v>0</v>
      </c>
      <c r="I322" s="22">
        <v>0</v>
      </c>
      <c r="J322" s="22">
        <v>0</v>
      </c>
      <c r="K322" s="22">
        <v>0</v>
      </c>
      <c r="L322" s="22">
        <v>0</v>
      </c>
      <c r="M322" s="22">
        <v>0</v>
      </c>
      <c r="N322" s="22">
        <v>0</v>
      </c>
      <c r="O322" s="22"/>
      <c r="P322" s="22">
        <v>45.7</v>
      </c>
      <c r="Q322" s="22" t="str">
        <f t="shared" si="12"/>
        <v>Normal</v>
      </c>
      <c r="R322" s="26" t="str">
        <f t="shared" si="13"/>
        <v>USR-10032145748ControlNorthDesktopReferralPremium000000045.7</v>
      </c>
      <c r="S322" s="22" t="str">
        <f t="shared" si="14"/>
        <v>OK</v>
      </c>
    </row>
    <row r="323" spans="1:19" ht="41.4">
      <c r="A323" s="22" t="s">
        <v>353</v>
      </c>
      <c r="B323" s="25">
        <v>45697</v>
      </c>
      <c r="C323" s="22" t="s">
        <v>17</v>
      </c>
      <c r="D323" s="22" t="s">
        <v>18</v>
      </c>
      <c r="E323" s="22" t="s">
        <v>19</v>
      </c>
      <c r="F323" s="22" t="s">
        <v>41</v>
      </c>
      <c r="G323" s="22" t="s">
        <v>21</v>
      </c>
      <c r="H323" s="22">
        <v>1</v>
      </c>
      <c r="I323" s="22">
        <v>0</v>
      </c>
      <c r="J323" s="22">
        <v>0</v>
      </c>
      <c r="K323" s="22">
        <v>0</v>
      </c>
      <c r="L323" s="22">
        <v>0</v>
      </c>
      <c r="M323" s="22">
        <v>2</v>
      </c>
      <c r="N323" s="22">
        <v>0</v>
      </c>
      <c r="O323" s="22"/>
      <c r="P323" s="22">
        <v>61.2</v>
      </c>
      <c r="Q323" s="22" t="str">
        <f t="shared" ref="Q323:Q386" si="15">IF(OR(L323&lt;$V$40,L323&gt;$V$41),"Outlier","Normal")</f>
        <v>Normal</v>
      </c>
      <c r="R323" s="26" t="str">
        <f t="shared" ref="R323:R386" si="16">A323&amp;B323&amp;C323&amp;D323&amp;E323&amp;F323&amp;G323&amp;H323&amp;I323&amp;J323&amp;K323&amp;L323&amp;M323&amp;N323&amp;O323&amp;P323</f>
        <v>USR-10032245697ControlNorthDesktopSocialBasic100002061.2</v>
      </c>
      <c r="S323" s="22" t="str">
        <f t="shared" ref="S323:S386" si="17">IF(COUNTIF($R$2:$R$1409,R323)=1,"OK",IF(COUNTIF($R$2:$R$1409,R323)&gt;1,"Exact Duplicate","Review Required"))</f>
        <v>OK</v>
      </c>
    </row>
    <row r="324" spans="1:19" ht="41.4">
      <c r="A324" s="22" t="s">
        <v>354</v>
      </c>
      <c r="B324" s="25">
        <v>45759</v>
      </c>
      <c r="C324" s="22" t="s">
        <v>17</v>
      </c>
      <c r="D324" s="22" t="s">
        <v>23</v>
      </c>
      <c r="E324" s="22" t="s">
        <v>24</v>
      </c>
      <c r="F324" s="22" t="s">
        <v>25</v>
      </c>
      <c r="G324" s="22" t="s">
        <v>21</v>
      </c>
      <c r="H324" s="22">
        <v>1</v>
      </c>
      <c r="I324" s="22">
        <v>1</v>
      </c>
      <c r="J324" s="22">
        <v>0</v>
      </c>
      <c r="K324" s="22">
        <v>0</v>
      </c>
      <c r="L324" s="22">
        <v>0</v>
      </c>
      <c r="M324" s="22">
        <v>0</v>
      </c>
      <c r="N324" s="22">
        <v>0</v>
      </c>
      <c r="O324" s="22"/>
      <c r="P324" s="22">
        <v>66.2</v>
      </c>
      <c r="Q324" s="22" t="str">
        <f t="shared" si="15"/>
        <v>Normal</v>
      </c>
      <c r="R324" s="26" t="str">
        <f t="shared" si="16"/>
        <v>USR-10032345759ControlWestMobileOrganicBasic110000066.2</v>
      </c>
      <c r="S324" s="22" t="str">
        <f t="shared" si="17"/>
        <v>OK</v>
      </c>
    </row>
    <row r="325" spans="1:19" ht="41.4">
      <c r="A325" s="22" t="s">
        <v>355</v>
      </c>
      <c r="B325" s="25">
        <v>45734</v>
      </c>
      <c r="C325" s="22" t="s">
        <v>17</v>
      </c>
      <c r="D325" s="22" t="s">
        <v>28</v>
      </c>
      <c r="E325" s="22" t="s">
        <v>24</v>
      </c>
      <c r="F325" s="22" t="s">
        <v>41</v>
      </c>
      <c r="G325" s="22" t="s">
        <v>26</v>
      </c>
      <c r="H325" s="22">
        <v>1</v>
      </c>
      <c r="I325" s="22">
        <v>1</v>
      </c>
      <c r="J325" s="22">
        <v>1</v>
      </c>
      <c r="K325" s="22">
        <v>0</v>
      </c>
      <c r="L325" s="22">
        <v>0</v>
      </c>
      <c r="M325" s="22">
        <v>0</v>
      </c>
      <c r="N325" s="22">
        <v>0</v>
      </c>
      <c r="O325" s="22"/>
      <c r="P325" s="22">
        <v>61.3</v>
      </c>
      <c r="Q325" s="22" t="str">
        <f t="shared" si="15"/>
        <v>Normal</v>
      </c>
      <c r="R325" s="26" t="str">
        <f t="shared" si="16"/>
        <v>USR-10032445734ControlEastMobileSocialFree111000061.3</v>
      </c>
      <c r="S325" s="22" t="str">
        <f t="shared" si="17"/>
        <v>OK</v>
      </c>
    </row>
    <row r="326" spans="1:19" ht="41.4">
      <c r="A326" s="22" t="s">
        <v>356</v>
      </c>
      <c r="B326" s="25">
        <v>45750</v>
      </c>
      <c r="C326" s="22" t="s">
        <v>17</v>
      </c>
      <c r="D326" s="22" t="s">
        <v>28</v>
      </c>
      <c r="E326" s="22" t="s">
        <v>24</v>
      </c>
      <c r="F326" s="22" t="s">
        <v>29</v>
      </c>
      <c r="G326" s="22" t="s">
        <v>26</v>
      </c>
      <c r="H326" s="22">
        <v>1</v>
      </c>
      <c r="I326" s="22">
        <v>0</v>
      </c>
      <c r="J326" s="22">
        <v>0</v>
      </c>
      <c r="K326" s="22">
        <v>0</v>
      </c>
      <c r="L326" s="22">
        <v>0</v>
      </c>
      <c r="M326" s="22">
        <v>0</v>
      </c>
      <c r="N326" s="22">
        <v>0</v>
      </c>
      <c r="O326" s="22"/>
      <c r="P326" s="22">
        <v>72.2</v>
      </c>
      <c r="Q326" s="22" t="str">
        <f t="shared" si="15"/>
        <v>Normal</v>
      </c>
      <c r="R326" s="26" t="str">
        <f t="shared" si="16"/>
        <v>USR-10032545750ControlEastMobilePaid SearchFree100000072.2</v>
      </c>
      <c r="S326" s="22" t="str">
        <f t="shared" si="17"/>
        <v>OK</v>
      </c>
    </row>
    <row r="327" spans="1:19" ht="41.4">
      <c r="A327" s="22" t="s">
        <v>357</v>
      </c>
      <c r="B327" s="25">
        <v>45749</v>
      </c>
      <c r="C327" s="22" t="s">
        <v>17</v>
      </c>
      <c r="D327" s="22" t="s">
        <v>23</v>
      </c>
      <c r="E327" s="22" t="s">
        <v>24</v>
      </c>
      <c r="F327" s="22" t="s">
        <v>20</v>
      </c>
      <c r="G327" s="22" t="s">
        <v>30</v>
      </c>
      <c r="H327" s="22">
        <v>1</v>
      </c>
      <c r="I327" s="22">
        <v>1</v>
      </c>
      <c r="J327" s="22">
        <v>1</v>
      </c>
      <c r="K327" s="22">
        <v>0</v>
      </c>
      <c r="L327" s="22">
        <v>0</v>
      </c>
      <c r="M327" s="22">
        <v>0</v>
      </c>
      <c r="N327" s="22">
        <v>0</v>
      </c>
      <c r="O327" s="22"/>
      <c r="P327" s="22">
        <v>84</v>
      </c>
      <c r="Q327" s="22" t="str">
        <f t="shared" si="15"/>
        <v>Normal</v>
      </c>
      <c r="R327" s="26" t="str">
        <f t="shared" si="16"/>
        <v>USR-10032645749ControlWestMobileEmailPremium111000084</v>
      </c>
      <c r="S327" s="22" t="str">
        <f t="shared" si="17"/>
        <v>OK</v>
      </c>
    </row>
    <row r="328" spans="1:19" ht="41.4">
      <c r="A328" s="22" t="s">
        <v>358</v>
      </c>
      <c r="B328" s="25">
        <v>45787</v>
      </c>
      <c r="C328" s="22" t="s">
        <v>17</v>
      </c>
      <c r="D328" s="22" t="s">
        <v>23</v>
      </c>
      <c r="E328" s="22" t="s">
        <v>19</v>
      </c>
      <c r="F328" s="22" t="s">
        <v>20</v>
      </c>
      <c r="G328" s="22" t="s">
        <v>21</v>
      </c>
      <c r="H328" s="22">
        <v>0</v>
      </c>
      <c r="I328" s="22">
        <v>0</v>
      </c>
      <c r="J328" s="22">
        <v>0</v>
      </c>
      <c r="K328" s="22">
        <v>0</v>
      </c>
      <c r="L328" s="22">
        <v>0</v>
      </c>
      <c r="M328" s="22">
        <v>0</v>
      </c>
      <c r="N328" s="22">
        <v>0</v>
      </c>
      <c r="O328" s="22"/>
      <c r="P328" s="22">
        <v>59.8</v>
      </c>
      <c r="Q328" s="22" t="str">
        <f t="shared" si="15"/>
        <v>Normal</v>
      </c>
      <c r="R328" s="26" t="str">
        <f t="shared" si="16"/>
        <v>USR-10032745787ControlWestDesktopEmailBasic000000059.8</v>
      </c>
      <c r="S328" s="22" t="str">
        <f t="shared" si="17"/>
        <v>OK</v>
      </c>
    </row>
    <row r="329" spans="1:19" ht="41.4">
      <c r="A329" s="22" t="s">
        <v>359</v>
      </c>
      <c r="B329" s="25">
        <v>45776</v>
      </c>
      <c r="C329" s="22" t="s">
        <v>17</v>
      </c>
      <c r="D329" s="22" t="s">
        <v>23</v>
      </c>
      <c r="E329" s="22" t="s">
        <v>19</v>
      </c>
      <c r="F329" s="22" t="s">
        <v>29</v>
      </c>
      <c r="G329" s="22" t="s">
        <v>26</v>
      </c>
      <c r="H329" s="22">
        <v>1</v>
      </c>
      <c r="I329" s="22">
        <v>0</v>
      </c>
      <c r="J329" s="22">
        <v>0</v>
      </c>
      <c r="K329" s="22">
        <v>0</v>
      </c>
      <c r="L329" s="22">
        <v>0</v>
      </c>
      <c r="M329" s="22">
        <v>0</v>
      </c>
      <c r="N329" s="22">
        <v>0</v>
      </c>
      <c r="O329" s="22"/>
      <c r="P329" s="22">
        <v>64.900000000000006</v>
      </c>
      <c r="Q329" s="22" t="str">
        <f t="shared" si="15"/>
        <v>Normal</v>
      </c>
      <c r="R329" s="26" t="str">
        <f t="shared" si="16"/>
        <v>USR-10032845776ControlWestDesktopPaid SearchFree100000064.9</v>
      </c>
      <c r="S329" s="22" t="str">
        <f t="shared" si="17"/>
        <v>OK</v>
      </c>
    </row>
    <row r="330" spans="1:19" ht="41.4">
      <c r="A330" s="22" t="s">
        <v>360</v>
      </c>
      <c r="B330" s="25">
        <v>45715</v>
      </c>
      <c r="C330" s="22" t="s">
        <v>17</v>
      </c>
      <c r="D330" s="22" t="s">
        <v>32</v>
      </c>
      <c r="E330" s="22" t="s">
        <v>24</v>
      </c>
      <c r="F330" s="22" t="s">
        <v>29</v>
      </c>
      <c r="G330" s="22" t="s">
        <v>26</v>
      </c>
      <c r="H330" s="22">
        <v>1</v>
      </c>
      <c r="I330" s="22">
        <v>0</v>
      </c>
      <c r="J330" s="22">
        <v>0</v>
      </c>
      <c r="K330" s="22">
        <v>0</v>
      </c>
      <c r="L330" s="22">
        <v>0</v>
      </c>
      <c r="M330" s="22">
        <v>0</v>
      </c>
      <c r="N330" s="22">
        <v>0</v>
      </c>
      <c r="O330" s="22"/>
      <c r="P330" s="22">
        <v>66.8</v>
      </c>
      <c r="Q330" s="22" t="str">
        <f t="shared" si="15"/>
        <v>Normal</v>
      </c>
      <c r="R330" s="26" t="str">
        <f t="shared" si="16"/>
        <v>USR-10032945715ControlSouthMobilePaid SearchFree100000066.8</v>
      </c>
      <c r="S330" s="22" t="str">
        <f t="shared" si="17"/>
        <v>OK</v>
      </c>
    </row>
    <row r="331" spans="1:19" ht="41.4">
      <c r="A331" s="22" t="s">
        <v>361</v>
      </c>
      <c r="B331" s="25">
        <v>45757</v>
      </c>
      <c r="C331" s="22" t="s">
        <v>17</v>
      </c>
      <c r="D331" s="22" t="s">
        <v>18</v>
      </c>
      <c r="E331" s="22" t="s">
        <v>19</v>
      </c>
      <c r="F331" s="22" t="s">
        <v>25</v>
      </c>
      <c r="G331" s="22" t="s">
        <v>30</v>
      </c>
      <c r="H331" s="22">
        <v>0</v>
      </c>
      <c r="I331" s="22">
        <v>0</v>
      </c>
      <c r="J331" s="22">
        <v>0</v>
      </c>
      <c r="K331" s="22">
        <v>0</v>
      </c>
      <c r="L331" s="22">
        <v>0</v>
      </c>
      <c r="M331" s="22">
        <v>0</v>
      </c>
      <c r="N331" s="22">
        <v>0</v>
      </c>
      <c r="O331" s="22"/>
      <c r="P331" s="22">
        <v>70.900000000000006</v>
      </c>
      <c r="Q331" s="22" t="str">
        <f t="shared" si="15"/>
        <v>Normal</v>
      </c>
      <c r="R331" s="26" t="str">
        <f t="shared" si="16"/>
        <v>USR-10033045757ControlNorthDesktopOrganicPremium000000070.9</v>
      </c>
      <c r="S331" s="22" t="str">
        <f t="shared" si="17"/>
        <v>OK</v>
      </c>
    </row>
    <row r="332" spans="1:19" ht="41.4">
      <c r="A332" s="22" t="s">
        <v>362</v>
      </c>
      <c r="B332" s="25">
        <v>45701</v>
      </c>
      <c r="C332" s="22" t="s">
        <v>17</v>
      </c>
      <c r="D332" s="22" t="s">
        <v>28</v>
      </c>
      <c r="E332" s="22" t="s">
        <v>24</v>
      </c>
      <c r="F332" s="22" t="s">
        <v>25</v>
      </c>
      <c r="G332" s="22" t="s">
        <v>26</v>
      </c>
      <c r="H332" s="22">
        <v>1</v>
      </c>
      <c r="I332" s="22">
        <v>1</v>
      </c>
      <c r="J332" s="22">
        <v>1</v>
      </c>
      <c r="K332" s="22">
        <v>1</v>
      </c>
      <c r="L332" s="22">
        <v>426.82</v>
      </c>
      <c r="M332" s="22">
        <v>1</v>
      </c>
      <c r="N332" s="22">
        <v>0</v>
      </c>
      <c r="O332" s="22">
        <v>14</v>
      </c>
      <c r="P332" s="22">
        <v>68.8</v>
      </c>
      <c r="Q332" s="22" t="str">
        <f t="shared" si="15"/>
        <v>Normal</v>
      </c>
      <c r="R332" s="26" t="str">
        <f t="shared" si="16"/>
        <v>USR-10033145701ControlEastMobileOrganicFree1111426.82101468.8</v>
      </c>
      <c r="S332" s="22" t="str">
        <f t="shared" si="17"/>
        <v>OK</v>
      </c>
    </row>
    <row r="333" spans="1:19" ht="41.4">
      <c r="A333" s="22" t="s">
        <v>363</v>
      </c>
      <c r="B333" s="25">
        <v>45780</v>
      </c>
      <c r="C333" s="22" t="s">
        <v>17</v>
      </c>
      <c r="D333" s="22" t="s">
        <v>18</v>
      </c>
      <c r="E333" s="22" t="s">
        <v>24</v>
      </c>
      <c r="F333" s="22" t="s">
        <v>25</v>
      </c>
      <c r="G333" s="22" t="s">
        <v>21</v>
      </c>
      <c r="H333" s="22">
        <v>1</v>
      </c>
      <c r="I333" s="22">
        <v>0</v>
      </c>
      <c r="J333" s="22">
        <v>0</v>
      </c>
      <c r="K333" s="22">
        <v>0</v>
      </c>
      <c r="L333" s="22">
        <v>0</v>
      </c>
      <c r="M333" s="22">
        <v>0</v>
      </c>
      <c r="N333" s="22">
        <v>0</v>
      </c>
      <c r="O333" s="22"/>
      <c r="P333" s="22">
        <v>72.400000000000006</v>
      </c>
      <c r="Q333" s="22" t="str">
        <f t="shared" si="15"/>
        <v>Normal</v>
      </c>
      <c r="R333" s="26" t="str">
        <f t="shared" si="16"/>
        <v>USR-10033245780ControlNorthMobileOrganicBasic100000072.4</v>
      </c>
      <c r="S333" s="22" t="str">
        <f t="shared" si="17"/>
        <v>OK</v>
      </c>
    </row>
    <row r="334" spans="1:19" ht="41.4">
      <c r="A334" s="22" t="s">
        <v>364</v>
      </c>
      <c r="B334" s="25">
        <v>45726</v>
      </c>
      <c r="C334" s="22" t="s">
        <v>17</v>
      </c>
      <c r="D334" s="22" t="s">
        <v>28</v>
      </c>
      <c r="E334" s="22" t="s">
        <v>24</v>
      </c>
      <c r="F334" s="22" t="s">
        <v>25</v>
      </c>
      <c r="G334" s="22" t="s">
        <v>21</v>
      </c>
      <c r="H334" s="22">
        <v>0</v>
      </c>
      <c r="I334" s="22">
        <v>0</v>
      </c>
      <c r="J334" s="22">
        <v>0</v>
      </c>
      <c r="K334" s="22">
        <v>0</v>
      </c>
      <c r="L334" s="22">
        <v>0</v>
      </c>
      <c r="M334" s="22">
        <v>0</v>
      </c>
      <c r="N334" s="22">
        <v>0</v>
      </c>
      <c r="O334" s="22"/>
      <c r="P334" s="22">
        <v>63.3</v>
      </c>
      <c r="Q334" s="22" t="str">
        <f t="shared" si="15"/>
        <v>Normal</v>
      </c>
      <c r="R334" s="26" t="str">
        <f t="shared" si="16"/>
        <v>USR-10033345726ControlEastMobileOrganicBasic000000063.3</v>
      </c>
      <c r="S334" s="22" t="str">
        <f t="shared" si="17"/>
        <v>OK</v>
      </c>
    </row>
    <row r="335" spans="1:19" ht="41.4">
      <c r="A335" s="22" t="s">
        <v>365</v>
      </c>
      <c r="B335" s="25">
        <v>45667</v>
      </c>
      <c r="C335" s="22" t="s">
        <v>17</v>
      </c>
      <c r="D335" s="22" t="s">
        <v>23</v>
      </c>
      <c r="E335" s="22" t="s">
        <v>34</v>
      </c>
      <c r="F335" s="22" t="s">
        <v>41</v>
      </c>
      <c r="G335" s="22" t="s">
        <v>26</v>
      </c>
      <c r="H335" s="22">
        <v>1</v>
      </c>
      <c r="I335" s="22">
        <v>0</v>
      </c>
      <c r="J335" s="22">
        <v>0</v>
      </c>
      <c r="K335" s="22">
        <v>0</v>
      </c>
      <c r="L335" s="22">
        <v>0</v>
      </c>
      <c r="M335" s="22">
        <v>0</v>
      </c>
      <c r="N335" s="22">
        <v>0</v>
      </c>
      <c r="O335" s="22"/>
      <c r="P335" s="22">
        <v>30.8</v>
      </c>
      <c r="Q335" s="22" t="str">
        <f t="shared" si="15"/>
        <v>Normal</v>
      </c>
      <c r="R335" s="26" t="str">
        <f t="shared" si="16"/>
        <v>USR-10033445667ControlWestTabletSocialFree100000030.8</v>
      </c>
      <c r="S335" s="22" t="str">
        <f t="shared" si="17"/>
        <v>OK</v>
      </c>
    </row>
    <row r="336" spans="1:19" ht="41.4">
      <c r="A336" s="22" t="s">
        <v>366</v>
      </c>
      <c r="B336" s="25">
        <v>45673</v>
      </c>
      <c r="C336" s="22" t="s">
        <v>17</v>
      </c>
      <c r="D336" s="22" t="s">
        <v>32</v>
      </c>
      <c r="E336" s="22" t="s">
        <v>24</v>
      </c>
      <c r="F336" s="22" t="s">
        <v>20</v>
      </c>
      <c r="G336" s="22" t="s">
        <v>21</v>
      </c>
      <c r="H336" s="22">
        <v>1</v>
      </c>
      <c r="I336" s="22">
        <v>1</v>
      </c>
      <c r="J336" s="22">
        <v>1</v>
      </c>
      <c r="K336" s="22">
        <v>1</v>
      </c>
      <c r="L336" s="22">
        <v>874.55</v>
      </c>
      <c r="M336" s="22">
        <v>0</v>
      </c>
      <c r="N336" s="22">
        <v>0</v>
      </c>
      <c r="O336" s="22">
        <v>9</v>
      </c>
      <c r="P336" s="22">
        <v>44.2</v>
      </c>
      <c r="Q336" s="22" t="str">
        <f t="shared" si="15"/>
        <v>Normal</v>
      </c>
      <c r="R336" s="26" t="str">
        <f t="shared" si="16"/>
        <v>USR-10033545673ControlSouthMobileEmailBasic1111874.5500944.2</v>
      </c>
      <c r="S336" s="22" t="str">
        <f t="shared" si="17"/>
        <v>OK</v>
      </c>
    </row>
    <row r="337" spans="1:19" ht="55.2">
      <c r="A337" s="22" t="s">
        <v>367</v>
      </c>
      <c r="B337" s="25">
        <v>45699</v>
      </c>
      <c r="C337" s="22" t="s">
        <v>17</v>
      </c>
      <c r="D337" s="22" t="s">
        <v>32</v>
      </c>
      <c r="E337" s="22" t="s">
        <v>19</v>
      </c>
      <c r="F337" s="22" t="s">
        <v>25</v>
      </c>
      <c r="G337" s="22" t="s">
        <v>30</v>
      </c>
      <c r="H337" s="22">
        <v>1</v>
      </c>
      <c r="I337" s="22">
        <v>1</v>
      </c>
      <c r="J337" s="22">
        <v>1</v>
      </c>
      <c r="K337" s="22">
        <v>1</v>
      </c>
      <c r="L337" s="22">
        <v>2206.88</v>
      </c>
      <c r="M337" s="22">
        <v>0</v>
      </c>
      <c r="N337" s="22">
        <v>0</v>
      </c>
      <c r="O337" s="22">
        <v>10</v>
      </c>
      <c r="P337" s="22">
        <v>56.2</v>
      </c>
      <c r="Q337" s="22" t="str">
        <f t="shared" si="15"/>
        <v>Normal</v>
      </c>
      <c r="R337" s="26" t="str">
        <f t="shared" si="16"/>
        <v>USR-10033645699ControlSouthDesktopOrganicPremium11112206.88001056.2</v>
      </c>
      <c r="S337" s="22" t="str">
        <f t="shared" si="17"/>
        <v>OK</v>
      </c>
    </row>
    <row r="338" spans="1:19" ht="41.4">
      <c r="A338" s="22" t="s">
        <v>368</v>
      </c>
      <c r="B338" s="25">
        <v>45760</v>
      </c>
      <c r="C338" s="22" t="s">
        <v>17</v>
      </c>
      <c r="D338" s="22" t="s">
        <v>23</v>
      </c>
      <c r="E338" s="22" t="s">
        <v>24</v>
      </c>
      <c r="F338" s="22" t="s">
        <v>25</v>
      </c>
      <c r="G338" s="22" t="s">
        <v>26</v>
      </c>
      <c r="H338" s="22">
        <v>0</v>
      </c>
      <c r="I338" s="22">
        <v>0</v>
      </c>
      <c r="J338" s="22">
        <v>0</v>
      </c>
      <c r="K338" s="22">
        <v>0</v>
      </c>
      <c r="L338" s="22">
        <v>0</v>
      </c>
      <c r="M338" s="22">
        <v>0</v>
      </c>
      <c r="N338" s="22">
        <v>0</v>
      </c>
      <c r="O338" s="22"/>
      <c r="P338" s="22">
        <v>40.4</v>
      </c>
      <c r="Q338" s="22" t="str">
        <f t="shared" si="15"/>
        <v>Normal</v>
      </c>
      <c r="R338" s="26" t="str">
        <f t="shared" si="16"/>
        <v>USR-10033745760ControlWestMobileOrganicFree000000040.4</v>
      </c>
      <c r="S338" s="22" t="str">
        <f t="shared" si="17"/>
        <v>OK</v>
      </c>
    </row>
    <row r="339" spans="1:19" ht="41.4">
      <c r="A339" s="22" t="s">
        <v>369</v>
      </c>
      <c r="B339" s="25">
        <v>45696</v>
      </c>
      <c r="C339" s="22" t="s">
        <v>17</v>
      </c>
      <c r="D339" s="22" t="s">
        <v>28</v>
      </c>
      <c r="E339" s="22" t="s">
        <v>24</v>
      </c>
      <c r="F339" s="22" t="s">
        <v>29</v>
      </c>
      <c r="G339" s="22" t="s">
        <v>26</v>
      </c>
      <c r="H339" s="22">
        <v>1</v>
      </c>
      <c r="I339" s="22">
        <v>1</v>
      </c>
      <c r="J339" s="22">
        <v>1</v>
      </c>
      <c r="K339" s="22">
        <v>0</v>
      </c>
      <c r="L339" s="22">
        <v>0</v>
      </c>
      <c r="M339" s="22">
        <v>0</v>
      </c>
      <c r="N339" s="22">
        <v>0</v>
      </c>
      <c r="O339" s="22"/>
      <c r="P339" s="22">
        <v>68.099999999999994</v>
      </c>
      <c r="Q339" s="22" t="str">
        <f t="shared" si="15"/>
        <v>Normal</v>
      </c>
      <c r="R339" s="26" t="str">
        <f t="shared" si="16"/>
        <v>USR-10033845696ControlEastMobilePaid SearchFree111000068.1</v>
      </c>
      <c r="S339" s="22" t="str">
        <f t="shared" si="17"/>
        <v>OK</v>
      </c>
    </row>
    <row r="340" spans="1:19" ht="41.4">
      <c r="A340" s="22" t="s">
        <v>370</v>
      </c>
      <c r="B340" s="25">
        <v>45747</v>
      </c>
      <c r="C340" s="22" t="s">
        <v>17</v>
      </c>
      <c r="D340" s="22" t="s">
        <v>23</v>
      </c>
      <c r="E340" s="22" t="s">
        <v>19</v>
      </c>
      <c r="F340" s="22" t="s">
        <v>39</v>
      </c>
      <c r="G340" s="22" t="s">
        <v>26</v>
      </c>
      <c r="H340" s="22">
        <v>1</v>
      </c>
      <c r="I340" s="22">
        <v>0</v>
      </c>
      <c r="J340" s="22">
        <v>0</v>
      </c>
      <c r="K340" s="22">
        <v>0</v>
      </c>
      <c r="L340" s="22">
        <v>0</v>
      </c>
      <c r="M340" s="22">
        <v>0</v>
      </c>
      <c r="N340" s="22">
        <v>0</v>
      </c>
      <c r="O340" s="22"/>
      <c r="P340" s="22">
        <v>86.3</v>
      </c>
      <c r="Q340" s="22" t="str">
        <f t="shared" si="15"/>
        <v>Normal</v>
      </c>
      <c r="R340" s="26" t="str">
        <f t="shared" si="16"/>
        <v>USR-10033945747ControlWestDesktopReferralFree100000086.3</v>
      </c>
      <c r="S340" s="22" t="str">
        <f t="shared" si="17"/>
        <v>OK</v>
      </c>
    </row>
    <row r="341" spans="1:19" ht="41.4">
      <c r="A341" s="22" t="s">
        <v>371</v>
      </c>
      <c r="B341" s="25">
        <v>45688</v>
      </c>
      <c r="C341" s="22" t="s">
        <v>17</v>
      </c>
      <c r="D341" s="22" t="s">
        <v>23</v>
      </c>
      <c r="E341" s="22" t="s">
        <v>19</v>
      </c>
      <c r="F341" s="22" t="s">
        <v>39</v>
      </c>
      <c r="G341" s="22" t="s">
        <v>26</v>
      </c>
      <c r="H341" s="22">
        <v>1</v>
      </c>
      <c r="I341" s="22">
        <v>1</v>
      </c>
      <c r="J341" s="22">
        <v>0</v>
      </c>
      <c r="K341" s="22">
        <v>0</v>
      </c>
      <c r="L341" s="22">
        <v>0</v>
      </c>
      <c r="M341" s="22">
        <v>0</v>
      </c>
      <c r="N341" s="22">
        <v>0</v>
      </c>
      <c r="O341" s="22"/>
      <c r="P341" s="22">
        <v>42.9</v>
      </c>
      <c r="Q341" s="22" t="str">
        <f t="shared" si="15"/>
        <v>Normal</v>
      </c>
      <c r="R341" s="26" t="str">
        <f t="shared" si="16"/>
        <v>USR-10034045688ControlWestDesktopReferralFree110000042.9</v>
      </c>
      <c r="S341" s="22" t="str">
        <f t="shared" si="17"/>
        <v>OK</v>
      </c>
    </row>
    <row r="342" spans="1:19" ht="41.4">
      <c r="A342" s="22" t="s">
        <v>372</v>
      </c>
      <c r="B342" s="25">
        <v>45785</v>
      </c>
      <c r="C342" s="22" t="s">
        <v>17</v>
      </c>
      <c r="D342" s="22" t="s">
        <v>23</v>
      </c>
      <c r="E342" s="22" t="s">
        <v>34</v>
      </c>
      <c r="F342" s="22" t="s">
        <v>25</v>
      </c>
      <c r="G342" s="22" t="s">
        <v>26</v>
      </c>
      <c r="H342" s="22">
        <v>0</v>
      </c>
      <c r="I342" s="22">
        <v>0</v>
      </c>
      <c r="J342" s="22">
        <v>0</v>
      </c>
      <c r="K342" s="22">
        <v>0</v>
      </c>
      <c r="L342" s="22">
        <v>0</v>
      </c>
      <c r="M342" s="22">
        <v>0</v>
      </c>
      <c r="N342" s="22">
        <v>0</v>
      </c>
      <c r="O342" s="22"/>
      <c r="P342" s="22">
        <v>61.4</v>
      </c>
      <c r="Q342" s="22" t="str">
        <f t="shared" si="15"/>
        <v>Normal</v>
      </c>
      <c r="R342" s="26" t="str">
        <f t="shared" si="16"/>
        <v>USR-10034145785ControlWestTabletOrganicFree000000061.4</v>
      </c>
      <c r="S342" s="22" t="str">
        <f t="shared" si="17"/>
        <v>OK</v>
      </c>
    </row>
    <row r="343" spans="1:19" ht="41.4">
      <c r="A343" s="22" t="s">
        <v>373</v>
      </c>
      <c r="B343" s="25">
        <v>45731</v>
      </c>
      <c r="C343" s="22" t="s">
        <v>17</v>
      </c>
      <c r="D343" s="22" t="s">
        <v>18</v>
      </c>
      <c r="E343" s="22" t="s">
        <v>24</v>
      </c>
      <c r="F343" s="22" t="s">
        <v>29</v>
      </c>
      <c r="G343" s="22" t="s">
        <v>26</v>
      </c>
      <c r="H343" s="22">
        <v>1</v>
      </c>
      <c r="I343" s="22">
        <v>0</v>
      </c>
      <c r="J343" s="22">
        <v>0</v>
      </c>
      <c r="K343" s="22">
        <v>0</v>
      </c>
      <c r="L343" s="22">
        <v>0</v>
      </c>
      <c r="M343" s="22">
        <v>1</v>
      </c>
      <c r="N343" s="22">
        <v>0</v>
      </c>
      <c r="O343" s="22"/>
      <c r="P343" s="22">
        <v>73.3</v>
      </c>
      <c r="Q343" s="22" t="str">
        <f t="shared" si="15"/>
        <v>Normal</v>
      </c>
      <c r="R343" s="26" t="str">
        <f t="shared" si="16"/>
        <v>USR-10034245731ControlNorthMobilePaid SearchFree100001073.3</v>
      </c>
      <c r="S343" s="22" t="str">
        <f t="shared" si="17"/>
        <v>OK</v>
      </c>
    </row>
    <row r="344" spans="1:19" ht="41.4">
      <c r="A344" s="22" t="s">
        <v>374</v>
      </c>
      <c r="B344" s="25">
        <v>45670</v>
      </c>
      <c r="C344" s="22" t="s">
        <v>17</v>
      </c>
      <c r="D344" s="22" t="s">
        <v>32</v>
      </c>
      <c r="E344" s="22" t="s">
        <v>24</v>
      </c>
      <c r="F344" s="22" t="s">
        <v>39</v>
      </c>
      <c r="G344" s="22" t="s">
        <v>21</v>
      </c>
      <c r="H344" s="22">
        <v>1</v>
      </c>
      <c r="I344" s="22">
        <v>0</v>
      </c>
      <c r="J344" s="22">
        <v>0</v>
      </c>
      <c r="K344" s="22">
        <v>0</v>
      </c>
      <c r="L344" s="22">
        <v>0</v>
      </c>
      <c r="M344" s="22">
        <v>0</v>
      </c>
      <c r="N344" s="22">
        <v>0</v>
      </c>
      <c r="O344" s="22"/>
      <c r="P344" s="22">
        <v>59.4</v>
      </c>
      <c r="Q344" s="22" t="str">
        <f t="shared" si="15"/>
        <v>Normal</v>
      </c>
      <c r="R344" s="26" t="str">
        <f t="shared" si="16"/>
        <v>USR-10034345670ControlSouthMobileReferralBasic100000059.4</v>
      </c>
      <c r="S344" s="22" t="str">
        <f t="shared" si="17"/>
        <v>OK</v>
      </c>
    </row>
    <row r="345" spans="1:19" ht="41.4">
      <c r="A345" s="22" t="s">
        <v>375</v>
      </c>
      <c r="B345" s="25">
        <v>45723</v>
      </c>
      <c r="C345" s="22" t="s">
        <v>17</v>
      </c>
      <c r="D345" s="22" t="s">
        <v>32</v>
      </c>
      <c r="E345" s="22" t="s">
        <v>34</v>
      </c>
      <c r="F345" s="22" t="s">
        <v>25</v>
      </c>
      <c r="G345" s="22" t="s">
        <v>21</v>
      </c>
      <c r="H345" s="22">
        <v>1</v>
      </c>
      <c r="I345" s="22">
        <v>0</v>
      </c>
      <c r="J345" s="22">
        <v>0</v>
      </c>
      <c r="K345" s="22">
        <v>0</v>
      </c>
      <c r="L345" s="22">
        <v>0</v>
      </c>
      <c r="M345" s="22">
        <v>0</v>
      </c>
      <c r="N345" s="22">
        <v>0</v>
      </c>
      <c r="O345" s="22"/>
      <c r="P345" s="22">
        <v>35.200000000000003</v>
      </c>
      <c r="Q345" s="22" t="str">
        <f t="shared" si="15"/>
        <v>Normal</v>
      </c>
      <c r="R345" s="26" t="str">
        <f t="shared" si="16"/>
        <v>USR-10034445723ControlSouthTabletOrganicBasic100000035.2</v>
      </c>
      <c r="S345" s="22" t="str">
        <f t="shared" si="17"/>
        <v>OK</v>
      </c>
    </row>
    <row r="346" spans="1:19" ht="41.4">
      <c r="A346" s="22" t="s">
        <v>376</v>
      </c>
      <c r="B346" s="25">
        <v>45698</v>
      </c>
      <c r="C346" s="22" t="s">
        <v>17</v>
      </c>
      <c r="D346" s="22" t="s">
        <v>32</v>
      </c>
      <c r="E346" s="22" t="s">
        <v>24</v>
      </c>
      <c r="F346" s="22" t="s">
        <v>41</v>
      </c>
      <c r="G346" s="22" t="s">
        <v>30</v>
      </c>
      <c r="H346" s="22">
        <v>1</v>
      </c>
      <c r="I346" s="22">
        <v>1</v>
      </c>
      <c r="J346" s="22">
        <v>0</v>
      </c>
      <c r="K346" s="22">
        <v>0</v>
      </c>
      <c r="L346" s="22">
        <v>0</v>
      </c>
      <c r="M346" s="22">
        <v>0</v>
      </c>
      <c r="N346" s="22">
        <v>0</v>
      </c>
      <c r="O346" s="22"/>
      <c r="P346" s="22">
        <v>55.3</v>
      </c>
      <c r="Q346" s="22" t="str">
        <f t="shared" si="15"/>
        <v>Normal</v>
      </c>
      <c r="R346" s="26" t="str">
        <f t="shared" si="16"/>
        <v>USR-10034545698ControlSouthMobileSocialPremium110000055.3</v>
      </c>
      <c r="S346" s="22" t="str">
        <f t="shared" si="17"/>
        <v>OK</v>
      </c>
    </row>
    <row r="347" spans="1:19" ht="41.4">
      <c r="A347" s="22" t="s">
        <v>377</v>
      </c>
      <c r="B347" s="25">
        <v>45728</v>
      </c>
      <c r="C347" s="22" t="s">
        <v>17</v>
      </c>
      <c r="D347" s="22" t="s">
        <v>28</v>
      </c>
      <c r="E347" s="22" t="s">
        <v>24</v>
      </c>
      <c r="F347" s="22" t="s">
        <v>29</v>
      </c>
      <c r="G347" s="22" t="s">
        <v>26</v>
      </c>
      <c r="H347" s="22">
        <v>0</v>
      </c>
      <c r="I347" s="22">
        <v>0</v>
      </c>
      <c r="J347" s="22">
        <v>0</v>
      </c>
      <c r="K347" s="22">
        <v>0</v>
      </c>
      <c r="L347" s="22">
        <v>0</v>
      </c>
      <c r="M347" s="22">
        <v>0</v>
      </c>
      <c r="N347" s="22">
        <v>0</v>
      </c>
      <c r="O347" s="22"/>
      <c r="P347" s="22">
        <v>37.5</v>
      </c>
      <c r="Q347" s="22" t="str">
        <f t="shared" si="15"/>
        <v>Normal</v>
      </c>
      <c r="R347" s="26" t="str">
        <f t="shared" si="16"/>
        <v>USR-10034645728ControlEastMobilePaid SearchFree000000037.5</v>
      </c>
      <c r="S347" s="22" t="str">
        <f t="shared" si="17"/>
        <v>OK</v>
      </c>
    </row>
    <row r="348" spans="1:19" ht="41.4">
      <c r="A348" s="22" t="s">
        <v>378</v>
      </c>
      <c r="B348" s="25">
        <v>45660</v>
      </c>
      <c r="C348" s="22" t="s">
        <v>17</v>
      </c>
      <c r="D348" s="22" t="s">
        <v>32</v>
      </c>
      <c r="E348" s="22" t="s">
        <v>19</v>
      </c>
      <c r="F348" s="22" t="s">
        <v>29</v>
      </c>
      <c r="G348" s="22" t="s">
        <v>26</v>
      </c>
      <c r="H348" s="22">
        <v>0</v>
      </c>
      <c r="I348" s="22">
        <v>0</v>
      </c>
      <c r="J348" s="22">
        <v>0</v>
      </c>
      <c r="K348" s="22">
        <v>0</v>
      </c>
      <c r="L348" s="22">
        <v>0</v>
      </c>
      <c r="M348" s="22">
        <v>1</v>
      </c>
      <c r="N348" s="22">
        <v>0</v>
      </c>
      <c r="O348" s="22"/>
      <c r="P348" s="22">
        <v>66.400000000000006</v>
      </c>
      <c r="Q348" s="22" t="str">
        <f t="shared" si="15"/>
        <v>Normal</v>
      </c>
      <c r="R348" s="26" t="str">
        <f t="shared" si="16"/>
        <v>USR-10034745660ControlSouthDesktopPaid SearchFree000001066.4</v>
      </c>
      <c r="S348" s="22" t="str">
        <f t="shared" si="17"/>
        <v>OK</v>
      </c>
    </row>
    <row r="349" spans="1:19" ht="41.4">
      <c r="A349" s="22" t="s">
        <v>379</v>
      </c>
      <c r="B349" s="25">
        <v>45775</v>
      </c>
      <c r="C349" s="22" t="s">
        <v>17</v>
      </c>
      <c r="D349" s="22" t="s">
        <v>18</v>
      </c>
      <c r="E349" s="22" t="s">
        <v>34</v>
      </c>
      <c r="F349" s="22" t="s">
        <v>41</v>
      </c>
      <c r="G349" s="22" t="s">
        <v>21</v>
      </c>
      <c r="H349" s="22">
        <v>1</v>
      </c>
      <c r="I349" s="22">
        <v>0</v>
      </c>
      <c r="J349" s="22">
        <v>0</v>
      </c>
      <c r="K349" s="22">
        <v>0</v>
      </c>
      <c r="L349" s="22">
        <v>0</v>
      </c>
      <c r="M349" s="22">
        <v>0</v>
      </c>
      <c r="N349" s="22">
        <v>0</v>
      </c>
      <c r="O349" s="22"/>
      <c r="P349" s="22">
        <v>61.9</v>
      </c>
      <c r="Q349" s="22" t="str">
        <f t="shared" si="15"/>
        <v>Normal</v>
      </c>
      <c r="R349" s="26" t="str">
        <f t="shared" si="16"/>
        <v>USR-10034845775ControlNorthTabletSocialBasic100000061.9</v>
      </c>
      <c r="S349" s="22" t="str">
        <f t="shared" si="17"/>
        <v>OK</v>
      </c>
    </row>
    <row r="350" spans="1:19" ht="41.4">
      <c r="A350" s="22" t="s">
        <v>380</v>
      </c>
      <c r="B350" s="25">
        <v>45764</v>
      </c>
      <c r="C350" s="22" t="s">
        <v>17</v>
      </c>
      <c r="D350" s="22" t="s">
        <v>28</v>
      </c>
      <c r="E350" s="22" t="s">
        <v>24</v>
      </c>
      <c r="F350" s="22" t="s">
        <v>25</v>
      </c>
      <c r="G350" s="22" t="s">
        <v>26</v>
      </c>
      <c r="H350" s="22">
        <v>0</v>
      </c>
      <c r="I350" s="22">
        <v>0</v>
      </c>
      <c r="J350" s="22">
        <v>0</v>
      </c>
      <c r="K350" s="22">
        <v>0</v>
      </c>
      <c r="L350" s="22">
        <v>0</v>
      </c>
      <c r="M350" s="22">
        <v>0</v>
      </c>
      <c r="N350" s="22">
        <v>0</v>
      </c>
      <c r="O350" s="22"/>
      <c r="P350" s="22">
        <v>56</v>
      </c>
      <c r="Q350" s="22" t="str">
        <f t="shared" si="15"/>
        <v>Normal</v>
      </c>
      <c r="R350" s="26" t="str">
        <f t="shared" si="16"/>
        <v>USR-10034945764ControlEastMobileOrganicFree000000056</v>
      </c>
      <c r="S350" s="22" t="str">
        <f t="shared" si="17"/>
        <v>OK</v>
      </c>
    </row>
    <row r="351" spans="1:19" ht="41.4">
      <c r="A351" s="22" t="s">
        <v>381</v>
      </c>
      <c r="B351" s="25">
        <v>45800</v>
      </c>
      <c r="C351" s="22" t="s">
        <v>17</v>
      </c>
      <c r="D351" s="22" t="s">
        <v>32</v>
      </c>
      <c r="E351" s="22" t="s">
        <v>19</v>
      </c>
      <c r="F351" s="22" t="s">
        <v>41</v>
      </c>
      <c r="G351" s="22" t="s">
        <v>21</v>
      </c>
      <c r="H351" s="22">
        <v>1</v>
      </c>
      <c r="I351" s="22">
        <v>0</v>
      </c>
      <c r="J351" s="22">
        <v>0</v>
      </c>
      <c r="K351" s="22">
        <v>0</v>
      </c>
      <c r="L351" s="22">
        <v>0</v>
      </c>
      <c r="M351" s="22">
        <v>0</v>
      </c>
      <c r="N351" s="22">
        <v>0</v>
      </c>
      <c r="O351" s="22"/>
      <c r="P351" s="22">
        <v>55.5</v>
      </c>
      <c r="Q351" s="22" t="str">
        <f t="shared" si="15"/>
        <v>Normal</v>
      </c>
      <c r="R351" s="26" t="str">
        <f t="shared" si="16"/>
        <v>USR-10035045800ControlSouthDesktopSocialBasic100000055.5</v>
      </c>
      <c r="S351" s="22" t="str">
        <f t="shared" si="17"/>
        <v>OK</v>
      </c>
    </row>
    <row r="352" spans="1:19" ht="41.4">
      <c r="A352" s="22" t="s">
        <v>382</v>
      </c>
      <c r="B352" s="25">
        <v>45707</v>
      </c>
      <c r="C352" s="22" t="s">
        <v>17</v>
      </c>
      <c r="D352" s="22" t="s">
        <v>23</v>
      </c>
      <c r="E352" s="22" t="s">
        <v>34</v>
      </c>
      <c r="F352" s="22" t="s">
        <v>39</v>
      </c>
      <c r="G352" s="22" t="s">
        <v>21</v>
      </c>
      <c r="H352" s="22">
        <v>1</v>
      </c>
      <c r="I352" s="22">
        <v>0</v>
      </c>
      <c r="J352" s="22">
        <v>0</v>
      </c>
      <c r="K352" s="22">
        <v>0</v>
      </c>
      <c r="L352" s="22">
        <v>0</v>
      </c>
      <c r="M352" s="22">
        <v>0</v>
      </c>
      <c r="N352" s="22">
        <v>0</v>
      </c>
      <c r="O352" s="22"/>
      <c r="P352" s="22">
        <v>37.200000000000003</v>
      </c>
      <c r="Q352" s="22" t="str">
        <f t="shared" si="15"/>
        <v>Normal</v>
      </c>
      <c r="R352" s="26" t="str">
        <f t="shared" si="16"/>
        <v>USR-10035145707ControlWestTabletReferralBasic100000037.2</v>
      </c>
      <c r="S352" s="22" t="str">
        <f t="shared" si="17"/>
        <v>OK</v>
      </c>
    </row>
    <row r="353" spans="1:19" ht="41.4">
      <c r="A353" s="22" t="s">
        <v>383</v>
      </c>
      <c r="B353" s="25">
        <v>45675</v>
      </c>
      <c r="C353" s="22" t="s">
        <v>17</v>
      </c>
      <c r="D353" s="22" t="s">
        <v>32</v>
      </c>
      <c r="E353" s="22" t="s">
        <v>19</v>
      </c>
      <c r="F353" s="22" t="s">
        <v>25</v>
      </c>
      <c r="G353" s="22" t="s">
        <v>26</v>
      </c>
      <c r="H353" s="22">
        <v>1</v>
      </c>
      <c r="I353" s="22">
        <v>1</v>
      </c>
      <c r="J353" s="22">
        <v>0</v>
      </c>
      <c r="K353" s="22">
        <v>0</v>
      </c>
      <c r="L353" s="22">
        <v>0</v>
      </c>
      <c r="M353" s="22">
        <v>1</v>
      </c>
      <c r="N353" s="22">
        <v>0</v>
      </c>
      <c r="O353" s="22"/>
      <c r="P353" s="22">
        <v>70.5</v>
      </c>
      <c r="Q353" s="22" t="str">
        <f t="shared" si="15"/>
        <v>Normal</v>
      </c>
      <c r="R353" s="26" t="str">
        <f t="shared" si="16"/>
        <v>USR-10035245675ControlSouthDesktopOrganicFree110001070.5</v>
      </c>
      <c r="S353" s="22" t="str">
        <f t="shared" si="17"/>
        <v>OK</v>
      </c>
    </row>
    <row r="354" spans="1:19" ht="41.4">
      <c r="A354" s="22" t="s">
        <v>384</v>
      </c>
      <c r="B354" s="25">
        <v>45764</v>
      </c>
      <c r="C354" s="22" t="s">
        <v>17</v>
      </c>
      <c r="D354" s="22" t="s">
        <v>18</v>
      </c>
      <c r="E354" s="22" t="s">
        <v>24</v>
      </c>
      <c r="F354" s="22" t="s">
        <v>25</v>
      </c>
      <c r="G354" s="22" t="s">
        <v>26</v>
      </c>
      <c r="H354" s="22">
        <v>0</v>
      </c>
      <c r="I354" s="22">
        <v>0</v>
      </c>
      <c r="J354" s="22">
        <v>0</v>
      </c>
      <c r="K354" s="22">
        <v>0</v>
      </c>
      <c r="L354" s="22">
        <v>0</v>
      </c>
      <c r="M354" s="22">
        <v>0</v>
      </c>
      <c r="N354" s="22">
        <v>0</v>
      </c>
      <c r="O354" s="22"/>
      <c r="P354" s="22">
        <v>61.2</v>
      </c>
      <c r="Q354" s="22" t="str">
        <f t="shared" si="15"/>
        <v>Normal</v>
      </c>
      <c r="R354" s="26" t="str">
        <f t="shared" si="16"/>
        <v>USR-10035345764ControlNorthMobileOrganicFree000000061.2</v>
      </c>
      <c r="S354" s="22" t="str">
        <f t="shared" si="17"/>
        <v>OK</v>
      </c>
    </row>
    <row r="355" spans="1:19" ht="41.4">
      <c r="A355" s="22" t="s">
        <v>385</v>
      </c>
      <c r="B355" s="25">
        <v>45759</v>
      </c>
      <c r="C355" s="22" t="s">
        <v>17</v>
      </c>
      <c r="D355" s="22" t="s">
        <v>28</v>
      </c>
      <c r="E355" s="22" t="s">
        <v>34</v>
      </c>
      <c r="F355" s="22" t="s">
        <v>41</v>
      </c>
      <c r="G355" s="22" t="s">
        <v>26</v>
      </c>
      <c r="H355" s="22">
        <v>1</v>
      </c>
      <c r="I355" s="22">
        <v>1</v>
      </c>
      <c r="J355" s="22">
        <v>1</v>
      </c>
      <c r="K355" s="22">
        <v>0</v>
      </c>
      <c r="L355" s="22">
        <v>0</v>
      </c>
      <c r="M355" s="22">
        <v>0</v>
      </c>
      <c r="N355" s="22">
        <v>0</v>
      </c>
      <c r="O355" s="22"/>
      <c r="P355" s="22">
        <v>64.599999999999994</v>
      </c>
      <c r="Q355" s="22" t="str">
        <f t="shared" si="15"/>
        <v>Normal</v>
      </c>
      <c r="R355" s="26" t="str">
        <f t="shared" si="16"/>
        <v>USR-10035445759ControlEastTabletSocialFree111000064.6</v>
      </c>
      <c r="S355" s="22" t="str">
        <f t="shared" si="17"/>
        <v>OK</v>
      </c>
    </row>
    <row r="356" spans="1:19" ht="41.4">
      <c r="A356" s="22" t="s">
        <v>386</v>
      </c>
      <c r="B356" s="25">
        <v>45793</v>
      </c>
      <c r="C356" s="22" t="s">
        <v>17</v>
      </c>
      <c r="D356" s="22" t="s">
        <v>28</v>
      </c>
      <c r="E356" s="22" t="s">
        <v>24</v>
      </c>
      <c r="F356" s="22" t="s">
        <v>20</v>
      </c>
      <c r="G356" s="22" t="s">
        <v>26</v>
      </c>
      <c r="H356" s="22">
        <v>1</v>
      </c>
      <c r="I356" s="22">
        <v>1</v>
      </c>
      <c r="J356" s="22">
        <v>0</v>
      </c>
      <c r="K356" s="22">
        <v>0</v>
      </c>
      <c r="L356" s="22">
        <v>0</v>
      </c>
      <c r="M356" s="22">
        <v>0</v>
      </c>
      <c r="N356" s="22">
        <v>0</v>
      </c>
      <c r="O356" s="22"/>
      <c r="P356" s="22">
        <v>91.7</v>
      </c>
      <c r="Q356" s="22" t="str">
        <f t="shared" si="15"/>
        <v>Normal</v>
      </c>
      <c r="R356" s="26" t="str">
        <f t="shared" si="16"/>
        <v>USR-10035545793ControlEastMobileEmailFree110000091.7</v>
      </c>
      <c r="S356" s="22" t="str">
        <f t="shared" si="17"/>
        <v>OK</v>
      </c>
    </row>
    <row r="357" spans="1:19" ht="41.4">
      <c r="A357" s="22" t="s">
        <v>387</v>
      </c>
      <c r="B357" s="25">
        <v>45740</v>
      </c>
      <c r="C357" s="22" t="s">
        <v>17</v>
      </c>
      <c r="D357" s="22" t="s">
        <v>23</v>
      </c>
      <c r="E357" s="22" t="s">
        <v>24</v>
      </c>
      <c r="F357" s="22" t="s">
        <v>41</v>
      </c>
      <c r="G357" s="22" t="s">
        <v>26</v>
      </c>
      <c r="H357" s="22">
        <v>0</v>
      </c>
      <c r="I357" s="22">
        <v>0</v>
      </c>
      <c r="J357" s="22">
        <v>0</v>
      </c>
      <c r="K357" s="22">
        <v>0</v>
      </c>
      <c r="L357" s="22">
        <v>0</v>
      </c>
      <c r="M357" s="22">
        <v>0</v>
      </c>
      <c r="N357" s="22">
        <v>0</v>
      </c>
      <c r="O357" s="22"/>
      <c r="P357" s="22">
        <v>46</v>
      </c>
      <c r="Q357" s="22" t="str">
        <f t="shared" si="15"/>
        <v>Normal</v>
      </c>
      <c r="R357" s="26" t="str">
        <f t="shared" si="16"/>
        <v>USR-10035645740ControlWestMobileSocialFree000000046</v>
      </c>
      <c r="S357" s="22" t="str">
        <f t="shared" si="17"/>
        <v>OK</v>
      </c>
    </row>
    <row r="358" spans="1:19" ht="41.4">
      <c r="A358" s="22" t="s">
        <v>388</v>
      </c>
      <c r="B358" s="25">
        <v>45704</v>
      </c>
      <c r="C358" s="22" t="s">
        <v>17</v>
      </c>
      <c r="D358" s="22" t="s">
        <v>23</v>
      </c>
      <c r="E358" s="22" t="s">
        <v>24</v>
      </c>
      <c r="F358" s="22" t="s">
        <v>25</v>
      </c>
      <c r="G358" s="22" t="s">
        <v>21</v>
      </c>
      <c r="H358" s="22">
        <v>0</v>
      </c>
      <c r="I358" s="22">
        <v>0</v>
      </c>
      <c r="J358" s="22">
        <v>0</v>
      </c>
      <c r="K358" s="22">
        <v>0</v>
      </c>
      <c r="L358" s="22">
        <v>0</v>
      </c>
      <c r="M358" s="22">
        <v>0</v>
      </c>
      <c r="N358" s="22">
        <v>0</v>
      </c>
      <c r="O358" s="22"/>
      <c r="P358" s="22">
        <v>50.8</v>
      </c>
      <c r="Q358" s="22" t="str">
        <f t="shared" si="15"/>
        <v>Normal</v>
      </c>
      <c r="R358" s="26" t="str">
        <f t="shared" si="16"/>
        <v>USR-10035745704ControlWestMobileOrganicBasic000000050.8</v>
      </c>
      <c r="S358" s="22" t="str">
        <f t="shared" si="17"/>
        <v>OK</v>
      </c>
    </row>
    <row r="359" spans="1:19" ht="41.4">
      <c r="A359" s="22" t="s">
        <v>389</v>
      </c>
      <c r="B359" s="25">
        <v>45735</v>
      </c>
      <c r="C359" s="22" t="s">
        <v>17</v>
      </c>
      <c r="D359" s="22" t="s">
        <v>18</v>
      </c>
      <c r="E359" s="22" t="s">
        <v>34</v>
      </c>
      <c r="F359" s="22" t="s">
        <v>25</v>
      </c>
      <c r="G359" s="22" t="s">
        <v>26</v>
      </c>
      <c r="H359" s="22">
        <v>1</v>
      </c>
      <c r="I359" s="22">
        <v>1</v>
      </c>
      <c r="J359" s="22">
        <v>1</v>
      </c>
      <c r="K359" s="22">
        <v>0</v>
      </c>
      <c r="L359" s="22">
        <v>0</v>
      </c>
      <c r="M359" s="22">
        <v>0</v>
      </c>
      <c r="N359" s="22">
        <v>0</v>
      </c>
      <c r="O359" s="22"/>
      <c r="P359" s="22">
        <v>52.8</v>
      </c>
      <c r="Q359" s="22" t="str">
        <f t="shared" si="15"/>
        <v>Normal</v>
      </c>
      <c r="R359" s="26" t="str">
        <f t="shared" si="16"/>
        <v>USR-10035845735ControlNorthTabletOrganicFree111000052.8</v>
      </c>
      <c r="S359" s="22" t="str">
        <f t="shared" si="17"/>
        <v>OK</v>
      </c>
    </row>
    <row r="360" spans="1:19" ht="41.4">
      <c r="A360" s="22" t="s">
        <v>390</v>
      </c>
      <c r="B360" s="25">
        <v>45768</v>
      </c>
      <c r="C360" s="22" t="s">
        <v>17</v>
      </c>
      <c r="D360" s="22" t="s">
        <v>32</v>
      </c>
      <c r="E360" s="22" t="s">
        <v>24</v>
      </c>
      <c r="F360" s="22" t="s">
        <v>25</v>
      </c>
      <c r="G360" s="22" t="s">
        <v>21</v>
      </c>
      <c r="H360" s="22">
        <v>1</v>
      </c>
      <c r="I360" s="22">
        <v>1</v>
      </c>
      <c r="J360" s="22">
        <v>1</v>
      </c>
      <c r="K360" s="22">
        <v>0</v>
      </c>
      <c r="L360" s="22">
        <v>0</v>
      </c>
      <c r="M360" s="22">
        <v>0</v>
      </c>
      <c r="N360" s="22">
        <v>0</v>
      </c>
      <c r="O360" s="22"/>
      <c r="P360" s="22">
        <v>63</v>
      </c>
      <c r="Q360" s="22" t="str">
        <f t="shared" si="15"/>
        <v>Normal</v>
      </c>
      <c r="R360" s="26" t="str">
        <f t="shared" si="16"/>
        <v>USR-10035945768ControlSouthMobileOrganicBasic111000063</v>
      </c>
      <c r="S360" s="22" t="str">
        <f t="shared" si="17"/>
        <v>OK</v>
      </c>
    </row>
    <row r="361" spans="1:19" ht="41.4">
      <c r="A361" s="22" t="s">
        <v>391</v>
      </c>
      <c r="B361" s="25">
        <v>45668</v>
      </c>
      <c r="C361" s="22" t="s">
        <v>17</v>
      </c>
      <c r="D361" s="22" t="s">
        <v>23</v>
      </c>
      <c r="E361" s="22" t="s">
        <v>24</v>
      </c>
      <c r="F361" s="22" t="s">
        <v>25</v>
      </c>
      <c r="G361" s="22" t="s">
        <v>26</v>
      </c>
      <c r="H361" s="22">
        <v>0</v>
      </c>
      <c r="I361" s="22">
        <v>0</v>
      </c>
      <c r="J361" s="22">
        <v>0</v>
      </c>
      <c r="K361" s="22">
        <v>0</v>
      </c>
      <c r="L361" s="22">
        <v>0</v>
      </c>
      <c r="M361" s="22">
        <v>0</v>
      </c>
      <c r="N361" s="22">
        <v>0</v>
      </c>
      <c r="O361" s="22"/>
      <c r="P361" s="22">
        <v>28.4</v>
      </c>
      <c r="Q361" s="22" t="str">
        <f t="shared" si="15"/>
        <v>Normal</v>
      </c>
      <c r="R361" s="26" t="str">
        <f t="shared" si="16"/>
        <v>USR-10036045668ControlWestMobileOrganicFree000000028.4</v>
      </c>
      <c r="S361" s="22" t="str">
        <f t="shared" si="17"/>
        <v>OK</v>
      </c>
    </row>
    <row r="362" spans="1:19" ht="41.4">
      <c r="A362" s="22" t="s">
        <v>392</v>
      </c>
      <c r="B362" s="25">
        <v>45771</v>
      </c>
      <c r="C362" s="22" t="s">
        <v>17</v>
      </c>
      <c r="D362" s="22" t="s">
        <v>23</v>
      </c>
      <c r="E362" s="22" t="s">
        <v>19</v>
      </c>
      <c r="F362" s="22" t="s">
        <v>25</v>
      </c>
      <c r="G362" s="22" t="s">
        <v>26</v>
      </c>
      <c r="H362" s="22">
        <v>1</v>
      </c>
      <c r="I362" s="22">
        <v>1</v>
      </c>
      <c r="J362" s="22">
        <v>0</v>
      </c>
      <c r="K362" s="22">
        <v>0</v>
      </c>
      <c r="L362" s="22">
        <v>0</v>
      </c>
      <c r="M362" s="22">
        <v>0</v>
      </c>
      <c r="N362" s="22">
        <v>0</v>
      </c>
      <c r="O362" s="22"/>
      <c r="P362" s="22">
        <v>65.599999999999994</v>
      </c>
      <c r="Q362" s="22" t="str">
        <f t="shared" si="15"/>
        <v>Normal</v>
      </c>
      <c r="R362" s="26" t="str">
        <f t="shared" si="16"/>
        <v>USR-10036145771ControlWestDesktopOrganicFree110000065.6</v>
      </c>
      <c r="S362" s="22" t="str">
        <f t="shared" si="17"/>
        <v>OK</v>
      </c>
    </row>
    <row r="363" spans="1:19" ht="41.4">
      <c r="A363" s="22" t="s">
        <v>393</v>
      </c>
      <c r="B363" s="25">
        <v>45729</v>
      </c>
      <c r="C363" s="22" t="s">
        <v>17</v>
      </c>
      <c r="D363" s="22" t="s">
        <v>18</v>
      </c>
      <c r="E363" s="22" t="s">
        <v>24</v>
      </c>
      <c r="F363" s="22" t="s">
        <v>41</v>
      </c>
      <c r="G363" s="22" t="s">
        <v>30</v>
      </c>
      <c r="H363" s="22">
        <v>1</v>
      </c>
      <c r="I363" s="22">
        <v>1</v>
      </c>
      <c r="J363" s="22">
        <v>1</v>
      </c>
      <c r="K363" s="22">
        <v>0</v>
      </c>
      <c r="L363" s="22">
        <v>0</v>
      </c>
      <c r="M363" s="22">
        <v>0</v>
      </c>
      <c r="N363" s="22">
        <v>0</v>
      </c>
      <c r="O363" s="22"/>
      <c r="P363" s="22">
        <v>54.7</v>
      </c>
      <c r="Q363" s="22" t="str">
        <f t="shared" si="15"/>
        <v>Normal</v>
      </c>
      <c r="R363" s="26" t="str">
        <f t="shared" si="16"/>
        <v>USR-10036245729ControlNorthMobileSocialPremium111000054.7</v>
      </c>
      <c r="S363" s="22" t="str">
        <f t="shared" si="17"/>
        <v>OK</v>
      </c>
    </row>
    <row r="364" spans="1:19" ht="41.4">
      <c r="A364" s="22" t="s">
        <v>394</v>
      </c>
      <c r="B364" s="25">
        <v>45687</v>
      </c>
      <c r="C364" s="22" t="s">
        <v>17</v>
      </c>
      <c r="D364" s="22" t="s">
        <v>18</v>
      </c>
      <c r="E364" s="22" t="s">
        <v>24</v>
      </c>
      <c r="F364" s="22" t="s">
        <v>41</v>
      </c>
      <c r="G364" s="22" t="s">
        <v>21</v>
      </c>
      <c r="H364" s="22">
        <v>0</v>
      </c>
      <c r="I364" s="22">
        <v>0</v>
      </c>
      <c r="J364" s="22">
        <v>0</v>
      </c>
      <c r="K364" s="22">
        <v>0</v>
      </c>
      <c r="L364" s="22">
        <v>0</v>
      </c>
      <c r="M364" s="22">
        <v>0</v>
      </c>
      <c r="N364" s="22">
        <v>0</v>
      </c>
      <c r="O364" s="22"/>
      <c r="P364" s="22">
        <v>36.1</v>
      </c>
      <c r="Q364" s="22" t="str">
        <f t="shared" si="15"/>
        <v>Normal</v>
      </c>
      <c r="R364" s="26" t="str">
        <f t="shared" si="16"/>
        <v>USR-10036345687ControlNorthMobileSocialBasic000000036.1</v>
      </c>
      <c r="S364" s="22" t="str">
        <f t="shared" si="17"/>
        <v>OK</v>
      </c>
    </row>
    <row r="365" spans="1:19" ht="41.4">
      <c r="A365" s="22" t="s">
        <v>395</v>
      </c>
      <c r="B365" s="25">
        <v>45785</v>
      </c>
      <c r="C365" s="22" t="s">
        <v>17</v>
      </c>
      <c r="D365" s="22" t="s">
        <v>32</v>
      </c>
      <c r="E365" s="22" t="s">
        <v>24</v>
      </c>
      <c r="F365" s="22" t="s">
        <v>41</v>
      </c>
      <c r="G365" s="22" t="s">
        <v>21</v>
      </c>
      <c r="H365" s="22">
        <v>1</v>
      </c>
      <c r="I365" s="22">
        <v>1</v>
      </c>
      <c r="J365" s="22">
        <v>1</v>
      </c>
      <c r="K365" s="22">
        <v>0</v>
      </c>
      <c r="L365" s="22">
        <v>0</v>
      </c>
      <c r="M365" s="22">
        <v>0</v>
      </c>
      <c r="N365" s="22">
        <v>0</v>
      </c>
      <c r="O365" s="22"/>
      <c r="P365" s="22">
        <v>70.400000000000006</v>
      </c>
      <c r="Q365" s="22" t="str">
        <f t="shared" si="15"/>
        <v>Normal</v>
      </c>
      <c r="R365" s="26" t="str">
        <f t="shared" si="16"/>
        <v>USR-10036445785ControlSouthMobileSocialBasic111000070.4</v>
      </c>
      <c r="S365" s="22" t="str">
        <f t="shared" si="17"/>
        <v>OK</v>
      </c>
    </row>
    <row r="366" spans="1:19" ht="41.4">
      <c r="A366" s="22" t="s">
        <v>396</v>
      </c>
      <c r="B366" s="25">
        <v>45665</v>
      </c>
      <c r="C366" s="22" t="s">
        <v>17</v>
      </c>
      <c r="D366" s="22" t="s">
        <v>28</v>
      </c>
      <c r="E366" s="22" t="s">
        <v>19</v>
      </c>
      <c r="F366" s="22" t="s">
        <v>41</v>
      </c>
      <c r="G366" s="22" t="s">
        <v>26</v>
      </c>
      <c r="H366" s="22">
        <v>1</v>
      </c>
      <c r="I366" s="22">
        <v>0</v>
      </c>
      <c r="J366" s="22">
        <v>0</v>
      </c>
      <c r="K366" s="22">
        <v>0</v>
      </c>
      <c r="L366" s="22">
        <v>0</v>
      </c>
      <c r="M366" s="22">
        <v>0</v>
      </c>
      <c r="N366" s="22">
        <v>0</v>
      </c>
      <c r="O366" s="22"/>
      <c r="P366" s="22">
        <v>56.4</v>
      </c>
      <c r="Q366" s="22" t="str">
        <f t="shared" si="15"/>
        <v>Normal</v>
      </c>
      <c r="R366" s="26" t="str">
        <f t="shared" si="16"/>
        <v>USR-10036545665ControlEastDesktopSocialFree100000056.4</v>
      </c>
      <c r="S366" s="22" t="str">
        <f t="shared" si="17"/>
        <v>OK</v>
      </c>
    </row>
    <row r="367" spans="1:19" ht="41.4">
      <c r="A367" s="22" t="s">
        <v>397</v>
      </c>
      <c r="B367" s="25">
        <v>45780</v>
      </c>
      <c r="C367" s="22" t="s">
        <v>17</v>
      </c>
      <c r="D367" s="22" t="s">
        <v>32</v>
      </c>
      <c r="E367" s="22" t="s">
        <v>24</v>
      </c>
      <c r="F367" s="22" t="s">
        <v>25</v>
      </c>
      <c r="G367" s="22" t="s">
        <v>26</v>
      </c>
      <c r="H367" s="22">
        <v>1</v>
      </c>
      <c r="I367" s="22">
        <v>0</v>
      </c>
      <c r="J367" s="22">
        <v>0</v>
      </c>
      <c r="K367" s="22">
        <v>0</v>
      </c>
      <c r="L367" s="22">
        <v>0</v>
      </c>
      <c r="M367" s="22">
        <v>0</v>
      </c>
      <c r="N367" s="22">
        <v>0</v>
      </c>
      <c r="O367" s="22"/>
      <c r="P367" s="22">
        <v>79.2</v>
      </c>
      <c r="Q367" s="22" t="str">
        <f t="shared" si="15"/>
        <v>Normal</v>
      </c>
      <c r="R367" s="26" t="str">
        <f t="shared" si="16"/>
        <v>USR-10036645780ControlSouthMobileOrganicFree100000079.2</v>
      </c>
      <c r="S367" s="22" t="str">
        <f t="shared" si="17"/>
        <v>OK</v>
      </c>
    </row>
    <row r="368" spans="1:19" ht="41.4">
      <c r="A368" s="22" t="s">
        <v>398</v>
      </c>
      <c r="B368" s="25">
        <v>45700</v>
      </c>
      <c r="C368" s="22" t="s">
        <v>17</v>
      </c>
      <c r="D368" s="22" t="s">
        <v>28</v>
      </c>
      <c r="E368" s="22" t="s">
        <v>24</v>
      </c>
      <c r="F368" s="22" t="s">
        <v>29</v>
      </c>
      <c r="G368" s="22" t="s">
        <v>26</v>
      </c>
      <c r="H368" s="22">
        <v>1</v>
      </c>
      <c r="I368" s="22">
        <v>1</v>
      </c>
      <c r="J368" s="22">
        <v>1</v>
      </c>
      <c r="K368" s="22">
        <v>0</v>
      </c>
      <c r="L368" s="22">
        <v>0</v>
      </c>
      <c r="M368" s="22">
        <v>0</v>
      </c>
      <c r="N368" s="22">
        <v>0</v>
      </c>
      <c r="O368" s="22"/>
      <c r="P368" s="22">
        <v>60.1</v>
      </c>
      <c r="Q368" s="22" t="str">
        <f t="shared" si="15"/>
        <v>Normal</v>
      </c>
      <c r="R368" s="26" t="str">
        <f t="shared" si="16"/>
        <v>USR-10036745700ControlEastMobilePaid SearchFree111000060.1</v>
      </c>
      <c r="S368" s="22" t="str">
        <f t="shared" si="17"/>
        <v>OK</v>
      </c>
    </row>
    <row r="369" spans="1:19" ht="41.4">
      <c r="A369" s="22" t="s">
        <v>399</v>
      </c>
      <c r="B369" s="25">
        <v>45713</v>
      </c>
      <c r="C369" s="22" t="s">
        <v>17</v>
      </c>
      <c r="D369" s="22" t="s">
        <v>32</v>
      </c>
      <c r="E369" s="22" t="s">
        <v>34</v>
      </c>
      <c r="F369" s="22" t="s">
        <v>25</v>
      </c>
      <c r="G369" s="22" t="s">
        <v>26</v>
      </c>
      <c r="H369" s="22">
        <v>0</v>
      </c>
      <c r="I369" s="22">
        <v>0</v>
      </c>
      <c r="J369" s="22">
        <v>0</v>
      </c>
      <c r="K369" s="22">
        <v>0</v>
      </c>
      <c r="L369" s="22">
        <v>0</v>
      </c>
      <c r="M369" s="22">
        <v>0</v>
      </c>
      <c r="N369" s="22">
        <v>0</v>
      </c>
      <c r="O369" s="22"/>
      <c r="P369" s="22">
        <v>58</v>
      </c>
      <c r="Q369" s="22" t="str">
        <f t="shared" si="15"/>
        <v>Normal</v>
      </c>
      <c r="R369" s="26" t="str">
        <f t="shared" si="16"/>
        <v>USR-10036845713ControlSouthTabletOrganicFree000000058</v>
      </c>
      <c r="S369" s="22" t="str">
        <f t="shared" si="17"/>
        <v>OK</v>
      </c>
    </row>
    <row r="370" spans="1:19" ht="41.4">
      <c r="A370" s="22" t="s">
        <v>400</v>
      </c>
      <c r="B370" s="25">
        <v>45761</v>
      </c>
      <c r="C370" s="22" t="s">
        <v>17</v>
      </c>
      <c r="D370" s="22" t="s">
        <v>32</v>
      </c>
      <c r="E370" s="22" t="s">
        <v>24</v>
      </c>
      <c r="F370" s="22" t="s">
        <v>39</v>
      </c>
      <c r="G370" s="22" t="s">
        <v>26</v>
      </c>
      <c r="H370" s="22">
        <v>1</v>
      </c>
      <c r="I370" s="22">
        <v>1</v>
      </c>
      <c r="J370" s="22">
        <v>1</v>
      </c>
      <c r="K370" s="22">
        <v>0</v>
      </c>
      <c r="L370" s="22">
        <v>0</v>
      </c>
      <c r="M370" s="22">
        <v>0</v>
      </c>
      <c r="N370" s="22">
        <v>0</v>
      </c>
      <c r="O370" s="22"/>
      <c r="P370" s="22">
        <v>69</v>
      </c>
      <c r="Q370" s="22" t="str">
        <f t="shared" si="15"/>
        <v>Normal</v>
      </c>
      <c r="R370" s="26" t="str">
        <f t="shared" si="16"/>
        <v>USR-10036945761ControlSouthMobileReferralFree111000069</v>
      </c>
      <c r="S370" s="22" t="str">
        <f t="shared" si="17"/>
        <v>OK</v>
      </c>
    </row>
    <row r="371" spans="1:19" ht="41.4">
      <c r="A371" s="22" t="s">
        <v>401</v>
      </c>
      <c r="B371" s="25">
        <v>45665</v>
      </c>
      <c r="C371" s="22" t="s">
        <v>17</v>
      </c>
      <c r="D371" s="22" t="s">
        <v>18</v>
      </c>
      <c r="E371" s="22" t="s">
        <v>24</v>
      </c>
      <c r="F371" s="22" t="s">
        <v>39</v>
      </c>
      <c r="G371" s="22" t="s">
        <v>30</v>
      </c>
      <c r="H371" s="22">
        <v>1</v>
      </c>
      <c r="I371" s="22">
        <v>1</v>
      </c>
      <c r="J371" s="22">
        <v>1</v>
      </c>
      <c r="K371" s="22">
        <v>0</v>
      </c>
      <c r="L371" s="22">
        <v>0</v>
      </c>
      <c r="M371" s="22">
        <v>1</v>
      </c>
      <c r="N371" s="22">
        <v>0</v>
      </c>
      <c r="O371" s="22"/>
      <c r="P371" s="22">
        <v>80.8</v>
      </c>
      <c r="Q371" s="22" t="str">
        <f t="shared" si="15"/>
        <v>Normal</v>
      </c>
      <c r="R371" s="26" t="str">
        <f t="shared" si="16"/>
        <v>USR-10037045665ControlNorthMobileReferralPremium111001080.8</v>
      </c>
      <c r="S371" s="22" t="str">
        <f t="shared" si="17"/>
        <v>OK</v>
      </c>
    </row>
    <row r="372" spans="1:19" ht="41.4">
      <c r="A372" s="22" t="s">
        <v>402</v>
      </c>
      <c r="B372" s="25">
        <v>45730</v>
      </c>
      <c r="C372" s="22" t="s">
        <v>17</v>
      </c>
      <c r="D372" s="22" t="s">
        <v>28</v>
      </c>
      <c r="E372" s="22" t="s">
        <v>24</v>
      </c>
      <c r="F372" s="22" t="s">
        <v>20</v>
      </c>
      <c r="G372" s="22" t="s">
        <v>26</v>
      </c>
      <c r="H372" s="22">
        <v>0</v>
      </c>
      <c r="I372" s="22">
        <v>0</v>
      </c>
      <c r="J372" s="22">
        <v>0</v>
      </c>
      <c r="K372" s="22">
        <v>0</v>
      </c>
      <c r="L372" s="22">
        <v>0</v>
      </c>
      <c r="M372" s="22">
        <v>0</v>
      </c>
      <c r="N372" s="22">
        <v>0</v>
      </c>
      <c r="O372" s="22"/>
      <c r="P372" s="22">
        <v>32.799999999999997</v>
      </c>
      <c r="Q372" s="22" t="str">
        <f t="shared" si="15"/>
        <v>Normal</v>
      </c>
      <c r="R372" s="26" t="str">
        <f t="shared" si="16"/>
        <v>USR-10037145730ControlEastMobileEmailFree000000032.8</v>
      </c>
      <c r="S372" s="22" t="str">
        <f t="shared" si="17"/>
        <v>OK</v>
      </c>
    </row>
    <row r="373" spans="1:19" ht="41.4">
      <c r="A373" s="22" t="s">
        <v>403</v>
      </c>
      <c r="B373" s="25">
        <v>45776</v>
      </c>
      <c r="C373" s="22" t="s">
        <v>17</v>
      </c>
      <c r="D373" s="22" t="s">
        <v>18</v>
      </c>
      <c r="E373" s="22" t="s">
        <v>19</v>
      </c>
      <c r="F373" s="22" t="s">
        <v>29</v>
      </c>
      <c r="G373" s="22" t="s">
        <v>30</v>
      </c>
      <c r="H373" s="22">
        <v>1</v>
      </c>
      <c r="I373" s="22">
        <v>0</v>
      </c>
      <c r="J373" s="22">
        <v>0</v>
      </c>
      <c r="K373" s="22">
        <v>0</v>
      </c>
      <c r="L373" s="22">
        <v>0</v>
      </c>
      <c r="M373" s="22">
        <v>0</v>
      </c>
      <c r="N373" s="22">
        <v>0</v>
      </c>
      <c r="O373" s="22"/>
      <c r="P373" s="22">
        <v>56</v>
      </c>
      <c r="Q373" s="22" t="str">
        <f t="shared" si="15"/>
        <v>Normal</v>
      </c>
      <c r="R373" s="26" t="str">
        <f t="shared" si="16"/>
        <v>USR-10037245776ControlNorthDesktopPaid SearchPremium100000056</v>
      </c>
      <c r="S373" s="22" t="str">
        <f t="shared" si="17"/>
        <v>OK</v>
      </c>
    </row>
    <row r="374" spans="1:19" ht="41.4">
      <c r="A374" s="22" t="s">
        <v>404</v>
      </c>
      <c r="B374" s="25">
        <v>45778</v>
      </c>
      <c r="C374" s="22" t="s">
        <v>17</v>
      </c>
      <c r="D374" s="22" t="s">
        <v>28</v>
      </c>
      <c r="E374" s="22" t="s">
        <v>19</v>
      </c>
      <c r="F374" s="22" t="s">
        <v>41</v>
      </c>
      <c r="G374" s="22" t="s">
        <v>26</v>
      </c>
      <c r="H374" s="22">
        <v>1</v>
      </c>
      <c r="I374" s="22">
        <v>0</v>
      </c>
      <c r="J374" s="22">
        <v>0</v>
      </c>
      <c r="K374" s="22">
        <v>0</v>
      </c>
      <c r="L374" s="22">
        <v>0</v>
      </c>
      <c r="M374" s="22">
        <v>0</v>
      </c>
      <c r="N374" s="22">
        <v>0</v>
      </c>
      <c r="O374" s="22"/>
      <c r="P374" s="22">
        <v>76.400000000000006</v>
      </c>
      <c r="Q374" s="22" t="str">
        <f t="shared" si="15"/>
        <v>Normal</v>
      </c>
      <c r="R374" s="26" t="str">
        <f t="shared" si="16"/>
        <v>USR-10037345778ControlEastDesktopSocialFree100000076.4</v>
      </c>
      <c r="S374" s="22" t="str">
        <f t="shared" si="17"/>
        <v>OK</v>
      </c>
    </row>
    <row r="375" spans="1:19" ht="41.4">
      <c r="A375" s="22" t="s">
        <v>405</v>
      </c>
      <c r="B375" s="25">
        <v>45735</v>
      </c>
      <c r="C375" s="22" t="s">
        <v>17</v>
      </c>
      <c r="D375" s="22" t="s">
        <v>18</v>
      </c>
      <c r="E375" s="22" t="s">
        <v>24</v>
      </c>
      <c r="F375" s="22" t="s">
        <v>39</v>
      </c>
      <c r="G375" s="22" t="s">
        <v>26</v>
      </c>
      <c r="H375" s="22">
        <v>1</v>
      </c>
      <c r="I375" s="22">
        <v>0</v>
      </c>
      <c r="J375" s="22">
        <v>0</v>
      </c>
      <c r="K375" s="22">
        <v>0</v>
      </c>
      <c r="L375" s="22">
        <v>0</v>
      </c>
      <c r="M375" s="22">
        <v>0</v>
      </c>
      <c r="N375" s="22">
        <v>0</v>
      </c>
      <c r="O375" s="22"/>
      <c r="P375" s="22">
        <v>28.5</v>
      </c>
      <c r="Q375" s="22" t="str">
        <f t="shared" si="15"/>
        <v>Normal</v>
      </c>
      <c r="R375" s="26" t="str">
        <f t="shared" si="16"/>
        <v>USR-10037445735ControlNorthMobileReferralFree100000028.5</v>
      </c>
      <c r="S375" s="22" t="str">
        <f t="shared" si="17"/>
        <v>OK</v>
      </c>
    </row>
    <row r="376" spans="1:19" ht="41.4">
      <c r="A376" s="22" t="s">
        <v>406</v>
      </c>
      <c r="B376" s="25">
        <v>45778</v>
      </c>
      <c r="C376" s="22" t="s">
        <v>17</v>
      </c>
      <c r="D376" s="22" t="s">
        <v>32</v>
      </c>
      <c r="E376" s="22" t="s">
        <v>19</v>
      </c>
      <c r="F376" s="22" t="s">
        <v>41</v>
      </c>
      <c r="G376" s="22" t="s">
        <v>21</v>
      </c>
      <c r="H376" s="22">
        <v>1</v>
      </c>
      <c r="I376" s="22">
        <v>1</v>
      </c>
      <c r="J376" s="22">
        <v>1</v>
      </c>
      <c r="K376" s="22">
        <v>0</v>
      </c>
      <c r="L376" s="22">
        <v>0</v>
      </c>
      <c r="M376" s="22">
        <v>0</v>
      </c>
      <c r="N376" s="22">
        <v>0</v>
      </c>
      <c r="O376" s="22"/>
      <c r="P376" s="22">
        <v>48.3</v>
      </c>
      <c r="Q376" s="22" t="str">
        <f t="shared" si="15"/>
        <v>Normal</v>
      </c>
      <c r="R376" s="26" t="str">
        <f t="shared" si="16"/>
        <v>USR-10037545778ControlSouthDesktopSocialBasic111000048.3</v>
      </c>
      <c r="S376" s="22" t="str">
        <f t="shared" si="17"/>
        <v>OK</v>
      </c>
    </row>
    <row r="377" spans="1:19" ht="41.4">
      <c r="A377" s="22" t="s">
        <v>407</v>
      </c>
      <c r="B377" s="25">
        <v>45730</v>
      </c>
      <c r="C377" s="22" t="s">
        <v>17</v>
      </c>
      <c r="D377" s="22" t="s">
        <v>23</v>
      </c>
      <c r="E377" s="22" t="s">
        <v>24</v>
      </c>
      <c r="F377" s="22" t="s">
        <v>25</v>
      </c>
      <c r="G377" s="22" t="s">
        <v>26</v>
      </c>
      <c r="H377" s="22">
        <v>1</v>
      </c>
      <c r="I377" s="22">
        <v>1</v>
      </c>
      <c r="J377" s="22">
        <v>0</v>
      </c>
      <c r="K377" s="22">
        <v>0</v>
      </c>
      <c r="L377" s="22">
        <v>0</v>
      </c>
      <c r="M377" s="22">
        <v>0</v>
      </c>
      <c r="N377" s="22">
        <v>0</v>
      </c>
      <c r="O377" s="22"/>
      <c r="P377" s="22">
        <v>43.4</v>
      </c>
      <c r="Q377" s="22" t="str">
        <f t="shared" si="15"/>
        <v>Normal</v>
      </c>
      <c r="R377" s="26" t="str">
        <f t="shared" si="16"/>
        <v>USR-10037645730ControlWestMobileOrganicFree110000043.4</v>
      </c>
      <c r="S377" s="22" t="str">
        <f t="shared" si="17"/>
        <v>OK</v>
      </c>
    </row>
    <row r="378" spans="1:19" ht="41.4">
      <c r="A378" s="22" t="s">
        <v>408</v>
      </c>
      <c r="B378" s="25">
        <v>45739</v>
      </c>
      <c r="C378" s="22" t="s">
        <v>17</v>
      </c>
      <c r="D378" s="22" t="s">
        <v>18</v>
      </c>
      <c r="E378" s="22" t="s">
        <v>24</v>
      </c>
      <c r="F378" s="22" t="s">
        <v>29</v>
      </c>
      <c r="G378" s="22" t="s">
        <v>26</v>
      </c>
      <c r="H378" s="22">
        <v>0</v>
      </c>
      <c r="I378" s="22">
        <v>0</v>
      </c>
      <c r="J378" s="22">
        <v>0</v>
      </c>
      <c r="K378" s="22">
        <v>0</v>
      </c>
      <c r="L378" s="22">
        <v>0</v>
      </c>
      <c r="M378" s="22">
        <v>0</v>
      </c>
      <c r="N378" s="22">
        <v>0</v>
      </c>
      <c r="O378" s="22"/>
      <c r="P378" s="22">
        <v>43</v>
      </c>
      <c r="Q378" s="22" t="str">
        <f t="shared" si="15"/>
        <v>Normal</v>
      </c>
      <c r="R378" s="26" t="str">
        <f t="shared" si="16"/>
        <v>USR-10037745739ControlNorthMobilePaid SearchFree000000043</v>
      </c>
      <c r="S378" s="22" t="str">
        <f t="shared" si="17"/>
        <v>OK</v>
      </c>
    </row>
    <row r="379" spans="1:19" ht="41.4">
      <c r="A379" s="22" t="s">
        <v>409</v>
      </c>
      <c r="B379" s="25">
        <v>45696</v>
      </c>
      <c r="C379" s="22" t="s">
        <v>17</v>
      </c>
      <c r="D379" s="22" t="s">
        <v>28</v>
      </c>
      <c r="E379" s="22" t="s">
        <v>24</v>
      </c>
      <c r="F379" s="22" t="s">
        <v>39</v>
      </c>
      <c r="G379" s="22" t="s">
        <v>21</v>
      </c>
      <c r="H379" s="22">
        <v>1</v>
      </c>
      <c r="I379" s="22">
        <v>1</v>
      </c>
      <c r="J379" s="22">
        <v>1</v>
      </c>
      <c r="K379" s="22">
        <v>0</v>
      </c>
      <c r="L379" s="22">
        <v>0</v>
      </c>
      <c r="M379" s="22">
        <v>0</v>
      </c>
      <c r="N379" s="22">
        <v>0</v>
      </c>
      <c r="O379" s="22"/>
      <c r="P379" s="22">
        <v>91.8</v>
      </c>
      <c r="Q379" s="22" t="str">
        <f t="shared" si="15"/>
        <v>Normal</v>
      </c>
      <c r="R379" s="26" t="str">
        <f t="shared" si="16"/>
        <v>USR-10037845696ControlEastMobileReferralBasic111000091.8</v>
      </c>
      <c r="S379" s="22" t="str">
        <f t="shared" si="17"/>
        <v>OK</v>
      </c>
    </row>
    <row r="380" spans="1:19" ht="41.4">
      <c r="A380" s="22" t="s">
        <v>410</v>
      </c>
      <c r="B380" s="25">
        <v>45762</v>
      </c>
      <c r="C380" s="22" t="s">
        <v>17</v>
      </c>
      <c r="D380" s="22" t="s">
        <v>23</v>
      </c>
      <c r="E380" s="22" t="s">
        <v>34</v>
      </c>
      <c r="F380" s="22" t="s">
        <v>29</v>
      </c>
      <c r="G380" s="22" t="s">
        <v>21</v>
      </c>
      <c r="H380" s="22">
        <v>1</v>
      </c>
      <c r="I380" s="22">
        <v>0</v>
      </c>
      <c r="J380" s="22">
        <v>0</v>
      </c>
      <c r="K380" s="22">
        <v>0</v>
      </c>
      <c r="L380" s="22">
        <v>0</v>
      </c>
      <c r="M380" s="22">
        <v>1</v>
      </c>
      <c r="N380" s="22">
        <v>0</v>
      </c>
      <c r="O380" s="22"/>
      <c r="P380" s="22">
        <v>69.3</v>
      </c>
      <c r="Q380" s="22" t="str">
        <f t="shared" si="15"/>
        <v>Normal</v>
      </c>
      <c r="R380" s="26" t="str">
        <f t="shared" si="16"/>
        <v>USR-10037945762ControlWestTabletPaid SearchBasic100001069.3</v>
      </c>
      <c r="S380" s="22" t="str">
        <f t="shared" si="17"/>
        <v>OK</v>
      </c>
    </row>
    <row r="381" spans="1:19" ht="41.4">
      <c r="A381" s="22" t="s">
        <v>411</v>
      </c>
      <c r="B381" s="25">
        <v>45660</v>
      </c>
      <c r="C381" s="22" t="s">
        <v>17</v>
      </c>
      <c r="D381" s="22" t="s">
        <v>32</v>
      </c>
      <c r="E381" s="22" t="s">
        <v>19</v>
      </c>
      <c r="F381" s="22" t="s">
        <v>29</v>
      </c>
      <c r="G381" s="22" t="s">
        <v>21</v>
      </c>
      <c r="H381" s="22">
        <v>1</v>
      </c>
      <c r="I381" s="22">
        <v>0</v>
      </c>
      <c r="J381" s="22">
        <v>0</v>
      </c>
      <c r="K381" s="22">
        <v>0</v>
      </c>
      <c r="L381" s="22">
        <v>0</v>
      </c>
      <c r="M381" s="22">
        <v>0</v>
      </c>
      <c r="N381" s="22">
        <v>0</v>
      </c>
      <c r="O381" s="22"/>
      <c r="P381" s="22">
        <v>58.9</v>
      </c>
      <c r="Q381" s="22" t="str">
        <f t="shared" si="15"/>
        <v>Normal</v>
      </c>
      <c r="R381" s="26" t="str">
        <f t="shared" si="16"/>
        <v>USR-10038045660ControlSouthDesktopPaid SearchBasic100000058.9</v>
      </c>
      <c r="S381" s="22" t="str">
        <f t="shared" si="17"/>
        <v>OK</v>
      </c>
    </row>
    <row r="382" spans="1:19" ht="41.4">
      <c r="A382" s="22" t="s">
        <v>412</v>
      </c>
      <c r="B382" s="25">
        <v>45739</v>
      </c>
      <c r="C382" s="22" t="s">
        <v>17</v>
      </c>
      <c r="D382" s="22" t="s">
        <v>23</v>
      </c>
      <c r="E382" s="22" t="s">
        <v>24</v>
      </c>
      <c r="F382" s="22" t="s">
        <v>41</v>
      </c>
      <c r="G382" s="22" t="s">
        <v>26</v>
      </c>
      <c r="H382" s="22">
        <v>1</v>
      </c>
      <c r="I382" s="22">
        <v>1</v>
      </c>
      <c r="J382" s="22">
        <v>1</v>
      </c>
      <c r="K382" s="22">
        <v>0</v>
      </c>
      <c r="L382" s="22">
        <v>0</v>
      </c>
      <c r="M382" s="22">
        <v>0</v>
      </c>
      <c r="N382" s="22">
        <v>0</v>
      </c>
      <c r="O382" s="22"/>
      <c r="P382" s="22">
        <v>76</v>
      </c>
      <c r="Q382" s="22" t="str">
        <f t="shared" si="15"/>
        <v>Normal</v>
      </c>
      <c r="R382" s="26" t="str">
        <f t="shared" si="16"/>
        <v>USR-10038145739ControlWestMobileSocialFree111000076</v>
      </c>
      <c r="S382" s="22" t="str">
        <f t="shared" si="17"/>
        <v>OK</v>
      </c>
    </row>
    <row r="383" spans="1:19" ht="41.4">
      <c r="A383" s="22" t="s">
        <v>413</v>
      </c>
      <c r="B383" s="25">
        <v>45804</v>
      </c>
      <c r="C383" s="22" t="s">
        <v>17</v>
      </c>
      <c r="D383" s="22" t="s">
        <v>32</v>
      </c>
      <c r="E383" s="22" t="s">
        <v>24</v>
      </c>
      <c r="F383" s="22" t="s">
        <v>39</v>
      </c>
      <c r="G383" s="22" t="s">
        <v>30</v>
      </c>
      <c r="H383" s="22">
        <v>1</v>
      </c>
      <c r="I383" s="22">
        <v>0</v>
      </c>
      <c r="J383" s="22">
        <v>0</v>
      </c>
      <c r="K383" s="22">
        <v>0</v>
      </c>
      <c r="L383" s="22">
        <v>0</v>
      </c>
      <c r="M383" s="22">
        <v>0</v>
      </c>
      <c r="N383" s="22">
        <v>0</v>
      </c>
      <c r="O383" s="22"/>
      <c r="P383" s="22">
        <v>46</v>
      </c>
      <c r="Q383" s="22" t="str">
        <f t="shared" si="15"/>
        <v>Normal</v>
      </c>
      <c r="R383" s="26" t="str">
        <f t="shared" si="16"/>
        <v>USR-10038245804ControlSouthMobileReferralPremium100000046</v>
      </c>
      <c r="S383" s="22" t="str">
        <f t="shared" si="17"/>
        <v>OK</v>
      </c>
    </row>
    <row r="384" spans="1:19" ht="41.4">
      <c r="A384" s="22" t="s">
        <v>414</v>
      </c>
      <c r="B384" s="25">
        <v>45777</v>
      </c>
      <c r="C384" s="22" t="s">
        <v>17</v>
      </c>
      <c r="D384" s="22" t="s">
        <v>28</v>
      </c>
      <c r="E384" s="22" t="s">
        <v>24</v>
      </c>
      <c r="F384" s="22" t="s">
        <v>25</v>
      </c>
      <c r="G384" s="22" t="s">
        <v>26</v>
      </c>
      <c r="H384" s="22">
        <v>1</v>
      </c>
      <c r="I384" s="22">
        <v>0</v>
      </c>
      <c r="J384" s="22">
        <v>0</v>
      </c>
      <c r="K384" s="22">
        <v>0</v>
      </c>
      <c r="L384" s="22">
        <v>0</v>
      </c>
      <c r="M384" s="22">
        <v>0</v>
      </c>
      <c r="N384" s="22">
        <v>0</v>
      </c>
      <c r="O384" s="22"/>
      <c r="P384" s="22">
        <v>54.1</v>
      </c>
      <c r="Q384" s="22" t="str">
        <f t="shared" si="15"/>
        <v>Normal</v>
      </c>
      <c r="R384" s="26" t="str">
        <f t="shared" si="16"/>
        <v>USR-10038345777ControlEastMobileOrganicFree100000054.1</v>
      </c>
      <c r="S384" s="22" t="str">
        <f t="shared" si="17"/>
        <v>OK</v>
      </c>
    </row>
    <row r="385" spans="1:19" ht="41.4">
      <c r="A385" s="22" t="s">
        <v>415</v>
      </c>
      <c r="B385" s="25">
        <v>45723</v>
      </c>
      <c r="C385" s="22" t="s">
        <v>17</v>
      </c>
      <c r="D385" s="22" t="s">
        <v>23</v>
      </c>
      <c r="E385" s="22" t="s">
        <v>24</v>
      </c>
      <c r="F385" s="22" t="s">
        <v>41</v>
      </c>
      <c r="G385" s="22" t="s">
        <v>21</v>
      </c>
      <c r="H385" s="22">
        <v>1</v>
      </c>
      <c r="I385" s="22">
        <v>0</v>
      </c>
      <c r="J385" s="22">
        <v>0</v>
      </c>
      <c r="K385" s="22">
        <v>0</v>
      </c>
      <c r="L385" s="22">
        <v>0</v>
      </c>
      <c r="M385" s="22">
        <v>0</v>
      </c>
      <c r="N385" s="22">
        <v>0</v>
      </c>
      <c r="O385" s="22"/>
      <c r="P385" s="22">
        <v>82.4</v>
      </c>
      <c r="Q385" s="22" t="str">
        <f t="shared" si="15"/>
        <v>Normal</v>
      </c>
      <c r="R385" s="26" t="str">
        <f t="shared" si="16"/>
        <v>USR-10038445723ControlWestMobileSocialBasic100000082.4</v>
      </c>
      <c r="S385" s="22" t="str">
        <f t="shared" si="17"/>
        <v>OK</v>
      </c>
    </row>
    <row r="386" spans="1:19" ht="41.4">
      <c r="A386" s="22" t="s">
        <v>416</v>
      </c>
      <c r="B386" s="25">
        <v>45787</v>
      </c>
      <c r="C386" s="22" t="s">
        <v>17</v>
      </c>
      <c r="D386" s="22" t="s">
        <v>32</v>
      </c>
      <c r="E386" s="22" t="s">
        <v>24</v>
      </c>
      <c r="F386" s="22" t="s">
        <v>25</v>
      </c>
      <c r="G386" s="22" t="s">
        <v>21</v>
      </c>
      <c r="H386" s="22">
        <v>1</v>
      </c>
      <c r="I386" s="22">
        <v>1</v>
      </c>
      <c r="J386" s="22">
        <v>1</v>
      </c>
      <c r="K386" s="22">
        <v>0</v>
      </c>
      <c r="L386" s="22">
        <v>0</v>
      </c>
      <c r="M386" s="22">
        <v>0</v>
      </c>
      <c r="N386" s="22">
        <v>0</v>
      </c>
      <c r="O386" s="22"/>
      <c r="P386" s="22">
        <v>71.900000000000006</v>
      </c>
      <c r="Q386" s="22" t="str">
        <f t="shared" si="15"/>
        <v>Normal</v>
      </c>
      <c r="R386" s="26" t="str">
        <f t="shared" si="16"/>
        <v>USR-10038545787ControlSouthMobileOrganicBasic111000071.9</v>
      </c>
      <c r="S386" s="22" t="str">
        <f t="shared" si="17"/>
        <v>OK</v>
      </c>
    </row>
    <row r="387" spans="1:19" ht="41.4">
      <c r="A387" s="22" t="s">
        <v>417</v>
      </c>
      <c r="B387" s="25">
        <v>45799</v>
      </c>
      <c r="C387" s="22" t="s">
        <v>17</v>
      </c>
      <c r="D387" s="22" t="s">
        <v>28</v>
      </c>
      <c r="E387" s="22" t="s">
        <v>24</v>
      </c>
      <c r="F387" s="22" t="s">
        <v>25</v>
      </c>
      <c r="G387" s="22" t="s">
        <v>26</v>
      </c>
      <c r="H387" s="22">
        <v>0</v>
      </c>
      <c r="I387" s="22">
        <v>0</v>
      </c>
      <c r="J387" s="22">
        <v>0</v>
      </c>
      <c r="K387" s="22">
        <v>0</v>
      </c>
      <c r="L387" s="22">
        <v>0</v>
      </c>
      <c r="M387" s="22">
        <v>2</v>
      </c>
      <c r="N387" s="22">
        <v>0</v>
      </c>
      <c r="O387" s="22"/>
      <c r="P387" s="22">
        <v>38</v>
      </c>
      <c r="Q387" s="22" t="str">
        <f t="shared" ref="Q387:Q450" si="18">IF(OR(L387&lt;$V$40,L387&gt;$V$41),"Outlier","Normal")</f>
        <v>Normal</v>
      </c>
      <c r="R387" s="26" t="str">
        <f t="shared" ref="R387:R450" si="19">A387&amp;B387&amp;C387&amp;D387&amp;E387&amp;F387&amp;G387&amp;H387&amp;I387&amp;J387&amp;K387&amp;L387&amp;M387&amp;N387&amp;O387&amp;P387</f>
        <v>USR-10038645799ControlEastMobileOrganicFree000002038</v>
      </c>
      <c r="S387" s="22" t="str">
        <f t="shared" ref="S387:S450" si="20">IF(COUNTIF($R$2:$R$1409,R387)=1,"OK",IF(COUNTIF($R$2:$R$1409,R387)&gt;1,"Exact Duplicate","Review Required"))</f>
        <v>OK</v>
      </c>
    </row>
    <row r="388" spans="1:19" ht="41.4">
      <c r="A388" s="22" t="s">
        <v>418</v>
      </c>
      <c r="B388" s="25">
        <v>45697</v>
      </c>
      <c r="C388" s="22" t="s">
        <v>17</v>
      </c>
      <c r="D388" s="22" t="s">
        <v>28</v>
      </c>
      <c r="E388" s="22" t="s">
        <v>24</v>
      </c>
      <c r="F388" s="22" t="s">
        <v>29</v>
      </c>
      <c r="G388" s="22" t="s">
        <v>26</v>
      </c>
      <c r="H388" s="22">
        <v>1</v>
      </c>
      <c r="I388" s="22">
        <v>1</v>
      </c>
      <c r="J388" s="22">
        <v>0</v>
      </c>
      <c r="K388" s="22">
        <v>0</v>
      </c>
      <c r="L388" s="22">
        <v>0</v>
      </c>
      <c r="M388" s="22">
        <v>0</v>
      </c>
      <c r="N388" s="22">
        <v>0</v>
      </c>
      <c r="O388" s="22"/>
      <c r="P388" s="22">
        <v>43.7</v>
      </c>
      <c r="Q388" s="22" t="str">
        <f t="shared" si="18"/>
        <v>Normal</v>
      </c>
      <c r="R388" s="26" t="str">
        <f t="shared" si="19"/>
        <v>USR-10038745697ControlEastMobilePaid SearchFree110000043.7</v>
      </c>
      <c r="S388" s="22" t="str">
        <f t="shared" si="20"/>
        <v>OK</v>
      </c>
    </row>
    <row r="389" spans="1:19" ht="41.4">
      <c r="A389" s="22" t="s">
        <v>419</v>
      </c>
      <c r="B389" s="25">
        <v>45807</v>
      </c>
      <c r="C389" s="22" t="s">
        <v>17</v>
      </c>
      <c r="D389" s="22" t="s">
        <v>23</v>
      </c>
      <c r="E389" s="22" t="s">
        <v>19</v>
      </c>
      <c r="F389" s="22" t="s">
        <v>25</v>
      </c>
      <c r="G389" s="22" t="s">
        <v>30</v>
      </c>
      <c r="H389" s="22">
        <v>1</v>
      </c>
      <c r="I389" s="22">
        <v>0</v>
      </c>
      <c r="J389" s="22">
        <v>0</v>
      </c>
      <c r="K389" s="22">
        <v>0</v>
      </c>
      <c r="L389" s="22">
        <v>0</v>
      </c>
      <c r="M389" s="22">
        <v>1</v>
      </c>
      <c r="N389" s="22">
        <v>0</v>
      </c>
      <c r="O389" s="22"/>
      <c r="P389" s="22">
        <v>32.200000000000003</v>
      </c>
      <c r="Q389" s="22" t="str">
        <f t="shared" si="18"/>
        <v>Normal</v>
      </c>
      <c r="R389" s="26" t="str">
        <f t="shared" si="19"/>
        <v>USR-10038845807ControlWestDesktopOrganicPremium100001032.2</v>
      </c>
      <c r="S389" s="22" t="str">
        <f t="shared" si="20"/>
        <v>OK</v>
      </c>
    </row>
    <row r="390" spans="1:19" ht="41.4">
      <c r="A390" s="22" t="s">
        <v>420</v>
      </c>
      <c r="B390" s="25">
        <v>45778</v>
      </c>
      <c r="C390" s="22" t="s">
        <v>17</v>
      </c>
      <c r="D390" s="22" t="s">
        <v>32</v>
      </c>
      <c r="E390" s="22" t="s">
        <v>24</v>
      </c>
      <c r="F390" s="22" t="s">
        <v>25</v>
      </c>
      <c r="G390" s="22" t="s">
        <v>30</v>
      </c>
      <c r="H390" s="22">
        <v>1</v>
      </c>
      <c r="I390" s="22">
        <v>0</v>
      </c>
      <c r="J390" s="22">
        <v>0</v>
      </c>
      <c r="K390" s="22">
        <v>0</v>
      </c>
      <c r="L390" s="22">
        <v>0</v>
      </c>
      <c r="M390" s="22">
        <v>0</v>
      </c>
      <c r="N390" s="22">
        <v>0</v>
      </c>
      <c r="O390" s="22"/>
      <c r="P390" s="22">
        <v>61</v>
      </c>
      <c r="Q390" s="22" t="str">
        <f t="shared" si="18"/>
        <v>Normal</v>
      </c>
      <c r="R390" s="26" t="str">
        <f t="shared" si="19"/>
        <v>USR-10038945778ControlSouthMobileOrganicPremium100000061</v>
      </c>
      <c r="S390" s="22" t="str">
        <f t="shared" si="20"/>
        <v>OK</v>
      </c>
    </row>
    <row r="391" spans="1:19" ht="41.4">
      <c r="A391" s="22" t="s">
        <v>421</v>
      </c>
      <c r="B391" s="25">
        <v>45660</v>
      </c>
      <c r="C391" s="22" t="s">
        <v>17</v>
      </c>
      <c r="D391" s="22" t="s">
        <v>32</v>
      </c>
      <c r="E391" s="22" t="s">
        <v>24</v>
      </c>
      <c r="F391" s="22" t="s">
        <v>29</v>
      </c>
      <c r="G391" s="22" t="s">
        <v>26</v>
      </c>
      <c r="H391" s="22">
        <v>1</v>
      </c>
      <c r="I391" s="22">
        <v>0</v>
      </c>
      <c r="J391" s="22">
        <v>0</v>
      </c>
      <c r="K391" s="22">
        <v>0</v>
      </c>
      <c r="L391" s="22">
        <v>0</v>
      </c>
      <c r="M391" s="22">
        <v>0</v>
      </c>
      <c r="N391" s="22">
        <v>0</v>
      </c>
      <c r="O391" s="22"/>
      <c r="P391" s="22">
        <v>49</v>
      </c>
      <c r="Q391" s="22" t="str">
        <f t="shared" si="18"/>
        <v>Normal</v>
      </c>
      <c r="R391" s="26" t="str">
        <f t="shared" si="19"/>
        <v>USR-10039045660ControlSouthMobilePaid SearchFree100000049</v>
      </c>
      <c r="S391" s="22" t="str">
        <f t="shared" si="20"/>
        <v>OK</v>
      </c>
    </row>
    <row r="392" spans="1:19" ht="41.4">
      <c r="A392" s="22" t="s">
        <v>422</v>
      </c>
      <c r="B392" s="25">
        <v>45701</v>
      </c>
      <c r="C392" s="22" t="s">
        <v>17</v>
      </c>
      <c r="D392" s="22" t="s">
        <v>28</v>
      </c>
      <c r="E392" s="22" t="s">
        <v>24</v>
      </c>
      <c r="F392" s="22" t="s">
        <v>25</v>
      </c>
      <c r="G392" s="22" t="s">
        <v>26</v>
      </c>
      <c r="H392" s="22">
        <v>0</v>
      </c>
      <c r="I392" s="22">
        <v>0</v>
      </c>
      <c r="J392" s="22">
        <v>0</v>
      </c>
      <c r="K392" s="22">
        <v>0</v>
      </c>
      <c r="L392" s="22">
        <v>0</v>
      </c>
      <c r="M392" s="22">
        <v>0</v>
      </c>
      <c r="N392" s="22">
        <v>0</v>
      </c>
      <c r="O392" s="22"/>
      <c r="P392" s="22">
        <v>48.1</v>
      </c>
      <c r="Q392" s="22" t="str">
        <f t="shared" si="18"/>
        <v>Normal</v>
      </c>
      <c r="R392" s="26" t="str">
        <f t="shared" si="19"/>
        <v>USR-10039145701ControlEastMobileOrganicFree000000048.1</v>
      </c>
      <c r="S392" s="22" t="str">
        <f t="shared" si="20"/>
        <v>OK</v>
      </c>
    </row>
    <row r="393" spans="1:19" ht="41.4">
      <c r="A393" s="22" t="s">
        <v>423</v>
      </c>
      <c r="B393" s="25">
        <v>45671</v>
      </c>
      <c r="C393" s="22" t="s">
        <v>17</v>
      </c>
      <c r="D393" s="22" t="s">
        <v>32</v>
      </c>
      <c r="E393" s="22" t="s">
        <v>19</v>
      </c>
      <c r="F393" s="22" t="s">
        <v>25</v>
      </c>
      <c r="G393" s="22" t="s">
        <v>26</v>
      </c>
      <c r="H393" s="22">
        <v>0</v>
      </c>
      <c r="I393" s="22">
        <v>0</v>
      </c>
      <c r="J393" s="22">
        <v>0</v>
      </c>
      <c r="K393" s="22">
        <v>0</v>
      </c>
      <c r="L393" s="22">
        <v>0</v>
      </c>
      <c r="M393" s="22">
        <v>2</v>
      </c>
      <c r="N393" s="22">
        <v>0</v>
      </c>
      <c r="O393" s="22"/>
      <c r="P393" s="22">
        <v>46.3</v>
      </c>
      <c r="Q393" s="22" t="str">
        <f t="shared" si="18"/>
        <v>Normal</v>
      </c>
      <c r="R393" s="26" t="str">
        <f t="shared" si="19"/>
        <v>USR-10039245671ControlSouthDesktopOrganicFree000002046.3</v>
      </c>
      <c r="S393" s="22" t="str">
        <f t="shared" si="20"/>
        <v>OK</v>
      </c>
    </row>
    <row r="394" spans="1:19" ht="41.4">
      <c r="A394" s="22" t="s">
        <v>424</v>
      </c>
      <c r="B394" s="25">
        <v>45712</v>
      </c>
      <c r="C394" s="22" t="s">
        <v>17</v>
      </c>
      <c r="D394" s="22" t="s">
        <v>18</v>
      </c>
      <c r="E394" s="22" t="s">
        <v>24</v>
      </c>
      <c r="F394" s="22" t="s">
        <v>39</v>
      </c>
      <c r="G394" s="22" t="s">
        <v>26</v>
      </c>
      <c r="H394" s="22">
        <v>0</v>
      </c>
      <c r="I394" s="22">
        <v>0</v>
      </c>
      <c r="J394" s="22">
        <v>0</v>
      </c>
      <c r="K394" s="22">
        <v>0</v>
      </c>
      <c r="L394" s="22">
        <v>0</v>
      </c>
      <c r="M394" s="22">
        <v>0</v>
      </c>
      <c r="N394" s="22">
        <v>0</v>
      </c>
      <c r="O394" s="22"/>
      <c r="P394" s="22">
        <v>64</v>
      </c>
      <c r="Q394" s="22" t="str">
        <f t="shared" si="18"/>
        <v>Normal</v>
      </c>
      <c r="R394" s="26" t="str">
        <f t="shared" si="19"/>
        <v>USR-10039345712ControlNorthMobileReferralFree000000064</v>
      </c>
      <c r="S394" s="22" t="str">
        <f t="shared" si="20"/>
        <v>OK</v>
      </c>
    </row>
    <row r="395" spans="1:19" ht="41.4">
      <c r="A395" s="22" t="s">
        <v>425</v>
      </c>
      <c r="B395" s="25">
        <v>45793</v>
      </c>
      <c r="C395" s="22" t="s">
        <v>17</v>
      </c>
      <c r="D395" s="22" t="s">
        <v>23</v>
      </c>
      <c r="E395" s="22" t="s">
        <v>19</v>
      </c>
      <c r="F395" s="22" t="s">
        <v>25</v>
      </c>
      <c r="G395" s="22" t="s">
        <v>21</v>
      </c>
      <c r="H395" s="22">
        <v>1</v>
      </c>
      <c r="I395" s="22">
        <v>1</v>
      </c>
      <c r="J395" s="22">
        <v>0</v>
      </c>
      <c r="K395" s="22">
        <v>0</v>
      </c>
      <c r="L395" s="22">
        <v>0</v>
      </c>
      <c r="M395" s="22">
        <v>0</v>
      </c>
      <c r="N395" s="22">
        <v>0</v>
      </c>
      <c r="O395" s="22"/>
      <c r="P395" s="22">
        <v>56.2</v>
      </c>
      <c r="Q395" s="22" t="str">
        <f t="shared" si="18"/>
        <v>Normal</v>
      </c>
      <c r="R395" s="26" t="str">
        <f t="shared" si="19"/>
        <v>USR-10039445793ControlWestDesktopOrganicBasic110000056.2</v>
      </c>
      <c r="S395" s="22" t="str">
        <f t="shared" si="20"/>
        <v>OK</v>
      </c>
    </row>
    <row r="396" spans="1:19" ht="41.4">
      <c r="A396" s="22" t="s">
        <v>426</v>
      </c>
      <c r="B396" s="25">
        <v>45776</v>
      </c>
      <c r="C396" s="22" t="s">
        <v>17</v>
      </c>
      <c r="D396" s="22" t="s">
        <v>18</v>
      </c>
      <c r="E396" s="22" t="s">
        <v>24</v>
      </c>
      <c r="F396" s="22" t="s">
        <v>29</v>
      </c>
      <c r="G396" s="22" t="s">
        <v>26</v>
      </c>
      <c r="H396" s="22">
        <v>1</v>
      </c>
      <c r="I396" s="22">
        <v>1</v>
      </c>
      <c r="J396" s="22">
        <v>1</v>
      </c>
      <c r="K396" s="22">
        <v>0</v>
      </c>
      <c r="L396" s="22">
        <v>0</v>
      </c>
      <c r="M396" s="22">
        <v>0</v>
      </c>
      <c r="N396" s="22">
        <v>0</v>
      </c>
      <c r="O396" s="22"/>
      <c r="P396" s="22">
        <v>77.5</v>
      </c>
      <c r="Q396" s="22" t="str">
        <f t="shared" si="18"/>
        <v>Normal</v>
      </c>
      <c r="R396" s="26" t="str">
        <f t="shared" si="19"/>
        <v>USR-10039545776ControlNorthMobilePaid SearchFree111000077.5</v>
      </c>
      <c r="S396" s="22" t="str">
        <f t="shared" si="20"/>
        <v>OK</v>
      </c>
    </row>
    <row r="397" spans="1:19" ht="41.4">
      <c r="A397" s="22" t="s">
        <v>427</v>
      </c>
      <c r="B397" s="25">
        <v>45777</v>
      </c>
      <c r="C397" s="22" t="s">
        <v>17</v>
      </c>
      <c r="D397" s="22" t="s">
        <v>32</v>
      </c>
      <c r="E397" s="22" t="s">
        <v>19</v>
      </c>
      <c r="F397" s="22" t="s">
        <v>20</v>
      </c>
      <c r="G397" s="22" t="s">
        <v>21</v>
      </c>
      <c r="H397" s="22">
        <v>1</v>
      </c>
      <c r="I397" s="22">
        <v>0</v>
      </c>
      <c r="J397" s="22">
        <v>0</v>
      </c>
      <c r="K397" s="22">
        <v>0</v>
      </c>
      <c r="L397" s="22">
        <v>0</v>
      </c>
      <c r="M397" s="22">
        <v>0</v>
      </c>
      <c r="N397" s="22">
        <v>0</v>
      </c>
      <c r="O397" s="22"/>
      <c r="P397" s="22">
        <v>59.9</v>
      </c>
      <c r="Q397" s="22" t="str">
        <f t="shared" si="18"/>
        <v>Normal</v>
      </c>
      <c r="R397" s="26" t="str">
        <f t="shared" si="19"/>
        <v>USR-10039645777ControlSouthDesktopEmailBasic100000059.9</v>
      </c>
      <c r="S397" s="22" t="str">
        <f t="shared" si="20"/>
        <v>OK</v>
      </c>
    </row>
    <row r="398" spans="1:19" ht="41.4">
      <c r="A398" s="22" t="s">
        <v>428</v>
      </c>
      <c r="B398" s="25">
        <v>45666</v>
      </c>
      <c r="C398" s="22" t="s">
        <v>17</v>
      </c>
      <c r="D398" s="22" t="s">
        <v>32</v>
      </c>
      <c r="E398" s="22" t="s">
        <v>19</v>
      </c>
      <c r="F398" s="22" t="s">
        <v>25</v>
      </c>
      <c r="G398" s="22" t="s">
        <v>26</v>
      </c>
      <c r="H398" s="22">
        <v>1</v>
      </c>
      <c r="I398" s="22">
        <v>1</v>
      </c>
      <c r="J398" s="22">
        <v>0</v>
      </c>
      <c r="K398" s="22">
        <v>0</v>
      </c>
      <c r="L398" s="22">
        <v>0</v>
      </c>
      <c r="M398" s="22">
        <v>0</v>
      </c>
      <c r="N398" s="22">
        <v>0</v>
      </c>
      <c r="O398" s="22"/>
      <c r="P398" s="22">
        <v>63</v>
      </c>
      <c r="Q398" s="22" t="str">
        <f t="shared" si="18"/>
        <v>Normal</v>
      </c>
      <c r="R398" s="26" t="str">
        <f t="shared" si="19"/>
        <v>USR-10039745666ControlSouthDesktopOrganicFree110000063</v>
      </c>
      <c r="S398" s="22" t="str">
        <f t="shared" si="20"/>
        <v>OK</v>
      </c>
    </row>
    <row r="399" spans="1:19" ht="41.4">
      <c r="A399" s="22" t="s">
        <v>429</v>
      </c>
      <c r="B399" s="25">
        <v>45772</v>
      </c>
      <c r="C399" s="22" t="s">
        <v>17</v>
      </c>
      <c r="D399" s="22" t="s">
        <v>32</v>
      </c>
      <c r="E399" s="22" t="s">
        <v>24</v>
      </c>
      <c r="F399" s="22" t="s">
        <v>25</v>
      </c>
      <c r="G399" s="22" t="s">
        <v>26</v>
      </c>
      <c r="H399" s="22">
        <v>1</v>
      </c>
      <c r="I399" s="22">
        <v>1</v>
      </c>
      <c r="J399" s="22">
        <v>0</v>
      </c>
      <c r="K399" s="22">
        <v>0</v>
      </c>
      <c r="L399" s="22">
        <v>0</v>
      </c>
      <c r="M399" s="22">
        <v>0</v>
      </c>
      <c r="N399" s="22">
        <v>0</v>
      </c>
      <c r="O399" s="22"/>
      <c r="P399" s="22">
        <v>76.5</v>
      </c>
      <c r="Q399" s="22" t="str">
        <f t="shared" si="18"/>
        <v>Normal</v>
      </c>
      <c r="R399" s="26" t="str">
        <f t="shared" si="19"/>
        <v>USR-10039845772ControlSouthMobileOrganicFree110000076.5</v>
      </c>
      <c r="S399" s="22" t="str">
        <f t="shared" si="20"/>
        <v>OK</v>
      </c>
    </row>
    <row r="400" spans="1:19" ht="41.4">
      <c r="A400" s="22" t="s">
        <v>430</v>
      </c>
      <c r="B400" s="25">
        <v>45728</v>
      </c>
      <c r="C400" s="22" t="s">
        <v>17</v>
      </c>
      <c r="D400" s="22" t="s">
        <v>18</v>
      </c>
      <c r="E400" s="22" t="s">
        <v>19</v>
      </c>
      <c r="F400" s="22" t="s">
        <v>29</v>
      </c>
      <c r="G400" s="22" t="s">
        <v>26</v>
      </c>
      <c r="H400" s="22">
        <v>1</v>
      </c>
      <c r="I400" s="22">
        <v>0</v>
      </c>
      <c r="J400" s="22">
        <v>0</v>
      </c>
      <c r="K400" s="22">
        <v>0</v>
      </c>
      <c r="L400" s="22">
        <v>0</v>
      </c>
      <c r="M400" s="22">
        <v>0</v>
      </c>
      <c r="N400" s="22">
        <v>0</v>
      </c>
      <c r="O400" s="22"/>
      <c r="P400" s="22">
        <v>39.700000000000003</v>
      </c>
      <c r="Q400" s="22" t="str">
        <f t="shared" si="18"/>
        <v>Normal</v>
      </c>
      <c r="R400" s="26" t="str">
        <f t="shared" si="19"/>
        <v>USR-10039945728ControlNorthDesktopPaid SearchFree100000039.7</v>
      </c>
      <c r="S400" s="22" t="str">
        <f t="shared" si="20"/>
        <v>OK</v>
      </c>
    </row>
    <row r="401" spans="1:19" ht="41.4">
      <c r="A401" s="22" t="s">
        <v>431</v>
      </c>
      <c r="B401" s="25">
        <v>45736</v>
      </c>
      <c r="C401" s="22" t="s">
        <v>17</v>
      </c>
      <c r="D401" s="22" t="s">
        <v>18</v>
      </c>
      <c r="E401" s="22" t="s">
        <v>24</v>
      </c>
      <c r="F401" s="22" t="s">
        <v>25</v>
      </c>
      <c r="G401" s="22" t="s">
        <v>26</v>
      </c>
      <c r="H401" s="22">
        <v>1</v>
      </c>
      <c r="I401" s="22">
        <v>1</v>
      </c>
      <c r="J401" s="22">
        <v>0</v>
      </c>
      <c r="K401" s="22">
        <v>0</v>
      </c>
      <c r="L401" s="22">
        <v>0</v>
      </c>
      <c r="M401" s="22">
        <v>0</v>
      </c>
      <c r="N401" s="22">
        <v>0</v>
      </c>
      <c r="O401" s="22"/>
      <c r="P401" s="22">
        <v>80.2</v>
      </c>
      <c r="Q401" s="22" t="str">
        <f t="shared" si="18"/>
        <v>Normal</v>
      </c>
      <c r="R401" s="26" t="str">
        <f t="shared" si="19"/>
        <v>USR-10040045736ControlNorthMobileOrganicFree110000080.2</v>
      </c>
      <c r="S401" s="22" t="str">
        <f t="shared" si="20"/>
        <v>OK</v>
      </c>
    </row>
    <row r="402" spans="1:19" ht="41.4">
      <c r="A402" s="22" t="s">
        <v>432</v>
      </c>
      <c r="B402" s="25">
        <v>45706</v>
      </c>
      <c r="C402" s="22" t="s">
        <v>17</v>
      </c>
      <c r="D402" s="22" t="s">
        <v>23</v>
      </c>
      <c r="E402" s="22" t="s">
        <v>24</v>
      </c>
      <c r="F402" s="22" t="s">
        <v>29</v>
      </c>
      <c r="G402" s="22" t="s">
        <v>26</v>
      </c>
      <c r="H402" s="22">
        <v>1</v>
      </c>
      <c r="I402" s="22">
        <v>0</v>
      </c>
      <c r="J402" s="22">
        <v>0</v>
      </c>
      <c r="K402" s="22">
        <v>0</v>
      </c>
      <c r="L402" s="22">
        <v>0</v>
      </c>
      <c r="M402" s="22">
        <v>0</v>
      </c>
      <c r="N402" s="22">
        <v>0</v>
      </c>
      <c r="O402" s="22"/>
      <c r="P402" s="22">
        <v>72.2</v>
      </c>
      <c r="Q402" s="22" t="str">
        <f t="shared" si="18"/>
        <v>Normal</v>
      </c>
      <c r="R402" s="26" t="str">
        <f t="shared" si="19"/>
        <v>USR-10040145706ControlWestMobilePaid SearchFree100000072.2</v>
      </c>
      <c r="S402" s="22" t="str">
        <f t="shared" si="20"/>
        <v>OK</v>
      </c>
    </row>
    <row r="403" spans="1:19" ht="41.4">
      <c r="A403" s="22" t="s">
        <v>433</v>
      </c>
      <c r="B403" s="25">
        <v>45679</v>
      </c>
      <c r="C403" s="22" t="s">
        <v>17</v>
      </c>
      <c r="D403" s="22" t="s">
        <v>18</v>
      </c>
      <c r="E403" s="22" t="s">
        <v>24</v>
      </c>
      <c r="F403" s="22" t="s">
        <v>41</v>
      </c>
      <c r="G403" s="22" t="s">
        <v>21</v>
      </c>
      <c r="H403" s="22">
        <v>0</v>
      </c>
      <c r="I403" s="22">
        <v>0</v>
      </c>
      <c r="J403" s="22">
        <v>0</v>
      </c>
      <c r="K403" s="22">
        <v>0</v>
      </c>
      <c r="L403" s="22">
        <v>0</v>
      </c>
      <c r="M403" s="22">
        <v>0</v>
      </c>
      <c r="N403" s="22">
        <v>0</v>
      </c>
      <c r="O403" s="22"/>
      <c r="P403" s="22">
        <v>56</v>
      </c>
      <c r="Q403" s="22" t="str">
        <f t="shared" si="18"/>
        <v>Normal</v>
      </c>
      <c r="R403" s="26" t="str">
        <f t="shared" si="19"/>
        <v>USR-10040245679ControlNorthMobileSocialBasic000000056</v>
      </c>
      <c r="S403" s="22" t="str">
        <f t="shared" si="20"/>
        <v>OK</v>
      </c>
    </row>
    <row r="404" spans="1:19" ht="41.4">
      <c r="A404" s="22" t="s">
        <v>434</v>
      </c>
      <c r="B404" s="25">
        <v>45696</v>
      </c>
      <c r="C404" s="22" t="s">
        <v>17</v>
      </c>
      <c r="D404" s="22" t="s">
        <v>23</v>
      </c>
      <c r="E404" s="22" t="s">
        <v>24</v>
      </c>
      <c r="F404" s="22" t="s">
        <v>20</v>
      </c>
      <c r="G404" s="22" t="s">
        <v>21</v>
      </c>
      <c r="H404" s="22">
        <v>1</v>
      </c>
      <c r="I404" s="22">
        <v>1</v>
      </c>
      <c r="J404" s="22">
        <v>1</v>
      </c>
      <c r="K404" s="22">
        <v>0</v>
      </c>
      <c r="L404" s="22">
        <v>0</v>
      </c>
      <c r="M404" s="22">
        <v>0</v>
      </c>
      <c r="N404" s="22">
        <v>0</v>
      </c>
      <c r="O404" s="22"/>
      <c r="P404" s="22">
        <v>69.099999999999994</v>
      </c>
      <c r="Q404" s="22" t="str">
        <f t="shared" si="18"/>
        <v>Normal</v>
      </c>
      <c r="R404" s="26" t="str">
        <f t="shared" si="19"/>
        <v>USR-10040345696ControlWestMobileEmailBasic111000069.1</v>
      </c>
      <c r="S404" s="22" t="str">
        <f t="shared" si="20"/>
        <v>OK</v>
      </c>
    </row>
    <row r="405" spans="1:19" ht="41.4">
      <c r="A405" s="22" t="s">
        <v>435</v>
      </c>
      <c r="B405" s="25">
        <v>45677</v>
      </c>
      <c r="C405" s="22" t="s">
        <v>17</v>
      </c>
      <c r="D405" s="22" t="s">
        <v>18</v>
      </c>
      <c r="E405" s="22" t="s">
        <v>24</v>
      </c>
      <c r="F405" s="22" t="s">
        <v>20</v>
      </c>
      <c r="G405" s="22" t="s">
        <v>30</v>
      </c>
      <c r="H405" s="22">
        <v>0</v>
      </c>
      <c r="I405" s="22">
        <v>0</v>
      </c>
      <c r="J405" s="22">
        <v>0</v>
      </c>
      <c r="K405" s="22">
        <v>0</v>
      </c>
      <c r="L405" s="22">
        <v>0</v>
      </c>
      <c r="M405" s="22">
        <v>1</v>
      </c>
      <c r="N405" s="22">
        <v>0</v>
      </c>
      <c r="O405" s="22"/>
      <c r="P405" s="22">
        <v>70.599999999999994</v>
      </c>
      <c r="Q405" s="22" t="str">
        <f t="shared" si="18"/>
        <v>Normal</v>
      </c>
      <c r="R405" s="26" t="str">
        <f t="shared" si="19"/>
        <v>USR-10040445677ControlNorthMobileEmailPremium000001070.6</v>
      </c>
      <c r="S405" s="22" t="str">
        <f t="shared" si="20"/>
        <v>OK</v>
      </c>
    </row>
    <row r="406" spans="1:19" ht="41.4">
      <c r="A406" s="22" t="s">
        <v>436</v>
      </c>
      <c r="B406" s="25">
        <v>45769</v>
      </c>
      <c r="C406" s="22" t="s">
        <v>17</v>
      </c>
      <c r="D406" s="22" t="s">
        <v>23</v>
      </c>
      <c r="E406" s="22" t="s">
        <v>19</v>
      </c>
      <c r="F406" s="22" t="s">
        <v>39</v>
      </c>
      <c r="G406" s="22" t="s">
        <v>26</v>
      </c>
      <c r="H406" s="22">
        <v>1</v>
      </c>
      <c r="I406" s="22">
        <v>0</v>
      </c>
      <c r="J406" s="22">
        <v>0</v>
      </c>
      <c r="K406" s="22">
        <v>0</v>
      </c>
      <c r="L406" s="22">
        <v>0</v>
      </c>
      <c r="M406" s="22">
        <v>0</v>
      </c>
      <c r="N406" s="22">
        <v>0</v>
      </c>
      <c r="O406" s="22"/>
      <c r="P406" s="22">
        <v>57.9</v>
      </c>
      <c r="Q406" s="22" t="str">
        <f t="shared" si="18"/>
        <v>Normal</v>
      </c>
      <c r="R406" s="26" t="str">
        <f t="shared" si="19"/>
        <v>USR-10040545769ControlWestDesktopReferralFree100000057.9</v>
      </c>
      <c r="S406" s="22" t="str">
        <f t="shared" si="20"/>
        <v>OK</v>
      </c>
    </row>
    <row r="407" spans="1:19" ht="41.4">
      <c r="A407" s="22" t="s">
        <v>437</v>
      </c>
      <c r="B407" s="25">
        <v>45679</v>
      </c>
      <c r="C407" s="22" t="s">
        <v>17</v>
      </c>
      <c r="D407" s="22" t="s">
        <v>28</v>
      </c>
      <c r="E407" s="22" t="s">
        <v>24</v>
      </c>
      <c r="F407" s="22" t="s">
        <v>25</v>
      </c>
      <c r="G407" s="22" t="s">
        <v>21</v>
      </c>
      <c r="H407" s="22">
        <v>1</v>
      </c>
      <c r="I407" s="22">
        <v>1</v>
      </c>
      <c r="J407" s="22">
        <v>0</v>
      </c>
      <c r="K407" s="22">
        <v>0</v>
      </c>
      <c r="L407" s="22">
        <v>0</v>
      </c>
      <c r="M407" s="22">
        <v>0</v>
      </c>
      <c r="N407" s="22">
        <v>0</v>
      </c>
      <c r="O407" s="22"/>
      <c r="P407" s="22">
        <v>41.4</v>
      </c>
      <c r="Q407" s="22" t="str">
        <f t="shared" si="18"/>
        <v>Normal</v>
      </c>
      <c r="R407" s="26" t="str">
        <f t="shared" si="19"/>
        <v>USR-10040645679ControlEastMobileOrganicBasic110000041.4</v>
      </c>
      <c r="S407" s="22" t="str">
        <f t="shared" si="20"/>
        <v>OK</v>
      </c>
    </row>
    <row r="408" spans="1:19" ht="41.4">
      <c r="A408" s="22" t="s">
        <v>438</v>
      </c>
      <c r="B408" s="25">
        <v>45788</v>
      </c>
      <c r="C408" s="22" t="s">
        <v>17</v>
      </c>
      <c r="D408" s="22" t="s">
        <v>23</v>
      </c>
      <c r="E408" s="22" t="s">
        <v>24</v>
      </c>
      <c r="F408" s="22" t="s">
        <v>25</v>
      </c>
      <c r="G408" s="22" t="s">
        <v>21</v>
      </c>
      <c r="H408" s="22">
        <v>1</v>
      </c>
      <c r="I408" s="22">
        <v>0</v>
      </c>
      <c r="J408" s="22">
        <v>0</v>
      </c>
      <c r="K408" s="22">
        <v>0</v>
      </c>
      <c r="L408" s="22">
        <v>0</v>
      </c>
      <c r="M408" s="22">
        <v>0</v>
      </c>
      <c r="N408" s="22">
        <v>0</v>
      </c>
      <c r="O408" s="22"/>
      <c r="P408" s="22">
        <v>60.9</v>
      </c>
      <c r="Q408" s="22" t="str">
        <f t="shared" si="18"/>
        <v>Normal</v>
      </c>
      <c r="R408" s="26" t="str">
        <f t="shared" si="19"/>
        <v>USR-10040745788ControlWestMobileOrganicBasic100000060.9</v>
      </c>
      <c r="S408" s="22" t="str">
        <f t="shared" si="20"/>
        <v>OK</v>
      </c>
    </row>
    <row r="409" spans="1:19" ht="41.4">
      <c r="A409" s="22" t="s">
        <v>439</v>
      </c>
      <c r="B409" s="25">
        <v>45694</v>
      </c>
      <c r="C409" s="22" t="s">
        <v>17</v>
      </c>
      <c r="D409" s="22" t="s">
        <v>32</v>
      </c>
      <c r="E409" s="22" t="s">
        <v>24</v>
      </c>
      <c r="F409" s="22" t="s">
        <v>25</v>
      </c>
      <c r="G409" s="22" t="s">
        <v>21</v>
      </c>
      <c r="H409" s="22">
        <v>0</v>
      </c>
      <c r="I409" s="22">
        <v>0</v>
      </c>
      <c r="J409" s="22">
        <v>0</v>
      </c>
      <c r="K409" s="22">
        <v>0</v>
      </c>
      <c r="L409" s="22">
        <v>0</v>
      </c>
      <c r="M409" s="22">
        <v>1</v>
      </c>
      <c r="N409" s="22">
        <v>0</v>
      </c>
      <c r="O409" s="22"/>
      <c r="P409" s="22">
        <v>63.8</v>
      </c>
      <c r="Q409" s="22" t="str">
        <f t="shared" si="18"/>
        <v>Normal</v>
      </c>
      <c r="R409" s="26" t="str">
        <f t="shared" si="19"/>
        <v>USR-10040845694ControlSouthMobileOrganicBasic000001063.8</v>
      </c>
      <c r="S409" s="22" t="str">
        <f t="shared" si="20"/>
        <v>OK</v>
      </c>
    </row>
    <row r="410" spans="1:19" ht="41.4">
      <c r="A410" s="22" t="s">
        <v>440</v>
      </c>
      <c r="B410" s="25">
        <v>45709</v>
      </c>
      <c r="C410" s="22" t="s">
        <v>17</v>
      </c>
      <c r="D410" s="22" t="s">
        <v>18</v>
      </c>
      <c r="E410" s="22" t="s">
        <v>19</v>
      </c>
      <c r="F410" s="22" t="s">
        <v>25</v>
      </c>
      <c r="G410" s="22" t="s">
        <v>30</v>
      </c>
      <c r="H410" s="22">
        <v>1</v>
      </c>
      <c r="I410" s="22">
        <v>0</v>
      </c>
      <c r="J410" s="22">
        <v>0</v>
      </c>
      <c r="K410" s="22">
        <v>0</v>
      </c>
      <c r="L410" s="22">
        <v>0</v>
      </c>
      <c r="M410" s="22">
        <v>0</v>
      </c>
      <c r="N410" s="22">
        <v>0</v>
      </c>
      <c r="O410" s="22"/>
      <c r="P410" s="22">
        <v>79.2</v>
      </c>
      <c r="Q410" s="22" t="str">
        <f t="shared" si="18"/>
        <v>Normal</v>
      </c>
      <c r="R410" s="26" t="str">
        <f t="shared" si="19"/>
        <v>USR-10040945709ControlNorthDesktopOrganicPremium100000079.2</v>
      </c>
      <c r="S410" s="22" t="str">
        <f t="shared" si="20"/>
        <v>OK</v>
      </c>
    </row>
    <row r="411" spans="1:19" ht="41.4">
      <c r="A411" s="22" t="s">
        <v>441</v>
      </c>
      <c r="B411" s="25">
        <v>45670</v>
      </c>
      <c r="C411" s="22" t="s">
        <v>17</v>
      </c>
      <c r="D411" s="22" t="s">
        <v>23</v>
      </c>
      <c r="E411" s="22" t="s">
        <v>24</v>
      </c>
      <c r="F411" s="22" t="s">
        <v>20</v>
      </c>
      <c r="G411" s="22" t="s">
        <v>30</v>
      </c>
      <c r="H411" s="22">
        <v>1</v>
      </c>
      <c r="I411" s="22">
        <v>1</v>
      </c>
      <c r="J411" s="22">
        <v>1</v>
      </c>
      <c r="K411" s="22">
        <v>0</v>
      </c>
      <c r="L411" s="22">
        <v>0</v>
      </c>
      <c r="M411" s="22">
        <v>0</v>
      </c>
      <c r="N411" s="22">
        <v>0</v>
      </c>
      <c r="O411" s="22"/>
      <c r="P411" s="22">
        <v>53.3</v>
      </c>
      <c r="Q411" s="22" t="str">
        <f t="shared" si="18"/>
        <v>Normal</v>
      </c>
      <c r="R411" s="26" t="str">
        <f t="shared" si="19"/>
        <v>USR-10041045670ControlWestMobileEmailPremium111000053.3</v>
      </c>
      <c r="S411" s="22" t="str">
        <f t="shared" si="20"/>
        <v>OK</v>
      </c>
    </row>
    <row r="412" spans="1:19" ht="41.4">
      <c r="A412" s="22" t="s">
        <v>442</v>
      </c>
      <c r="B412" s="25">
        <v>45723</v>
      </c>
      <c r="C412" s="22" t="s">
        <v>17</v>
      </c>
      <c r="D412" s="22" t="s">
        <v>18</v>
      </c>
      <c r="E412" s="22" t="s">
        <v>24</v>
      </c>
      <c r="F412" s="22" t="s">
        <v>39</v>
      </c>
      <c r="G412" s="22" t="s">
        <v>30</v>
      </c>
      <c r="H412" s="22">
        <v>1</v>
      </c>
      <c r="I412" s="22">
        <v>1</v>
      </c>
      <c r="J412" s="22">
        <v>1</v>
      </c>
      <c r="K412" s="22">
        <v>1</v>
      </c>
      <c r="L412" s="22">
        <v>2144.8200000000002</v>
      </c>
      <c r="M412" s="22">
        <v>0</v>
      </c>
      <c r="N412" s="22">
        <v>0</v>
      </c>
      <c r="O412" s="22">
        <v>6</v>
      </c>
      <c r="P412" s="22">
        <v>52.3</v>
      </c>
      <c r="Q412" s="22" t="str">
        <f t="shared" si="18"/>
        <v>Normal</v>
      </c>
      <c r="R412" s="26" t="str">
        <f t="shared" si="19"/>
        <v>USR-10041145723ControlNorthMobileReferralPremium11112144.8200652.3</v>
      </c>
      <c r="S412" s="22" t="str">
        <f t="shared" si="20"/>
        <v>OK</v>
      </c>
    </row>
    <row r="413" spans="1:19" ht="41.4">
      <c r="A413" s="22" t="s">
        <v>443</v>
      </c>
      <c r="B413" s="25">
        <v>45714</v>
      </c>
      <c r="C413" s="22" t="s">
        <v>17</v>
      </c>
      <c r="D413" s="22" t="s">
        <v>23</v>
      </c>
      <c r="E413" s="22" t="s">
        <v>19</v>
      </c>
      <c r="F413" s="22" t="s">
        <v>25</v>
      </c>
      <c r="G413" s="22" t="s">
        <v>21</v>
      </c>
      <c r="H413" s="22">
        <v>1</v>
      </c>
      <c r="I413" s="22">
        <v>1</v>
      </c>
      <c r="J413" s="22">
        <v>0</v>
      </c>
      <c r="K413" s="22">
        <v>0</v>
      </c>
      <c r="L413" s="22">
        <v>0</v>
      </c>
      <c r="M413" s="22">
        <v>0</v>
      </c>
      <c r="N413" s="22">
        <v>0</v>
      </c>
      <c r="O413" s="22"/>
      <c r="P413" s="22">
        <v>62.4</v>
      </c>
      <c r="Q413" s="22" t="str">
        <f t="shared" si="18"/>
        <v>Normal</v>
      </c>
      <c r="R413" s="26" t="str">
        <f t="shared" si="19"/>
        <v>USR-10041245714ControlWestDesktopOrganicBasic110000062.4</v>
      </c>
      <c r="S413" s="22" t="str">
        <f t="shared" si="20"/>
        <v>OK</v>
      </c>
    </row>
    <row r="414" spans="1:19" ht="41.4">
      <c r="A414" s="22" t="s">
        <v>444</v>
      </c>
      <c r="B414" s="25">
        <v>45782</v>
      </c>
      <c r="C414" s="22" t="s">
        <v>17</v>
      </c>
      <c r="D414" s="22" t="s">
        <v>18</v>
      </c>
      <c r="E414" s="22" t="s">
        <v>24</v>
      </c>
      <c r="F414" s="22" t="s">
        <v>39</v>
      </c>
      <c r="G414" s="22" t="s">
        <v>30</v>
      </c>
      <c r="H414" s="22">
        <v>1</v>
      </c>
      <c r="I414" s="22">
        <v>0</v>
      </c>
      <c r="J414" s="22">
        <v>0</v>
      </c>
      <c r="K414" s="22">
        <v>0</v>
      </c>
      <c r="L414" s="22">
        <v>0</v>
      </c>
      <c r="M414" s="22">
        <v>0</v>
      </c>
      <c r="N414" s="22">
        <v>0</v>
      </c>
      <c r="O414" s="22"/>
      <c r="P414" s="22">
        <v>45.5</v>
      </c>
      <c r="Q414" s="22" t="str">
        <f t="shared" si="18"/>
        <v>Normal</v>
      </c>
      <c r="R414" s="26" t="str">
        <f t="shared" si="19"/>
        <v>USR-10041345782ControlNorthMobileReferralPremium100000045.5</v>
      </c>
      <c r="S414" s="22" t="str">
        <f t="shared" si="20"/>
        <v>OK</v>
      </c>
    </row>
    <row r="415" spans="1:19" ht="41.4">
      <c r="A415" s="22" t="s">
        <v>445</v>
      </c>
      <c r="B415" s="25">
        <v>45665</v>
      </c>
      <c r="C415" s="22" t="s">
        <v>17</v>
      </c>
      <c r="D415" s="22" t="s">
        <v>28</v>
      </c>
      <c r="E415" s="22" t="s">
        <v>19</v>
      </c>
      <c r="F415" s="22" t="s">
        <v>25</v>
      </c>
      <c r="G415" s="22" t="s">
        <v>21</v>
      </c>
      <c r="H415" s="22">
        <v>0</v>
      </c>
      <c r="I415" s="22">
        <v>0</v>
      </c>
      <c r="J415" s="22">
        <v>0</v>
      </c>
      <c r="K415" s="22">
        <v>0</v>
      </c>
      <c r="L415" s="22">
        <v>0</v>
      </c>
      <c r="M415" s="22">
        <v>1</v>
      </c>
      <c r="N415" s="22">
        <v>0</v>
      </c>
      <c r="O415" s="22"/>
      <c r="P415" s="22">
        <v>72.599999999999994</v>
      </c>
      <c r="Q415" s="22" t="str">
        <f t="shared" si="18"/>
        <v>Normal</v>
      </c>
      <c r="R415" s="26" t="str">
        <f t="shared" si="19"/>
        <v>USR-10041445665ControlEastDesktopOrganicBasic000001072.6</v>
      </c>
      <c r="S415" s="22" t="str">
        <f t="shared" si="20"/>
        <v>OK</v>
      </c>
    </row>
    <row r="416" spans="1:19" ht="41.4">
      <c r="A416" s="22" t="s">
        <v>446</v>
      </c>
      <c r="B416" s="25">
        <v>45735</v>
      </c>
      <c r="C416" s="22" t="s">
        <v>17</v>
      </c>
      <c r="D416" s="22" t="s">
        <v>32</v>
      </c>
      <c r="E416" s="22" t="s">
        <v>24</v>
      </c>
      <c r="F416" s="22" t="s">
        <v>20</v>
      </c>
      <c r="G416" s="22" t="s">
        <v>30</v>
      </c>
      <c r="H416" s="22">
        <v>1</v>
      </c>
      <c r="I416" s="22">
        <v>1</v>
      </c>
      <c r="J416" s="22">
        <v>1</v>
      </c>
      <c r="K416" s="22">
        <v>0</v>
      </c>
      <c r="L416" s="22">
        <v>0</v>
      </c>
      <c r="M416" s="22">
        <v>0</v>
      </c>
      <c r="N416" s="22">
        <v>0</v>
      </c>
      <c r="O416" s="22"/>
      <c r="P416" s="22">
        <v>50.1</v>
      </c>
      <c r="Q416" s="22" t="str">
        <f t="shared" si="18"/>
        <v>Normal</v>
      </c>
      <c r="R416" s="26" t="str">
        <f t="shared" si="19"/>
        <v>USR-10041545735ControlSouthMobileEmailPremium111000050.1</v>
      </c>
      <c r="S416" s="22" t="str">
        <f t="shared" si="20"/>
        <v>OK</v>
      </c>
    </row>
    <row r="417" spans="1:19" ht="41.4">
      <c r="A417" s="22" t="s">
        <v>447</v>
      </c>
      <c r="B417" s="25">
        <v>45687</v>
      </c>
      <c r="C417" s="22" t="s">
        <v>17</v>
      </c>
      <c r="D417" s="22" t="s">
        <v>28</v>
      </c>
      <c r="E417" s="22" t="s">
        <v>19</v>
      </c>
      <c r="F417" s="22" t="s">
        <v>29</v>
      </c>
      <c r="G417" s="22" t="s">
        <v>26</v>
      </c>
      <c r="H417" s="22">
        <v>1</v>
      </c>
      <c r="I417" s="22">
        <v>1</v>
      </c>
      <c r="J417" s="22">
        <v>1</v>
      </c>
      <c r="K417" s="22">
        <v>0</v>
      </c>
      <c r="L417" s="22">
        <v>0</v>
      </c>
      <c r="M417" s="22">
        <v>2</v>
      </c>
      <c r="N417" s="22">
        <v>0</v>
      </c>
      <c r="O417" s="22"/>
      <c r="P417" s="22">
        <v>58.1</v>
      </c>
      <c r="Q417" s="22" t="str">
        <f t="shared" si="18"/>
        <v>Normal</v>
      </c>
      <c r="R417" s="26" t="str">
        <f t="shared" si="19"/>
        <v>USR-10041645687ControlEastDesktopPaid SearchFree111002058.1</v>
      </c>
      <c r="S417" s="22" t="str">
        <f t="shared" si="20"/>
        <v>OK</v>
      </c>
    </row>
    <row r="418" spans="1:19" ht="41.4">
      <c r="A418" s="22" t="s">
        <v>448</v>
      </c>
      <c r="B418" s="25">
        <v>45775</v>
      </c>
      <c r="C418" s="22" t="s">
        <v>17</v>
      </c>
      <c r="D418" s="22" t="s">
        <v>28</v>
      </c>
      <c r="E418" s="22" t="s">
        <v>24</v>
      </c>
      <c r="F418" s="22" t="s">
        <v>25</v>
      </c>
      <c r="G418" s="22" t="s">
        <v>21</v>
      </c>
      <c r="H418" s="22">
        <v>1</v>
      </c>
      <c r="I418" s="22">
        <v>0</v>
      </c>
      <c r="J418" s="22">
        <v>0</v>
      </c>
      <c r="K418" s="22">
        <v>0</v>
      </c>
      <c r="L418" s="22">
        <v>0</v>
      </c>
      <c r="M418" s="22">
        <v>0</v>
      </c>
      <c r="N418" s="22">
        <v>0</v>
      </c>
      <c r="O418" s="22"/>
      <c r="P418" s="22">
        <v>42.9</v>
      </c>
      <c r="Q418" s="22" t="str">
        <f t="shared" si="18"/>
        <v>Normal</v>
      </c>
      <c r="R418" s="26" t="str">
        <f t="shared" si="19"/>
        <v>USR-10041745775ControlEastMobileOrganicBasic100000042.9</v>
      </c>
      <c r="S418" s="22" t="str">
        <f t="shared" si="20"/>
        <v>OK</v>
      </c>
    </row>
    <row r="419" spans="1:19" ht="41.4">
      <c r="A419" s="22" t="s">
        <v>449</v>
      </c>
      <c r="B419" s="25">
        <v>45723</v>
      </c>
      <c r="C419" s="22" t="s">
        <v>17</v>
      </c>
      <c r="D419" s="22" t="s">
        <v>18</v>
      </c>
      <c r="E419" s="22" t="s">
        <v>24</v>
      </c>
      <c r="F419" s="22" t="s">
        <v>39</v>
      </c>
      <c r="G419" s="22" t="s">
        <v>21</v>
      </c>
      <c r="H419" s="22">
        <v>0</v>
      </c>
      <c r="I419" s="22">
        <v>0</v>
      </c>
      <c r="J419" s="22">
        <v>0</v>
      </c>
      <c r="K419" s="22">
        <v>0</v>
      </c>
      <c r="L419" s="22">
        <v>0</v>
      </c>
      <c r="M419" s="22">
        <v>0</v>
      </c>
      <c r="N419" s="22">
        <v>0</v>
      </c>
      <c r="O419" s="22"/>
      <c r="P419" s="22">
        <v>69.7</v>
      </c>
      <c r="Q419" s="22" t="str">
        <f t="shared" si="18"/>
        <v>Normal</v>
      </c>
      <c r="R419" s="26" t="str">
        <f t="shared" si="19"/>
        <v>USR-10041845723ControlNorthMobileReferralBasic000000069.7</v>
      </c>
      <c r="S419" s="22" t="str">
        <f t="shared" si="20"/>
        <v>OK</v>
      </c>
    </row>
    <row r="420" spans="1:19" ht="41.4">
      <c r="A420" s="22" t="s">
        <v>450</v>
      </c>
      <c r="B420" s="25">
        <v>45754</v>
      </c>
      <c r="C420" s="22" t="s">
        <v>17</v>
      </c>
      <c r="D420" s="22" t="s">
        <v>18</v>
      </c>
      <c r="E420" s="22" t="s">
        <v>19</v>
      </c>
      <c r="F420" s="22" t="s">
        <v>25</v>
      </c>
      <c r="G420" s="22" t="s">
        <v>26</v>
      </c>
      <c r="H420" s="22">
        <v>0</v>
      </c>
      <c r="I420" s="22">
        <v>0</v>
      </c>
      <c r="J420" s="22">
        <v>0</v>
      </c>
      <c r="K420" s="22">
        <v>0</v>
      </c>
      <c r="L420" s="22">
        <v>0</v>
      </c>
      <c r="M420" s="22">
        <v>0</v>
      </c>
      <c r="N420" s="22">
        <v>0</v>
      </c>
      <c r="O420" s="22"/>
      <c r="P420" s="22">
        <v>63.3</v>
      </c>
      <c r="Q420" s="22" t="str">
        <f t="shared" si="18"/>
        <v>Normal</v>
      </c>
      <c r="R420" s="26" t="str">
        <f t="shared" si="19"/>
        <v>USR-10041945754ControlNorthDesktopOrganicFree000000063.3</v>
      </c>
      <c r="S420" s="22" t="str">
        <f t="shared" si="20"/>
        <v>OK</v>
      </c>
    </row>
    <row r="421" spans="1:19" ht="41.4">
      <c r="A421" s="22" t="s">
        <v>451</v>
      </c>
      <c r="B421" s="25">
        <v>45785</v>
      </c>
      <c r="C421" s="22" t="s">
        <v>17</v>
      </c>
      <c r="D421" s="22" t="s">
        <v>18</v>
      </c>
      <c r="E421" s="22" t="s">
        <v>19</v>
      </c>
      <c r="F421" s="22" t="s">
        <v>25</v>
      </c>
      <c r="G421" s="22" t="s">
        <v>30</v>
      </c>
      <c r="H421" s="22">
        <v>1</v>
      </c>
      <c r="I421" s="22">
        <v>0</v>
      </c>
      <c r="J421" s="22">
        <v>0</v>
      </c>
      <c r="K421" s="22">
        <v>0</v>
      </c>
      <c r="L421" s="22">
        <v>0</v>
      </c>
      <c r="M421" s="22">
        <v>0</v>
      </c>
      <c r="N421" s="22">
        <v>0</v>
      </c>
      <c r="O421" s="22"/>
      <c r="P421" s="22">
        <v>71.2</v>
      </c>
      <c r="Q421" s="22" t="str">
        <f t="shared" si="18"/>
        <v>Normal</v>
      </c>
      <c r="R421" s="26" t="str">
        <f t="shared" si="19"/>
        <v>USR-10042045785ControlNorthDesktopOrganicPremium100000071.2</v>
      </c>
      <c r="S421" s="22" t="str">
        <f t="shared" si="20"/>
        <v>OK</v>
      </c>
    </row>
    <row r="422" spans="1:19" ht="41.4">
      <c r="A422" s="22" t="s">
        <v>452</v>
      </c>
      <c r="B422" s="25">
        <v>45762</v>
      </c>
      <c r="C422" s="22" t="s">
        <v>17</v>
      </c>
      <c r="D422" s="22" t="s">
        <v>32</v>
      </c>
      <c r="E422" s="22" t="s">
        <v>24</v>
      </c>
      <c r="F422" s="22" t="s">
        <v>20</v>
      </c>
      <c r="G422" s="22" t="s">
        <v>26</v>
      </c>
      <c r="H422" s="22">
        <v>1</v>
      </c>
      <c r="I422" s="22">
        <v>0</v>
      </c>
      <c r="J422" s="22">
        <v>0</v>
      </c>
      <c r="K422" s="22">
        <v>0</v>
      </c>
      <c r="L422" s="22">
        <v>0</v>
      </c>
      <c r="M422" s="22">
        <v>0</v>
      </c>
      <c r="N422" s="22">
        <v>0</v>
      </c>
      <c r="O422" s="22"/>
      <c r="P422" s="22">
        <v>39.1</v>
      </c>
      <c r="Q422" s="22" t="str">
        <f t="shared" si="18"/>
        <v>Normal</v>
      </c>
      <c r="R422" s="26" t="str">
        <f t="shared" si="19"/>
        <v>USR-10042145762ControlSouthMobileEmailFree100000039.1</v>
      </c>
      <c r="S422" s="22" t="str">
        <f t="shared" si="20"/>
        <v>OK</v>
      </c>
    </row>
    <row r="423" spans="1:19" ht="41.4">
      <c r="A423" s="22" t="s">
        <v>453</v>
      </c>
      <c r="B423" s="25">
        <v>45767</v>
      </c>
      <c r="C423" s="22" t="s">
        <v>17</v>
      </c>
      <c r="D423" s="22" t="s">
        <v>28</v>
      </c>
      <c r="E423" s="22" t="s">
        <v>19</v>
      </c>
      <c r="F423" s="22" t="s">
        <v>41</v>
      </c>
      <c r="G423" s="22" t="s">
        <v>26</v>
      </c>
      <c r="H423" s="22">
        <v>1</v>
      </c>
      <c r="I423" s="22">
        <v>0</v>
      </c>
      <c r="J423" s="22">
        <v>0</v>
      </c>
      <c r="K423" s="22">
        <v>0</v>
      </c>
      <c r="L423" s="22">
        <v>0</v>
      </c>
      <c r="M423" s="22">
        <v>0</v>
      </c>
      <c r="N423" s="22">
        <v>0</v>
      </c>
      <c r="O423" s="22"/>
      <c r="P423" s="22">
        <v>42.6</v>
      </c>
      <c r="Q423" s="22" t="str">
        <f t="shared" si="18"/>
        <v>Normal</v>
      </c>
      <c r="R423" s="26" t="str">
        <f t="shared" si="19"/>
        <v>USR-10042245767ControlEastDesktopSocialFree100000042.6</v>
      </c>
      <c r="S423" s="22" t="str">
        <f t="shared" si="20"/>
        <v>OK</v>
      </c>
    </row>
    <row r="424" spans="1:19" ht="41.4">
      <c r="A424" s="22" t="s">
        <v>454</v>
      </c>
      <c r="B424" s="25">
        <v>45807</v>
      </c>
      <c r="C424" s="22" t="s">
        <v>17</v>
      </c>
      <c r="D424" s="22" t="s">
        <v>32</v>
      </c>
      <c r="E424" s="22" t="s">
        <v>34</v>
      </c>
      <c r="F424" s="22" t="s">
        <v>25</v>
      </c>
      <c r="G424" s="22" t="s">
        <v>26</v>
      </c>
      <c r="H424" s="22">
        <v>0</v>
      </c>
      <c r="I424" s="22">
        <v>0</v>
      </c>
      <c r="J424" s="22">
        <v>0</v>
      </c>
      <c r="K424" s="22">
        <v>0</v>
      </c>
      <c r="L424" s="22">
        <v>0</v>
      </c>
      <c r="M424" s="22">
        <v>0</v>
      </c>
      <c r="N424" s="22">
        <v>0</v>
      </c>
      <c r="O424" s="22"/>
      <c r="P424" s="22">
        <v>74.400000000000006</v>
      </c>
      <c r="Q424" s="22" t="str">
        <f t="shared" si="18"/>
        <v>Normal</v>
      </c>
      <c r="R424" s="26" t="str">
        <f t="shared" si="19"/>
        <v>USR-10042345807ControlSouthTabletOrganicFree000000074.4</v>
      </c>
      <c r="S424" s="22" t="str">
        <f t="shared" si="20"/>
        <v>OK</v>
      </c>
    </row>
    <row r="425" spans="1:19" ht="41.4">
      <c r="A425" s="22" t="s">
        <v>455</v>
      </c>
      <c r="B425" s="25">
        <v>45701</v>
      </c>
      <c r="C425" s="22" t="s">
        <v>17</v>
      </c>
      <c r="D425" s="22" t="s">
        <v>23</v>
      </c>
      <c r="E425" s="22" t="s">
        <v>24</v>
      </c>
      <c r="F425" s="22" t="s">
        <v>39</v>
      </c>
      <c r="G425" s="22" t="s">
        <v>26</v>
      </c>
      <c r="H425" s="22">
        <v>0</v>
      </c>
      <c r="I425" s="22">
        <v>0</v>
      </c>
      <c r="J425" s="22">
        <v>0</v>
      </c>
      <c r="K425" s="22">
        <v>0</v>
      </c>
      <c r="L425" s="22">
        <v>0</v>
      </c>
      <c r="M425" s="22">
        <v>0</v>
      </c>
      <c r="N425" s="22">
        <v>0</v>
      </c>
      <c r="O425" s="22"/>
      <c r="P425" s="22">
        <v>55.6</v>
      </c>
      <c r="Q425" s="22" t="str">
        <f t="shared" si="18"/>
        <v>Normal</v>
      </c>
      <c r="R425" s="26" t="str">
        <f t="shared" si="19"/>
        <v>USR-10042445701ControlWestMobileReferralFree000000055.6</v>
      </c>
      <c r="S425" s="22" t="str">
        <f t="shared" si="20"/>
        <v>OK</v>
      </c>
    </row>
    <row r="426" spans="1:19" ht="41.4">
      <c r="A426" s="22" t="s">
        <v>456</v>
      </c>
      <c r="B426" s="25">
        <v>45775</v>
      </c>
      <c r="C426" s="22" t="s">
        <v>17</v>
      </c>
      <c r="D426" s="22" t="s">
        <v>23</v>
      </c>
      <c r="E426" s="22" t="s">
        <v>24</v>
      </c>
      <c r="F426" s="22" t="s">
        <v>41</v>
      </c>
      <c r="G426" s="22" t="s">
        <v>26</v>
      </c>
      <c r="H426" s="22">
        <v>1</v>
      </c>
      <c r="I426" s="22">
        <v>0</v>
      </c>
      <c r="J426" s="22">
        <v>0</v>
      </c>
      <c r="K426" s="22">
        <v>0</v>
      </c>
      <c r="L426" s="22">
        <v>0</v>
      </c>
      <c r="M426" s="22">
        <v>0</v>
      </c>
      <c r="N426" s="22">
        <v>0</v>
      </c>
      <c r="O426" s="22"/>
      <c r="P426" s="22">
        <v>35.799999999999997</v>
      </c>
      <c r="Q426" s="22" t="str">
        <f t="shared" si="18"/>
        <v>Normal</v>
      </c>
      <c r="R426" s="26" t="str">
        <f t="shared" si="19"/>
        <v>USR-10042545775ControlWestMobileSocialFree100000035.8</v>
      </c>
      <c r="S426" s="22" t="str">
        <f t="shared" si="20"/>
        <v>OK</v>
      </c>
    </row>
    <row r="427" spans="1:19" ht="41.4">
      <c r="A427" s="22" t="s">
        <v>457</v>
      </c>
      <c r="B427" s="25">
        <v>45700</v>
      </c>
      <c r="C427" s="22" t="s">
        <v>17</v>
      </c>
      <c r="D427" s="22" t="s">
        <v>18</v>
      </c>
      <c r="E427" s="22" t="s">
        <v>24</v>
      </c>
      <c r="F427" s="22" t="s">
        <v>29</v>
      </c>
      <c r="G427" s="22" t="s">
        <v>21</v>
      </c>
      <c r="H427" s="22">
        <v>1</v>
      </c>
      <c r="I427" s="22">
        <v>0</v>
      </c>
      <c r="J427" s="22">
        <v>0</v>
      </c>
      <c r="K427" s="22">
        <v>0</v>
      </c>
      <c r="L427" s="22">
        <v>0</v>
      </c>
      <c r="M427" s="22">
        <v>1</v>
      </c>
      <c r="N427" s="22">
        <v>0</v>
      </c>
      <c r="O427" s="22"/>
      <c r="P427" s="22">
        <v>28.2</v>
      </c>
      <c r="Q427" s="22" t="str">
        <f t="shared" si="18"/>
        <v>Normal</v>
      </c>
      <c r="R427" s="26" t="str">
        <f t="shared" si="19"/>
        <v>USR-10042645700ControlNorthMobilePaid SearchBasic100001028.2</v>
      </c>
      <c r="S427" s="22" t="str">
        <f t="shared" si="20"/>
        <v>OK</v>
      </c>
    </row>
    <row r="428" spans="1:19" ht="41.4">
      <c r="A428" s="22" t="s">
        <v>458</v>
      </c>
      <c r="B428" s="25">
        <v>45700</v>
      </c>
      <c r="C428" s="22" t="s">
        <v>17</v>
      </c>
      <c r="D428" s="22" t="s">
        <v>28</v>
      </c>
      <c r="E428" s="22" t="s">
        <v>24</v>
      </c>
      <c r="F428" s="22" t="s">
        <v>25</v>
      </c>
      <c r="G428" s="22" t="s">
        <v>26</v>
      </c>
      <c r="H428" s="22">
        <v>0</v>
      </c>
      <c r="I428" s="22">
        <v>0</v>
      </c>
      <c r="J428" s="22">
        <v>0</v>
      </c>
      <c r="K428" s="22">
        <v>0</v>
      </c>
      <c r="L428" s="22">
        <v>0</v>
      </c>
      <c r="M428" s="22">
        <v>2</v>
      </c>
      <c r="N428" s="22">
        <v>0</v>
      </c>
      <c r="O428" s="22"/>
      <c r="P428" s="22">
        <v>44.4</v>
      </c>
      <c r="Q428" s="22" t="str">
        <f t="shared" si="18"/>
        <v>Normal</v>
      </c>
      <c r="R428" s="26" t="str">
        <f t="shared" si="19"/>
        <v>USR-10042745700ControlEastMobileOrganicFree000002044.4</v>
      </c>
      <c r="S428" s="22" t="str">
        <f t="shared" si="20"/>
        <v>OK</v>
      </c>
    </row>
    <row r="429" spans="1:19" ht="41.4">
      <c r="A429" s="22" t="s">
        <v>459</v>
      </c>
      <c r="B429" s="25">
        <v>45743</v>
      </c>
      <c r="C429" s="22" t="s">
        <v>17</v>
      </c>
      <c r="D429" s="22" t="s">
        <v>18</v>
      </c>
      <c r="E429" s="22" t="s">
        <v>24</v>
      </c>
      <c r="F429" s="22" t="s">
        <v>20</v>
      </c>
      <c r="G429" s="22" t="s">
        <v>30</v>
      </c>
      <c r="H429" s="22">
        <v>1</v>
      </c>
      <c r="I429" s="22">
        <v>0</v>
      </c>
      <c r="J429" s="22">
        <v>0</v>
      </c>
      <c r="K429" s="22">
        <v>0</v>
      </c>
      <c r="L429" s="22">
        <v>0</v>
      </c>
      <c r="M429" s="22">
        <v>0</v>
      </c>
      <c r="N429" s="22">
        <v>0</v>
      </c>
      <c r="O429" s="22"/>
      <c r="P429" s="22">
        <v>49.9</v>
      </c>
      <c r="Q429" s="22" t="str">
        <f t="shared" si="18"/>
        <v>Normal</v>
      </c>
      <c r="R429" s="26" t="str">
        <f t="shared" si="19"/>
        <v>USR-10042845743ControlNorthMobileEmailPremium100000049.9</v>
      </c>
      <c r="S429" s="22" t="str">
        <f t="shared" si="20"/>
        <v>OK</v>
      </c>
    </row>
    <row r="430" spans="1:19" ht="41.4">
      <c r="A430" s="22" t="s">
        <v>460</v>
      </c>
      <c r="B430" s="25">
        <v>45759</v>
      </c>
      <c r="C430" s="22" t="s">
        <v>17</v>
      </c>
      <c r="D430" s="22" t="s">
        <v>32</v>
      </c>
      <c r="E430" s="22" t="s">
        <v>19</v>
      </c>
      <c r="F430" s="22" t="s">
        <v>25</v>
      </c>
      <c r="G430" s="22" t="s">
        <v>26</v>
      </c>
      <c r="H430" s="22">
        <v>0</v>
      </c>
      <c r="I430" s="22">
        <v>0</v>
      </c>
      <c r="J430" s="22">
        <v>0</v>
      </c>
      <c r="K430" s="22">
        <v>0</v>
      </c>
      <c r="L430" s="22">
        <v>0</v>
      </c>
      <c r="M430" s="22">
        <v>0</v>
      </c>
      <c r="N430" s="22">
        <v>0</v>
      </c>
      <c r="O430" s="22"/>
      <c r="P430" s="22">
        <v>40.4</v>
      </c>
      <c r="Q430" s="22" t="str">
        <f t="shared" si="18"/>
        <v>Normal</v>
      </c>
      <c r="R430" s="26" t="str">
        <f t="shared" si="19"/>
        <v>USR-10042945759ControlSouthDesktopOrganicFree000000040.4</v>
      </c>
      <c r="S430" s="22" t="str">
        <f t="shared" si="20"/>
        <v>OK</v>
      </c>
    </row>
    <row r="431" spans="1:19" ht="41.4">
      <c r="A431" s="22" t="s">
        <v>461</v>
      </c>
      <c r="B431" s="25">
        <v>45687</v>
      </c>
      <c r="C431" s="22" t="s">
        <v>17</v>
      </c>
      <c r="D431" s="22" t="s">
        <v>23</v>
      </c>
      <c r="E431" s="22" t="s">
        <v>24</v>
      </c>
      <c r="F431" s="22" t="s">
        <v>41</v>
      </c>
      <c r="G431" s="22" t="s">
        <v>26</v>
      </c>
      <c r="H431" s="22">
        <v>0</v>
      </c>
      <c r="I431" s="22">
        <v>0</v>
      </c>
      <c r="J431" s="22">
        <v>0</v>
      </c>
      <c r="K431" s="22">
        <v>0</v>
      </c>
      <c r="L431" s="22">
        <v>0</v>
      </c>
      <c r="M431" s="22">
        <v>0</v>
      </c>
      <c r="N431" s="22">
        <v>0</v>
      </c>
      <c r="O431" s="22"/>
      <c r="P431" s="22">
        <v>60.4</v>
      </c>
      <c r="Q431" s="22" t="str">
        <f t="shared" si="18"/>
        <v>Normal</v>
      </c>
      <c r="R431" s="26" t="str">
        <f t="shared" si="19"/>
        <v>USR-10043045687ControlWestMobileSocialFree000000060.4</v>
      </c>
      <c r="S431" s="22" t="str">
        <f t="shared" si="20"/>
        <v>OK</v>
      </c>
    </row>
    <row r="432" spans="1:19" ht="41.4">
      <c r="A432" s="22" t="s">
        <v>462</v>
      </c>
      <c r="B432" s="25">
        <v>45805</v>
      </c>
      <c r="C432" s="22" t="s">
        <v>17</v>
      </c>
      <c r="D432" s="22" t="s">
        <v>23</v>
      </c>
      <c r="E432" s="22" t="s">
        <v>24</v>
      </c>
      <c r="F432" s="22" t="s">
        <v>41</v>
      </c>
      <c r="G432" s="22" t="s">
        <v>30</v>
      </c>
      <c r="H432" s="22">
        <v>0</v>
      </c>
      <c r="I432" s="22">
        <v>0</v>
      </c>
      <c r="J432" s="22">
        <v>0</v>
      </c>
      <c r="K432" s="22">
        <v>0</v>
      </c>
      <c r="L432" s="22">
        <v>0</v>
      </c>
      <c r="M432" s="22">
        <v>1</v>
      </c>
      <c r="N432" s="22">
        <v>0</v>
      </c>
      <c r="O432" s="22"/>
      <c r="P432" s="22">
        <v>52.4</v>
      </c>
      <c r="Q432" s="22" t="str">
        <f t="shared" si="18"/>
        <v>Normal</v>
      </c>
      <c r="R432" s="26" t="str">
        <f t="shared" si="19"/>
        <v>USR-10043145805ControlWestMobileSocialPremium000001052.4</v>
      </c>
      <c r="S432" s="22" t="str">
        <f t="shared" si="20"/>
        <v>OK</v>
      </c>
    </row>
    <row r="433" spans="1:19" ht="41.4">
      <c r="A433" s="22" t="s">
        <v>463</v>
      </c>
      <c r="B433" s="25">
        <v>45778</v>
      </c>
      <c r="C433" s="22" t="s">
        <v>17</v>
      </c>
      <c r="D433" s="22" t="s">
        <v>32</v>
      </c>
      <c r="E433" s="22" t="s">
        <v>24</v>
      </c>
      <c r="F433" s="22" t="s">
        <v>25</v>
      </c>
      <c r="G433" s="22" t="s">
        <v>21</v>
      </c>
      <c r="H433" s="22">
        <v>1</v>
      </c>
      <c r="I433" s="22">
        <v>1</v>
      </c>
      <c r="J433" s="22">
        <v>0</v>
      </c>
      <c r="K433" s="22">
        <v>0</v>
      </c>
      <c r="L433" s="22">
        <v>0</v>
      </c>
      <c r="M433" s="22">
        <v>0</v>
      </c>
      <c r="N433" s="22">
        <v>0</v>
      </c>
      <c r="O433" s="22"/>
      <c r="P433" s="22">
        <v>48.8</v>
      </c>
      <c r="Q433" s="22" t="str">
        <f t="shared" si="18"/>
        <v>Normal</v>
      </c>
      <c r="R433" s="26" t="str">
        <f t="shared" si="19"/>
        <v>USR-10043245778ControlSouthMobileOrganicBasic110000048.8</v>
      </c>
      <c r="S433" s="22" t="str">
        <f t="shared" si="20"/>
        <v>OK</v>
      </c>
    </row>
    <row r="434" spans="1:19" ht="41.4">
      <c r="A434" s="22" t="s">
        <v>464</v>
      </c>
      <c r="B434" s="25">
        <v>45691</v>
      </c>
      <c r="C434" s="22" t="s">
        <v>17</v>
      </c>
      <c r="D434" s="22" t="s">
        <v>18</v>
      </c>
      <c r="E434" s="22" t="s">
        <v>34</v>
      </c>
      <c r="F434" s="22" t="s">
        <v>20</v>
      </c>
      <c r="G434" s="22" t="s">
        <v>21</v>
      </c>
      <c r="H434" s="22">
        <v>1</v>
      </c>
      <c r="I434" s="22">
        <v>0</v>
      </c>
      <c r="J434" s="22">
        <v>0</v>
      </c>
      <c r="K434" s="22">
        <v>0</v>
      </c>
      <c r="L434" s="22">
        <v>0</v>
      </c>
      <c r="M434" s="22">
        <v>0</v>
      </c>
      <c r="N434" s="22">
        <v>0</v>
      </c>
      <c r="O434" s="22"/>
      <c r="P434" s="22">
        <v>60.9</v>
      </c>
      <c r="Q434" s="22" t="str">
        <f t="shared" si="18"/>
        <v>Normal</v>
      </c>
      <c r="R434" s="26" t="str">
        <f t="shared" si="19"/>
        <v>USR-10043345691ControlNorthTabletEmailBasic100000060.9</v>
      </c>
      <c r="S434" s="22" t="str">
        <f t="shared" si="20"/>
        <v>Exact Duplicate</v>
      </c>
    </row>
    <row r="435" spans="1:19" ht="41.4">
      <c r="A435" s="22" t="s">
        <v>465</v>
      </c>
      <c r="B435" s="25">
        <v>45667</v>
      </c>
      <c r="C435" s="22" t="s">
        <v>17</v>
      </c>
      <c r="D435" s="22" t="s">
        <v>32</v>
      </c>
      <c r="E435" s="22" t="s">
        <v>19</v>
      </c>
      <c r="F435" s="22" t="s">
        <v>41</v>
      </c>
      <c r="G435" s="22" t="s">
        <v>21</v>
      </c>
      <c r="H435" s="22">
        <v>0</v>
      </c>
      <c r="I435" s="22">
        <v>0</v>
      </c>
      <c r="J435" s="22">
        <v>0</v>
      </c>
      <c r="K435" s="22">
        <v>0</v>
      </c>
      <c r="L435" s="22">
        <v>0</v>
      </c>
      <c r="M435" s="22">
        <v>0</v>
      </c>
      <c r="N435" s="22">
        <v>0</v>
      </c>
      <c r="O435" s="22"/>
      <c r="P435" s="22">
        <v>68.2</v>
      </c>
      <c r="Q435" s="22" t="str">
        <f t="shared" si="18"/>
        <v>Normal</v>
      </c>
      <c r="R435" s="26" t="str">
        <f t="shared" si="19"/>
        <v>USR-10043445667ControlSouthDesktopSocialBasic000000068.2</v>
      </c>
      <c r="S435" s="22" t="str">
        <f t="shared" si="20"/>
        <v>OK</v>
      </c>
    </row>
    <row r="436" spans="1:19" ht="41.4">
      <c r="A436" s="22" t="s">
        <v>466</v>
      </c>
      <c r="B436" s="25">
        <v>45779</v>
      </c>
      <c r="C436" s="22" t="s">
        <v>17</v>
      </c>
      <c r="D436" s="22" t="s">
        <v>18</v>
      </c>
      <c r="E436" s="22" t="s">
        <v>19</v>
      </c>
      <c r="F436" s="22" t="s">
        <v>25</v>
      </c>
      <c r="G436" s="22" t="s">
        <v>21</v>
      </c>
      <c r="H436" s="22">
        <v>1</v>
      </c>
      <c r="I436" s="22">
        <v>0</v>
      </c>
      <c r="J436" s="22">
        <v>0</v>
      </c>
      <c r="K436" s="22">
        <v>0</v>
      </c>
      <c r="L436" s="22">
        <v>0</v>
      </c>
      <c r="M436" s="22">
        <v>0</v>
      </c>
      <c r="N436" s="22">
        <v>0</v>
      </c>
      <c r="O436" s="22"/>
      <c r="P436" s="22">
        <v>65.599999999999994</v>
      </c>
      <c r="Q436" s="22" t="str">
        <f t="shared" si="18"/>
        <v>Normal</v>
      </c>
      <c r="R436" s="26" t="str">
        <f t="shared" si="19"/>
        <v>USR-10043545779ControlNorthDesktopOrganicBasic100000065.6</v>
      </c>
      <c r="S436" s="22" t="str">
        <f t="shared" si="20"/>
        <v>OK</v>
      </c>
    </row>
    <row r="437" spans="1:19" ht="41.4">
      <c r="A437" s="22" t="s">
        <v>467</v>
      </c>
      <c r="B437" s="25">
        <v>45803</v>
      </c>
      <c r="C437" s="22" t="s">
        <v>17</v>
      </c>
      <c r="D437" s="22" t="s">
        <v>18</v>
      </c>
      <c r="E437" s="22" t="s">
        <v>19</v>
      </c>
      <c r="F437" s="22" t="s">
        <v>25</v>
      </c>
      <c r="G437" s="22" t="s">
        <v>21</v>
      </c>
      <c r="H437" s="22">
        <v>1</v>
      </c>
      <c r="I437" s="22">
        <v>0</v>
      </c>
      <c r="J437" s="22">
        <v>0</v>
      </c>
      <c r="K437" s="22">
        <v>0</v>
      </c>
      <c r="L437" s="22">
        <v>0</v>
      </c>
      <c r="M437" s="22">
        <v>0</v>
      </c>
      <c r="N437" s="22">
        <v>0</v>
      </c>
      <c r="O437" s="22"/>
      <c r="P437" s="22">
        <v>65.400000000000006</v>
      </c>
      <c r="Q437" s="22" t="str">
        <f t="shared" si="18"/>
        <v>Normal</v>
      </c>
      <c r="R437" s="26" t="str">
        <f t="shared" si="19"/>
        <v>USR-10043645803ControlNorthDesktopOrganicBasic100000065.4</v>
      </c>
      <c r="S437" s="22" t="str">
        <f t="shared" si="20"/>
        <v>OK</v>
      </c>
    </row>
    <row r="438" spans="1:19" ht="41.4">
      <c r="A438" s="22" t="s">
        <v>468</v>
      </c>
      <c r="B438" s="25">
        <v>45669</v>
      </c>
      <c r="C438" s="22" t="s">
        <v>17</v>
      </c>
      <c r="D438" s="22" t="s">
        <v>23</v>
      </c>
      <c r="E438" s="22" t="s">
        <v>24</v>
      </c>
      <c r="F438" s="22" t="s">
        <v>25</v>
      </c>
      <c r="G438" s="22" t="s">
        <v>21</v>
      </c>
      <c r="H438" s="22">
        <v>1</v>
      </c>
      <c r="I438" s="22">
        <v>0</v>
      </c>
      <c r="J438" s="22">
        <v>0</v>
      </c>
      <c r="K438" s="22">
        <v>0</v>
      </c>
      <c r="L438" s="22">
        <v>0</v>
      </c>
      <c r="M438" s="22">
        <v>0</v>
      </c>
      <c r="N438" s="22">
        <v>0</v>
      </c>
      <c r="O438" s="22"/>
      <c r="P438" s="22">
        <v>78.900000000000006</v>
      </c>
      <c r="Q438" s="22" t="str">
        <f t="shared" si="18"/>
        <v>Normal</v>
      </c>
      <c r="R438" s="26" t="str">
        <f t="shared" si="19"/>
        <v>USR-10043745669ControlWestMobileOrganicBasic100000078.9</v>
      </c>
      <c r="S438" s="22" t="str">
        <f t="shared" si="20"/>
        <v>OK</v>
      </c>
    </row>
    <row r="439" spans="1:19" ht="41.4">
      <c r="A439" s="22" t="s">
        <v>469</v>
      </c>
      <c r="B439" s="25">
        <v>45804</v>
      </c>
      <c r="C439" s="22" t="s">
        <v>17</v>
      </c>
      <c r="D439" s="22" t="s">
        <v>28</v>
      </c>
      <c r="E439" s="22" t="s">
        <v>24</v>
      </c>
      <c r="F439" s="22" t="s">
        <v>29</v>
      </c>
      <c r="G439" s="22" t="s">
        <v>21</v>
      </c>
      <c r="H439" s="22">
        <v>1</v>
      </c>
      <c r="I439" s="22">
        <v>1</v>
      </c>
      <c r="J439" s="22">
        <v>1</v>
      </c>
      <c r="K439" s="22">
        <v>0</v>
      </c>
      <c r="L439" s="22">
        <v>0</v>
      </c>
      <c r="M439" s="22">
        <v>0</v>
      </c>
      <c r="N439" s="22">
        <v>0</v>
      </c>
      <c r="O439" s="22"/>
      <c r="P439" s="22">
        <v>78.3</v>
      </c>
      <c r="Q439" s="22" t="str">
        <f t="shared" si="18"/>
        <v>Normal</v>
      </c>
      <c r="R439" s="26" t="str">
        <f t="shared" si="19"/>
        <v>USR-10043845804ControlEastMobilePaid SearchBasic111000078.3</v>
      </c>
      <c r="S439" s="22" t="str">
        <f t="shared" si="20"/>
        <v>OK</v>
      </c>
    </row>
    <row r="440" spans="1:19" ht="41.4">
      <c r="A440" s="22" t="s">
        <v>470</v>
      </c>
      <c r="B440" s="25">
        <v>45799</v>
      </c>
      <c r="C440" s="22" t="s">
        <v>17</v>
      </c>
      <c r="D440" s="22" t="s">
        <v>23</v>
      </c>
      <c r="E440" s="22" t="s">
        <v>19</v>
      </c>
      <c r="F440" s="22" t="s">
        <v>20</v>
      </c>
      <c r="G440" s="22" t="s">
        <v>21</v>
      </c>
      <c r="H440" s="22">
        <v>0</v>
      </c>
      <c r="I440" s="22">
        <v>0</v>
      </c>
      <c r="J440" s="22">
        <v>0</v>
      </c>
      <c r="K440" s="22">
        <v>0</v>
      </c>
      <c r="L440" s="22">
        <v>0</v>
      </c>
      <c r="M440" s="22">
        <v>0</v>
      </c>
      <c r="N440" s="22">
        <v>0</v>
      </c>
      <c r="O440" s="22"/>
      <c r="P440" s="22">
        <v>49.2</v>
      </c>
      <c r="Q440" s="22" t="str">
        <f t="shared" si="18"/>
        <v>Normal</v>
      </c>
      <c r="R440" s="26" t="str">
        <f t="shared" si="19"/>
        <v>USR-10043945799ControlWestDesktopEmailBasic000000049.2</v>
      </c>
      <c r="S440" s="22" t="str">
        <f t="shared" si="20"/>
        <v>OK</v>
      </c>
    </row>
    <row r="441" spans="1:19" ht="41.4">
      <c r="A441" s="22" t="s">
        <v>471</v>
      </c>
      <c r="B441" s="25">
        <v>45748</v>
      </c>
      <c r="C441" s="22" t="s">
        <v>17</v>
      </c>
      <c r="D441" s="22" t="s">
        <v>28</v>
      </c>
      <c r="E441" s="22" t="s">
        <v>24</v>
      </c>
      <c r="F441" s="22" t="s">
        <v>41</v>
      </c>
      <c r="G441" s="22" t="s">
        <v>30</v>
      </c>
      <c r="H441" s="22">
        <v>1</v>
      </c>
      <c r="I441" s="22">
        <v>1</v>
      </c>
      <c r="J441" s="22">
        <v>1</v>
      </c>
      <c r="K441" s="22">
        <v>1</v>
      </c>
      <c r="L441" s="22">
        <v>1518.83</v>
      </c>
      <c r="M441" s="22">
        <v>0</v>
      </c>
      <c r="N441" s="22">
        <v>0</v>
      </c>
      <c r="O441" s="22">
        <v>9</v>
      </c>
      <c r="P441" s="22">
        <v>32.200000000000003</v>
      </c>
      <c r="Q441" s="22" t="str">
        <f t="shared" si="18"/>
        <v>Normal</v>
      </c>
      <c r="R441" s="26" t="str">
        <f t="shared" si="19"/>
        <v>USR-10044045748ControlEastMobileSocialPremium11111518.8300932.2</v>
      </c>
      <c r="S441" s="22" t="str">
        <f t="shared" si="20"/>
        <v>OK</v>
      </c>
    </row>
    <row r="442" spans="1:19" ht="41.4">
      <c r="A442" s="22" t="s">
        <v>472</v>
      </c>
      <c r="B442" s="25">
        <v>45679</v>
      </c>
      <c r="C442" s="22" t="s">
        <v>17</v>
      </c>
      <c r="D442" s="22" t="s">
        <v>18</v>
      </c>
      <c r="E442" s="22" t="s">
        <v>24</v>
      </c>
      <c r="F442" s="22" t="s">
        <v>29</v>
      </c>
      <c r="G442" s="22" t="s">
        <v>21</v>
      </c>
      <c r="H442" s="22">
        <v>1</v>
      </c>
      <c r="I442" s="22">
        <v>1</v>
      </c>
      <c r="J442" s="22">
        <v>1</v>
      </c>
      <c r="K442" s="22">
        <v>0</v>
      </c>
      <c r="L442" s="22">
        <v>0</v>
      </c>
      <c r="M442" s="22">
        <v>0</v>
      </c>
      <c r="N442" s="22">
        <v>0</v>
      </c>
      <c r="O442" s="22"/>
      <c r="P442" s="22">
        <v>46.3</v>
      </c>
      <c r="Q442" s="22" t="str">
        <f t="shared" si="18"/>
        <v>Normal</v>
      </c>
      <c r="R442" s="26" t="str">
        <f t="shared" si="19"/>
        <v>USR-10044145679ControlNorthMobilePaid SearchBasic111000046.3</v>
      </c>
      <c r="S442" s="22" t="str">
        <f t="shared" si="20"/>
        <v>OK</v>
      </c>
    </row>
    <row r="443" spans="1:19" ht="41.4">
      <c r="A443" s="22" t="s">
        <v>473</v>
      </c>
      <c r="B443" s="25">
        <v>45801</v>
      </c>
      <c r="C443" s="22" t="s">
        <v>17</v>
      </c>
      <c r="D443" s="22" t="s">
        <v>28</v>
      </c>
      <c r="E443" s="22" t="s">
        <v>24</v>
      </c>
      <c r="F443" s="22" t="s">
        <v>29</v>
      </c>
      <c r="G443" s="22" t="s">
        <v>21</v>
      </c>
      <c r="H443" s="22">
        <v>1</v>
      </c>
      <c r="I443" s="22">
        <v>0</v>
      </c>
      <c r="J443" s="22">
        <v>0</v>
      </c>
      <c r="K443" s="22">
        <v>0</v>
      </c>
      <c r="L443" s="22">
        <v>0</v>
      </c>
      <c r="M443" s="22">
        <v>0</v>
      </c>
      <c r="N443" s="22">
        <v>0</v>
      </c>
      <c r="O443" s="22"/>
      <c r="P443" s="22">
        <v>55.7</v>
      </c>
      <c r="Q443" s="22" t="str">
        <f t="shared" si="18"/>
        <v>Normal</v>
      </c>
      <c r="R443" s="26" t="str">
        <f t="shared" si="19"/>
        <v>USR-10044245801ControlEastMobilePaid SearchBasic100000055.7</v>
      </c>
      <c r="S443" s="22" t="str">
        <f t="shared" si="20"/>
        <v>OK</v>
      </c>
    </row>
    <row r="444" spans="1:19" ht="41.4">
      <c r="A444" s="22" t="s">
        <v>474</v>
      </c>
      <c r="B444" s="25">
        <v>45772</v>
      </c>
      <c r="C444" s="22" t="s">
        <v>17</v>
      </c>
      <c r="D444" s="22" t="s">
        <v>32</v>
      </c>
      <c r="E444" s="22" t="s">
        <v>24</v>
      </c>
      <c r="F444" s="22" t="s">
        <v>41</v>
      </c>
      <c r="G444" s="22" t="s">
        <v>26</v>
      </c>
      <c r="H444" s="22">
        <v>1</v>
      </c>
      <c r="I444" s="22">
        <v>0</v>
      </c>
      <c r="J444" s="22">
        <v>0</v>
      </c>
      <c r="K444" s="22">
        <v>0</v>
      </c>
      <c r="L444" s="22">
        <v>0</v>
      </c>
      <c r="M444" s="22">
        <v>0</v>
      </c>
      <c r="N444" s="22">
        <v>0</v>
      </c>
      <c r="O444" s="22"/>
      <c r="P444" s="22">
        <v>44.5</v>
      </c>
      <c r="Q444" s="22" t="str">
        <f t="shared" si="18"/>
        <v>Normal</v>
      </c>
      <c r="R444" s="26" t="str">
        <f t="shared" si="19"/>
        <v>USR-10044345772ControlSouthMobileSocialFree100000044.5</v>
      </c>
      <c r="S444" s="22" t="str">
        <f t="shared" si="20"/>
        <v>OK</v>
      </c>
    </row>
    <row r="445" spans="1:19" ht="41.4">
      <c r="A445" s="22" t="s">
        <v>475</v>
      </c>
      <c r="B445" s="25">
        <v>45759</v>
      </c>
      <c r="C445" s="22" t="s">
        <v>17</v>
      </c>
      <c r="D445" s="22" t="s">
        <v>23</v>
      </c>
      <c r="E445" s="22" t="s">
        <v>19</v>
      </c>
      <c r="F445" s="22" t="s">
        <v>39</v>
      </c>
      <c r="G445" s="22" t="s">
        <v>26</v>
      </c>
      <c r="H445" s="22">
        <v>1</v>
      </c>
      <c r="I445" s="22">
        <v>1</v>
      </c>
      <c r="J445" s="22">
        <v>1</v>
      </c>
      <c r="K445" s="22">
        <v>0</v>
      </c>
      <c r="L445" s="22">
        <v>0</v>
      </c>
      <c r="M445" s="22">
        <v>1</v>
      </c>
      <c r="N445" s="22">
        <v>0</v>
      </c>
      <c r="O445" s="22"/>
      <c r="P445" s="22">
        <v>47.9</v>
      </c>
      <c r="Q445" s="22" t="str">
        <f t="shared" si="18"/>
        <v>Normal</v>
      </c>
      <c r="R445" s="26" t="str">
        <f t="shared" si="19"/>
        <v>USR-10044445759ControlWestDesktopReferralFree111001047.9</v>
      </c>
      <c r="S445" s="22" t="str">
        <f t="shared" si="20"/>
        <v>OK</v>
      </c>
    </row>
    <row r="446" spans="1:19" ht="41.4">
      <c r="A446" s="22" t="s">
        <v>476</v>
      </c>
      <c r="B446" s="25">
        <v>45770</v>
      </c>
      <c r="C446" s="22" t="s">
        <v>17</v>
      </c>
      <c r="D446" s="22" t="s">
        <v>32</v>
      </c>
      <c r="E446" s="22" t="s">
        <v>24</v>
      </c>
      <c r="F446" s="22" t="s">
        <v>25</v>
      </c>
      <c r="G446" s="22" t="s">
        <v>30</v>
      </c>
      <c r="H446" s="22">
        <v>1</v>
      </c>
      <c r="I446" s="22">
        <v>0</v>
      </c>
      <c r="J446" s="22">
        <v>0</v>
      </c>
      <c r="K446" s="22">
        <v>0</v>
      </c>
      <c r="L446" s="22">
        <v>0</v>
      </c>
      <c r="M446" s="22">
        <v>0</v>
      </c>
      <c r="N446" s="22">
        <v>0</v>
      </c>
      <c r="O446" s="22"/>
      <c r="P446" s="22">
        <v>43.9</v>
      </c>
      <c r="Q446" s="22" t="str">
        <f t="shared" si="18"/>
        <v>Normal</v>
      </c>
      <c r="R446" s="26" t="str">
        <f t="shared" si="19"/>
        <v>USR-10044545770ControlSouthMobileOrganicPremium100000043.9</v>
      </c>
      <c r="S446" s="22" t="str">
        <f t="shared" si="20"/>
        <v>OK</v>
      </c>
    </row>
    <row r="447" spans="1:19" ht="41.4">
      <c r="A447" s="22" t="s">
        <v>477</v>
      </c>
      <c r="B447" s="25">
        <v>45746</v>
      </c>
      <c r="C447" s="22" t="s">
        <v>17</v>
      </c>
      <c r="D447" s="22" t="s">
        <v>18</v>
      </c>
      <c r="E447" s="22" t="s">
        <v>19</v>
      </c>
      <c r="F447" s="22" t="s">
        <v>39</v>
      </c>
      <c r="G447" s="22" t="s">
        <v>26</v>
      </c>
      <c r="H447" s="22">
        <v>1</v>
      </c>
      <c r="I447" s="22">
        <v>1</v>
      </c>
      <c r="J447" s="22">
        <v>1</v>
      </c>
      <c r="K447" s="22">
        <v>0</v>
      </c>
      <c r="L447" s="22">
        <v>0</v>
      </c>
      <c r="M447" s="22">
        <v>1</v>
      </c>
      <c r="N447" s="22">
        <v>0</v>
      </c>
      <c r="O447" s="22"/>
      <c r="P447" s="22">
        <v>67.7</v>
      </c>
      <c r="Q447" s="22" t="str">
        <f t="shared" si="18"/>
        <v>Normal</v>
      </c>
      <c r="R447" s="26" t="str">
        <f t="shared" si="19"/>
        <v>USR-10044645746ControlNorthDesktopReferralFree111001067.7</v>
      </c>
      <c r="S447" s="22" t="str">
        <f t="shared" si="20"/>
        <v>OK</v>
      </c>
    </row>
    <row r="448" spans="1:19" ht="41.4">
      <c r="A448" s="22" t="s">
        <v>478</v>
      </c>
      <c r="B448" s="25">
        <v>45675</v>
      </c>
      <c r="C448" s="22" t="s">
        <v>17</v>
      </c>
      <c r="D448" s="22" t="s">
        <v>28</v>
      </c>
      <c r="E448" s="22" t="s">
        <v>24</v>
      </c>
      <c r="F448" s="22" t="s">
        <v>39</v>
      </c>
      <c r="G448" s="22" t="s">
        <v>21</v>
      </c>
      <c r="H448" s="22">
        <v>0</v>
      </c>
      <c r="I448" s="22">
        <v>0</v>
      </c>
      <c r="J448" s="22">
        <v>0</v>
      </c>
      <c r="K448" s="22">
        <v>0</v>
      </c>
      <c r="L448" s="22">
        <v>0</v>
      </c>
      <c r="M448" s="22">
        <v>0</v>
      </c>
      <c r="N448" s="22">
        <v>0</v>
      </c>
      <c r="O448" s="22"/>
      <c r="P448" s="22">
        <v>43.7</v>
      </c>
      <c r="Q448" s="22" t="str">
        <f t="shared" si="18"/>
        <v>Normal</v>
      </c>
      <c r="R448" s="26" t="str">
        <f t="shared" si="19"/>
        <v>USR-10044745675ControlEastMobileReferralBasic000000043.7</v>
      </c>
      <c r="S448" s="22" t="str">
        <f t="shared" si="20"/>
        <v>OK</v>
      </c>
    </row>
    <row r="449" spans="1:19" ht="41.4">
      <c r="A449" s="22" t="s">
        <v>479</v>
      </c>
      <c r="B449" s="25">
        <v>45756</v>
      </c>
      <c r="C449" s="22" t="s">
        <v>17</v>
      </c>
      <c r="D449" s="22" t="s">
        <v>28</v>
      </c>
      <c r="E449" s="22" t="s">
        <v>24</v>
      </c>
      <c r="F449" s="22" t="s">
        <v>25</v>
      </c>
      <c r="G449" s="22" t="s">
        <v>26</v>
      </c>
      <c r="H449" s="22">
        <v>1</v>
      </c>
      <c r="I449" s="22">
        <v>0</v>
      </c>
      <c r="J449" s="22">
        <v>0</v>
      </c>
      <c r="K449" s="22">
        <v>0</v>
      </c>
      <c r="L449" s="22">
        <v>0</v>
      </c>
      <c r="M449" s="22">
        <v>0</v>
      </c>
      <c r="N449" s="22">
        <v>0</v>
      </c>
      <c r="O449" s="22"/>
      <c r="P449" s="22">
        <v>68.8</v>
      </c>
      <c r="Q449" s="22" t="str">
        <f t="shared" si="18"/>
        <v>Normal</v>
      </c>
      <c r="R449" s="26" t="str">
        <f t="shared" si="19"/>
        <v>USR-10044845756ControlEastMobileOrganicFree100000068.8</v>
      </c>
      <c r="S449" s="22" t="str">
        <f t="shared" si="20"/>
        <v>OK</v>
      </c>
    </row>
    <row r="450" spans="1:19" ht="41.4">
      <c r="A450" s="22" t="s">
        <v>480</v>
      </c>
      <c r="B450" s="25">
        <v>45668</v>
      </c>
      <c r="C450" s="22" t="s">
        <v>17</v>
      </c>
      <c r="D450" s="22" t="s">
        <v>23</v>
      </c>
      <c r="E450" s="22" t="s">
        <v>24</v>
      </c>
      <c r="F450" s="22" t="s">
        <v>25</v>
      </c>
      <c r="G450" s="22" t="s">
        <v>26</v>
      </c>
      <c r="H450" s="22">
        <v>1</v>
      </c>
      <c r="I450" s="22">
        <v>1</v>
      </c>
      <c r="J450" s="22">
        <v>1</v>
      </c>
      <c r="K450" s="22">
        <v>0</v>
      </c>
      <c r="L450" s="22">
        <v>0</v>
      </c>
      <c r="M450" s="22">
        <v>0</v>
      </c>
      <c r="N450" s="22">
        <v>0</v>
      </c>
      <c r="O450" s="22"/>
      <c r="P450" s="22">
        <v>59.2</v>
      </c>
      <c r="Q450" s="22" t="str">
        <f t="shared" si="18"/>
        <v>Normal</v>
      </c>
      <c r="R450" s="26" t="str">
        <f t="shared" si="19"/>
        <v>USR-10044945668ControlWestMobileOrganicFree111000059.2</v>
      </c>
      <c r="S450" s="22" t="str">
        <f t="shared" si="20"/>
        <v>OK</v>
      </c>
    </row>
    <row r="451" spans="1:19" ht="41.4">
      <c r="A451" s="22" t="s">
        <v>481</v>
      </c>
      <c r="B451" s="25">
        <v>45721</v>
      </c>
      <c r="C451" s="22" t="s">
        <v>17</v>
      </c>
      <c r="D451" s="22" t="s">
        <v>28</v>
      </c>
      <c r="E451" s="22" t="s">
        <v>24</v>
      </c>
      <c r="F451" s="22" t="s">
        <v>29</v>
      </c>
      <c r="G451" s="22" t="s">
        <v>26</v>
      </c>
      <c r="H451" s="22">
        <v>1</v>
      </c>
      <c r="I451" s="22">
        <v>0</v>
      </c>
      <c r="J451" s="22">
        <v>0</v>
      </c>
      <c r="K451" s="22">
        <v>0</v>
      </c>
      <c r="L451" s="22">
        <v>0</v>
      </c>
      <c r="M451" s="22">
        <v>0</v>
      </c>
      <c r="N451" s="22">
        <v>0</v>
      </c>
      <c r="O451" s="22"/>
      <c r="P451" s="22">
        <v>48.6</v>
      </c>
      <c r="Q451" s="22" t="str">
        <f t="shared" ref="Q451:Q514" si="21">IF(OR(L451&lt;$V$40,L451&gt;$V$41),"Outlier","Normal")</f>
        <v>Normal</v>
      </c>
      <c r="R451" s="26" t="str">
        <f t="shared" ref="R451:R514" si="22">A451&amp;B451&amp;C451&amp;D451&amp;E451&amp;F451&amp;G451&amp;H451&amp;I451&amp;J451&amp;K451&amp;L451&amp;M451&amp;N451&amp;O451&amp;P451</f>
        <v>USR-10045045721ControlEastMobilePaid SearchFree100000048.6</v>
      </c>
      <c r="S451" s="22" t="str">
        <f t="shared" ref="S451:S514" si="23">IF(COUNTIF($R$2:$R$1409,R451)=1,"OK",IF(COUNTIF($R$2:$R$1409,R451)&gt;1,"Exact Duplicate","Review Required"))</f>
        <v>OK</v>
      </c>
    </row>
    <row r="452" spans="1:19" ht="41.4">
      <c r="A452" s="22" t="s">
        <v>482</v>
      </c>
      <c r="B452" s="25">
        <v>45705</v>
      </c>
      <c r="C452" s="22" t="s">
        <v>17</v>
      </c>
      <c r="D452" s="22" t="s">
        <v>18</v>
      </c>
      <c r="E452" s="22" t="s">
        <v>34</v>
      </c>
      <c r="F452" s="22" t="s">
        <v>41</v>
      </c>
      <c r="G452" s="22" t="s">
        <v>26</v>
      </c>
      <c r="H452" s="22">
        <v>1</v>
      </c>
      <c r="I452" s="22">
        <v>1</v>
      </c>
      <c r="J452" s="22">
        <v>1</v>
      </c>
      <c r="K452" s="22">
        <v>0</v>
      </c>
      <c r="L452" s="22">
        <v>0</v>
      </c>
      <c r="M452" s="22">
        <v>0</v>
      </c>
      <c r="N452" s="22">
        <v>0</v>
      </c>
      <c r="O452" s="22"/>
      <c r="P452" s="22">
        <v>56.9</v>
      </c>
      <c r="Q452" s="22" t="str">
        <f t="shared" si="21"/>
        <v>Normal</v>
      </c>
      <c r="R452" s="26" t="str">
        <f t="shared" si="22"/>
        <v>USR-10045145705ControlNorthTabletSocialFree111000056.9</v>
      </c>
      <c r="S452" s="22" t="str">
        <f t="shared" si="23"/>
        <v>OK</v>
      </c>
    </row>
    <row r="453" spans="1:19" ht="41.4">
      <c r="A453" s="22" t="s">
        <v>483</v>
      </c>
      <c r="B453" s="25">
        <v>45784</v>
      </c>
      <c r="C453" s="22" t="s">
        <v>17</v>
      </c>
      <c r="D453" s="22" t="s">
        <v>18</v>
      </c>
      <c r="E453" s="22" t="s">
        <v>19</v>
      </c>
      <c r="F453" s="22" t="s">
        <v>29</v>
      </c>
      <c r="G453" s="22" t="s">
        <v>26</v>
      </c>
      <c r="H453" s="22">
        <v>0</v>
      </c>
      <c r="I453" s="22">
        <v>0</v>
      </c>
      <c r="J453" s="22">
        <v>0</v>
      </c>
      <c r="K453" s="22">
        <v>0</v>
      </c>
      <c r="L453" s="22">
        <v>0</v>
      </c>
      <c r="M453" s="22">
        <v>0</v>
      </c>
      <c r="N453" s="22">
        <v>0</v>
      </c>
      <c r="O453" s="22"/>
      <c r="P453" s="22">
        <v>55.8</v>
      </c>
      <c r="Q453" s="22" t="str">
        <f t="shared" si="21"/>
        <v>Normal</v>
      </c>
      <c r="R453" s="26" t="str">
        <f t="shared" si="22"/>
        <v>USR-10045245784ControlNorthDesktopPaid SearchFree000000055.8</v>
      </c>
      <c r="S453" s="22" t="str">
        <f t="shared" si="23"/>
        <v>OK</v>
      </c>
    </row>
    <row r="454" spans="1:19" ht="41.4">
      <c r="A454" s="22" t="s">
        <v>484</v>
      </c>
      <c r="B454" s="25">
        <v>45757</v>
      </c>
      <c r="C454" s="22" t="s">
        <v>17</v>
      </c>
      <c r="D454" s="22" t="s">
        <v>28</v>
      </c>
      <c r="E454" s="22" t="s">
        <v>24</v>
      </c>
      <c r="F454" s="22" t="s">
        <v>29</v>
      </c>
      <c r="G454" s="22" t="s">
        <v>30</v>
      </c>
      <c r="H454" s="22">
        <v>0</v>
      </c>
      <c r="I454" s="22">
        <v>0</v>
      </c>
      <c r="J454" s="22">
        <v>0</v>
      </c>
      <c r="K454" s="22">
        <v>0</v>
      </c>
      <c r="L454" s="22">
        <v>0</v>
      </c>
      <c r="M454" s="22">
        <v>0</v>
      </c>
      <c r="N454" s="22">
        <v>0</v>
      </c>
      <c r="O454" s="22"/>
      <c r="P454" s="22">
        <v>63.3</v>
      </c>
      <c r="Q454" s="22" t="str">
        <f t="shared" si="21"/>
        <v>Normal</v>
      </c>
      <c r="R454" s="26" t="str">
        <f t="shared" si="22"/>
        <v>USR-10045345757ControlEastMobilePaid SearchPremium000000063.3</v>
      </c>
      <c r="S454" s="22" t="str">
        <f t="shared" si="23"/>
        <v>OK</v>
      </c>
    </row>
    <row r="455" spans="1:19" ht="41.4">
      <c r="A455" s="22" t="s">
        <v>485</v>
      </c>
      <c r="B455" s="25">
        <v>45768</v>
      </c>
      <c r="C455" s="22" t="s">
        <v>17</v>
      </c>
      <c r="D455" s="22" t="s">
        <v>18</v>
      </c>
      <c r="E455" s="22" t="s">
        <v>24</v>
      </c>
      <c r="F455" s="22" t="s">
        <v>41</v>
      </c>
      <c r="G455" s="22" t="s">
        <v>26</v>
      </c>
      <c r="H455" s="22">
        <v>1</v>
      </c>
      <c r="I455" s="22">
        <v>0</v>
      </c>
      <c r="J455" s="22">
        <v>0</v>
      </c>
      <c r="K455" s="22">
        <v>0</v>
      </c>
      <c r="L455" s="22">
        <v>0</v>
      </c>
      <c r="M455" s="22">
        <v>0</v>
      </c>
      <c r="N455" s="22">
        <v>0</v>
      </c>
      <c r="O455" s="22"/>
      <c r="P455" s="22">
        <v>52.2</v>
      </c>
      <c r="Q455" s="22" t="str">
        <f t="shared" si="21"/>
        <v>Normal</v>
      </c>
      <c r="R455" s="26" t="str">
        <f t="shared" si="22"/>
        <v>USR-10045445768ControlNorthMobileSocialFree100000052.2</v>
      </c>
      <c r="S455" s="22" t="str">
        <f t="shared" si="23"/>
        <v>OK</v>
      </c>
    </row>
    <row r="456" spans="1:19" ht="41.4">
      <c r="A456" s="22" t="s">
        <v>486</v>
      </c>
      <c r="B456" s="25">
        <v>45713</v>
      </c>
      <c r="C456" s="22" t="s">
        <v>17</v>
      </c>
      <c r="D456" s="22" t="s">
        <v>32</v>
      </c>
      <c r="E456" s="22" t="s">
        <v>34</v>
      </c>
      <c r="F456" s="22"/>
      <c r="G456" s="22" t="s">
        <v>26</v>
      </c>
      <c r="H456" s="22">
        <v>0</v>
      </c>
      <c r="I456" s="22">
        <v>0</v>
      </c>
      <c r="J456" s="22">
        <v>0</v>
      </c>
      <c r="K456" s="22">
        <v>0</v>
      </c>
      <c r="L456" s="22">
        <v>0</v>
      </c>
      <c r="M456" s="22">
        <v>0</v>
      </c>
      <c r="N456" s="22">
        <v>0</v>
      </c>
      <c r="O456" s="22"/>
      <c r="P456" s="22">
        <v>51.5</v>
      </c>
      <c r="Q456" s="22" t="str">
        <f t="shared" si="21"/>
        <v>Normal</v>
      </c>
      <c r="R456" s="26" t="str">
        <f t="shared" si="22"/>
        <v>USR-10045545713ControlSouthTabletFree000000051.5</v>
      </c>
      <c r="S456" s="22" t="str">
        <f t="shared" si="23"/>
        <v>OK</v>
      </c>
    </row>
    <row r="457" spans="1:19" ht="41.4">
      <c r="A457" s="22" t="s">
        <v>487</v>
      </c>
      <c r="B457" s="25">
        <v>45791</v>
      </c>
      <c r="C457" s="22" t="s">
        <v>17</v>
      </c>
      <c r="D457" s="22" t="s">
        <v>28</v>
      </c>
      <c r="E457" s="22" t="s">
        <v>19</v>
      </c>
      <c r="F457" s="22" t="s">
        <v>25</v>
      </c>
      <c r="G457" s="22" t="s">
        <v>26</v>
      </c>
      <c r="H457" s="22">
        <v>0</v>
      </c>
      <c r="I457" s="22">
        <v>0</v>
      </c>
      <c r="J457" s="22">
        <v>0</v>
      </c>
      <c r="K457" s="22">
        <v>0</v>
      </c>
      <c r="L457" s="22">
        <v>0</v>
      </c>
      <c r="M457" s="22">
        <v>0</v>
      </c>
      <c r="N457" s="22">
        <v>0</v>
      </c>
      <c r="O457" s="22"/>
      <c r="P457" s="22">
        <v>50.3</v>
      </c>
      <c r="Q457" s="22" t="str">
        <f t="shared" si="21"/>
        <v>Normal</v>
      </c>
      <c r="R457" s="26" t="str">
        <f t="shared" si="22"/>
        <v>USR-10045645791ControlEastDesktopOrganicFree000000050.3</v>
      </c>
      <c r="S457" s="22" t="str">
        <f t="shared" si="23"/>
        <v>OK</v>
      </c>
    </row>
    <row r="458" spans="1:19" ht="41.4">
      <c r="A458" s="22" t="s">
        <v>488</v>
      </c>
      <c r="B458" s="25">
        <v>45726</v>
      </c>
      <c r="C458" s="22" t="s">
        <v>17</v>
      </c>
      <c r="D458" s="22" t="s">
        <v>18</v>
      </c>
      <c r="E458" s="22" t="s">
        <v>24</v>
      </c>
      <c r="F458" s="22" t="s">
        <v>20</v>
      </c>
      <c r="G458" s="22" t="s">
        <v>21</v>
      </c>
      <c r="H458" s="22">
        <v>1</v>
      </c>
      <c r="I458" s="22">
        <v>0</v>
      </c>
      <c r="J458" s="22">
        <v>0</v>
      </c>
      <c r="K458" s="22">
        <v>0</v>
      </c>
      <c r="L458" s="22">
        <v>0</v>
      </c>
      <c r="M458" s="22">
        <v>1</v>
      </c>
      <c r="N458" s="22">
        <v>0</v>
      </c>
      <c r="O458" s="22"/>
      <c r="P458" s="22">
        <v>35.4</v>
      </c>
      <c r="Q458" s="22" t="str">
        <f t="shared" si="21"/>
        <v>Normal</v>
      </c>
      <c r="R458" s="26" t="str">
        <f t="shared" si="22"/>
        <v>USR-10045745726ControlNorthMobileEmailBasic100001035.4</v>
      </c>
      <c r="S458" s="22" t="str">
        <f t="shared" si="23"/>
        <v>OK</v>
      </c>
    </row>
    <row r="459" spans="1:19" ht="41.4">
      <c r="A459" s="22" t="s">
        <v>489</v>
      </c>
      <c r="B459" s="25">
        <v>45688</v>
      </c>
      <c r="C459" s="22" t="s">
        <v>17</v>
      </c>
      <c r="D459" s="22" t="s">
        <v>23</v>
      </c>
      <c r="E459" s="22" t="s">
        <v>19</v>
      </c>
      <c r="F459" s="22" t="s">
        <v>25</v>
      </c>
      <c r="G459" s="22" t="s">
        <v>30</v>
      </c>
      <c r="H459" s="22">
        <v>1</v>
      </c>
      <c r="I459" s="22">
        <v>0</v>
      </c>
      <c r="J459" s="22">
        <v>0</v>
      </c>
      <c r="K459" s="22">
        <v>0</v>
      </c>
      <c r="L459" s="22">
        <v>0</v>
      </c>
      <c r="M459" s="22">
        <v>1</v>
      </c>
      <c r="N459" s="22">
        <v>0</v>
      </c>
      <c r="O459" s="22"/>
      <c r="P459" s="22">
        <v>54.1</v>
      </c>
      <c r="Q459" s="22" t="str">
        <f t="shared" si="21"/>
        <v>Normal</v>
      </c>
      <c r="R459" s="26" t="str">
        <f t="shared" si="22"/>
        <v>USR-10045845688ControlWestDesktopOrganicPremium100001054.1</v>
      </c>
      <c r="S459" s="22" t="str">
        <f t="shared" si="23"/>
        <v>OK</v>
      </c>
    </row>
    <row r="460" spans="1:19" ht="41.4">
      <c r="A460" s="22" t="s">
        <v>490</v>
      </c>
      <c r="B460" s="25">
        <v>45674</v>
      </c>
      <c r="C460" s="22" t="s">
        <v>17</v>
      </c>
      <c r="D460" s="22" t="s">
        <v>32</v>
      </c>
      <c r="E460" s="22" t="s">
        <v>24</v>
      </c>
      <c r="F460" s="22" t="s">
        <v>25</v>
      </c>
      <c r="G460" s="22" t="s">
        <v>30</v>
      </c>
      <c r="H460" s="22">
        <v>1</v>
      </c>
      <c r="I460" s="22">
        <v>0</v>
      </c>
      <c r="J460" s="22">
        <v>0</v>
      </c>
      <c r="K460" s="22">
        <v>0</v>
      </c>
      <c r="L460" s="22">
        <v>0</v>
      </c>
      <c r="M460" s="22">
        <v>0</v>
      </c>
      <c r="N460" s="22">
        <v>0</v>
      </c>
      <c r="O460" s="22"/>
      <c r="P460" s="22">
        <v>56.2</v>
      </c>
      <c r="Q460" s="22" t="str">
        <f t="shared" si="21"/>
        <v>Normal</v>
      </c>
      <c r="R460" s="26" t="str">
        <f t="shared" si="22"/>
        <v>USR-10045945674ControlSouthMobileOrganicPremium100000056.2</v>
      </c>
      <c r="S460" s="22" t="str">
        <f t="shared" si="23"/>
        <v>OK</v>
      </c>
    </row>
    <row r="461" spans="1:19" ht="41.4">
      <c r="A461" s="22" t="s">
        <v>491</v>
      </c>
      <c r="B461" s="25">
        <v>45728</v>
      </c>
      <c r="C461" s="22" t="s">
        <v>17</v>
      </c>
      <c r="D461" s="22" t="s">
        <v>32</v>
      </c>
      <c r="E461" s="22" t="s">
        <v>24</v>
      </c>
      <c r="F461" s="22" t="s">
        <v>29</v>
      </c>
      <c r="G461" s="22" t="s">
        <v>26</v>
      </c>
      <c r="H461" s="22">
        <v>0</v>
      </c>
      <c r="I461" s="22">
        <v>0</v>
      </c>
      <c r="J461" s="22">
        <v>0</v>
      </c>
      <c r="K461" s="22">
        <v>0</v>
      </c>
      <c r="L461" s="22">
        <v>0</v>
      </c>
      <c r="M461" s="22">
        <v>3</v>
      </c>
      <c r="N461" s="22">
        <v>0</v>
      </c>
      <c r="O461" s="22"/>
      <c r="P461" s="22">
        <v>43.7</v>
      </c>
      <c r="Q461" s="22" t="str">
        <f t="shared" si="21"/>
        <v>Normal</v>
      </c>
      <c r="R461" s="26" t="str">
        <f t="shared" si="22"/>
        <v>USR-10046045728ControlSouthMobilePaid SearchFree000003043.7</v>
      </c>
      <c r="S461" s="22" t="str">
        <f t="shared" si="23"/>
        <v>OK</v>
      </c>
    </row>
    <row r="462" spans="1:19" ht="41.4">
      <c r="A462" s="22" t="s">
        <v>492</v>
      </c>
      <c r="B462" s="25">
        <v>45716</v>
      </c>
      <c r="C462" s="22" t="s">
        <v>17</v>
      </c>
      <c r="D462" s="22" t="s">
        <v>23</v>
      </c>
      <c r="E462" s="22" t="s">
        <v>19</v>
      </c>
      <c r="F462" s="22" t="s">
        <v>25</v>
      </c>
      <c r="G462" s="22" t="s">
        <v>30</v>
      </c>
      <c r="H462" s="22">
        <v>1</v>
      </c>
      <c r="I462" s="22">
        <v>1</v>
      </c>
      <c r="J462" s="22">
        <v>0</v>
      </c>
      <c r="K462" s="22">
        <v>0</v>
      </c>
      <c r="L462" s="22">
        <v>0</v>
      </c>
      <c r="M462" s="22">
        <v>0</v>
      </c>
      <c r="N462" s="22">
        <v>0</v>
      </c>
      <c r="O462" s="22"/>
      <c r="P462" s="22">
        <v>51.3</v>
      </c>
      <c r="Q462" s="22" t="str">
        <f t="shared" si="21"/>
        <v>Normal</v>
      </c>
      <c r="R462" s="26" t="str">
        <f t="shared" si="22"/>
        <v>USR-10046145716ControlWestDesktopOrganicPremium110000051.3</v>
      </c>
      <c r="S462" s="22" t="str">
        <f t="shared" si="23"/>
        <v>OK</v>
      </c>
    </row>
    <row r="463" spans="1:19" ht="41.4">
      <c r="A463" s="22" t="s">
        <v>493</v>
      </c>
      <c r="B463" s="25">
        <v>45796</v>
      </c>
      <c r="C463" s="22" t="s">
        <v>17</v>
      </c>
      <c r="D463" s="22" t="s">
        <v>18</v>
      </c>
      <c r="E463" s="22"/>
      <c r="F463" s="22" t="s">
        <v>25</v>
      </c>
      <c r="G463" s="22" t="s">
        <v>21</v>
      </c>
      <c r="H463" s="22">
        <v>1</v>
      </c>
      <c r="I463" s="22">
        <v>0</v>
      </c>
      <c r="J463" s="22">
        <v>0</v>
      </c>
      <c r="K463" s="22">
        <v>0</v>
      </c>
      <c r="L463" s="22">
        <v>0</v>
      </c>
      <c r="M463" s="22">
        <v>0</v>
      </c>
      <c r="N463" s="22">
        <v>0</v>
      </c>
      <c r="O463" s="22"/>
      <c r="P463" s="22">
        <v>50.5</v>
      </c>
      <c r="Q463" s="22" t="str">
        <f t="shared" si="21"/>
        <v>Normal</v>
      </c>
      <c r="R463" s="26" t="str">
        <f t="shared" si="22"/>
        <v>USR-10046245796ControlNorthOrganicBasic100000050.5</v>
      </c>
      <c r="S463" s="22" t="str">
        <f t="shared" si="23"/>
        <v>OK</v>
      </c>
    </row>
    <row r="464" spans="1:19" ht="41.4">
      <c r="A464" s="22" t="s">
        <v>494</v>
      </c>
      <c r="B464" s="25">
        <v>45711</v>
      </c>
      <c r="C464" s="22" t="s">
        <v>17</v>
      </c>
      <c r="D464" s="22" t="s">
        <v>18</v>
      </c>
      <c r="E464" s="22" t="s">
        <v>24</v>
      </c>
      <c r="F464" s="22" t="s">
        <v>39</v>
      </c>
      <c r="G464" s="22" t="s">
        <v>21</v>
      </c>
      <c r="H464" s="22">
        <v>1</v>
      </c>
      <c r="I464" s="22">
        <v>0</v>
      </c>
      <c r="J464" s="22">
        <v>0</v>
      </c>
      <c r="K464" s="22">
        <v>0</v>
      </c>
      <c r="L464" s="22">
        <v>0</v>
      </c>
      <c r="M464" s="22">
        <v>0</v>
      </c>
      <c r="N464" s="22">
        <v>0</v>
      </c>
      <c r="O464" s="22"/>
      <c r="P464" s="22">
        <v>57.3</v>
      </c>
      <c r="Q464" s="22" t="str">
        <f t="shared" si="21"/>
        <v>Normal</v>
      </c>
      <c r="R464" s="26" t="str">
        <f t="shared" si="22"/>
        <v>USR-10046345711ControlNorthMobileReferralBasic100000057.3</v>
      </c>
      <c r="S464" s="22" t="str">
        <f t="shared" si="23"/>
        <v>OK</v>
      </c>
    </row>
    <row r="465" spans="1:19" ht="41.4">
      <c r="A465" s="22" t="s">
        <v>495</v>
      </c>
      <c r="B465" s="25">
        <v>45708</v>
      </c>
      <c r="C465" s="22" t="s">
        <v>17</v>
      </c>
      <c r="D465" s="22" t="s">
        <v>23</v>
      </c>
      <c r="E465" s="22" t="s">
        <v>19</v>
      </c>
      <c r="F465" s="22" t="s">
        <v>25</v>
      </c>
      <c r="G465" s="22" t="s">
        <v>26</v>
      </c>
      <c r="H465" s="22">
        <v>1</v>
      </c>
      <c r="I465" s="22">
        <v>1</v>
      </c>
      <c r="J465" s="22">
        <v>1</v>
      </c>
      <c r="K465" s="22">
        <v>0</v>
      </c>
      <c r="L465" s="22">
        <v>0</v>
      </c>
      <c r="M465" s="22">
        <v>0</v>
      </c>
      <c r="N465" s="22">
        <v>0</v>
      </c>
      <c r="O465" s="22"/>
      <c r="P465" s="22">
        <v>58.4</v>
      </c>
      <c r="Q465" s="22" t="str">
        <f t="shared" si="21"/>
        <v>Normal</v>
      </c>
      <c r="R465" s="26" t="str">
        <f t="shared" si="22"/>
        <v>USR-10046445708ControlWestDesktopOrganicFree111000058.4</v>
      </c>
      <c r="S465" s="22" t="str">
        <f t="shared" si="23"/>
        <v>OK</v>
      </c>
    </row>
    <row r="466" spans="1:19" ht="41.4">
      <c r="A466" s="22" t="s">
        <v>496</v>
      </c>
      <c r="B466" s="25">
        <v>45759</v>
      </c>
      <c r="C466" s="22" t="s">
        <v>17</v>
      </c>
      <c r="D466" s="22" t="s">
        <v>18</v>
      </c>
      <c r="E466" s="22" t="s">
        <v>24</v>
      </c>
      <c r="F466" s="22"/>
      <c r="G466" s="22" t="s">
        <v>26</v>
      </c>
      <c r="H466" s="22">
        <v>0</v>
      </c>
      <c r="I466" s="22">
        <v>0</v>
      </c>
      <c r="J466" s="22">
        <v>0</v>
      </c>
      <c r="K466" s="22">
        <v>0</v>
      </c>
      <c r="L466" s="22">
        <v>0</v>
      </c>
      <c r="M466" s="22">
        <v>0</v>
      </c>
      <c r="N466" s="22">
        <v>0</v>
      </c>
      <c r="O466" s="22"/>
      <c r="P466" s="22">
        <v>56.5</v>
      </c>
      <c r="Q466" s="22" t="str">
        <f t="shared" si="21"/>
        <v>Normal</v>
      </c>
      <c r="R466" s="26" t="str">
        <f t="shared" si="22"/>
        <v>USR-10046545759ControlNorthMobileFree000000056.5</v>
      </c>
      <c r="S466" s="22" t="str">
        <f t="shared" si="23"/>
        <v>OK</v>
      </c>
    </row>
    <row r="467" spans="1:19" ht="41.4">
      <c r="A467" s="22" t="s">
        <v>497</v>
      </c>
      <c r="B467" s="25">
        <v>45665</v>
      </c>
      <c r="C467" s="22" t="s">
        <v>17</v>
      </c>
      <c r="D467" s="22" t="s">
        <v>23</v>
      </c>
      <c r="E467" s="22" t="s">
        <v>24</v>
      </c>
      <c r="F467" s="22" t="s">
        <v>20</v>
      </c>
      <c r="G467" s="22" t="s">
        <v>26</v>
      </c>
      <c r="H467" s="22">
        <v>0</v>
      </c>
      <c r="I467" s="22">
        <v>0</v>
      </c>
      <c r="J467" s="22">
        <v>0</v>
      </c>
      <c r="K467" s="22">
        <v>0</v>
      </c>
      <c r="L467" s="22">
        <v>0</v>
      </c>
      <c r="M467" s="22">
        <v>0</v>
      </c>
      <c r="N467" s="22">
        <v>0</v>
      </c>
      <c r="O467" s="22"/>
      <c r="P467" s="22">
        <v>69.599999999999994</v>
      </c>
      <c r="Q467" s="22" t="str">
        <f t="shared" si="21"/>
        <v>Normal</v>
      </c>
      <c r="R467" s="26" t="str">
        <f t="shared" si="22"/>
        <v>USR-10046645665ControlWestMobileEmailFree000000069.6</v>
      </c>
      <c r="S467" s="22" t="str">
        <f t="shared" si="23"/>
        <v>OK</v>
      </c>
    </row>
    <row r="468" spans="1:19" ht="41.4">
      <c r="A468" s="22" t="s">
        <v>498</v>
      </c>
      <c r="B468" s="25">
        <v>45701</v>
      </c>
      <c r="C468" s="22" t="s">
        <v>17</v>
      </c>
      <c r="D468" s="22" t="s">
        <v>23</v>
      </c>
      <c r="E468" s="22" t="s">
        <v>24</v>
      </c>
      <c r="F468" s="22" t="s">
        <v>25</v>
      </c>
      <c r="G468" s="22" t="s">
        <v>21</v>
      </c>
      <c r="H468" s="22">
        <v>0</v>
      </c>
      <c r="I468" s="22">
        <v>0</v>
      </c>
      <c r="J468" s="22">
        <v>0</v>
      </c>
      <c r="K468" s="22">
        <v>0</v>
      </c>
      <c r="L468" s="22">
        <v>0</v>
      </c>
      <c r="M468" s="22">
        <v>0</v>
      </c>
      <c r="N468" s="22">
        <v>0</v>
      </c>
      <c r="O468" s="22"/>
      <c r="P468" s="22">
        <v>6.2</v>
      </c>
      <c r="Q468" s="22" t="str">
        <f t="shared" si="21"/>
        <v>Normal</v>
      </c>
      <c r="R468" s="26" t="str">
        <f t="shared" si="22"/>
        <v>USR-10046745701ControlWestMobileOrganicBasic00000006.2</v>
      </c>
      <c r="S468" s="22" t="str">
        <f t="shared" si="23"/>
        <v>OK</v>
      </c>
    </row>
    <row r="469" spans="1:19" ht="41.4">
      <c r="A469" s="22" t="s">
        <v>499</v>
      </c>
      <c r="B469" s="25">
        <v>45798</v>
      </c>
      <c r="C469" s="22" t="s">
        <v>17</v>
      </c>
      <c r="D469" s="22" t="s">
        <v>28</v>
      </c>
      <c r="E469" s="22" t="s">
        <v>19</v>
      </c>
      <c r="F469" s="22" t="s">
        <v>20</v>
      </c>
      <c r="G469" s="22" t="s">
        <v>26</v>
      </c>
      <c r="H469" s="22">
        <v>1</v>
      </c>
      <c r="I469" s="22">
        <v>1</v>
      </c>
      <c r="J469" s="22">
        <v>1</v>
      </c>
      <c r="K469" s="22">
        <v>0</v>
      </c>
      <c r="L469" s="22">
        <v>0</v>
      </c>
      <c r="M469" s="22">
        <v>0</v>
      </c>
      <c r="N469" s="22">
        <v>0</v>
      </c>
      <c r="O469" s="22"/>
      <c r="P469" s="22">
        <v>54.3</v>
      </c>
      <c r="Q469" s="22" t="str">
        <f t="shared" si="21"/>
        <v>Normal</v>
      </c>
      <c r="R469" s="26" t="str">
        <f t="shared" si="22"/>
        <v>USR-10046845798ControlEastDesktopEmailFree111000054.3</v>
      </c>
      <c r="S469" s="22" t="str">
        <f t="shared" si="23"/>
        <v>OK</v>
      </c>
    </row>
    <row r="470" spans="1:19" ht="41.4">
      <c r="A470" s="22" t="s">
        <v>500</v>
      </c>
      <c r="B470" s="25">
        <v>45807</v>
      </c>
      <c r="C470" s="22" t="s">
        <v>17</v>
      </c>
      <c r="D470" s="22" t="s">
        <v>18</v>
      </c>
      <c r="E470" s="22" t="s">
        <v>24</v>
      </c>
      <c r="F470" s="22" t="s">
        <v>25</v>
      </c>
      <c r="G470" s="22" t="s">
        <v>21</v>
      </c>
      <c r="H470" s="22">
        <v>0</v>
      </c>
      <c r="I470" s="22">
        <v>0</v>
      </c>
      <c r="J470" s="22">
        <v>0</v>
      </c>
      <c r="K470" s="22">
        <v>0</v>
      </c>
      <c r="L470" s="22">
        <v>0</v>
      </c>
      <c r="M470" s="22">
        <v>0</v>
      </c>
      <c r="N470" s="22">
        <v>0</v>
      </c>
      <c r="O470" s="22"/>
      <c r="P470" s="22">
        <v>59.8</v>
      </c>
      <c r="Q470" s="22" t="str">
        <f t="shared" si="21"/>
        <v>Normal</v>
      </c>
      <c r="R470" s="26" t="str">
        <f t="shared" si="22"/>
        <v>USR-10046945807ControlNorthMobileOrganicBasic000000059.8</v>
      </c>
      <c r="S470" s="22" t="str">
        <f t="shared" si="23"/>
        <v>OK</v>
      </c>
    </row>
    <row r="471" spans="1:19" ht="41.4">
      <c r="A471" s="22" t="s">
        <v>501</v>
      </c>
      <c r="B471" s="25">
        <v>45797</v>
      </c>
      <c r="C471" s="22" t="s">
        <v>17</v>
      </c>
      <c r="D471" s="22" t="s">
        <v>23</v>
      </c>
      <c r="E471" s="22" t="s">
        <v>24</v>
      </c>
      <c r="F471" s="22" t="s">
        <v>29</v>
      </c>
      <c r="G471" s="22" t="s">
        <v>26</v>
      </c>
      <c r="H471" s="22">
        <v>0</v>
      </c>
      <c r="I471" s="22">
        <v>0</v>
      </c>
      <c r="J471" s="22">
        <v>0</v>
      </c>
      <c r="K471" s="22">
        <v>0</v>
      </c>
      <c r="L471" s="22">
        <v>0</v>
      </c>
      <c r="M471" s="22">
        <v>0</v>
      </c>
      <c r="N471" s="22">
        <v>0</v>
      </c>
      <c r="O471" s="22"/>
      <c r="P471" s="22">
        <v>58.9</v>
      </c>
      <c r="Q471" s="22" t="str">
        <f t="shared" si="21"/>
        <v>Normal</v>
      </c>
      <c r="R471" s="26" t="str">
        <f t="shared" si="22"/>
        <v>USR-10047045797ControlWestMobilePaid SearchFree000000058.9</v>
      </c>
      <c r="S471" s="22" t="str">
        <f t="shared" si="23"/>
        <v>OK</v>
      </c>
    </row>
    <row r="472" spans="1:19" ht="41.4">
      <c r="A472" s="22" t="s">
        <v>502</v>
      </c>
      <c r="B472" s="25">
        <v>45666</v>
      </c>
      <c r="C472" s="22" t="s">
        <v>17</v>
      </c>
      <c r="D472" s="22" t="s">
        <v>28</v>
      </c>
      <c r="E472" s="22" t="s">
        <v>19</v>
      </c>
      <c r="F472" s="22" t="s">
        <v>25</v>
      </c>
      <c r="G472" s="22" t="s">
        <v>26</v>
      </c>
      <c r="H472" s="22">
        <v>0</v>
      </c>
      <c r="I472" s="22">
        <v>0</v>
      </c>
      <c r="J472" s="22">
        <v>0</v>
      </c>
      <c r="K472" s="22">
        <v>0</v>
      </c>
      <c r="L472" s="22">
        <v>0</v>
      </c>
      <c r="M472" s="22">
        <v>1</v>
      </c>
      <c r="N472" s="22">
        <v>0</v>
      </c>
      <c r="O472" s="22"/>
      <c r="P472" s="22">
        <v>52.9</v>
      </c>
      <c r="Q472" s="22" t="str">
        <f t="shared" si="21"/>
        <v>Normal</v>
      </c>
      <c r="R472" s="26" t="str">
        <f t="shared" si="22"/>
        <v>USR-10047145666ControlEastDesktopOrganicFree000001052.9</v>
      </c>
      <c r="S472" s="22" t="str">
        <f t="shared" si="23"/>
        <v>OK</v>
      </c>
    </row>
    <row r="473" spans="1:19" ht="41.4">
      <c r="A473" s="22" t="s">
        <v>503</v>
      </c>
      <c r="B473" s="25">
        <v>45723</v>
      </c>
      <c r="C473" s="22" t="s">
        <v>17</v>
      </c>
      <c r="D473" s="22" t="s">
        <v>23</v>
      </c>
      <c r="E473" s="22" t="s">
        <v>24</v>
      </c>
      <c r="F473" s="22" t="s">
        <v>25</v>
      </c>
      <c r="G473" s="22" t="s">
        <v>26</v>
      </c>
      <c r="H473" s="22">
        <v>0</v>
      </c>
      <c r="I473" s="22">
        <v>0</v>
      </c>
      <c r="J473" s="22">
        <v>0</v>
      </c>
      <c r="K473" s="22">
        <v>0</v>
      </c>
      <c r="L473" s="22">
        <v>0</v>
      </c>
      <c r="M473" s="22">
        <v>0</v>
      </c>
      <c r="N473" s="22">
        <v>0</v>
      </c>
      <c r="O473" s="22"/>
      <c r="P473" s="22">
        <v>67.8</v>
      </c>
      <c r="Q473" s="22" t="str">
        <f t="shared" si="21"/>
        <v>Normal</v>
      </c>
      <c r="R473" s="26" t="str">
        <f t="shared" si="22"/>
        <v>USR-10047245723ControlWestMobileOrganicFree000000067.8</v>
      </c>
      <c r="S473" s="22" t="str">
        <f t="shared" si="23"/>
        <v>OK</v>
      </c>
    </row>
    <row r="474" spans="1:19" ht="41.4">
      <c r="A474" s="22" t="s">
        <v>504</v>
      </c>
      <c r="B474" s="25">
        <v>45770</v>
      </c>
      <c r="C474" s="22" t="s">
        <v>17</v>
      </c>
      <c r="D474" s="22" t="s">
        <v>32</v>
      </c>
      <c r="E474" s="22" t="s">
        <v>24</v>
      </c>
      <c r="F474" s="22" t="s">
        <v>41</v>
      </c>
      <c r="G474" s="22" t="s">
        <v>26</v>
      </c>
      <c r="H474" s="22">
        <v>0</v>
      </c>
      <c r="I474" s="22">
        <v>0</v>
      </c>
      <c r="J474" s="22">
        <v>0</v>
      </c>
      <c r="K474" s="22">
        <v>0</v>
      </c>
      <c r="L474" s="22">
        <v>0</v>
      </c>
      <c r="M474" s="22">
        <v>0</v>
      </c>
      <c r="N474" s="22">
        <v>0</v>
      </c>
      <c r="O474" s="22"/>
      <c r="P474" s="22">
        <v>48.7</v>
      </c>
      <c r="Q474" s="22" t="str">
        <f t="shared" si="21"/>
        <v>Normal</v>
      </c>
      <c r="R474" s="26" t="str">
        <f t="shared" si="22"/>
        <v>USR-10047345770ControlSouthMobileSocialFree000000048.7</v>
      </c>
      <c r="S474" s="22" t="str">
        <f t="shared" si="23"/>
        <v>OK</v>
      </c>
    </row>
    <row r="475" spans="1:19" ht="41.4">
      <c r="A475" s="22" t="s">
        <v>505</v>
      </c>
      <c r="B475" s="25">
        <v>45724</v>
      </c>
      <c r="C475" s="22" t="s">
        <v>17</v>
      </c>
      <c r="D475" s="22" t="s">
        <v>28</v>
      </c>
      <c r="E475" s="22" t="s">
        <v>24</v>
      </c>
      <c r="F475" s="22" t="s">
        <v>25</v>
      </c>
      <c r="G475" s="22" t="s">
        <v>21</v>
      </c>
      <c r="H475" s="22">
        <v>0</v>
      </c>
      <c r="I475" s="22">
        <v>0</v>
      </c>
      <c r="J475" s="22">
        <v>0</v>
      </c>
      <c r="K475" s="22">
        <v>0</v>
      </c>
      <c r="L475" s="22">
        <v>0</v>
      </c>
      <c r="M475" s="22">
        <v>0</v>
      </c>
      <c r="N475" s="22">
        <v>0</v>
      </c>
      <c r="O475" s="22"/>
      <c r="P475" s="22">
        <v>59</v>
      </c>
      <c r="Q475" s="22" t="str">
        <f t="shared" si="21"/>
        <v>Normal</v>
      </c>
      <c r="R475" s="26" t="str">
        <f t="shared" si="22"/>
        <v>USR-10047445724ControlEastMobileOrganicBasic000000059</v>
      </c>
      <c r="S475" s="22" t="str">
        <f t="shared" si="23"/>
        <v>OK</v>
      </c>
    </row>
    <row r="476" spans="1:19" ht="41.4">
      <c r="A476" s="22" t="s">
        <v>506</v>
      </c>
      <c r="B476" s="25">
        <v>45702</v>
      </c>
      <c r="C476" s="22" t="s">
        <v>17</v>
      </c>
      <c r="D476" s="22" t="s">
        <v>32</v>
      </c>
      <c r="E476" s="22" t="s">
        <v>24</v>
      </c>
      <c r="F476" s="22" t="s">
        <v>39</v>
      </c>
      <c r="G476" s="22" t="s">
        <v>26</v>
      </c>
      <c r="H476" s="22">
        <v>0</v>
      </c>
      <c r="I476" s="22">
        <v>0</v>
      </c>
      <c r="J476" s="22">
        <v>0</v>
      </c>
      <c r="K476" s="22">
        <v>0</v>
      </c>
      <c r="L476" s="22">
        <v>0</v>
      </c>
      <c r="M476" s="22">
        <v>0</v>
      </c>
      <c r="N476" s="22">
        <v>0</v>
      </c>
      <c r="O476" s="22"/>
      <c r="P476" s="22">
        <v>63.2</v>
      </c>
      <c r="Q476" s="22" t="str">
        <f t="shared" si="21"/>
        <v>Normal</v>
      </c>
      <c r="R476" s="26" t="str">
        <f t="shared" si="22"/>
        <v>USR-10047545702ControlSouthMobileReferralFree000000063.2</v>
      </c>
      <c r="S476" s="22" t="str">
        <f t="shared" si="23"/>
        <v>OK</v>
      </c>
    </row>
    <row r="477" spans="1:19" ht="41.4">
      <c r="A477" s="22" t="s">
        <v>507</v>
      </c>
      <c r="B477" s="25">
        <v>45794</v>
      </c>
      <c r="C477" s="22" t="s">
        <v>17</v>
      </c>
      <c r="D477" s="22" t="s">
        <v>23</v>
      </c>
      <c r="E477" s="22" t="s">
        <v>24</v>
      </c>
      <c r="F477" s="22" t="s">
        <v>39</v>
      </c>
      <c r="G477" s="22" t="s">
        <v>21</v>
      </c>
      <c r="H477" s="22">
        <v>1</v>
      </c>
      <c r="I477" s="22">
        <v>0</v>
      </c>
      <c r="J477" s="22">
        <v>0</v>
      </c>
      <c r="K477" s="22">
        <v>0</v>
      </c>
      <c r="L477" s="22">
        <v>0</v>
      </c>
      <c r="M477" s="22">
        <v>0</v>
      </c>
      <c r="N477" s="22">
        <v>0</v>
      </c>
      <c r="O477" s="22"/>
      <c r="P477" s="22">
        <v>68.7</v>
      </c>
      <c r="Q477" s="22" t="str">
        <f t="shared" si="21"/>
        <v>Normal</v>
      </c>
      <c r="R477" s="26" t="str">
        <f t="shared" si="22"/>
        <v>USR-10047645794ControlWestMobileReferralBasic100000068.7</v>
      </c>
      <c r="S477" s="22" t="str">
        <f t="shared" si="23"/>
        <v>OK</v>
      </c>
    </row>
    <row r="478" spans="1:19" ht="41.4">
      <c r="A478" s="22" t="s">
        <v>508</v>
      </c>
      <c r="B478" s="25">
        <v>45772</v>
      </c>
      <c r="C478" s="22" t="s">
        <v>17</v>
      </c>
      <c r="D478" s="22" t="s">
        <v>32</v>
      </c>
      <c r="E478" s="22" t="s">
        <v>24</v>
      </c>
      <c r="F478" s="22" t="s">
        <v>39</v>
      </c>
      <c r="G478" s="22" t="s">
        <v>26</v>
      </c>
      <c r="H478" s="22">
        <v>0</v>
      </c>
      <c r="I478" s="22">
        <v>0</v>
      </c>
      <c r="J478" s="22">
        <v>0</v>
      </c>
      <c r="K478" s="22">
        <v>0</v>
      </c>
      <c r="L478" s="22">
        <v>0</v>
      </c>
      <c r="M478" s="22">
        <v>0</v>
      </c>
      <c r="N478" s="22">
        <v>0</v>
      </c>
      <c r="O478" s="22"/>
      <c r="P478" s="22">
        <v>52.1</v>
      </c>
      <c r="Q478" s="22" t="str">
        <f t="shared" si="21"/>
        <v>Normal</v>
      </c>
      <c r="R478" s="26" t="str">
        <f t="shared" si="22"/>
        <v>USR-10047745772ControlSouthMobileReferralFree000000052.1</v>
      </c>
      <c r="S478" s="22" t="str">
        <f t="shared" si="23"/>
        <v>OK</v>
      </c>
    </row>
    <row r="479" spans="1:19" ht="41.4">
      <c r="A479" s="22" t="s">
        <v>509</v>
      </c>
      <c r="B479" s="25">
        <v>45720</v>
      </c>
      <c r="C479" s="22" t="s">
        <v>17</v>
      </c>
      <c r="D479" s="22" t="s">
        <v>32</v>
      </c>
      <c r="E479" s="22" t="s">
        <v>19</v>
      </c>
      <c r="F479" s="22" t="s">
        <v>41</v>
      </c>
      <c r="G479" s="22" t="s">
        <v>21</v>
      </c>
      <c r="H479" s="22">
        <v>0</v>
      </c>
      <c r="I479" s="22">
        <v>0</v>
      </c>
      <c r="J479" s="22">
        <v>0</v>
      </c>
      <c r="K479" s="22">
        <v>0</v>
      </c>
      <c r="L479" s="22">
        <v>0</v>
      </c>
      <c r="M479" s="22">
        <v>0</v>
      </c>
      <c r="N479" s="22">
        <v>0</v>
      </c>
      <c r="O479" s="22"/>
      <c r="P479" s="22">
        <v>56.5</v>
      </c>
      <c r="Q479" s="22" t="str">
        <f t="shared" si="21"/>
        <v>Normal</v>
      </c>
      <c r="R479" s="26" t="str">
        <f t="shared" si="22"/>
        <v>USR-10047845720ControlSouthDesktopSocialBasic000000056.5</v>
      </c>
      <c r="S479" s="22" t="str">
        <f t="shared" si="23"/>
        <v>OK</v>
      </c>
    </row>
    <row r="480" spans="1:19" ht="41.4">
      <c r="A480" s="22" t="s">
        <v>510</v>
      </c>
      <c r="B480" s="25">
        <v>45734</v>
      </c>
      <c r="C480" s="22" t="s">
        <v>17</v>
      </c>
      <c r="D480" s="22" t="s">
        <v>32</v>
      </c>
      <c r="E480" s="22" t="s">
        <v>24</v>
      </c>
      <c r="F480" s="22" t="s">
        <v>25</v>
      </c>
      <c r="G480" s="22" t="s">
        <v>26</v>
      </c>
      <c r="H480" s="22">
        <v>1</v>
      </c>
      <c r="I480" s="22">
        <v>0</v>
      </c>
      <c r="J480" s="22">
        <v>0</v>
      </c>
      <c r="K480" s="22">
        <v>0</v>
      </c>
      <c r="L480" s="22">
        <v>0</v>
      </c>
      <c r="M480" s="22">
        <v>0</v>
      </c>
      <c r="N480" s="22">
        <v>0</v>
      </c>
      <c r="O480" s="22"/>
      <c r="P480" s="22">
        <v>64.400000000000006</v>
      </c>
      <c r="Q480" s="22" t="str">
        <f t="shared" si="21"/>
        <v>Normal</v>
      </c>
      <c r="R480" s="26" t="str">
        <f t="shared" si="22"/>
        <v>USR-10047945734ControlSouthMobileOrganicFree100000064.4</v>
      </c>
      <c r="S480" s="22" t="str">
        <f t="shared" si="23"/>
        <v>OK</v>
      </c>
    </row>
    <row r="481" spans="1:19" ht="41.4">
      <c r="A481" s="22" t="s">
        <v>511</v>
      </c>
      <c r="B481" s="25">
        <v>45687</v>
      </c>
      <c r="C481" s="22" t="s">
        <v>17</v>
      </c>
      <c r="D481" s="22" t="s">
        <v>23</v>
      </c>
      <c r="E481" s="22" t="s">
        <v>24</v>
      </c>
      <c r="F481" s="22" t="s">
        <v>29</v>
      </c>
      <c r="G481" s="22" t="s">
        <v>30</v>
      </c>
      <c r="H481" s="22">
        <v>1</v>
      </c>
      <c r="I481" s="22">
        <v>0</v>
      </c>
      <c r="J481" s="22">
        <v>0</v>
      </c>
      <c r="K481" s="22">
        <v>0</v>
      </c>
      <c r="L481" s="22">
        <v>0</v>
      </c>
      <c r="M481" s="22">
        <v>0</v>
      </c>
      <c r="N481" s="22">
        <v>0</v>
      </c>
      <c r="O481" s="22"/>
      <c r="P481" s="22">
        <v>65.900000000000006</v>
      </c>
      <c r="Q481" s="22" t="str">
        <f t="shared" si="21"/>
        <v>Normal</v>
      </c>
      <c r="R481" s="26" t="str">
        <f t="shared" si="22"/>
        <v>USR-10048045687ControlWestMobilePaid SearchPremium100000065.9</v>
      </c>
      <c r="S481" s="22" t="str">
        <f t="shared" si="23"/>
        <v>OK</v>
      </c>
    </row>
    <row r="482" spans="1:19" ht="41.4">
      <c r="A482" s="22" t="s">
        <v>512</v>
      </c>
      <c r="B482" s="25">
        <v>45797</v>
      </c>
      <c r="C482" s="22" t="s">
        <v>17</v>
      </c>
      <c r="D482" s="22" t="s">
        <v>23</v>
      </c>
      <c r="E482" s="22" t="s">
        <v>34</v>
      </c>
      <c r="F482" s="22" t="s">
        <v>39</v>
      </c>
      <c r="G482" s="22" t="s">
        <v>26</v>
      </c>
      <c r="H482" s="22">
        <v>1</v>
      </c>
      <c r="I482" s="22">
        <v>1</v>
      </c>
      <c r="J482" s="22">
        <v>1</v>
      </c>
      <c r="K482" s="22">
        <v>0</v>
      </c>
      <c r="L482" s="22">
        <v>0</v>
      </c>
      <c r="M482" s="22">
        <v>0</v>
      </c>
      <c r="N482" s="22">
        <v>0</v>
      </c>
      <c r="O482" s="22"/>
      <c r="P482" s="22">
        <v>100</v>
      </c>
      <c r="Q482" s="22" t="str">
        <f t="shared" si="21"/>
        <v>Normal</v>
      </c>
      <c r="R482" s="26" t="str">
        <f t="shared" si="22"/>
        <v>USR-10048145797ControlWestTabletReferralFree1110000100</v>
      </c>
      <c r="S482" s="22" t="str">
        <f t="shared" si="23"/>
        <v>OK</v>
      </c>
    </row>
    <row r="483" spans="1:19" ht="41.4">
      <c r="A483" s="22" t="s">
        <v>513</v>
      </c>
      <c r="B483" s="25">
        <v>45701</v>
      </c>
      <c r="C483" s="22" t="s">
        <v>17</v>
      </c>
      <c r="D483" s="22" t="s">
        <v>18</v>
      </c>
      <c r="E483" s="22"/>
      <c r="F483" s="22" t="s">
        <v>25</v>
      </c>
      <c r="G483" s="22" t="s">
        <v>21</v>
      </c>
      <c r="H483" s="22">
        <v>1</v>
      </c>
      <c r="I483" s="22">
        <v>1</v>
      </c>
      <c r="J483" s="22">
        <v>1</v>
      </c>
      <c r="K483" s="22">
        <v>0</v>
      </c>
      <c r="L483" s="22">
        <v>0</v>
      </c>
      <c r="M483" s="22">
        <v>0</v>
      </c>
      <c r="N483" s="22">
        <v>0</v>
      </c>
      <c r="O483" s="22"/>
      <c r="P483" s="22">
        <v>50.4</v>
      </c>
      <c r="Q483" s="22" t="str">
        <f t="shared" si="21"/>
        <v>Normal</v>
      </c>
      <c r="R483" s="26" t="str">
        <f t="shared" si="22"/>
        <v>USR-10048245701ControlNorthOrganicBasic111000050.4</v>
      </c>
      <c r="S483" s="22" t="str">
        <f t="shared" si="23"/>
        <v>OK</v>
      </c>
    </row>
    <row r="484" spans="1:19" ht="41.4">
      <c r="A484" s="22" t="s">
        <v>514</v>
      </c>
      <c r="B484" s="25">
        <v>45759</v>
      </c>
      <c r="C484" s="22" t="s">
        <v>17</v>
      </c>
      <c r="D484" s="22" t="s">
        <v>23</v>
      </c>
      <c r="E484" s="22" t="s">
        <v>19</v>
      </c>
      <c r="F484" s="22" t="s">
        <v>25</v>
      </c>
      <c r="G484" s="22" t="s">
        <v>21</v>
      </c>
      <c r="H484" s="22">
        <v>0</v>
      </c>
      <c r="I484" s="22">
        <v>0</v>
      </c>
      <c r="J484" s="22">
        <v>0</v>
      </c>
      <c r="K484" s="22">
        <v>0</v>
      </c>
      <c r="L484" s="22">
        <v>0</v>
      </c>
      <c r="M484" s="22">
        <v>0</v>
      </c>
      <c r="N484" s="22">
        <v>0</v>
      </c>
      <c r="O484" s="22"/>
      <c r="P484" s="22">
        <v>41.5</v>
      </c>
      <c r="Q484" s="22" t="str">
        <f t="shared" si="21"/>
        <v>Normal</v>
      </c>
      <c r="R484" s="26" t="str">
        <f t="shared" si="22"/>
        <v>USR-10048345759ControlWestDesktopOrganicBasic000000041.5</v>
      </c>
      <c r="S484" s="22" t="str">
        <f t="shared" si="23"/>
        <v>OK</v>
      </c>
    </row>
    <row r="485" spans="1:19" ht="41.4">
      <c r="A485" s="22" t="s">
        <v>515</v>
      </c>
      <c r="B485" s="25">
        <v>45754</v>
      </c>
      <c r="C485" s="22" t="s">
        <v>17</v>
      </c>
      <c r="D485" s="22" t="s">
        <v>18</v>
      </c>
      <c r="E485" s="22" t="s">
        <v>24</v>
      </c>
      <c r="F485" s="22" t="s">
        <v>20</v>
      </c>
      <c r="G485" s="22" t="s">
        <v>26</v>
      </c>
      <c r="H485" s="22">
        <v>0</v>
      </c>
      <c r="I485" s="22">
        <v>0</v>
      </c>
      <c r="J485" s="22">
        <v>0</v>
      </c>
      <c r="K485" s="22">
        <v>0</v>
      </c>
      <c r="L485" s="22">
        <v>0</v>
      </c>
      <c r="M485" s="22">
        <v>0</v>
      </c>
      <c r="N485" s="22">
        <v>0</v>
      </c>
      <c r="O485" s="22"/>
      <c r="P485" s="22">
        <v>86.2</v>
      </c>
      <c r="Q485" s="22" t="str">
        <f t="shared" si="21"/>
        <v>Normal</v>
      </c>
      <c r="R485" s="26" t="str">
        <f t="shared" si="22"/>
        <v>USR-10048445754ControlNorthMobileEmailFree000000086.2</v>
      </c>
      <c r="S485" s="22" t="str">
        <f t="shared" si="23"/>
        <v>OK</v>
      </c>
    </row>
    <row r="486" spans="1:19" ht="41.4">
      <c r="A486" s="22" t="s">
        <v>516</v>
      </c>
      <c r="B486" s="25">
        <v>45728</v>
      </c>
      <c r="C486" s="22" t="s">
        <v>17</v>
      </c>
      <c r="D486" s="22" t="s">
        <v>18</v>
      </c>
      <c r="E486" s="22" t="s">
        <v>19</v>
      </c>
      <c r="F486" s="22" t="s">
        <v>41</v>
      </c>
      <c r="G486" s="22" t="s">
        <v>26</v>
      </c>
      <c r="H486" s="22">
        <v>1</v>
      </c>
      <c r="I486" s="22">
        <v>1</v>
      </c>
      <c r="J486" s="22">
        <v>1</v>
      </c>
      <c r="K486" s="22">
        <v>0</v>
      </c>
      <c r="L486" s="22">
        <v>0</v>
      </c>
      <c r="M486" s="22">
        <v>2</v>
      </c>
      <c r="N486" s="22">
        <v>0</v>
      </c>
      <c r="O486" s="22"/>
      <c r="P486" s="22">
        <v>50.8</v>
      </c>
      <c r="Q486" s="22" t="str">
        <f t="shared" si="21"/>
        <v>Normal</v>
      </c>
      <c r="R486" s="26" t="str">
        <f t="shared" si="22"/>
        <v>USR-10048545728ControlNorthDesktopSocialFree111002050.8</v>
      </c>
      <c r="S486" s="22" t="str">
        <f t="shared" si="23"/>
        <v>OK</v>
      </c>
    </row>
    <row r="487" spans="1:19" ht="41.4">
      <c r="A487" s="22" t="s">
        <v>517</v>
      </c>
      <c r="B487" s="25">
        <v>45695</v>
      </c>
      <c r="C487" s="22" t="s">
        <v>17</v>
      </c>
      <c r="D487" s="22" t="s">
        <v>23</v>
      </c>
      <c r="E487" s="22" t="s">
        <v>24</v>
      </c>
      <c r="F487" s="22" t="s">
        <v>25</v>
      </c>
      <c r="G487" s="22" t="s">
        <v>26</v>
      </c>
      <c r="H487" s="22">
        <v>1</v>
      </c>
      <c r="I487" s="22">
        <v>0</v>
      </c>
      <c r="J487" s="22">
        <v>0</v>
      </c>
      <c r="K487" s="22">
        <v>0</v>
      </c>
      <c r="L487" s="22">
        <v>0</v>
      </c>
      <c r="M487" s="22">
        <v>0</v>
      </c>
      <c r="N487" s="22">
        <v>0</v>
      </c>
      <c r="O487" s="22"/>
      <c r="P487" s="22">
        <v>50.9</v>
      </c>
      <c r="Q487" s="22" t="str">
        <f t="shared" si="21"/>
        <v>Normal</v>
      </c>
      <c r="R487" s="26" t="str">
        <f t="shared" si="22"/>
        <v>USR-10048645695ControlWestMobileOrganicFree100000050.9</v>
      </c>
      <c r="S487" s="22" t="str">
        <f t="shared" si="23"/>
        <v>OK</v>
      </c>
    </row>
    <row r="488" spans="1:19" ht="41.4">
      <c r="A488" s="22" t="s">
        <v>518</v>
      </c>
      <c r="B488" s="25">
        <v>45782</v>
      </c>
      <c r="C488" s="22" t="s">
        <v>17</v>
      </c>
      <c r="D488" s="22" t="s">
        <v>18</v>
      </c>
      <c r="E488" s="22" t="s">
        <v>24</v>
      </c>
      <c r="F488" s="22" t="s">
        <v>25</v>
      </c>
      <c r="G488" s="22" t="s">
        <v>30</v>
      </c>
      <c r="H488" s="22">
        <v>1</v>
      </c>
      <c r="I488" s="22">
        <v>1</v>
      </c>
      <c r="J488" s="22">
        <v>0</v>
      </c>
      <c r="K488" s="22">
        <v>0</v>
      </c>
      <c r="L488" s="22">
        <v>0</v>
      </c>
      <c r="M488" s="22">
        <v>0</v>
      </c>
      <c r="N488" s="22">
        <v>0</v>
      </c>
      <c r="O488" s="22"/>
      <c r="P488" s="22">
        <v>87.5</v>
      </c>
      <c r="Q488" s="22" t="str">
        <f t="shared" si="21"/>
        <v>Normal</v>
      </c>
      <c r="R488" s="26" t="str">
        <f t="shared" si="22"/>
        <v>USR-10048745782ControlNorthMobileOrganicPremium110000087.5</v>
      </c>
      <c r="S488" s="22" t="str">
        <f t="shared" si="23"/>
        <v>OK</v>
      </c>
    </row>
    <row r="489" spans="1:19" ht="41.4">
      <c r="A489" s="22" t="s">
        <v>519</v>
      </c>
      <c r="B489" s="25">
        <v>45734</v>
      </c>
      <c r="C489" s="22" t="s">
        <v>17</v>
      </c>
      <c r="D489" s="22" t="s">
        <v>32</v>
      </c>
      <c r="E489" s="22" t="s">
        <v>24</v>
      </c>
      <c r="F489" s="22" t="s">
        <v>39</v>
      </c>
      <c r="G489" s="22" t="s">
        <v>26</v>
      </c>
      <c r="H489" s="22">
        <v>0</v>
      </c>
      <c r="I489" s="22">
        <v>0</v>
      </c>
      <c r="J489" s="22">
        <v>0</v>
      </c>
      <c r="K489" s="22">
        <v>0</v>
      </c>
      <c r="L489" s="22">
        <v>0</v>
      </c>
      <c r="M489" s="22">
        <v>0</v>
      </c>
      <c r="N489" s="22">
        <v>0</v>
      </c>
      <c r="O489" s="22"/>
      <c r="P489" s="22">
        <v>43.6</v>
      </c>
      <c r="Q489" s="22" t="str">
        <f t="shared" si="21"/>
        <v>Normal</v>
      </c>
      <c r="R489" s="26" t="str">
        <f t="shared" si="22"/>
        <v>USR-10048845734ControlSouthMobileReferralFree000000043.6</v>
      </c>
      <c r="S489" s="22" t="str">
        <f t="shared" si="23"/>
        <v>OK</v>
      </c>
    </row>
    <row r="490" spans="1:19" ht="41.4">
      <c r="A490" s="22" t="s">
        <v>520</v>
      </c>
      <c r="B490" s="25">
        <v>45662</v>
      </c>
      <c r="C490" s="22" t="s">
        <v>17</v>
      </c>
      <c r="D490" s="22" t="s">
        <v>32</v>
      </c>
      <c r="E490" s="22" t="s">
        <v>24</v>
      </c>
      <c r="F490" s="22" t="s">
        <v>29</v>
      </c>
      <c r="G490" s="22" t="s">
        <v>21</v>
      </c>
      <c r="H490" s="22">
        <v>1</v>
      </c>
      <c r="I490" s="22">
        <v>0</v>
      </c>
      <c r="J490" s="22">
        <v>0</v>
      </c>
      <c r="K490" s="22">
        <v>0</v>
      </c>
      <c r="L490" s="22">
        <v>0</v>
      </c>
      <c r="M490" s="22">
        <v>0</v>
      </c>
      <c r="N490" s="22">
        <v>0</v>
      </c>
      <c r="O490" s="22"/>
      <c r="P490" s="22">
        <v>55.5</v>
      </c>
      <c r="Q490" s="22" t="str">
        <f t="shared" si="21"/>
        <v>Normal</v>
      </c>
      <c r="R490" s="26" t="str">
        <f t="shared" si="22"/>
        <v>USR-10048945662ControlSouthMobilePaid SearchBasic100000055.5</v>
      </c>
      <c r="S490" s="22" t="str">
        <f t="shared" si="23"/>
        <v>OK</v>
      </c>
    </row>
    <row r="491" spans="1:19" ht="41.4">
      <c r="A491" s="22" t="s">
        <v>521</v>
      </c>
      <c r="B491" s="25">
        <v>45787</v>
      </c>
      <c r="C491" s="22" t="s">
        <v>17</v>
      </c>
      <c r="D491" s="22" t="s">
        <v>32</v>
      </c>
      <c r="E491" s="22" t="s">
        <v>19</v>
      </c>
      <c r="F491" s="22" t="s">
        <v>39</v>
      </c>
      <c r="G491" s="22" t="s">
        <v>21</v>
      </c>
      <c r="H491" s="22">
        <v>0</v>
      </c>
      <c r="I491" s="22">
        <v>0</v>
      </c>
      <c r="J491" s="22">
        <v>0</v>
      </c>
      <c r="K491" s="22">
        <v>0</v>
      </c>
      <c r="L491" s="22">
        <v>0</v>
      </c>
      <c r="M491" s="22">
        <v>0</v>
      </c>
      <c r="N491" s="22">
        <v>0</v>
      </c>
      <c r="O491" s="22"/>
      <c r="P491" s="22">
        <v>78.599999999999994</v>
      </c>
      <c r="Q491" s="22" t="str">
        <f t="shared" si="21"/>
        <v>Normal</v>
      </c>
      <c r="R491" s="26" t="str">
        <f t="shared" si="22"/>
        <v>USR-10049045787ControlSouthDesktopReferralBasic000000078.6</v>
      </c>
      <c r="S491" s="22" t="str">
        <f t="shared" si="23"/>
        <v>OK</v>
      </c>
    </row>
    <row r="492" spans="1:19" ht="41.4">
      <c r="A492" s="22" t="s">
        <v>522</v>
      </c>
      <c r="B492" s="25">
        <v>45660</v>
      </c>
      <c r="C492" s="22" t="s">
        <v>17</v>
      </c>
      <c r="D492" s="22" t="s">
        <v>32</v>
      </c>
      <c r="E492" s="22" t="s">
        <v>24</v>
      </c>
      <c r="F492" s="22" t="s">
        <v>41</v>
      </c>
      <c r="G492" s="22" t="s">
        <v>21</v>
      </c>
      <c r="H492" s="22">
        <v>1</v>
      </c>
      <c r="I492" s="22">
        <v>1</v>
      </c>
      <c r="J492" s="22">
        <v>0</v>
      </c>
      <c r="K492" s="22">
        <v>0</v>
      </c>
      <c r="L492" s="22">
        <v>0</v>
      </c>
      <c r="M492" s="22">
        <v>1</v>
      </c>
      <c r="N492" s="22">
        <v>0</v>
      </c>
      <c r="O492" s="22"/>
      <c r="P492" s="22">
        <v>44.3</v>
      </c>
      <c r="Q492" s="22" t="str">
        <f t="shared" si="21"/>
        <v>Normal</v>
      </c>
      <c r="R492" s="26" t="str">
        <f t="shared" si="22"/>
        <v>USR-10049145660ControlSouthMobileSocialBasic110001044.3</v>
      </c>
      <c r="S492" s="22" t="str">
        <f t="shared" si="23"/>
        <v>OK</v>
      </c>
    </row>
    <row r="493" spans="1:19" ht="41.4">
      <c r="A493" s="22" t="s">
        <v>523</v>
      </c>
      <c r="B493" s="25">
        <v>45785</v>
      </c>
      <c r="C493" s="22" t="s">
        <v>17</v>
      </c>
      <c r="D493" s="22" t="s">
        <v>32</v>
      </c>
      <c r="E493" s="22" t="s">
        <v>24</v>
      </c>
      <c r="F493" s="22" t="s">
        <v>29</v>
      </c>
      <c r="G493" s="22" t="s">
        <v>26</v>
      </c>
      <c r="H493" s="22">
        <v>1</v>
      </c>
      <c r="I493" s="22">
        <v>1</v>
      </c>
      <c r="J493" s="22">
        <v>0</v>
      </c>
      <c r="K493" s="22">
        <v>0</v>
      </c>
      <c r="L493" s="22">
        <v>0</v>
      </c>
      <c r="M493" s="22">
        <v>0</v>
      </c>
      <c r="N493" s="22">
        <v>0</v>
      </c>
      <c r="O493" s="22"/>
      <c r="P493" s="22">
        <v>45.2</v>
      </c>
      <c r="Q493" s="22" t="str">
        <f t="shared" si="21"/>
        <v>Normal</v>
      </c>
      <c r="R493" s="26" t="str">
        <f t="shared" si="22"/>
        <v>USR-10049245785ControlSouthMobilePaid SearchFree110000045.2</v>
      </c>
      <c r="S493" s="22" t="str">
        <f t="shared" si="23"/>
        <v>OK</v>
      </c>
    </row>
    <row r="494" spans="1:19" ht="41.4">
      <c r="A494" s="22" t="s">
        <v>524</v>
      </c>
      <c r="B494" s="25">
        <v>45721</v>
      </c>
      <c r="C494" s="22" t="s">
        <v>17</v>
      </c>
      <c r="D494" s="22" t="s">
        <v>32</v>
      </c>
      <c r="E494" s="22" t="s">
        <v>19</v>
      </c>
      <c r="F494" s="22" t="s">
        <v>20</v>
      </c>
      <c r="G494" s="22" t="s">
        <v>21</v>
      </c>
      <c r="H494" s="22">
        <v>1</v>
      </c>
      <c r="I494" s="22">
        <v>0</v>
      </c>
      <c r="J494" s="22">
        <v>0</v>
      </c>
      <c r="K494" s="22">
        <v>0</v>
      </c>
      <c r="L494" s="22">
        <v>0</v>
      </c>
      <c r="M494" s="22">
        <v>2</v>
      </c>
      <c r="N494" s="22">
        <v>0</v>
      </c>
      <c r="O494" s="22"/>
      <c r="P494" s="22">
        <v>46.1</v>
      </c>
      <c r="Q494" s="22" t="str">
        <f t="shared" si="21"/>
        <v>Normal</v>
      </c>
      <c r="R494" s="26" t="str">
        <f t="shared" si="22"/>
        <v>USR-10049345721ControlSouthDesktopEmailBasic100002046.1</v>
      </c>
      <c r="S494" s="22" t="str">
        <f t="shared" si="23"/>
        <v>OK</v>
      </c>
    </row>
    <row r="495" spans="1:19" ht="41.4">
      <c r="A495" s="22" t="s">
        <v>525</v>
      </c>
      <c r="B495" s="25">
        <v>45705</v>
      </c>
      <c r="C495" s="22" t="s">
        <v>17</v>
      </c>
      <c r="D495" s="22" t="s">
        <v>18</v>
      </c>
      <c r="E495" s="22" t="s">
        <v>24</v>
      </c>
      <c r="F495" s="22" t="s">
        <v>25</v>
      </c>
      <c r="G495" s="22" t="s">
        <v>30</v>
      </c>
      <c r="H495" s="22">
        <v>1</v>
      </c>
      <c r="I495" s="22">
        <v>0</v>
      </c>
      <c r="J495" s="22">
        <v>0</v>
      </c>
      <c r="K495" s="22">
        <v>0</v>
      </c>
      <c r="L495" s="22">
        <v>0</v>
      </c>
      <c r="M495" s="22">
        <v>0</v>
      </c>
      <c r="N495" s="22">
        <v>0</v>
      </c>
      <c r="O495" s="22"/>
      <c r="P495" s="22">
        <v>49.6</v>
      </c>
      <c r="Q495" s="22" t="str">
        <f t="shared" si="21"/>
        <v>Normal</v>
      </c>
      <c r="R495" s="26" t="str">
        <f t="shared" si="22"/>
        <v>USR-10049445705ControlNorthMobileOrganicPremium100000049.6</v>
      </c>
      <c r="S495" s="22" t="str">
        <f t="shared" si="23"/>
        <v>OK</v>
      </c>
    </row>
    <row r="496" spans="1:19" ht="41.4">
      <c r="A496" s="22" t="s">
        <v>526</v>
      </c>
      <c r="B496" s="25">
        <v>45666</v>
      </c>
      <c r="C496" s="22" t="s">
        <v>17</v>
      </c>
      <c r="D496" s="22" t="s">
        <v>32</v>
      </c>
      <c r="E496" s="22" t="s">
        <v>24</v>
      </c>
      <c r="F496" s="22" t="s">
        <v>39</v>
      </c>
      <c r="G496" s="22" t="s">
        <v>21</v>
      </c>
      <c r="H496" s="22">
        <v>0</v>
      </c>
      <c r="I496" s="22">
        <v>0</v>
      </c>
      <c r="J496" s="22">
        <v>0</v>
      </c>
      <c r="K496" s="22">
        <v>0</v>
      </c>
      <c r="L496" s="22">
        <v>0</v>
      </c>
      <c r="M496" s="22">
        <v>0</v>
      </c>
      <c r="N496" s="22">
        <v>0</v>
      </c>
      <c r="O496" s="22"/>
      <c r="P496" s="22">
        <v>70.5</v>
      </c>
      <c r="Q496" s="22" t="str">
        <f t="shared" si="21"/>
        <v>Normal</v>
      </c>
      <c r="R496" s="26" t="str">
        <f t="shared" si="22"/>
        <v>USR-10049545666ControlSouthMobileReferralBasic000000070.5</v>
      </c>
      <c r="S496" s="22" t="str">
        <f t="shared" si="23"/>
        <v>OK</v>
      </c>
    </row>
    <row r="497" spans="1:19" ht="41.4">
      <c r="A497" s="22" t="s">
        <v>527</v>
      </c>
      <c r="B497" s="25">
        <v>45782</v>
      </c>
      <c r="C497" s="22" t="s">
        <v>17</v>
      </c>
      <c r="D497" s="22" t="s">
        <v>32</v>
      </c>
      <c r="E497" s="22" t="s">
        <v>24</v>
      </c>
      <c r="F497" s="22" t="s">
        <v>20</v>
      </c>
      <c r="G497" s="22" t="s">
        <v>21</v>
      </c>
      <c r="H497" s="22">
        <v>0</v>
      </c>
      <c r="I497" s="22">
        <v>0</v>
      </c>
      <c r="J497" s="22">
        <v>0</v>
      </c>
      <c r="K497" s="22">
        <v>0</v>
      </c>
      <c r="L497" s="22">
        <v>0</v>
      </c>
      <c r="M497" s="22">
        <v>1</v>
      </c>
      <c r="N497" s="22">
        <v>0</v>
      </c>
      <c r="O497" s="22"/>
      <c r="P497" s="22">
        <v>60.8</v>
      </c>
      <c r="Q497" s="22" t="str">
        <f t="shared" si="21"/>
        <v>Normal</v>
      </c>
      <c r="R497" s="26" t="str">
        <f t="shared" si="22"/>
        <v>USR-10049645782ControlSouthMobileEmailBasic000001060.8</v>
      </c>
      <c r="S497" s="22" t="str">
        <f t="shared" si="23"/>
        <v>OK</v>
      </c>
    </row>
    <row r="498" spans="1:19" ht="41.4">
      <c r="A498" s="22" t="s">
        <v>528</v>
      </c>
      <c r="B498" s="25">
        <v>45763</v>
      </c>
      <c r="C498" s="22" t="s">
        <v>17</v>
      </c>
      <c r="D498" s="22" t="s">
        <v>28</v>
      </c>
      <c r="E498" s="22" t="s">
        <v>24</v>
      </c>
      <c r="F498" s="22" t="s">
        <v>20</v>
      </c>
      <c r="G498" s="22" t="s">
        <v>21</v>
      </c>
      <c r="H498" s="22">
        <v>0</v>
      </c>
      <c r="I498" s="22">
        <v>0</v>
      </c>
      <c r="J498" s="22">
        <v>0</v>
      </c>
      <c r="K498" s="22">
        <v>0</v>
      </c>
      <c r="L498" s="22">
        <v>0</v>
      </c>
      <c r="M498" s="22">
        <v>1</v>
      </c>
      <c r="N498" s="22">
        <v>0</v>
      </c>
      <c r="O498" s="22"/>
      <c r="P498" s="22">
        <v>50.5</v>
      </c>
      <c r="Q498" s="22" t="str">
        <f t="shared" si="21"/>
        <v>Normal</v>
      </c>
      <c r="R498" s="26" t="str">
        <f t="shared" si="22"/>
        <v>USR-10049745763ControlEastMobileEmailBasic000001050.5</v>
      </c>
      <c r="S498" s="22" t="str">
        <f t="shared" si="23"/>
        <v>OK</v>
      </c>
    </row>
    <row r="499" spans="1:19" ht="41.4">
      <c r="A499" s="22" t="s">
        <v>529</v>
      </c>
      <c r="B499" s="25">
        <v>45718</v>
      </c>
      <c r="C499" s="22" t="s">
        <v>17</v>
      </c>
      <c r="D499" s="22" t="s">
        <v>32</v>
      </c>
      <c r="E499" s="22" t="s">
        <v>19</v>
      </c>
      <c r="F499" s="22" t="s">
        <v>25</v>
      </c>
      <c r="G499" s="22" t="s">
        <v>26</v>
      </c>
      <c r="H499" s="22">
        <v>1</v>
      </c>
      <c r="I499" s="22">
        <v>0</v>
      </c>
      <c r="J499" s="22">
        <v>0</v>
      </c>
      <c r="K499" s="22">
        <v>0</v>
      </c>
      <c r="L499" s="22">
        <v>0</v>
      </c>
      <c r="M499" s="22">
        <v>0</v>
      </c>
      <c r="N499" s="22">
        <v>0</v>
      </c>
      <c r="O499" s="22"/>
      <c r="P499" s="22">
        <v>54.9</v>
      </c>
      <c r="Q499" s="22" t="str">
        <f t="shared" si="21"/>
        <v>Normal</v>
      </c>
      <c r="R499" s="26" t="str">
        <f t="shared" si="22"/>
        <v>USR-10049845718ControlSouthDesktopOrganicFree100000054.9</v>
      </c>
      <c r="S499" s="22" t="str">
        <f t="shared" si="23"/>
        <v>OK</v>
      </c>
    </row>
    <row r="500" spans="1:19" ht="41.4">
      <c r="A500" s="22" t="s">
        <v>530</v>
      </c>
      <c r="B500" s="25">
        <v>45761</v>
      </c>
      <c r="C500" s="22" t="s">
        <v>17</v>
      </c>
      <c r="D500" s="22" t="s">
        <v>32</v>
      </c>
      <c r="E500" s="22" t="s">
        <v>24</v>
      </c>
      <c r="F500" s="22" t="s">
        <v>41</v>
      </c>
      <c r="G500" s="22" t="s">
        <v>30</v>
      </c>
      <c r="H500" s="22">
        <v>0</v>
      </c>
      <c r="I500" s="22">
        <v>0</v>
      </c>
      <c r="J500" s="22">
        <v>0</v>
      </c>
      <c r="K500" s="22">
        <v>0</v>
      </c>
      <c r="L500" s="22">
        <v>0</v>
      </c>
      <c r="M500" s="22">
        <v>0</v>
      </c>
      <c r="N500" s="22">
        <v>0</v>
      </c>
      <c r="O500" s="22"/>
      <c r="P500" s="22">
        <v>29.9</v>
      </c>
      <c r="Q500" s="22" t="str">
        <f t="shared" si="21"/>
        <v>Normal</v>
      </c>
      <c r="R500" s="26" t="str">
        <f t="shared" si="22"/>
        <v>USR-10049945761ControlSouthMobileSocialPremium000000029.9</v>
      </c>
      <c r="S500" s="22" t="str">
        <f t="shared" si="23"/>
        <v>OK</v>
      </c>
    </row>
    <row r="501" spans="1:19" ht="41.4">
      <c r="A501" s="22" t="s">
        <v>531</v>
      </c>
      <c r="B501" s="25">
        <v>45703</v>
      </c>
      <c r="C501" s="22" t="s">
        <v>17</v>
      </c>
      <c r="D501" s="22" t="s">
        <v>28</v>
      </c>
      <c r="E501" s="22" t="s">
        <v>19</v>
      </c>
      <c r="F501" s="22" t="s">
        <v>29</v>
      </c>
      <c r="G501" s="22" t="s">
        <v>21</v>
      </c>
      <c r="H501" s="22">
        <v>0</v>
      </c>
      <c r="I501" s="22">
        <v>0</v>
      </c>
      <c r="J501" s="22">
        <v>0</v>
      </c>
      <c r="K501" s="22">
        <v>0</v>
      </c>
      <c r="L501" s="22">
        <v>0</v>
      </c>
      <c r="M501" s="22">
        <v>0</v>
      </c>
      <c r="N501" s="22">
        <v>0</v>
      </c>
      <c r="O501" s="22"/>
      <c r="P501" s="22">
        <v>48.3</v>
      </c>
      <c r="Q501" s="22" t="str">
        <f t="shared" si="21"/>
        <v>Normal</v>
      </c>
      <c r="R501" s="26" t="str">
        <f t="shared" si="22"/>
        <v>USR-10050045703ControlEastDesktopPaid SearchBasic000000048.3</v>
      </c>
      <c r="S501" s="22" t="str">
        <f t="shared" si="23"/>
        <v>OK</v>
      </c>
    </row>
    <row r="502" spans="1:19" ht="41.4">
      <c r="A502" s="22" t="s">
        <v>532</v>
      </c>
      <c r="B502" s="25">
        <v>45701</v>
      </c>
      <c r="C502" s="22" t="s">
        <v>17</v>
      </c>
      <c r="D502" s="22" t="s">
        <v>23</v>
      </c>
      <c r="E502" s="22" t="s">
        <v>24</v>
      </c>
      <c r="F502" s="22" t="s">
        <v>41</v>
      </c>
      <c r="G502" s="22" t="s">
        <v>26</v>
      </c>
      <c r="H502" s="22">
        <v>1</v>
      </c>
      <c r="I502" s="22">
        <v>1</v>
      </c>
      <c r="J502" s="22">
        <v>1</v>
      </c>
      <c r="K502" s="22">
        <v>1</v>
      </c>
      <c r="L502" s="22">
        <v>513.61</v>
      </c>
      <c r="M502" s="22">
        <v>0</v>
      </c>
      <c r="N502" s="22">
        <v>0</v>
      </c>
      <c r="O502" s="22">
        <v>7</v>
      </c>
      <c r="P502" s="22">
        <v>41.3</v>
      </c>
      <c r="Q502" s="22" t="str">
        <f t="shared" si="21"/>
        <v>Normal</v>
      </c>
      <c r="R502" s="26" t="str">
        <f t="shared" si="22"/>
        <v>USR-10050145701ControlWestMobileSocialFree1111513.6100741.3</v>
      </c>
      <c r="S502" s="22" t="str">
        <f t="shared" si="23"/>
        <v>OK</v>
      </c>
    </row>
    <row r="503" spans="1:19" ht="41.4">
      <c r="A503" s="22" t="s">
        <v>533</v>
      </c>
      <c r="B503" s="25">
        <v>45722</v>
      </c>
      <c r="C503" s="22" t="s">
        <v>17</v>
      </c>
      <c r="D503" s="22" t="s">
        <v>18</v>
      </c>
      <c r="E503" s="22" t="s">
        <v>24</v>
      </c>
      <c r="F503" s="22" t="s">
        <v>20</v>
      </c>
      <c r="G503" s="22" t="s">
        <v>26</v>
      </c>
      <c r="H503" s="22">
        <v>0</v>
      </c>
      <c r="I503" s="22">
        <v>0</v>
      </c>
      <c r="J503" s="22">
        <v>0</v>
      </c>
      <c r="K503" s="22">
        <v>0</v>
      </c>
      <c r="L503" s="22">
        <v>0</v>
      </c>
      <c r="M503" s="22">
        <v>0</v>
      </c>
      <c r="N503" s="22">
        <v>0</v>
      </c>
      <c r="O503" s="22"/>
      <c r="P503" s="22">
        <v>61.4</v>
      </c>
      <c r="Q503" s="22" t="str">
        <f t="shared" si="21"/>
        <v>Normal</v>
      </c>
      <c r="R503" s="26" t="str">
        <f t="shared" si="22"/>
        <v>USR-10050245722ControlNorthMobileEmailFree000000061.4</v>
      </c>
      <c r="S503" s="22" t="str">
        <f t="shared" si="23"/>
        <v>OK</v>
      </c>
    </row>
    <row r="504" spans="1:19" ht="41.4">
      <c r="A504" s="22" t="s">
        <v>534</v>
      </c>
      <c r="B504" s="25">
        <v>45706</v>
      </c>
      <c r="C504" s="22" t="s">
        <v>17</v>
      </c>
      <c r="D504" s="22" t="s">
        <v>32</v>
      </c>
      <c r="E504" s="22" t="s">
        <v>19</v>
      </c>
      <c r="F504" s="22" t="s">
        <v>41</v>
      </c>
      <c r="G504" s="22" t="s">
        <v>26</v>
      </c>
      <c r="H504" s="22">
        <v>0</v>
      </c>
      <c r="I504" s="22">
        <v>0</v>
      </c>
      <c r="J504" s="22">
        <v>0</v>
      </c>
      <c r="K504" s="22">
        <v>0</v>
      </c>
      <c r="L504" s="22">
        <v>0</v>
      </c>
      <c r="M504" s="22">
        <v>0</v>
      </c>
      <c r="N504" s="22">
        <v>0</v>
      </c>
      <c r="O504" s="22"/>
      <c r="P504" s="22">
        <v>57.8</v>
      </c>
      <c r="Q504" s="22" t="str">
        <f t="shared" si="21"/>
        <v>Normal</v>
      </c>
      <c r="R504" s="26" t="str">
        <f t="shared" si="22"/>
        <v>USR-10050345706ControlSouthDesktopSocialFree000000057.8</v>
      </c>
      <c r="S504" s="22" t="str">
        <f t="shared" si="23"/>
        <v>OK</v>
      </c>
    </row>
    <row r="505" spans="1:19" ht="41.4">
      <c r="A505" s="22" t="s">
        <v>535</v>
      </c>
      <c r="B505" s="25">
        <v>45754</v>
      </c>
      <c r="C505" s="22" t="s">
        <v>17</v>
      </c>
      <c r="D505" s="22" t="s">
        <v>18</v>
      </c>
      <c r="E505" s="22" t="s">
        <v>19</v>
      </c>
      <c r="F505" s="22" t="s">
        <v>25</v>
      </c>
      <c r="G505" s="22" t="s">
        <v>26</v>
      </c>
      <c r="H505" s="22">
        <v>0</v>
      </c>
      <c r="I505" s="22">
        <v>0</v>
      </c>
      <c r="J505" s="22">
        <v>0</v>
      </c>
      <c r="K505" s="22">
        <v>0</v>
      </c>
      <c r="L505" s="22">
        <v>0</v>
      </c>
      <c r="M505" s="22">
        <v>0</v>
      </c>
      <c r="N505" s="22">
        <v>0</v>
      </c>
      <c r="O505" s="22"/>
      <c r="P505" s="22">
        <v>78.2</v>
      </c>
      <c r="Q505" s="22" t="str">
        <f t="shared" si="21"/>
        <v>Normal</v>
      </c>
      <c r="R505" s="26" t="str">
        <f t="shared" si="22"/>
        <v>USR-10050445754ControlNorthDesktopOrganicFree000000078.2</v>
      </c>
      <c r="S505" s="22" t="str">
        <f t="shared" si="23"/>
        <v>OK</v>
      </c>
    </row>
    <row r="506" spans="1:19" ht="41.4">
      <c r="A506" s="22" t="s">
        <v>536</v>
      </c>
      <c r="B506" s="25">
        <v>45753</v>
      </c>
      <c r="C506" s="22" t="s">
        <v>17</v>
      </c>
      <c r="D506" s="22" t="s">
        <v>18</v>
      </c>
      <c r="E506" s="22" t="s">
        <v>24</v>
      </c>
      <c r="F506" s="22" t="s">
        <v>39</v>
      </c>
      <c r="G506" s="22" t="s">
        <v>26</v>
      </c>
      <c r="H506" s="22">
        <v>0</v>
      </c>
      <c r="I506" s="22">
        <v>0</v>
      </c>
      <c r="J506" s="22">
        <v>0</v>
      </c>
      <c r="K506" s="22">
        <v>0</v>
      </c>
      <c r="L506" s="22">
        <v>0</v>
      </c>
      <c r="M506" s="22">
        <v>0</v>
      </c>
      <c r="N506" s="22">
        <v>0</v>
      </c>
      <c r="O506" s="22"/>
      <c r="P506" s="22">
        <v>63.8</v>
      </c>
      <c r="Q506" s="22" t="str">
        <f t="shared" si="21"/>
        <v>Normal</v>
      </c>
      <c r="R506" s="26" t="str">
        <f t="shared" si="22"/>
        <v>USR-10050545753ControlNorthMobileReferralFree000000063.8</v>
      </c>
      <c r="S506" s="22" t="str">
        <f t="shared" si="23"/>
        <v>OK</v>
      </c>
    </row>
    <row r="507" spans="1:19" ht="41.4">
      <c r="A507" s="22" t="s">
        <v>537</v>
      </c>
      <c r="B507" s="25">
        <v>45687</v>
      </c>
      <c r="C507" s="22" t="s">
        <v>17</v>
      </c>
      <c r="D507" s="22" t="s">
        <v>18</v>
      </c>
      <c r="E507" s="22" t="s">
        <v>19</v>
      </c>
      <c r="F507" s="22" t="s">
        <v>41</v>
      </c>
      <c r="G507" s="22" t="s">
        <v>26</v>
      </c>
      <c r="H507" s="22">
        <v>1</v>
      </c>
      <c r="I507" s="22">
        <v>0</v>
      </c>
      <c r="J507" s="22">
        <v>0</v>
      </c>
      <c r="K507" s="22">
        <v>0</v>
      </c>
      <c r="L507" s="22">
        <v>0</v>
      </c>
      <c r="M507" s="22">
        <v>0</v>
      </c>
      <c r="N507" s="22">
        <v>0</v>
      </c>
      <c r="O507" s="22"/>
      <c r="P507" s="22">
        <v>56.8</v>
      </c>
      <c r="Q507" s="22" t="str">
        <f t="shared" si="21"/>
        <v>Normal</v>
      </c>
      <c r="R507" s="26" t="str">
        <f t="shared" si="22"/>
        <v>USR-10050645687ControlNorthDesktopSocialFree100000056.8</v>
      </c>
      <c r="S507" s="22" t="str">
        <f t="shared" si="23"/>
        <v>OK</v>
      </c>
    </row>
    <row r="508" spans="1:19" ht="41.4">
      <c r="A508" s="22" t="s">
        <v>538</v>
      </c>
      <c r="B508" s="25">
        <v>45790</v>
      </c>
      <c r="C508" s="22" t="s">
        <v>17</v>
      </c>
      <c r="D508" s="22" t="s">
        <v>32</v>
      </c>
      <c r="E508" s="22" t="s">
        <v>19</v>
      </c>
      <c r="F508" s="22" t="s">
        <v>25</v>
      </c>
      <c r="G508" s="22" t="s">
        <v>21</v>
      </c>
      <c r="H508" s="22">
        <v>1</v>
      </c>
      <c r="I508" s="22">
        <v>1</v>
      </c>
      <c r="J508" s="22">
        <v>0</v>
      </c>
      <c r="K508" s="22">
        <v>0</v>
      </c>
      <c r="L508" s="22">
        <v>0</v>
      </c>
      <c r="M508" s="22">
        <v>0</v>
      </c>
      <c r="N508" s="22">
        <v>0</v>
      </c>
      <c r="O508" s="22"/>
      <c r="P508" s="22">
        <v>59.6</v>
      </c>
      <c r="Q508" s="22" t="str">
        <f t="shared" si="21"/>
        <v>Normal</v>
      </c>
      <c r="R508" s="26" t="str">
        <f t="shared" si="22"/>
        <v>USR-10050745790ControlSouthDesktopOrganicBasic110000059.6</v>
      </c>
      <c r="S508" s="22" t="str">
        <f t="shared" si="23"/>
        <v>OK</v>
      </c>
    </row>
    <row r="509" spans="1:19" ht="41.4">
      <c r="A509" s="22" t="s">
        <v>539</v>
      </c>
      <c r="B509" s="25">
        <v>45677</v>
      </c>
      <c r="C509" s="22" t="s">
        <v>17</v>
      </c>
      <c r="D509" s="22" t="s">
        <v>23</v>
      </c>
      <c r="E509" s="22" t="s">
        <v>24</v>
      </c>
      <c r="F509" s="22" t="s">
        <v>29</v>
      </c>
      <c r="G509" s="22" t="s">
        <v>30</v>
      </c>
      <c r="H509" s="22">
        <v>1</v>
      </c>
      <c r="I509" s="22">
        <v>1</v>
      </c>
      <c r="J509" s="22">
        <v>0</v>
      </c>
      <c r="K509" s="22">
        <v>0</v>
      </c>
      <c r="L509" s="22">
        <v>0</v>
      </c>
      <c r="M509" s="22">
        <v>0</v>
      </c>
      <c r="N509" s="22">
        <v>0</v>
      </c>
      <c r="O509" s="22"/>
      <c r="P509" s="22">
        <v>50</v>
      </c>
      <c r="Q509" s="22" t="str">
        <f t="shared" si="21"/>
        <v>Normal</v>
      </c>
      <c r="R509" s="26" t="str">
        <f t="shared" si="22"/>
        <v>USR-10050845677ControlWestMobilePaid SearchPremium110000050</v>
      </c>
      <c r="S509" s="22" t="str">
        <f t="shared" si="23"/>
        <v>OK</v>
      </c>
    </row>
    <row r="510" spans="1:19" ht="41.4">
      <c r="A510" s="22" t="s">
        <v>540</v>
      </c>
      <c r="B510" s="25">
        <v>45687</v>
      </c>
      <c r="C510" s="22" t="s">
        <v>17</v>
      </c>
      <c r="D510" s="22" t="s">
        <v>18</v>
      </c>
      <c r="E510" s="22" t="s">
        <v>34</v>
      </c>
      <c r="F510" s="22" t="s">
        <v>25</v>
      </c>
      <c r="G510" s="22" t="s">
        <v>26</v>
      </c>
      <c r="H510" s="22">
        <v>1</v>
      </c>
      <c r="I510" s="22">
        <v>0</v>
      </c>
      <c r="J510" s="22">
        <v>0</v>
      </c>
      <c r="K510" s="22">
        <v>0</v>
      </c>
      <c r="L510" s="22">
        <v>0</v>
      </c>
      <c r="M510" s="22">
        <v>0</v>
      </c>
      <c r="N510" s="22">
        <v>0</v>
      </c>
      <c r="O510" s="22"/>
      <c r="P510" s="22">
        <v>35.700000000000003</v>
      </c>
      <c r="Q510" s="22" t="str">
        <f t="shared" si="21"/>
        <v>Normal</v>
      </c>
      <c r="R510" s="26" t="str">
        <f t="shared" si="22"/>
        <v>USR-10050945687ControlNorthTabletOrganicFree100000035.7</v>
      </c>
      <c r="S510" s="22" t="str">
        <f t="shared" si="23"/>
        <v>OK</v>
      </c>
    </row>
    <row r="511" spans="1:19" ht="41.4">
      <c r="A511" s="22" t="s">
        <v>541</v>
      </c>
      <c r="B511" s="25">
        <v>45670</v>
      </c>
      <c r="C511" s="22" t="s">
        <v>17</v>
      </c>
      <c r="D511" s="22" t="s">
        <v>32</v>
      </c>
      <c r="E511" s="22" t="s">
        <v>24</v>
      </c>
      <c r="F511" s="22" t="s">
        <v>25</v>
      </c>
      <c r="G511" s="22" t="s">
        <v>26</v>
      </c>
      <c r="H511" s="22">
        <v>0</v>
      </c>
      <c r="I511" s="22">
        <v>0</v>
      </c>
      <c r="J511" s="22">
        <v>0</v>
      </c>
      <c r="K511" s="22">
        <v>0</v>
      </c>
      <c r="L511" s="22">
        <v>0</v>
      </c>
      <c r="M511" s="22">
        <v>2</v>
      </c>
      <c r="N511" s="22">
        <v>0</v>
      </c>
      <c r="O511" s="22"/>
      <c r="P511" s="22">
        <v>47.2</v>
      </c>
      <c r="Q511" s="22" t="str">
        <f t="shared" si="21"/>
        <v>Normal</v>
      </c>
      <c r="R511" s="26" t="str">
        <f t="shared" si="22"/>
        <v>USR-10051045670ControlSouthMobileOrganicFree000002047.2</v>
      </c>
      <c r="S511" s="22" t="str">
        <f t="shared" si="23"/>
        <v>OK</v>
      </c>
    </row>
    <row r="512" spans="1:19" ht="41.4">
      <c r="A512" s="22" t="s">
        <v>542</v>
      </c>
      <c r="B512" s="25">
        <v>45699</v>
      </c>
      <c r="C512" s="22" t="s">
        <v>17</v>
      </c>
      <c r="D512" s="22" t="s">
        <v>18</v>
      </c>
      <c r="E512" s="22" t="s">
        <v>24</v>
      </c>
      <c r="F512" s="22" t="s">
        <v>41</v>
      </c>
      <c r="G512" s="22" t="s">
        <v>26</v>
      </c>
      <c r="H512" s="22">
        <v>1</v>
      </c>
      <c r="I512" s="22">
        <v>1</v>
      </c>
      <c r="J512" s="22">
        <v>0</v>
      </c>
      <c r="K512" s="22">
        <v>0</v>
      </c>
      <c r="L512" s="22">
        <v>0</v>
      </c>
      <c r="M512" s="22">
        <v>0</v>
      </c>
      <c r="N512" s="22">
        <v>0</v>
      </c>
      <c r="O512" s="22"/>
      <c r="P512" s="22">
        <v>56.9</v>
      </c>
      <c r="Q512" s="22" t="str">
        <f t="shared" si="21"/>
        <v>Normal</v>
      </c>
      <c r="R512" s="26" t="str">
        <f t="shared" si="22"/>
        <v>USR-10051145699ControlNorthMobileSocialFree110000056.9</v>
      </c>
      <c r="S512" s="22" t="str">
        <f t="shared" si="23"/>
        <v>OK</v>
      </c>
    </row>
    <row r="513" spans="1:19" ht="41.4">
      <c r="A513" s="22" t="s">
        <v>543</v>
      </c>
      <c r="B513" s="25">
        <v>45762</v>
      </c>
      <c r="C513" s="22" t="s">
        <v>17</v>
      </c>
      <c r="D513" s="22" t="s">
        <v>32</v>
      </c>
      <c r="E513" s="22" t="s">
        <v>24</v>
      </c>
      <c r="F513" s="22" t="s">
        <v>25</v>
      </c>
      <c r="G513" s="22" t="s">
        <v>26</v>
      </c>
      <c r="H513" s="22">
        <v>0</v>
      </c>
      <c r="I513" s="22">
        <v>0</v>
      </c>
      <c r="J513" s="22">
        <v>0</v>
      </c>
      <c r="K513" s="22">
        <v>0</v>
      </c>
      <c r="L513" s="22">
        <v>0</v>
      </c>
      <c r="M513" s="22">
        <v>1</v>
      </c>
      <c r="N513" s="22">
        <v>0</v>
      </c>
      <c r="O513" s="22"/>
      <c r="P513" s="22">
        <v>57.2</v>
      </c>
      <c r="Q513" s="22" t="str">
        <f t="shared" si="21"/>
        <v>Normal</v>
      </c>
      <c r="R513" s="26" t="str">
        <f t="shared" si="22"/>
        <v>USR-10051245762ControlSouthMobileOrganicFree000001057.2</v>
      </c>
      <c r="S513" s="22" t="str">
        <f t="shared" si="23"/>
        <v>OK</v>
      </c>
    </row>
    <row r="514" spans="1:19" ht="41.4">
      <c r="A514" s="22" t="s">
        <v>544</v>
      </c>
      <c r="B514" s="25">
        <v>45701</v>
      </c>
      <c r="C514" s="22" t="s">
        <v>17</v>
      </c>
      <c r="D514" s="22" t="s">
        <v>32</v>
      </c>
      <c r="E514" s="22" t="s">
        <v>24</v>
      </c>
      <c r="F514" s="22"/>
      <c r="G514" s="22" t="s">
        <v>26</v>
      </c>
      <c r="H514" s="22">
        <v>1</v>
      </c>
      <c r="I514" s="22">
        <v>1</v>
      </c>
      <c r="J514" s="22">
        <v>0</v>
      </c>
      <c r="K514" s="22">
        <v>0</v>
      </c>
      <c r="L514" s="22">
        <v>0</v>
      </c>
      <c r="M514" s="22">
        <v>0</v>
      </c>
      <c r="N514" s="22">
        <v>0</v>
      </c>
      <c r="O514" s="22"/>
      <c r="P514" s="22">
        <v>31.4</v>
      </c>
      <c r="Q514" s="22" t="str">
        <f t="shared" si="21"/>
        <v>Normal</v>
      </c>
      <c r="R514" s="26" t="str">
        <f t="shared" si="22"/>
        <v>USR-10051345701ControlSouthMobileFree110000031.4</v>
      </c>
      <c r="S514" s="22" t="str">
        <f t="shared" si="23"/>
        <v>OK</v>
      </c>
    </row>
    <row r="515" spans="1:19" ht="41.4">
      <c r="A515" s="22" t="s">
        <v>545</v>
      </c>
      <c r="B515" s="25">
        <v>45786</v>
      </c>
      <c r="C515" s="22" t="s">
        <v>17</v>
      </c>
      <c r="D515" s="22" t="s">
        <v>32</v>
      </c>
      <c r="E515" s="22" t="s">
        <v>19</v>
      </c>
      <c r="F515" s="22" t="s">
        <v>25</v>
      </c>
      <c r="G515" s="22" t="s">
        <v>26</v>
      </c>
      <c r="H515" s="22">
        <v>0</v>
      </c>
      <c r="I515" s="22">
        <v>0</v>
      </c>
      <c r="J515" s="22">
        <v>0</v>
      </c>
      <c r="K515" s="22">
        <v>0</v>
      </c>
      <c r="L515" s="22">
        <v>0</v>
      </c>
      <c r="M515" s="22">
        <v>0</v>
      </c>
      <c r="N515" s="22">
        <v>0</v>
      </c>
      <c r="O515" s="22"/>
      <c r="P515" s="22">
        <v>71.2</v>
      </c>
      <c r="Q515" s="22" t="str">
        <f t="shared" ref="Q515:Q578" si="24">IF(OR(L515&lt;$V$40,L515&gt;$V$41),"Outlier","Normal")</f>
        <v>Normal</v>
      </c>
      <c r="R515" s="26" t="str">
        <f t="shared" ref="R515:R578" si="25">A515&amp;B515&amp;C515&amp;D515&amp;E515&amp;F515&amp;G515&amp;H515&amp;I515&amp;J515&amp;K515&amp;L515&amp;M515&amp;N515&amp;O515&amp;P515</f>
        <v>USR-10051445786ControlSouthDesktopOrganicFree000000071.2</v>
      </c>
      <c r="S515" s="22" t="str">
        <f t="shared" ref="S515:S578" si="26">IF(COUNTIF($R$2:$R$1409,R515)=1,"OK",IF(COUNTIF($R$2:$R$1409,R515)&gt;1,"Exact Duplicate","Review Required"))</f>
        <v>OK</v>
      </c>
    </row>
    <row r="516" spans="1:19" ht="41.4">
      <c r="A516" s="22" t="s">
        <v>546</v>
      </c>
      <c r="B516" s="25">
        <v>45726</v>
      </c>
      <c r="C516" s="22" t="s">
        <v>17</v>
      </c>
      <c r="D516" s="22" t="s">
        <v>18</v>
      </c>
      <c r="E516" s="22" t="s">
        <v>24</v>
      </c>
      <c r="F516" s="22" t="s">
        <v>29</v>
      </c>
      <c r="G516" s="22" t="s">
        <v>26</v>
      </c>
      <c r="H516" s="22">
        <v>1</v>
      </c>
      <c r="I516" s="22">
        <v>1</v>
      </c>
      <c r="J516" s="22">
        <v>1</v>
      </c>
      <c r="K516" s="22">
        <v>0</v>
      </c>
      <c r="L516" s="22">
        <v>0</v>
      </c>
      <c r="M516" s="22">
        <v>1</v>
      </c>
      <c r="N516" s="22">
        <v>0</v>
      </c>
      <c r="O516" s="22"/>
      <c r="P516" s="22">
        <v>38.299999999999997</v>
      </c>
      <c r="Q516" s="22" t="str">
        <f t="shared" si="24"/>
        <v>Normal</v>
      </c>
      <c r="R516" s="26" t="str">
        <f t="shared" si="25"/>
        <v>USR-10051545726ControlNorthMobilePaid SearchFree111001038.3</v>
      </c>
      <c r="S516" s="22" t="str">
        <f t="shared" si="26"/>
        <v>OK</v>
      </c>
    </row>
    <row r="517" spans="1:19" ht="41.4">
      <c r="A517" s="22" t="s">
        <v>547</v>
      </c>
      <c r="B517" s="25">
        <v>45748</v>
      </c>
      <c r="C517" s="22" t="s">
        <v>17</v>
      </c>
      <c r="D517" s="22" t="s">
        <v>18</v>
      </c>
      <c r="E517" s="22" t="s">
        <v>24</v>
      </c>
      <c r="F517" s="22" t="s">
        <v>25</v>
      </c>
      <c r="G517" s="22" t="s">
        <v>26</v>
      </c>
      <c r="H517" s="22">
        <v>1</v>
      </c>
      <c r="I517" s="22">
        <v>1</v>
      </c>
      <c r="J517" s="22">
        <v>0</v>
      </c>
      <c r="K517" s="22">
        <v>0</v>
      </c>
      <c r="L517" s="22">
        <v>0</v>
      </c>
      <c r="M517" s="22">
        <v>0</v>
      </c>
      <c r="N517" s="22">
        <v>0</v>
      </c>
      <c r="O517" s="22"/>
      <c r="P517" s="22">
        <v>63.1</v>
      </c>
      <c r="Q517" s="22" t="str">
        <f t="shared" si="24"/>
        <v>Normal</v>
      </c>
      <c r="R517" s="26" t="str">
        <f t="shared" si="25"/>
        <v>USR-10051645748ControlNorthMobileOrganicFree110000063.1</v>
      </c>
      <c r="S517" s="22" t="str">
        <f t="shared" si="26"/>
        <v>OK</v>
      </c>
    </row>
    <row r="518" spans="1:19" ht="41.4">
      <c r="A518" s="22" t="s">
        <v>548</v>
      </c>
      <c r="B518" s="25">
        <v>45792</v>
      </c>
      <c r="C518" s="22" t="s">
        <v>17</v>
      </c>
      <c r="D518" s="22" t="s">
        <v>28</v>
      </c>
      <c r="E518" s="22" t="s">
        <v>24</v>
      </c>
      <c r="F518" s="22" t="s">
        <v>39</v>
      </c>
      <c r="G518" s="22" t="s">
        <v>21</v>
      </c>
      <c r="H518" s="22">
        <v>1</v>
      </c>
      <c r="I518" s="22">
        <v>0</v>
      </c>
      <c r="J518" s="22">
        <v>0</v>
      </c>
      <c r="K518" s="22">
        <v>0</v>
      </c>
      <c r="L518" s="22">
        <v>0</v>
      </c>
      <c r="M518" s="22">
        <v>0</v>
      </c>
      <c r="N518" s="22">
        <v>0</v>
      </c>
      <c r="O518" s="22"/>
      <c r="P518" s="22">
        <v>59.7</v>
      </c>
      <c r="Q518" s="22" t="str">
        <f t="shared" si="24"/>
        <v>Normal</v>
      </c>
      <c r="R518" s="26" t="str">
        <f t="shared" si="25"/>
        <v>USR-10051745792ControlEastMobileReferralBasic100000059.7</v>
      </c>
      <c r="S518" s="22" t="str">
        <f t="shared" si="26"/>
        <v>OK</v>
      </c>
    </row>
    <row r="519" spans="1:19" ht="41.4">
      <c r="A519" s="22" t="s">
        <v>549</v>
      </c>
      <c r="B519" s="25">
        <v>45781</v>
      </c>
      <c r="C519" s="22" t="s">
        <v>17</v>
      </c>
      <c r="D519" s="22" t="s">
        <v>32</v>
      </c>
      <c r="E519" s="22" t="s">
        <v>19</v>
      </c>
      <c r="F519" s="22" t="s">
        <v>41</v>
      </c>
      <c r="G519" s="22" t="s">
        <v>30</v>
      </c>
      <c r="H519" s="22">
        <v>1</v>
      </c>
      <c r="I519" s="22">
        <v>1</v>
      </c>
      <c r="J519" s="22">
        <v>1</v>
      </c>
      <c r="K519" s="22">
        <v>0</v>
      </c>
      <c r="L519" s="22">
        <v>0</v>
      </c>
      <c r="M519" s="22">
        <v>0</v>
      </c>
      <c r="N519" s="22">
        <v>0</v>
      </c>
      <c r="O519" s="22"/>
      <c r="P519" s="22">
        <v>59.5</v>
      </c>
      <c r="Q519" s="22" t="str">
        <f t="shared" si="24"/>
        <v>Normal</v>
      </c>
      <c r="R519" s="26" t="str">
        <f t="shared" si="25"/>
        <v>USR-10051845781ControlSouthDesktopSocialPremium111000059.5</v>
      </c>
      <c r="S519" s="22" t="str">
        <f t="shared" si="26"/>
        <v>OK</v>
      </c>
    </row>
    <row r="520" spans="1:19" ht="41.4">
      <c r="A520" s="22" t="s">
        <v>550</v>
      </c>
      <c r="B520" s="25">
        <v>45797</v>
      </c>
      <c r="C520" s="22" t="s">
        <v>17</v>
      </c>
      <c r="D520" s="22" t="s">
        <v>28</v>
      </c>
      <c r="E520" s="22" t="s">
        <v>24</v>
      </c>
      <c r="F520" s="22" t="s">
        <v>29</v>
      </c>
      <c r="G520" s="22" t="s">
        <v>26</v>
      </c>
      <c r="H520" s="22">
        <v>0</v>
      </c>
      <c r="I520" s="22">
        <v>0</v>
      </c>
      <c r="J520" s="22">
        <v>0</v>
      </c>
      <c r="K520" s="22">
        <v>0</v>
      </c>
      <c r="L520" s="22">
        <v>0</v>
      </c>
      <c r="M520" s="22">
        <v>0</v>
      </c>
      <c r="N520" s="22">
        <v>0</v>
      </c>
      <c r="O520" s="22"/>
      <c r="P520" s="22">
        <v>78.8</v>
      </c>
      <c r="Q520" s="22" t="str">
        <f t="shared" si="24"/>
        <v>Normal</v>
      </c>
      <c r="R520" s="26" t="str">
        <f t="shared" si="25"/>
        <v>USR-10051945797ControlEastMobilePaid SearchFree000000078.8</v>
      </c>
      <c r="S520" s="22" t="str">
        <f t="shared" si="26"/>
        <v>OK</v>
      </c>
    </row>
    <row r="521" spans="1:19" ht="41.4">
      <c r="A521" s="22" t="s">
        <v>551</v>
      </c>
      <c r="B521" s="25">
        <v>45793</v>
      </c>
      <c r="C521" s="22" t="s">
        <v>17</v>
      </c>
      <c r="D521" s="22" t="s">
        <v>23</v>
      </c>
      <c r="E521" s="22" t="s">
        <v>19</v>
      </c>
      <c r="F521" s="22" t="s">
        <v>39</v>
      </c>
      <c r="G521" s="22" t="s">
        <v>26</v>
      </c>
      <c r="H521" s="22">
        <v>0</v>
      </c>
      <c r="I521" s="22">
        <v>0</v>
      </c>
      <c r="J521" s="22">
        <v>0</v>
      </c>
      <c r="K521" s="22">
        <v>0</v>
      </c>
      <c r="L521" s="22">
        <v>0</v>
      </c>
      <c r="M521" s="22">
        <v>0</v>
      </c>
      <c r="N521" s="22">
        <v>0</v>
      </c>
      <c r="O521" s="22"/>
      <c r="P521" s="22">
        <v>54</v>
      </c>
      <c r="Q521" s="22" t="str">
        <f t="shared" si="24"/>
        <v>Normal</v>
      </c>
      <c r="R521" s="26" t="str">
        <f t="shared" si="25"/>
        <v>USR-10052045793ControlWestDesktopReferralFree000000054</v>
      </c>
      <c r="S521" s="22" t="str">
        <f t="shared" si="26"/>
        <v>OK</v>
      </c>
    </row>
    <row r="522" spans="1:19" ht="41.4">
      <c r="A522" s="22" t="s">
        <v>552</v>
      </c>
      <c r="B522" s="25">
        <v>45733</v>
      </c>
      <c r="C522" s="22" t="s">
        <v>17</v>
      </c>
      <c r="D522" s="22" t="s">
        <v>23</v>
      </c>
      <c r="E522" s="22" t="s">
        <v>24</v>
      </c>
      <c r="F522" s="22" t="s">
        <v>25</v>
      </c>
      <c r="G522" s="22" t="s">
        <v>26</v>
      </c>
      <c r="H522" s="22">
        <v>1</v>
      </c>
      <c r="I522" s="22">
        <v>0</v>
      </c>
      <c r="J522" s="22">
        <v>0</v>
      </c>
      <c r="K522" s="22">
        <v>0</v>
      </c>
      <c r="L522" s="22">
        <v>0</v>
      </c>
      <c r="M522" s="22">
        <v>0</v>
      </c>
      <c r="N522" s="22">
        <v>0</v>
      </c>
      <c r="O522" s="22"/>
      <c r="P522" s="22">
        <v>66.3</v>
      </c>
      <c r="Q522" s="22" t="str">
        <f t="shared" si="24"/>
        <v>Normal</v>
      </c>
      <c r="R522" s="26" t="str">
        <f t="shared" si="25"/>
        <v>USR-10052145733ControlWestMobileOrganicFree100000066.3</v>
      </c>
      <c r="S522" s="22" t="str">
        <f t="shared" si="26"/>
        <v>OK</v>
      </c>
    </row>
    <row r="523" spans="1:19" ht="41.4">
      <c r="A523" s="22" t="s">
        <v>553</v>
      </c>
      <c r="B523" s="25">
        <v>45684</v>
      </c>
      <c r="C523" s="22" t="s">
        <v>17</v>
      </c>
      <c r="D523" s="22" t="s">
        <v>28</v>
      </c>
      <c r="E523" s="22" t="s">
        <v>34</v>
      </c>
      <c r="F523" s="22" t="s">
        <v>29</v>
      </c>
      <c r="G523" s="22" t="s">
        <v>26</v>
      </c>
      <c r="H523" s="22">
        <v>1</v>
      </c>
      <c r="I523" s="22">
        <v>1</v>
      </c>
      <c r="J523" s="22">
        <v>0</v>
      </c>
      <c r="K523" s="22">
        <v>0</v>
      </c>
      <c r="L523" s="22">
        <v>0</v>
      </c>
      <c r="M523" s="22">
        <v>0</v>
      </c>
      <c r="N523" s="22">
        <v>0</v>
      </c>
      <c r="O523" s="22"/>
      <c r="P523" s="22">
        <v>54.7</v>
      </c>
      <c r="Q523" s="22" t="str">
        <f t="shared" si="24"/>
        <v>Normal</v>
      </c>
      <c r="R523" s="26" t="str">
        <f t="shared" si="25"/>
        <v>USR-10052245684ControlEastTabletPaid SearchFree110000054.7</v>
      </c>
      <c r="S523" s="22" t="str">
        <f t="shared" si="26"/>
        <v>OK</v>
      </c>
    </row>
    <row r="524" spans="1:19" ht="41.4">
      <c r="A524" s="22" t="s">
        <v>554</v>
      </c>
      <c r="B524" s="25">
        <v>45760</v>
      </c>
      <c r="C524" s="22" t="s">
        <v>17</v>
      </c>
      <c r="D524" s="22" t="s">
        <v>32</v>
      </c>
      <c r="E524" s="22" t="s">
        <v>24</v>
      </c>
      <c r="F524" s="22" t="s">
        <v>25</v>
      </c>
      <c r="G524" s="22" t="s">
        <v>21</v>
      </c>
      <c r="H524" s="22">
        <v>1</v>
      </c>
      <c r="I524" s="22">
        <v>0</v>
      </c>
      <c r="J524" s="22">
        <v>0</v>
      </c>
      <c r="K524" s="22">
        <v>0</v>
      </c>
      <c r="L524" s="22">
        <v>0</v>
      </c>
      <c r="M524" s="22">
        <v>0</v>
      </c>
      <c r="N524" s="22">
        <v>0</v>
      </c>
      <c r="O524" s="22"/>
      <c r="P524" s="22">
        <v>76.7</v>
      </c>
      <c r="Q524" s="22" t="str">
        <f t="shared" si="24"/>
        <v>Normal</v>
      </c>
      <c r="R524" s="26" t="str">
        <f t="shared" si="25"/>
        <v>USR-10052345760ControlSouthMobileOrganicBasic100000076.7</v>
      </c>
      <c r="S524" s="22" t="str">
        <f t="shared" si="26"/>
        <v>OK</v>
      </c>
    </row>
    <row r="525" spans="1:19" ht="41.4">
      <c r="A525" s="22" t="s">
        <v>555</v>
      </c>
      <c r="B525" s="25">
        <v>45780</v>
      </c>
      <c r="C525" s="22" t="s">
        <v>17</v>
      </c>
      <c r="D525" s="22" t="s">
        <v>32</v>
      </c>
      <c r="E525" s="22" t="s">
        <v>19</v>
      </c>
      <c r="F525" s="22" t="s">
        <v>20</v>
      </c>
      <c r="G525" s="22" t="s">
        <v>21</v>
      </c>
      <c r="H525" s="22">
        <v>1</v>
      </c>
      <c r="I525" s="22">
        <v>0</v>
      </c>
      <c r="J525" s="22">
        <v>0</v>
      </c>
      <c r="K525" s="22">
        <v>0</v>
      </c>
      <c r="L525" s="22">
        <v>0</v>
      </c>
      <c r="M525" s="22">
        <v>2</v>
      </c>
      <c r="N525" s="22">
        <v>0</v>
      </c>
      <c r="O525" s="22"/>
      <c r="P525" s="22">
        <v>47.4</v>
      </c>
      <c r="Q525" s="22" t="str">
        <f t="shared" si="24"/>
        <v>Normal</v>
      </c>
      <c r="R525" s="26" t="str">
        <f t="shared" si="25"/>
        <v>USR-10052445780ControlSouthDesktopEmailBasic100002047.4</v>
      </c>
      <c r="S525" s="22" t="str">
        <f t="shared" si="26"/>
        <v>OK</v>
      </c>
    </row>
    <row r="526" spans="1:19" ht="41.4">
      <c r="A526" s="22" t="s">
        <v>556</v>
      </c>
      <c r="B526" s="25">
        <v>45746</v>
      </c>
      <c r="C526" s="22" t="s">
        <v>17</v>
      </c>
      <c r="D526" s="22" t="s">
        <v>18</v>
      </c>
      <c r="E526" s="22" t="s">
        <v>24</v>
      </c>
      <c r="F526" s="22" t="s">
        <v>25</v>
      </c>
      <c r="G526" s="22" t="s">
        <v>26</v>
      </c>
      <c r="H526" s="22">
        <v>1</v>
      </c>
      <c r="I526" s="22">
        <v>1</v>
      </c>
      <c r="J526" s="22">
        <v>1</v>
      </c>
      <c r="K526" s="22">
        <v>0</v>
      </c>
      <c r="L526" s="22">
        <v>0</v>
      </c>
      <c r="M526" s="22">
        <v>0</v>
      </c>
      <c r="N526" s="22">
        <v>0</v>
      </c>
      <c r="O526" s="22"/>
      <c r="P526" s="22">
        <v>81.7</v>
      </c>
      <c r="Q526" s="22" t="str">
        <f t="shared" si="24"/>
        <v>Normal</v>
      </c>
      <c r="R526" s="26" t="str">
        <f t="shared" si="25"/>
        <v>USR-10052545746ControlNorthMobileOrganicFree111000081.7</v>
      </c>
      <c r="S526" s="22" t="str">
        <f t="shared" si="26"/>
        <v>OK</v>
      </c>
    </row>
    <row r="527" spans="1:19" ht="41.4">
      <c r="A527" s="22" t="s">
        <v>557</v>
      </c>
      <c r="B527" s="25">
        <v>45658</v>
      </c>
      <c r="C527" s="22" t="s">
        <v>17</v>
      </c>
      <c r="D527" s="22" t="s">
        <v>23</v>
      </c>
      <c r="E527" s="22" t="s">
        <v>24</v>
      </c>
      <c r="F527" s="22" t="s">
        <v>29</v>
      </c>
      <c r="G527" s="22" t="s">
        <v>21</v>
      </c>
      <c r="H527" s="22">
        <v>1</v>
      </c>
      <c r="I527" s="22">
        <v>1</v>
      </c>
      <c r="J527" s="22">
        <v>1</v>
      </c>
      <c r="K527" s="22">
        <v>0</v>
      </c>
      <c r="L527" s="22">
        <v>0</v>
      </c>
      <c r="M527" s="22">
        <v>0</v>
      </c>
      <c r="N527" s="22">
        <v>0</v>
      </c>
      <c r="O527" s="22"/>
      <c r="P527" s="22">
        <v>67.5</v>
      </c>
      <c r="Q527" s="22" t="str">
        <f t="shared" si="24"/>
        <v>Normal</v>
      </c>
      <c r="R527" s="26" t="str">
        <f t="shared" si="25"/>
        <v>USR-10052645658ControlWestMobilePaid SearchBasic111000067.5</v>
      </c>
      <c r="S527" s="22" t="str">
        <f t="shared" si="26"/>
        <v>OK</v>
      </c>
    </row>
    <row r="528" spans="1:19" ht="41.4">
      <c r="A528" s="22" t="s">
        <v>558</v>
      </c>
      <c r="B528" s="25">
        <v>45694</v>
      </c>
      <c r="C528" s="22" t="s">
        <v>17</v>
      </c>
      <c r="D528" s="22" t="s">
        <v>23</v>
      </c>
      <c r="E528" s="22" t="s">
        <v>24</v>
      </c>
      <c r="F528" s="22" t="s">
        <v>29</v>
      </c>
      <c r="G528" s="22" t="s">
        <v>21</v>
      </c>
      <c r="H528" s="22">
        <v>1</v>
      </c>
      <c r="I528" s="22">
        <v>0</v>
      </c>
      <c r="J528" s="22">
        <v>0</v>
      </c>
      <c r="K528" s="22">
        <v>0</v>
      </c>
      <c r="L528" s="22">
        <v>0</v>
      </c>
      <c r="M528" s="22">
        <v>0</v>
      </c>
      <c r="N528" s="22">
        <v>0</v>
      </c>
      <c r="O528" s="22"/>
      <c r="P528" s="22">
        <v>36.799999999999997</v>
      </c>
      <c r="Q528" s="22" t="str">
        <f t="shared" si="24"/>
        <v>Normal</v>
      </c>
      <c r="R528" s="26" t="str">
        <f t="shared" si="25"/>
        <v>USR-10052745694ControlWestMobilePaid SearchBasic100000036.8</v>
      </c>
      <c r="S528" s="22" t="str">
        <f t="shared" si="26"/>
        <v>OK</v>
      </c>
    </row>
    <row r="529" spans="1:19" ht="41.4">
      <c r="A529" s="22" t="s">
        <v>559</v>
      </c>
      <c r="B529" s="25">
        <v>45713</v>
      </c>
      <c r="C529" s="22" t="s">
        <v>17</v>
      </c>
      <c r="D529" s="22" t="s">
        <v>18</v>
      </c>
      <c r="E529" s="22" t="s">
        <v>19</v>
      </c>
      <c r="F529" s="22" t="s">
        <v>25</v>
      </c>
      <c r="G529" s="22" t="s">
        <v>26</v>
      </c>
      <c r="H529" s="22">
        <v>0</v>
      </c>
      <c r="I529" s="22">
        <v>0</v>
      </c>
      <c r="J529" s="22">
        <v>0</v>
      </c>
      <c r="K529" s="22">
        <v>0</v>
      </c>
      <c r="L529" s="22">
        <v>0</v>
      </c>
      <c r="M529" s="22">
        <v>0</v>
      </c>
      <c r="N529" s="22">
        <v>0</v>
      </c>
      <c r="O529" s="22"/>
      <c r="P529" s="22">
        <v>66.5</v>
      </c>
      <c r="Q529" s="22" t="str">
        <f t="shared" si="24"/>
        <v>Normal</v>
      </c>
      <c r="R529" s="26" t="str">
        <f t="shared" si="25"/>
        <v>USR-10052845713ControlNorthDesktopOrganicFree000000066.5</v>
      </c>
      <c r="S529" s="22" t="str">
        <f t="shared" si="26"/>
        <v>OK</v>
      </c>
    </row>
    <row r="530" spans="1:19" ht="41.4">
      <c r="A530" s="22" t="s">
        <v>560</v>
      </c>
      <c r="B530" s="25">
        <v>45791</v>
      </c>
      <c r="C530" s="22" t="s">
        <v>17</v>
      </c>
      <c r="D530" s="22" t="s">
        <v>28</v>
      </c>
      <c r="E530" s="22" t="s">
        <v>34</v>
      </c>
      <c r="F530" s="22" t="s">
        <v>41</v>
      </c>
      <c r="G530" s="22" t="s">
        <v>26</v>
      </c>
      <c r="H530" s="22">
        <v>1</v>
      </c>
      <c r="I530" s="22">
        <v>0</v>
      </c>
      <c r="J530" s="22">
        <v>0</v>
      </c>
      <c r="K530" s="22">
        <v>0</v>
      </c>
      <c r="L530" s="22">
        <v>0</v>
      </c>
      <c r="M530" s="22">
        <v>0</v>
      </c>
      <c r="N530" s="22">
        <v>0</v>
      </c>
      <c r="O530" s="22"/>
      <c r="P530" s="22">
        <v>35.4</v>
      </c>
      <c r="Q530" s="22" t="str">
        <f t="shared" si="24"/>
        <v>Normal</v>
      </c>
      <c r="R530" s="26" t="str">
        <f t="shared" si="25"/>
        <v>USR-10052945791ControlEastTabletSocialFree100000035.4</v>
      </c>
      <c r="S530" s="22" t="str">
        <f t="shared" si="26"/>
        <v>OK</v>
      </c>
    </row>
    <row r="531" spans="1:19" ht="41.4">
      <c r="A531" s="22" t="s">
        <v>561</v>
      </c>
      <c r="B531" s="25">
        <v>45797</v>
      </c>
      <c r="C531" s="22" t="s">
        <v>17</v>
      </c>
      <c r="D531" s="22" t="s">
        <v>32</v>
      </c>
      <c r="E531" s="22" t="s">
        <v>24</v>
      </c>
      <c r="F531" s="22" t="s">
        <v>25</v>
      </c>
      <c r="G531" s="22" t="s">
        <v>21</v>
      </c>
      <c r="H531" s="22">
        <v>0</v>
      </c>
      <c r="I531" s="22">
        <v>0</v>
      </c>
      <c r="J531" s="22">
        <v>0</v>
      </c>
      <c r="K531" s="22">
        <v>0</v>
      </c>
      <c r="L531" s="22">
        <v>0</v>
      </c>
      <c r="M531" s="22">
        <v>0</v>
      </c>
      <c r="N531" s="22">
        <v>0</v>
      </c>
      <c r="O531" s="22"/>
      <c r="P531" s="22">
        <v>64.3</v>
      </c>
      <c r="Q531" s="22" t="str">
        <f t="shared" si="24"/>
        <v>Normal</v>
      </c>
      <c r="R531" s="26" t="str">
        <f t="shared" si="25"/>
        <v>USR-10053045797ControlSouthMobileOrganicBasic000000064.3</v>
      </c>
      <c r="S531" s="22" t="str">
        <f t="shared" si="26"/>
        <v>OK</v>
      </c>
    </row>
    <row r="532" spans="1:19" ht="41.4">
      <c r="A532" s="22" t="s">
        <v>562</v>
      </c>
      <c r="B532" s="25">
        <v>45699</v>
      </c>
      <c r="C532" s="22" t="s">
        <v>17</v>
      </c>
      <c r="D532" s="22" t="s">
        <v>32</v>
      </c>
      <c r="E532" s="22" t="s">
        <v>24</v>
      </c>
      <c r="F532" s="22" t="s">
        <v>25</v>
      </c>
      <c r="G532" s="22" t="s">
        <v>26</v>
      </c>
      <c r="H532" s="22">
        <v>0</v>
      </c>
      <c r="I532" s="22">
        <v>0</v>
      </c>
      <c r="J532" s="22">
        <v>0</v>
      </c>
      <c r="K532" s="22">
        <v>0</v>
      </c>
      <c r="L532" s="22">
        <v>0</v>
      </c>
      <c r="M532" s="22">
        <v>0</v>
      </c>
      <c r="N532" s="22">
        <v>0</v>
      </c>
      <c r="O532" s="22"/>
      <c r="P532" s="22">
        <v>49.1</v>
      </c>
      <c r="Q532" s="22" t="str">
        <f t="shared" si="24"/>
        <v>Normal</v>
      </c>
      <c r="R532" s="26" t="str">
        <f t="shared" si="25"/>
        <v>USR-10053145699ControlSouthMobileOrganicFree000000049.1</v>
      </c>
      <c r="S532" s="22" t="str">
        <f t="shared" si="26"/>
        <v>OK</v>
      </c>
    </row>
    <row r="533" spans="1:19" ht="41.4">
      <c r="A533" s="22" t="s">
        <v>563</v>
      </c>
      <c r="B533" s="25">
        <v>45701</v>
      </c>
      <c r="C533" s="22" t="s">
        <v>17</v>
      </c>
      <c r="D533" s="22" t="s">
        <v>23</v>
      </c>
      <c r="E533" s="22" t="s">
        <v>24</v>
      </c>
      <c r="F533" s="22" t="s">
        <v>25</v>
      </c>
      <c r="G533" s="22" t="s">
        <v>26</v>
      </c>
      <c r="H533" s="22">
        <v>1</v>
      </c>
      <c r="I533" s="22">
        <v>0</v>
      </c>
      <c r="J533" s="22">
        <v>0</v>
      </c>
      <c r="K533" s="22">
        <v>0</v>
      </c>
      <c r="L533" s="22">
        <v>0</v>
      </c>
      <c r="M533" s="22">
        <v>0</v>
      </c>
      <c r="N533" s="22">
        <v>0</v>
      </c>
      <c r="O533" s="22"/>
      <c r="P533" s="22">
        <v>84.3</v>
      </c>
      <c r="Q533" s="22" t="str">
        <f t="shared" si="24"/>
        <v>Normal</v>
      </c>
      <c r="R533" s="26" t="str">
        <f t="shared" si="25"/>
        <v>USR-10053245701ControlWestMobileOrganicFree100000084.3</v>
      </c>
      <c r="S533" s="22" t="str">
        <f t="shared" si="26"/>
        <v>OK</v>
      </c>
    </row>
    <row r="534" spans="1:19" ht="41.4">
      <c r="A534" s="22" t="s">
        <v>564</v>
      </c>
      <c r="B534" s="25">
        <v>45754</v>
      </c>
      <c r="C534" s="22" t="s">
        <v>17</v>
      </c>
      <c r="D534" s="22" t="s">
        <v>32</v>
      </c>
      <c r="E534" s="22" t="s">
        <v>24</v>
      </c>
      <c r="F534" s="22" t="s">
        <v>29</v>
      </c>
      <c r="G534" s="22" t="s">
        <v>30</v>
      </c>
      <c r="H534" s="22">
        <v>1</v>
      </c>
      <c r="I534" s="22">
        <v>0</v>
      </c>
      <c r="J534" s="22">
        <v>0</v>
      </c>
      <c r="K534" s="22">
        <v>0</v>
      </c>
      <c r="L534" s="22">
        <v>0</v>
      </c>
      <c r="M534" s="22">
        <v>0</v>
      </c>
      <c r="N534" s="22">
        <v>0</v>
      </c>
      <c r="O534" s="22"/>
      <c r="P534" s="22">
        <v>65.599999999999994</v>
      </c>
      <c r="Q534" s="22" t="str">
        <f t="shared" si="24"/>
        <v>Normal</v>
      </c>
      <c r="R534" s="26" t="str">
        <f t="shared" si="25"/>
        <v>USR-10053345754ControlSouthMobilePaid SearchPremium100000065.6</v>
      </c>
      <c r="S534" s="22" t="str">
        <f t="shared" si="26"/>
        <v>OK</v>
      </c>
    </row>
    <row r="535" spans="1:19" ht="41.4">
      <c r="A535" s="22" t="s">
        <v>565</v>
      </c>
      <c r="B535" s="25">
        <v>45724</v>
      </c>
      <c r="C535" s="22" t="s">
        <v>17</v>
      </c>
      <c r="D535" s="22" t="s">
        <v>28</v>
      </c>
      <c r="E535" s="22" t="s">
        <v>24</v>
      </c>
      <c r="F535" s="22" t="s">
        <v>20</v>
      </c>
      <c r="G535" s="22" t="s">
        <v>26</v>
      </c>
      <c r="H535" s="22">
        <v>1</v>
      </c>
      <c r="I535" s="22">
        <v>0</v>
      </c>
      <c r="J535" s="22">
        <v>0</v>
      </c>
      <c r="K535" s="22">
        <v>0</v>
      </c>
      <c r="L535" s="22">
        <v>0</v>
      </c>
      <c r="M535" s="22">
        <v>0</v>
      </c>
      <c r="N535" s="22">
        <v>0</v>
      </c>
      <c r="O535" s="22"/>
      <c r="P535" s="22">
        <v>47.1</v>
      </c>
      <c r="Q535" s="22" t="str">
        <f t="shared" si="24"/>
        <v>Normal</v>
      </c>
      <c r="R535" s="26" t="str">
        <f t="shared" si="25"/>
        <v>USR-10053445724ControlEastMobileEmailFree100000047.1</v>
      </c>
      <c r="S535" s="22" t="str">
        <f t="shared" si="26"/>
        <v>OK</v>
      </c>
    </row>
    <row r="536" spans="1:19" ht="41.4">
      <c r="A536" s="22" t="s">
        <v>566</v>
      </c>
      <c r="B536" s="25">
        <v>45704</v>
      </c>
      <c r="C536" s="22" t="s">
        <v>17</v>
      </c>
      <c r="D536" s="22" t="s">
        <v>18</v>
      </c>
      <c r="E536" s="22" t="s">
        <v>19</v>
      </c>
      <c r="F536" s="22" t="s">
        <v>29</v>
      </c>
      <c r="G536" s="22" t="s">
        <v>26</v>
      </c>
      <c r="H536" s="22">
        <v>1</v>
      </c>
      <c r="I536" s="22">
        <v>1</v>
      </c>
      <c r="J536" s="22">
        <v>1</v>
      </c>
      <c r="K536" s="22">
        <v>0</v>
      </c>
      <c r="L536" s="22">
        <v>0</v>
      </c>
      <c r="M536" s="22">
        <v>0</v>
      </c>
      <c r="N536" s="22">
        <v>0</v>
      </c>
      <c r="O536" s="22"/>
      <c r="P536" s="22">
        <v>70</v>
      </c>
      <c r="Q536" s="22" t="str">
        <f t="shared" si="24"/>
        <v>Normal</v>
      </c>
      <c r="R536" s="26" t="str">
        <f t="shared" si="25"/>
        <v>USR-10053545704ControlNorthDesktopPaid SearchFree111000070</v>
      </c>
      <c r="S536" s="22" t="str">
        <f t="shared" si="26"/>
        <v>OK</v>
      </c>
    </row>
    <row r="537" spans="1:19" ht="41.4">
      <c r="A537" s="22" t="s">
        <v>567</v>
      </c>
      <c r="B537" s="25">
        <v>45775</v>
      </c>
      <c r="C537" s="22" t="s">
        <v>17</v>
      </c>
      <c r="D537" s="22" t="s">
        <v>32</v>
      </c>
      <c r="E537" s="22" t="s">
        <v>24</v>
      </c>
      <c r="F537" s="22" t="s">
        <v>29</v>
      </c>
      <c r="G537" s="22" t="s">
        <v>30</v>
      </c>
      <c r="H537" s="22">
        <v>1</v>
      </c>
      <c r="I537" s="22">
        <v>0</v>
      </c>
      <c r="J537" s="22">
        <v>0</v>
      </c>
      <c r="K537" s="22">
        <v>0</v>
      </c>
      <c r="L537" s="22">
        <v>0</v>
      </c>
      <c r="M537" s="22">
        <v>0</v>
      </c>
      <c r="N537" s="22">
        <v>0</v>
      </c>
      <c r="O537" s="22"/>
      <c r="P537" s="22">
        <v>54.6</v>
      </c>
      <c r="Q537" s="22" t="str">
        <f t="shared" si="24"/>
        <v>Normal</v>
      </c>
      <c r="R537" s="26" t="str">
        <f t="shared" si="25"/>
        <v>USR-10053645775ControlSouthMobilePaid SearchPremium100000054.6</v>
      </c>
      <c r="S537" s="22" t="str">
        <f t="shared" si="26"/>
        <v>OK</v>
      </c>
    </row>
    <row r="538" spans="1:19" ht="41.4">
      <c r="A538" s="22" t="s">
        <v>568</v>
      </c>
      <c r="B538" s="25">
        <v>45726</v>
      </c>
      <c r="C538" s="22" t="s">
        <v>17</v>
      </c>
      <c r="D538" s="22" t="s">
        <v>23</v>
      </c>
      <c r="E538" s="22" t="s">
        <v>34</v>
      </c>
      <c r="F538" s="22" t="s">
        <v>41</v>
      </c>
      <c r="G538" s="22" t="s">
        <v>21</v>
      </c>
      <c r="H538" s="22">
        <v>1</v>
      </c>
      <c r="I538" s="22">
        <v>1</v>
      </c>
      <c r="J538" s="22">
        <v>0</v>
      </c>
      <c r="K538" s="22">
        <v>0</v>
      </c>
      <c r="L538" s="22">
        <v>0</v>
      </c>
      <c r="M538" s="22">
        <v>1</v>
      </c>
      <c r="N538" s="22">
        <v>0</v>
      </c>
      <c r="O538" s="22"/>
      <c r="P538" s="22">
        <v>65.2</v>
      </c>
      <c r="Q538" s="22" t="str">
        <f t="shared" si="24"/>
        <v>Normal</v>
      </c>
      <c r="R538" s="26" t="str">
        <f t="shared" si="25"/>
        <v>USR-10053745726ControlWestTabletSocialBasic110001065.2</v>
      </c>
      <c r="S538" s="22" t="str">
        <f t="shared" si="26"/>
        <v>OK</v>
      </c>
    </row>
    <row r="539" spans="1:19" ht="41.4">
      <c r="A539" s="22" t="s">
        <v>569</v>
      </c>
      <c r="B539" s="25">
        <v>45682</v>
      </c>
      <c r="C539" s="22" t="s">
        <v>17</v>
      </c>
      <c r="D539" s="22" t="s">
        <v>28</v>
      </c>
      <c r="E539" s="22" t="s">
        <v>24</v>
      </c>
      <c r="F539" s="22" t="s">
        <v>41</v>
      </c>
      <c r="G539" s="22" t="s">
        <v>26</v>
      </c>
      <c r="H539" s="22">
        <v>1</v>
      </c>
      <c r="I539" s="22">
        <v>0</v>
      </c>
      <c r="J539" s="22">
        <v>0</v>
      </c>
      <c r="K539" s="22">
        <v>0</v>
      </c>
      <c r="L539" s="22">
        <v>0</v>
      </c>
      <c r="M539" s="22">
        <v>0</v>
      </c>
      <c r="N539" s="22">
        <v>0</v>
      </c>
      <c r="O539" s="22"/>
      <c r="P539" s="22">
        <v>65</v>
      </c>
      <c r="Q539" s="22" t="str">
        <f t="shared" si="24"/>
        <v>Normal</v>
      </c>
      <c r="R539" s="26" t="str">
        <f t="shared" si="25"/>
        <v>USR-10053845682ControlEastMobileSocialFree100000065</v>
      </c>
      <c r="S539" s="22" t="str">
        <f t="shared" si="26"/>
        <v>OK</v>
      </c>
    </row>
    <row r="540" spans="1:19" ht="41.4">
      <c r="A540" s="22" t="s">
        <v>570</v>
      </c>
      <c r="B540" s="25">
        <v>45668</v>
      </c>
      <c r="C540" s="22" t="s">
        <v>17</v>
      </c>
      <c r="D540" s="22" t="s">
        <v>23</v>
      </c>
      <c r="E540" s="22" t="s">
        <v>24</v>
      </c>
      <c r="F540" s="22" t="s">
        <v>29</v>
      </c>
      <c r="G540" s="22" t="s">
        <v>30</v>
      </c>
      <c r="H540" s="22">
        <v>1</v>
      </c>
      <c r="I540" s="22">
        <v>1</v>
      </c>
      <c r="J540" s="22">
        <v>1</v>
      </c>
      <c r="K540" s="22">
        <v>0</v>
      </c>
      <c r="L540" s="22">
        <v>0</v>
      </c>
      <c r="M540" s="22">
        <v>1</v>
      </c>
      <c r="N540" s="22">
        <v>0</v>
      </c>
      <c r="O540" s="22"/>
      <c r="P540" s="22">
        <v>42.1</v>
      </c>
      <c r="Q540" s="22" t="str">
        <f t="shared" si="24"/>
        <v>Normal</v>
      </c>
      <c r="R540" s="26" t="str">
        <f t="shared" si="25"/>
        <v>USR-10053945668ControlWestMobilePaid SearchPremium111001042.1</v>
      </c>
      <c r="S540" s="22" t="str">
        <f t="shared" si="26"/>
        <v>OK</v>
      </c>
    </row>
    <row r="541" spans="1:19" ht="41.4">
      <c r="A541" s="22" t="s">
        <v>571</v>
      </c>
      <c r="B541" s="25">
        <v>45747</v>
      </c>
      <c r="C541" s="22" t="s">
        <v>17</v>
      </c>
      <c r="D541" s="22" t="s">
        <v>23</v>
      </c>
      <c r="E541" s="22" t="s">
        <v>34</v>
      </c>
      <c r="F541" s="22" t="s">
        <v>29</v>
      </c>
      <c r="G541" s="22" t="s">
        <v>26</v>
      </c>
      <c r="H541" s="22">
        <v>1</v>
      </c>
      <c r="I541" s="22">
        <v>0</v>
      </c>
      <c r="J541" s="22">
        <v>0</v>
      </c>
      <c r="K541" s="22">
        <v>0</v>
      </c>
      <c r="L541" s="22">
        <v>0</v>
      </c>
      <c r="M541" s="22">
        <v>0</v>
      </c>
      <c r="N541" s="22">
        <v>0</v>
      </c>
      <c r="O541" s="22"/>
      <c r="P541" s="22">
        <v>43.4</v>
      </c>
      <c r="Q541" s="22" t="str">
        <f t="shared" si="24"/>
        <v>Normal</v>
      </c>
      <c r="R541" s="26" t="str">
        <f t="shared" si="25"/>
        <v>USR-10054045747ControlWestTabletPaid SearchFree100000043.4</v>
      </c>
      <c r="S541" s="22" t="str">
        <f t="shared" si="26"/>
        <v>OK</v>
      </c>
    </row>
    <row r="542" spans="1:19" ht="41.4">
      <c r="A542" s="22" t="s">
        <v>572</v>
      </c>
      <c r="B542" s="25">
        <v>45799</v>
      </c>
      <c r="C542" s="22" t="s">
        <v>17</v>
      </c>
      <c r="D542" s="22" t="s">
        <v>18</v>
      </c>
      <c r="E542" s="22" t="s">
        <v>24</v>
      </c>
      <c r="F542" s="22" t="s">
        <v>29</v>
      </c>
      <c r="G542" s="22" t="s">
        <v>21</v>
      </c>
      <c r="H542" s="22">
        <v>1</v>
      </c>
      <c r="I542" s="22">
        <v>1</v>
      </c>
      <c r="J542" s="22">
        <v>0</v>
      </c>
      <c r="K542" s="22">
        <v>0</v>
      </c>
      <c r="L542" s="22">
        <v>0</v>
      </c>
      <c r="M542" s="22">
        <v>0</v>
      </c>
      <c r="N542" s="22">
        <v>0</v>
      </c>
      <c r="O542" s="22"/>
      <c r="P542" s="22">
        <v>39.9</v>
      </c>
      <c r="Q542" s="22" t="str">
        <f t="shared" si="24"/>
        <v>Normal</v>
      </c>
      <c r="R542" s="26" t="str">
        <f t="shared" si="25"/>
        <v>USR-10054145799ControlNorthMobilePaid SearchBasic110000039.9</v>
      </c>
      <c r="S542" s="22" t="str">
        <f t="shared" si="26"/>
        <v>Exact Duplicate</v>
      </c>
    </row>
    <row r="543" spans="1:19" ht="41.4">
      <c r="A543" s="22" t="s">
        <v>573</v>
      </c>
      <c r="B543" s="25">
        <v>45793</v>
      </c>
      <c r="C543" s="22" t="s">
        <v>17</v>
      </c>
      <c r="D543" s="22" t="s">
        <v>18</v>
      </c>
      <c r="E543" s="22" t="s">
        <v>24</v>
      </c>
      <c r="F543" s="22" t="s">
        <v>39</v>
      </c>
      <c r="G543" s="22" t="s">
        <v>21</v>
      </c>
      <c r="H543" s="22">
        <v>0</v>
      </c>
      <c r="I543" s="22">
        <v>0</v>
      </c>
      <c r="J543" s="22">
        <v>0</v>
      </c>
      <c r="K543" s="22">
        <v>0</v>
      </c>
      <c r="L543" s="22">
        <v>0</v>
      </c>
      <c r="M543" s="22">
        <v>0</v>
      </c>
      <c r="N543" s="22">
        <v>0</v>
      </c>
      <c r="O543" s="22"/>
      <c r="P543" s="22">
        <v>74.099999999999994</v>
      </c>
      <c r="Q543" s="22" t="str">
        <f t="shared" si="24"/>
        <v>Normal</v>
      </c>
      <c r="R543" s="26" t="str">
        <f t="shared" si="25"/>
        <v>USR-10054245793ControlNorthMobileReferralBasic000000074.1</v>
      </c>
      <c r="S543" s="22" t="str">
        <f t="shared" si="26"/>
        <v>OK</v>
      </c>
    </row>
    <row r="544" spans="1:19" ht="41.4">
      <c r="A544" s="22" t="s">
        <v>574</v>
      </c>
      <c r="B544" s="25">
        <v>45772</v>
      </c>
      <c r="C544" s="22" t="s">
        <v>17</v>
      </c>
      <c r="D544" s="22" t="s">
        <v>28</v>
      </c>
      <c r="E544" s="22" t="s">
        <v>19</v>
      </c>
      <c r="F544" s="22" t="s">
        <v>29</v>
      </c>
      <c r="G544" s="22" t="s">
        <v>26</v>
      </c>
      <c r="H544" s="22">
        <v>1</v>
      </c>
      <c r="I544" s="22">
        <v>0</v>
      </c>
      <c r="J544" s="22">
        <v>0</v>
      </c>
      <c r="K544" s="22">
        <v>0</v>
      </c>
      <c r="L544" s="22">
        <v>0</v>
      </c>
      <c r="M544" s="22">
        <v>0</v>
      </c>
      <c r="N544" s="22">
        <v>0</v>
      </c>
      <c r="O544" s="22"/>
      <c r="P544" s="22">
        <v>61.4</v>
      </c>
      <c r="Q544" s="22" t="str">
        <f t="shared" si="24"/>
        <v>Normal</v>
      </c>
      <c r="R544" s="26" t="str">
        <f t="shared" si="25"/>
        <v>USR-10054345772ControlEastDesktopPaid SearchFree100000061.4</v>
      </c>
      <c r="S544" s="22" t="str">
        <f t="shared" si="26"/>
        <v>OK</v>
      </c>
    </row>
    <row r="545" spans="1:19" ht="41.4">
      <c r="A545" s="22" t="s">
        <v>575</v>
      </c>
      <c r="B545" s="25">
        <v>45764</v>
      </c>
      <c r="C545" s="22" t="s">
        <v>17</v>
      </c>
      <c r="D545" s="22" t="s">
        <v>28</v>
      </c>
      <c r="E545" s="22" t="s">
        <v>24</v>
      </c>
      <c r="F545" s="22" t="s">
        <v>41</v>
      </c>
      <c r="G545" s="22" t="s">
        <v>30</v>
      </c>
      <c r="H545" s="22">
        <v>1</v>
      </c>
      <c r="I545" s="22">
        <v>1</v>
      </c>
      <c r="J545" s="22">
        <v>1</v>
      </c>
      <c r="K545" s="22">
        <v>0</v>
      </c>
      <c r="L545" s="22">
        <v>0</v>
      </c>
      <c r="M545" s="22">
        <v>0</v>
      </c>
      <c r="N545" s="22">
        <v>0</v>
      </c>
      <c r="O545" s="22"/>
      <c r="P545" s="22">
        <v>76.8</v>
      </c>
      <c r="Q545" s="22" t="str">
        <f t="shared" si="24"/>
        <v>Normal</v>
      </c>
      <c r="R545" s="26" t="str">
        <f t="shared" si="25"/>
        <v>USR-10054445764ControlEastMobileSocialPremium111000076.8</v>
      </c>
      <c r="S545" s="22" t="str">
        <f t="shared" si="26"/>
        <v>OK</v>
      </c>
    </row>
    <row r="546" spans="1:19" ht="41.4">
      <c r="A546" s="22" t="s">
        <v>576</v>
      </c>
      <c r="B546" s="25">
        <v>45658</v>
      </c>
      <c r="C546" s="22" t="s">
        <v>17</v>
      </c>
      <c r="D546" s="22" t="s">
        <v>32</v>
      </c>
      <c r="E546" s="22" t="s">
        <v>19</v>
      </c>
      <c r="F546" s="22" t="s">
        <v>41</v>
      </c>
      <c r="G546" s="22" t="s">
        <v>21</v>
      </c>
      <c r="H546" s="22">
        <v>0</v>
      </c>
      <c r="I546" s="22">
        <v>0</v>
      </c>
      <c r="J546" s="22">
        <v>0</v>
      </c>
      <c r="K546" s="22">
        <v>0</v>
      </c>
      <c r="L546" s="22">
        <v>0</v>
      </c>
      <c r="M546" s="22">
        <v>0</v>
      </c>
      <c r="N546" s="22">
        <v>0</v>
      </c>
      <c r="O546" s="22"/>
      <c r="P546" s="22"/>
      <c r="Q546" s="22" t="str">
        <f t="shared" si="24"/>
        <v>Normal</v>
      </c>
      <c r="R546" s="26" t="str">
        <f t="shared" si="25"/>
        <v>USR-10054545658ControlSouthDesktopSocialBasic0000000</v>
      </c>
      <c r="S546" s="22" t="str">
        <f t="shared" si="26"/>
        <v>OK</v>
      </c>
    </row>
    <row r="547" spans="1:19" ht="41.4">
      <c r="A547" s="22" t="s">
        <v>577</v>
      </c>
      <c r="B547" s="25">
        <v>45734</v>
      </c>
      <c r="C547" s="22" t="s">
        <v>17</v>
      </c>
      <c r="D547" s="22" t="s">
        <v>28</v>
      </c>
      <c r="E547" s="22" t="s">
        <v>24</v>
      </c>
      <c r="F547" s="22" t="s">
        <v>29</v>
      </c>
      <c r="G547" s="22" t="s">
        <v>21</v>
      </c>
      <c r="H547" s="22">
        <v>1</v>
      </c>
      <c r="I547" s="22">
        <v>1</v>
      </c>
      <c r="J547" s="22">
        <v>1</v>
      </c>
      <c r="K547" s="22">
        <v>0</v>
      </c>
      <c r="L547" s="22">
        <v>0</v>
      </c>
      <c r="M547" s="22">
        <v>0</v>
      </c>
      <c r="N547" s="22">
        <v>0</v>
      </c>
      <c r="O547" s="22"/>
      <c r="P547" s="22">
        <v>45.3</v>
      </c>
      <c r="Q547" s="22" t="str">
        <f t="shared" si="24"/>
        <v>Normal</v>
      </c>
      <c r="R547" s="26" t="str">
        <f t="shared" si="25"/>
        <v>USR-10054645734ControlEastMobilePaid SearchBasic111000045.3</v>
      </c>
      <c r="S547" s="22" t="str">
        <f t="shared" si="26"/>
        <v>OK</v>
      </c>
    </row>
    <row r="548" spans="1:19" ht="41.4">
      <c r="A548" s="22" t="s">
        <v>578</v>
      </c>
      <c r="B548" s="25">
        <v>45797</v>
      </c>
      <c r="C548" s="22" t="s">
        <v>17</v>
      </c>
      <c r="D548" s="22" t="s">
        <v>18</v>
      </c>
      <c r="E548" s="22" t="s">
        <v>34</v>
      </c>
      <c r="F548" s="22" t="s">
        <v>29</v>
      </c>
      <c r="G548" s="22" t="s">
        <v>26</v>
      </c>
      <c r="H548" s="22">
        <v>1</v>
      </c>
      <c r="I548" s="22">
        <v>0</v>
      </c>
      <c r="J548" s="22">
        <v>0</v>
      </c>
      <c r="K548" s="22">
        <v>0</v>
      </c>
      <c r="L548" s="22">
        <v>0</v>
      </c>
      <c r="M548" s="22">
        <v>0</v>
      </c>
      <c r="N548" s="22">
        <v>0</v>
      </c>
      <c r="O548" s="22"/>
      <c r="P548" s="22">
        <v>41.4</v>
      </c>
      <c r="Q548" s="22" t="str">
        <f t="shared" si="24"/>
        <v>Normal</v>
      </c>
      <c r="R548" s="26" t="str">
        <f t="shared" si="25"/>
        <v>USR-10054745797ControlNorthTabletPaid SearchFree100000041.4</v>
      </c>
      <c r="S548" s="22" t="str">
        <f t="shared" si="26"/>
        <v>OK</v>
      </c>
    </row>
    <row r="549" spans="1:19" ht="41.4">
      <c r="A549" s="22" t="s">
        <v>579</v>
      </c>
      <c r="B549" s="25">
        <v>45732</v>
      </c>
      <c r="C549" s="22" t="s">
        <v>17</v>
      </c>
      <c r="D549" s="22" t="s">
        <v>18</v>
      </c>
      <c r="E549" s="22" t="s">
        <v>24</v>
      </c>
      <c r="F549" s="22" t="s">
        <v>25</v>
      </c>
      <c r="G549" s="22" t="s">
        <v>21</v>
      </c>
      <c r="H549" s="22">
        <v>1</v>
      </c>
      <c r="I549" s="22">
        <v>0</v>
      </c>
      <c r="J549" s="22">
        <v>0</v>
      </c>
      <c r="K549" s="22">
        <v>0</v>
      </c>
      <c r="L549" s="22">
        <v>0</v>
      </c>
      <c r="M549" s="22">
        <v>0</v>
      </c>
      <c r="N549" s="22">
        <v>0</v>
      </c>
      <c r="O549" s="22"/>
      <c r="P549" s="22">
        <v>37.1</v>
      </c>
      <c r="Q549" s="22" t="str">
        <f t="shared" si="24"/>
        <v>Normal</v>
      </c>
      <c r="R549" s="26" t="str">
        <f t="shared" si="25"/>
        <v>USR-10054845732ControlNorthMobileOrganicBasic100000037.1</v>
      </c>
      <c r="S549" s="22" t="str">
        <f t="shared" si="26"/>
        <v>OK</v>
      </c>
    </row>
    <row r="550" spans="1:19" ht="41.4">
      <c r="A550" s="22" t="s">
        <v>580</v>
      </c>
      <c r="B550" s="25">
        <v>45807</v>
      </c>
      <c r="C550" s="22" t="s">
        <v>17</v>
      </c>
      <c r="D550" s="22" t="s">
        <v>28</v>
      </c>
      <c r="E550" s="22" t="s">
        <v>19</v>
      </c>
      <c r="F550" s="22" t="s">
        <v>41</v>
      </c>
      <c r="G550" s="22" t="s">
        <v>26</v>
      </c>
      <c r="H550" s="22">
        <v>1</v>
      </c>
      <c r="I550" s="22">
        <v>0</v>
      </c>
      <c r="J550" s="22">
        <v>0</v>
      </c>
      <c r="K550" s="22">
        <v>0</v>
      </c>
      <c r="L550" s="22">
        <v>0</v>
      </c>
      <c r="M550" s="22">
        <v>0</v>
      </c>
      <c r="N550" s="22">
        <v>0</v>
      </c>
      <c r="O550" s="22"/>
      <c r="P550" s="22">
        <v>40.700000000000003</v>
      </c>
      <c r="Q550" s="22" t="str">
        <f t="shared" si="24"/>
        <v>Normal</v>
      </c>
      <c r="R550" s="26" t="str">
        <f t="shared" si="25"/>
        <v>USR-10054945807ControlEastDesktopSocialFree100000040.7</v>
      </c>
      <c r="S550" s="22" t="str">
        <f t="shared" si="26"/>
        <v>OK</v>
      </c>
    </row>
    <row r="551" spans="1:19" ht="41.4">
      <c r="A551" s="22" t="s">
        <v>581</v>
      </c>
      <c r="B551" s="25">
        <v>45708</v>
      </c>
      <c r="C551" s="22" t="s">
        <v>17</v>
      </c>
      <c r="D551" s="22" t="s">
        <v>18</v>
      </c>
      <c r="E551" s="22" t="s">
        <v>24</v>
      </c>
      <c r="F551" s="22" t="s">
        <v>41</v>
      </c>
      <c r="G551" s="22" t="s">
        <v>30</v>
      </c>
      <c r="H551" s="22">
        <v>0</v>
      </c>
      <c r="I551" s="22">
        <v>0</v>
      </c>
      <c r="J551" s="22">
        <v>0</v>
      </c>
      <c r="K551" s="22">
        <v>0</v>
      </c>
      <c r="L551" s="22">
        <v>0</v>
      </c>
      <c r="M551" s="22">
        <v>2</v>
      </c>
      <c r="N551" s="22">
        <v>0</v>
      </c>
      <c r="O551" s="22"/>
      <c r="P551" s="22">
        <v>55.9</v>
      </c>
      <c r="Q551" s="22" t="str">
        <f t="shared" si="24"/>
        <v>Normal</v>
      </c>
      <c r="R551" s="26" t="str">
        <f t="shared" si="25"/>
        <v>USR-10055045708ControlNorthMobileSocialPremium000002055.9</v>
      </c>
      <c r="S551" s="22" t="str">
        <f t="shared" si="26"/>
        <v>OK</v>
      </c>
    </row>
    <row r="552" spans="1:19" ht="41.4">
      <c r="A552" s="22" t="s">
        <v>582</v>
      </c>
      <c r="B552" s="25">
        <v>45699</v>
      </c>
      <c r="C552" s="22" t="s">
        <v>17</v>
      </c>
      <c r="D552" s="22" t="s">
        <v>28</v>
      </c>
      <c r="E552" s="22"/>
      <c r="F552" s="22" t="s">
        <v>41</v>
      </c>
      <c r="G552" s="22" t="s">
        <v>26</v>
      </c>
      <c r="H552" s="22">
        <v>1</v>
      </c>
      <c r="I552" s="22">
        <v>1</v>
      </c>
      <c r="J552" s="22">
        <v>0</v>
      </c>
      <c r="K552" s="22">
        <v>0</v>
      </c>
      <c r="L552" s="22">
        <v>0</v>
      </c>
      <c r="M552" s="22">
        <v>0</v>
      </c>
      <c r="N552" s="22">
        <v>0</v>
      </c>
      <c r="O552" s="22"/>
      <c r="P552" s="22">
        <v>55.8</v>
      </c>
      <c r="Q552" s="22" t="str">
        <f t="shared" si="24"/>
        <v>Normal</v>
      </c>
      <c r="R552" s="26" t="str">
        <f t="shared" si="25"/>
        <v>USR-10055145699ControlEastSocialFree110000055.8</v>
      </c>
      <c r="S552" s="22" t="str">
        <f t="shared" si="26"/>
        <v>OK</v>
      </c>
    </row>
    <row r="553" spans="1:19" ht="41.4">
      <c r="A553" s="22" t="s">
        <v>583</v>
      </c>
      <c r="B553" s="25">
        <v>45659</v>
      </c>
      <c r="C553" s="22" t="s">
        <v>17</v>
      </c>
      <c r="D553" s="22" t="s">
        <v>32</v>
      </c>
      <c r="E553" s="22" t="s">
        <v>34</v>
      </c>
      <c r="F553" s="22" t="s">
        <v>39</v>
      </c>
      <c r="G553" s="22" t="s">
        <v>21</v>
      </c>
      <c r="H553" s="22">
        <v>1</v>
      </c>
      <c r="I553" s="22">
        <v>0</v>
      </c>
      <c r="J553" s="22">
        <v>0</v>
      </c>
      <c r="K553" s="22">
        <v>0</v>
      </c>
      <c r="L553" s="22">
        <v>0</v>
      </c>
      <c r="M553" s="22">
        <v>0</v>
      </c>
      <c r="N553" s="22">
        <v>0</v>
      </c>
      <c r="O553" s="22"/>
      <c r="P553" s="22">
        <v>64.3</v>
      </c>
      <c r="Q553" s="22" t="str">
        <f t="shared" si="24"/>
        <v>Normal</v>
      </c>
      <c r="R553" s="26" t="str">
        <f t="shared" si="25"/>
        <v>USR-10055245659ControlSouthTabletReferralBasic100000064.3</v>
      </c>
      <c r="S553" s="22" t="str">
        <f t="shared" si="26"/>
        <v>OK</v>
      </c>
    </row>
    <row r="554" spans="1:19" ht="41.4">
      <c r="A554" s="22" t="s">
        <v>584</v>
      </c>
      <c r="B554" s="25">
        <v>45780</v>
      </c>
      <c r="C554" s="22" t="s">
        <v>17</v>
      </c>
      <c r="D554" s="22" t="s">
        <v>18</v>
      </c>
      <c r="E554" s="22" t="s">
        <v>24</v>
      </c>
      <c r="F554" s="22" t="s">
        <v>25</v>
      </c>
      <c r="G554" s="22" t="s">
        <v>26</v>
      </c>
      <c r="H554" s="22">
        <v>0</v>
      </c>
      <c r="I554" s="22">
        <v>0</v>
      </c>
      <c r="J554" s="22">
        <v>0</v>
      </c>
      <c r="K554" s="22">
        <v>0</v>
      </c>
      <c r="L554" s="22">
        <v>0</v>
      </c>
      <c r="M554" s="22">
        <v>0</v>
      </c>
      <c r="N554" s="22">
        <v>0</v>
      </c>
      <c r="O554" s="22"/>
      <c r="P554" s="22">
        <v>65.400000000000006</v>
      </c>
      <c r="Q554" s="22" t="str">
        <f t="shared" si="24"/>
        <v>Normal</v>
      </c>
      <c r="R554" s="26" t="str">
        <f t="shared" si="25"/>
        <v>USR-10055345780ControlNorthMobileOrganicFree000000065.4</v>
      </c>
      <c r="S554" s="22" t="str">
        <f t="shared" si="26"/>
        <v>OK</v>
      </c>
    </row>
    <row r="555" spans="1:19" ht="41.4">
      <c r="A555" s="22" t="s">
        <v>585</v>
      </c>
      <c r="B555" s="25">
        <v>45712</v>
      </c>
      <c r="C555" s="22" t="s">
        <v>17</v>
      </c>
      <c r="D555" s="22" t="s">
        <v>23</v>
      </c>
      <c r="E555" s="22" t="s">
        <v>24</v>
      </c>
      <c r="F555" s="22" t="s">
        <v>25</v>
      </c>
      <c r="G555" s="22" t="s">
        <v>26</v>
      </c>
      <c r="H555" s="22">
        <v>1</v>
      </c>
      <c r="I555" s="22">
        <v>0</v>
      </c>
      <c r="J555" s="22">
        <v>0</v>
      </c>
      <c r="K555" s="22">
        <v>0</v>
      </c>
      <c r="L555" s="22">
        <v>0</v>
      </c>
      <c r="M555" s="22">
        <v>0</v>
      </c>
      <c r="N555" s="22">
        <v>0</v>
      </c>
      <c r="O555" s="22"/>
      <c r="P555" s="22">
        <v>89.8</v>
      </c>
      <c r="Q555" s="22" t="str">
        <f t="shared" si="24"/>
        <v>Normal</v>
      </c>
      <c r="R555" s="26" t="str">
        <f t="shared" si="25"/>
        <v>USR-10055445712ControlWestMobileOrganicFree100000089.8</v>
      </c>
      <c r="S555" s="22" t="str">
        <f t="shared" si="26"/>
        <v>OK</v>
      </c>
    </row>
    <row r="556" spans="1:19" ht="41.4">
      <c r="A556" s="22" t="s">
        <v>586</v>
      </c>
      <c r="B556" s="25">
        <v>45699</v>
      </c>
      <c r="C556" s="22" t="s">
        <v>17</v>
      </c>
      <c r="D556" s="22" t="s">
        <v>32</v>
      </c>
      <c r="E556" s="22"/>
      <c r="F556" s="22" t="s">
        <v>25</v>
      </c>
      <c r="G556" s="22" t="s">
        <v>26</v>
      </c>
      <c r="H556" s="22">
        <v>1</v>
      </c>
      <c r="I556" s="22">
        <v>1</v>
      </c>
      <c r="J556" s="22">
        <v>1</v>
      </c>
      <c r="K556" s="22">
        <v>0</v>
      </c>
      <c r="L556" s="22">
        <v>0</v>
      </c>
      <c r="M556" s="22">
        <v>0</v>
      </c>
      <c r="N556" s="22">
        <v>0</v>
      </c>
      <c r="O556" s="22"/>
      <c r="P556" s="22">
        <v>58.3</v>
      </c>
      <c r="Q556" s="22" t="str">
        <f t="shared" si="24"/>
        <v>Normal</v>
      </c>
      <c r="R556" s="26" t="str">
        <f t="shared" si="25"/>
        <v>USR-10055545699ControlSouthOrganicFree111000058.3</v>
      </c>
      <c r="S556" s="22" t="str">
        <f t="shared" si="26"/>
        <v>OK</v>
      </c>
    </row>
    <row r="557" spans="1:19" ht="41.4">
      <c r="A557" s="22" t="s">
        <v>587</v>
      </c>
      <c r="B557" s="25">
        <v>45783</v>
      </c>
      <c r="C557" s="22" t="s">
        <v>17</v>
      </c>
      <c r="D557" s="22" t="s">
        <v>32</v>
      </c>
      <c r="E557" s="22" t="s">
        <v>24</v>
      </c>
      <c r="F557" s="22" t="s">
        <v>41</v>
      </c>
      <c r="G557" s="22" t="s">
        <v>21</v>
      </c>
      <c r="H557" s="22">
        <v>1</v>
      </c>
      <c r="I557" s="22">
        <v>0</v>
      </c>
      <c r="J557" s="22">
        <v>0</v>
      </c>
      <c r="K557" s="22">
        <v>0</v>
      </c>
      <c r="L557" s="22">
        <v>0</v>
      </c>
      <c r="M557" s="22">
        <v>0</v>
      </c>
      <c r="N557" s="22">
        <v>0</v>
      </c>
      <c r="O557" s="22"/>
      <c r="P557" s="22">
        <v>64.400000000000006</v>
      </c>
      <c r="Q557" s="22" t="str">
        <f t="shared" si="24"/>
        <v>Normal</v>
      </c>
      <c r="R557" s="26" t="str">
        <f t="shared" si="25"/>
        <v>USR-10055645783ControlSouthMobileSocialBasic100000064.4</v>
      </c>
      <c r="S557" s="22" t="str">
        <f t="shared" si="26"/>
        <v>OK</v>
      </c>
    </row>
    <row r="558" spans="1:19" ht="41.4">
      <c r="A558" s="22" t="s">
        <v>588</v>
      </c>
      <c r="B558" s="25">
        <v>45800</v>
      </c>
      <c r="C558" s="22" t="s">
        <v>17</v>
      </c>
      <c r="D558" s="22" t="s">
        <v>18</v>
      </c>
      <c r="E558" s="22" t="s">
        <v>24</v>
      </c>
      <c r="F558" s="22" t="s">
        <v>29</v>
      </c>
      <c r="G558" s="22" t="s">
        <v>30</v>
      </c>
      <c r="H558" s="22">
        <v>0</v>
      </c>
      <c r="I558" s="22">
        <v>0</v>
      </c>
      <c r="J558" s="22">
        <v>0</v>
      </c>
      <c r="K558" s="22">
        <v>0</v>
      </c>
      <c r="L558" s="22">
        <v>0</v>
      </c>
      <c r="M558" s="22">
        <v>0</v>
      </c>
      <c r="N558" s="22">
        <v>0</v>
      </c>
      <c r="O558" s="22"/>
      <c r="P558" s="22">
        <v>46.2</v>
      </c>
      <c r="Q558" s="22" t="str">
        <f t="shared" si="24"/>
        <v>Normal</v>
      </c>
      <c r="R558" s="26" t="str">
        <f t="shared" si="25"/>
        <v>USR-10055745800ControlNorthMobilePaid SearchPremium000000046.2</v>
      </c>
      <c r="S558" s="22" t="str">
        <f t="shared" si="26"/>
        <v>OK</v>
      </c>
    </row>
    <row r="559" spans="1:19" ht="41.4">
      <c r="A559" s="22" t="s">
        <v>589</v>
      </c>
      <c r="B559" s="25">
        <v>45666</v>
      </c>
      <c r="C559" s="22" t="s">
        <v>17</v>
      </c>
      <c r="D559" s="22" t="s">
        <v>18</v>
      </c>
      <c r="E559" s="22" t="s">
        <v>19</v>
      </c>
      <c r="F559" s="22" t="s">
        <v>29</v>
      </c>
      <c r="G559" s="22" t="s">
        <v>26</v>
      </c>
      <c r="H559" s="22">
        <v>0</v>
      </c>
      <c r="I559" s="22">
        <v>0</v>
      </c>
      <c r="J559" s="22">
        <v>0</v>
      </c>
      <c r="K559" s="22">
        <v>0</v>
      </c>
      <c r="L559" s="22">
        <v>0</v>
      </c>
      <c r="M559" s="22">
        <v>0</v>
      </c>
      <c r="N559" s="22">
        <v>0</v>
      </c>
      <c r="O559" s="22"/>
      <c r="P559" s="22">
        <v>78</v>
      </c>
      <c r="Q559" s="22" t="str">
        <f t="shared" si="24"/>
        <v>Normal</v>
      </c>
      <c r="R559" s="26" t="str">
        <f t="shared" si="25"/>
        <v>USR-10055845666ControlNorthDesktopPaid SearchFree000000078</v>
      </c>
      <c r="S559" s="22" t="str">
        <f t="shared" si="26"/>
        <v>OK</v>
      </c>
    </row>
    <row r="560" spans="1:19" ht="41.4">
      <c r="A560" s="22" t="s">
        <v>590</v>
      </c>
      <c r="B560" s="25">
        <v>45748</v>
      </c>
      <c r="C560" s="22" t="s">
        <v>17</v>
      </c>
      <c r="D560" s="22" t="s">
        <v>18</v>
      </c>
      <c r="E560" s="22" t="s">
        <v>19</v>
      </c>
      <c r="F560" s="22" t="s">
        <v>25</v>
      </c>
      <c r="G560" s="22" t="s">
        <v>30</v>
      </c>
      <c r="H560" s="22">
        <v>1</v>
      </c>
      <c r="I560" s="22">
        <v>0</v>
      </c>
      <c r="J560" s="22">
        <v>0</v>
      </c>
      <c r="K560" s="22">
        <v>0</v>
      </c>
      <c r="L560" s="22">
        <v>0</v>
      </c>
      <c r="M560" s="22">
        <v>0</v>
      </c>
      <c r="N560" s="22">
        <v>0</v>
      </c>
      <c r="O560" s="22"/>
      <c r="P560" s="22">
        <v>62.3</v>
      </c>
      <c r="Q560" s="22" t="str">
        <f t="shared" si="24"/>
        <v>Normal</v>
      </c>
      <c r="R560" s="26" t="str">
        <f t="shared" si="25"/>
        <v>USR-10055945748ControlNorthDesktopOrganicPremium100000062.3</v>
      </c>
      <c r="S560" s="22" t="str">
        <f t="shared" si="26"/>
        <v>OK</v>
      </c>
    </row>
    <row r="561" spans="1:19" ht="41.4">
      <c r="A561" s="22" t="s">
        <v>591</v>
      </c>
      <c r="B561" s="25">
        <v>45724</v>
      </c>
      <c r="C561" s="22" t="s">
        <v>17</v>
      </c>
      <c r="D561" s="22" t="s">
        <v>18</v>
      </c>
      <c r="E561" s="22" t="s">
        <v>24</v>
      </c>
      <c r="F561" s="22" t="s">
        <v>25</v>
      </c>
      <c r="G561" s="22" t="s">
        <v>26</v>
      </c>
      <c r="H561" s="22">
        <v>1</v>
      </c>
      <c r="I561" s="22">
        <v>0</v>
      </c>
      <c r="J561" s="22">
        <v>0</v>
      </c>
      <c r="K561" s="22">
        <v>0</v>
      </c>
      <c r="L561" s="22">
        <v>0</v>
      </c>
      <c r="M561" s="22">
        <v>0</v>
      </c>
      <c r="N561" s="22">
        <v>0</v>
      </c>
      <c r="O561" s="22"/>
      <c r="P561" s="22">
        <v>78.8</v>
      </c>
      <c r="Q561" s="22" t="str">
        <f t="shared" si="24"/>
        <v>Normal</v>
      </c>
      <c r="R561" s="26" t="str">
        <f t="shared" si="25"/>
        <v>USR-10056045724ControlNorthMobileOrganicFree100000078.8</v>
      </c>
      <c r="S561" s="22" t="str">
        <f t="shared" si="26"/>
        <v>OK</v>
      </c>
    </row>
    <row r="562" spans="1:19" ht="41.4">
      <c r="A562" s="22" t="s">
        <v>592</v>
      </c>
      <c r="B562" s="25">
        <v>45708</v>
      </c>
      <c r="C562" s="22" t="s">
        <v>17</v>
      </c>
      <c r="D562" s="22" t="s">
        <v>18</v>
      </c>
      <c r="E562" s="22" t="s">
        <v>24</v>
      </c>
      <c r="F562" s="22" t="s">
        <v>41</v>
      </c>
      <c r="G562" s="22" t="s">
        <v>21</v>
      </c>
      <c r="H562" s="22">
        <v>1</v>
      </c>
      <c r="I562" s="22">
        <v>0</v>
      </c>
      <c r="J562" s="22">
        <v>0</v>
      </c>
      <c r="K562" s="22">
        <v>0</v>
      </c>
      <c r="L562" s="22">
        <v>0</v>
      </c>
      <c r="M562" s="22">
        <v>0</v>
      </c>
      <c r="N562" s="22">
        <v>0</v>
      </c>
      <c r="O562" s="22"/>
      <c r="P562" s="22">
        <v>25</v>
      </c>
      <c r="Q562" s="22" t="str">
        <f t="shared" si="24"/>
        <v>Normal</v>
      </c>
      <c r="R562" s="26" t="str">
        <f t="shared" si="25"/>
        <v>USR-10056145708ControlNorthMobileSocialBasic100000025</v>
      </c>
      <c r="S562" s="22" t="str">
        <f t="shared" si="26"/>
        <v>OK</v>
      </c>
    </row>
    <row r="563" spans="1:19" ht="41.4">
      <c r="A563" s="22" t="s">
        <v>593</v>
      </c>
      <c r="B563" s="25">
        <v>45746</v>
      </c>
      <c r="C563" s="22" t="s">
        <v>17</v>
      </c>
      <c r="D563" s="22" t="s">
        <v>28</v>
      </c>
      <c r="E563" s="22" t="s">
        <v>24</v>
      </c>
      <c r="F563" s="22" t="s">
        <v>41</v>
      </c>
      <c r="G563" s="22" t="s">
        <v>21</v>
      </c>
      <c r="H563" s="22">
        <v>0</v>
      </c>
      <c r="I563" s="22">
        <v>0</v>
      </c>
      <c r="J563" s="22">
        <v>0</v>
      </c>
      <c r="K563" s="22">
        <v>0</v>
      </c>
      <c r="L563" s="22">
        <v>0</v>
      </c>
      <c r="M563" s="22">
        <v>0</v>
      </c>
      <c r="N563" s="22">
        <v>0</v>
      </c>
      <c r="O563" s="22"/>
      <c r="P563" s="22">
        <v>53.4</v>
      </c>
      <c r="Q563" s="22" t="str">
        <f t="shared" si="24"/>
        <v>Normal</v>
      </c>
      <c r="R563" s="26" t="str">
        <f t="shared" si="25"/>
        <v>USR-10056245746ControlEastMobileSocialBasic000000053.4</v>
      </c>
      <c r="S563" s="22" t="str">
        <f t="shared" si="26"/>
        <v>OK</v>
      </c>
    </row>
    <row r="564" spans="1:19" ht="41.4">
      <c r="A564" s="22" t="s">
        <v>594</v>
      </c>
      <c r="B564" s="25">
        <v>45757</v>
      </c>
      <c r="C564" s="22" t="s">
        <v>17</v>
      </c>
      <c r="D564" s="22" t="s">
        <v>28</v>
      </c>
      <c r="E564" s="22" t="s">
        <v>19</v>
      </c>
      <c r="F564" s="22" t="s">
        <v>25</v>
      </c>
      <c r="G564" s="22" t="s">
        <v>21</v>
      </c>
      <c r="H564" s="22">
        <v>0</v>
      </c>
      <c r="I564" s="22">
        <v>0</v>
      </c>
      <c r="J564" s="22">
        <v>0</v>
      </c>
      <c r="K564" s="22">
        <v>0</v>
      </c>
      <c r="L564" s="22">
        <v>0</v>
      </c>
      <c r="M564" s="22">
        <v>0</v>
      </c>
      <c r="N564" s="22">
        <v>0</v>
      </c>
      <c r="O564" s="22"/>
      <c r="P564" s="22">
        <v>40.700000000000003</v>
      </c>
      <c r="Q564" s="22" t="str">
        <f t="shared" si="24"/>
        <v>Normal</v>
      </c>
      <c r="R564" s="26" t="str">
        <f t="shared" si="25"/>
        <v>USR-10056345757ControlEastDesktopOrganicBasic000000040.7</v>
      </c>
      <c r="S564" s="22" t="str">
        <f t="shared" si="26"/>
        <v>OK</v>
      </c>
    </row>
    <row r="565" spans="1:19" ht="41.4">
      <c r="A565" s="22" t="s">
        <v>595</v>
      </c>
      <c r="B565" s="25">
        <v>45740</v>
      </c>
      <c r="C565" s="22" t="s">
        <v>17</v>
      </c>
      <c r="D565" s="22" t="s">
        <v>28</v>
      </c>
      <c r="E565" s="22" t="s">
        <v>24</v>
      </c>
      <c r="F565" s="22" t="s">
        <v>25</v>
      </c>
      <c r="G565" s="22" t="s">
        <v>30</v>
      </c>
      <c r="H565" s="22">
        <v>1</v>
      </c>
      <c r="I565" s="22">
        <v>1</v>
      </c>
      <c r="J565" s="22">
        <v>0</v>
      </c>
      <c r="K565" s="22">
        <v>0</v>
      </c>
      <c r="L565" s="22">
        <v>0</v>
      </c>
      <c r="M565" s="22">
        <v>0</v>
      </c>
      <c r="N565" s="22">
        <v>0</v>
      </c>
      <c r="O565" s="22"/>
      <c r="P565" s="22">
        <v>36.700000000000003</v>
      </c>
      <c r="Q565" s="22" t="str">
        <f t="shared" si="24"/>
        <v>Normal</v>
      </c>
      <c r="R565" s="26" t="str">
        <f t="shared" si="25"/>
        <v>USR-10056445740ControlEastMobileOrganicPremium110000036.7</v>
      </c>
      <c r="S565" s="22" t="str">
        <f t="shared" si="26"/>
        <v>OK</v>
      </c>
    </row>
    <row r="566" spans="1:19" ht="41.4">
      <c r="A566" s="22" t="s">
        <v>596</v>
      </c>
      <c r="B566" s="25">
        <v>45798</v>
      </c>
      <c r="C566" s="22" t="s">
        <v>17</v>
      </c>
      <c r="D566" s="22" t="s">
        <v>23</v>
      </c>
      <c r="E566" s="22" t="s">
        <v>24</v>
      </c>
      <c r="F566" s="22" t="s">
        <v>25</v>
      </c>
      <c r="G566" s="22" t="s">
        <v>21</v>
      </c>
      <c r="H566" s="22">
        <v>1</v>
      </c>
      <c r="I566" s="22">
        <v>0</v>
      </c>
      <c r="J566" s="22">
        <v>0</v>
      </c>
      <c r="K566" s="22">
        <v>0</v>
      </c>
      <c r="L566" s="22">
        <v>0</v>
      </c>
      <c r="M566" s="22">
        <v>1</v>
      </c>
      <c r="N566" s="22">
        <v>0</v>
      </c>
      <c r="O566" s="22"/>
      <c r="P566" s="22">
        <v>67.5</v>
      </c>
      <c r="Q566" s="22" t="str">
        <f t="shared" si="24"/>
        <v>Normal</v>
      </c>
      <c r="R566" s="26" t="str">
        <f t="shared" si="25"/>
        <v>USR-10056545798ControlWestMobileOrganicBasic100001067.5</v>
      </c>
      <c r="S566" s="22" t="str">
        <f t="shared" si="26"/>
        <v>OK</v>
      </c>
    </row>
    <row r="567" spans="1:19" ht="41.4">
      <c r="A567" s="22" t="s">
        <v>597</v>
      </c>
      <c r="B567" s="25">
        <v>45745</v>
      </c>
      <c r="C567" s="22" t="s">
        <v>17</v>
      </c>
      <c r="D567" s="22" t="s">
        <v>28</v>
      </c>
      <c r="E567" s="22" t="s">
        <v>24</v>
      </c>
      <c r="F567" s="22" t="s">
        <v>41</v>
      </c>
      <c r="G567" s="22" t="s">
        <v>30</v>
      </c>
      <c r="H567" s="22">
        <v>1</v>
      </c>
      <c r="I567" s="22">
        <v>1</v>
      </c>
      <c r="J567" s="22">
        <v>1</v>
      </c>
      <c r="K567" s="22">
        <v>0</v>
      </c>
      <c r="L567" s="22">
        <v>0</v>
      </c>
      <c r="M567" s="22">
        <v>0</v>
      </c>
      <c r="N567" s="22">
        <v>0</v>
      </c>
      <c r="O567" s="22"/>
      <c r="P567" s="22">
        <v>69.900000000000006</v>
      </c>
      <c r="Q567" s="22" t="str">
        <f t="shared" si="24"/>
        <v>Normal</v>
      </c>
      <c r="R567" s="26" t="str">
        <f t="shared" si="25"/>
        <v>USR-10056645745ControlEastMobileSocialPremium111000069.9</v>
      </c>
      <c r="S567" s="22" t="str">
        <f t="shared" si="26"/>
        <v>OK</v>
      </c>
    </row>
    <row r="568" spans="1:19" ht="41.4">
      <c r="A568" s="22" t="s">
        <v>598</v>
      </c>
      <c r="B568" s="25">
        <v>45711</v>
      </c>
      <c r="C568" s="22" t="s">
        <v>17</v>
      </c>
      <c r="D568" s="22" t="s">
        <v>18</v>
      </c>
      <c r="E568" s="22" t="s">
        <v>34</v>
      </c>
      <c r="F568" s="22" t="s">
        <v>39</v>
      </c>
      <c r="G568" s="22" t="s">
        <v>21</v>
      </c>
      <c r="H568" s="22">
        <v>1</v>
      </c>
      <c r="I568" s="22">
        <v>0</v>
      </c>
      <c r="J568" s="22">
        <v>0</v>
      </c>
      <c r="K568" s="22">
        <v>0</v>
      </c>
      <c r="L568" s="22">
        <v>0</v>
      </c>
      <c r="M568" s="22">
        <v>0</v>
      </c>
      <c r="N568" s="22">
        <v>0</v>
      </c>
      <c r="O568" s="22"/>
      <c r="P568" s="22">
        <v>65.099999999999994</v>
      </c>
      <c r="Q568" s="22" t="str">
        <f t="shared" si="24"/>
        <v>Normal</v>
      </c>
      <c r="R568" s="26" t="str">
        <f t="shared" si="25"/>
        <v>USR-10056745711ControlNorthTabletReferralBasic100000065.1</v>
      </c>
      <c r="S568" s="22" t="str">
        <f t="shared" si="26"/>
        <v>OK</v>
      </c>
    </row>
    <row r="569" spans="1:19" ht="41.4">
      <c r="A569" s="22" t="s">
        <v>599</v>
      </c>
      <c r="B569" s="25">
        <v>45704</v>
      </c>
      <c r="C569" s="22" t="s">
        <v>17</v>
      </c>
      <c r="D569" s="22" t="s">
        <v>23</v>
      </c>
      <c r="E569" s="22" t="s">
        <v>24</v>
      </c>
      <c r="F569" s="22" t="s">
        <v>29</v>
      </c>
      <c r="G569" s="22" t="s">
        <v>30</v>
      </c>
      <c r="H569" s="22">
        <v>1</v>
      </c>
      <c r="I569" s="22">
        <v>0</v>
      </c>
      <c r="J569" s="22">
        <v>0</v>
      </c>
      <c r="K569" s="22">
        <v>0</v>
      </c>
      <c r="L569" s="22">
        <v>0</v>
      </c>
      <c r="M569" s="22">
        <v>0</v>
      </c>
      <c r="N569" s="22">
        <v>0</v>
      </c>
      <c r="O569" s="22"/>
      <c r="P569" s="22">
        <v>48.7</v>
      </c>
      <c r="Q569" s="22" t="str">
        <f t="shared" si="24"/>
        <v>Normal</v>
      </c>
      <c r="R569" s="26" t="str">
        <f t="shared" si="25"/>
        <v>USR-10056845704ControlWestMobilePaid SearchPremium100000048.7</v>
      </c>
      <c r="S569" s="22" t="str">
        <f t="shared" si="26"/>
        <v>OK</v>
      </c>
    </row>
    <row r="570" spans="1:19" ht="41.4">
      <c r="A570" s="22" t="s">
        <v>600</v>
      </c>
      <c r="B570" s="25">
        <v>45709</v>
      </c>
      <c r="C570" s="22" t="s">
        <v>17</v>
      </c>
      <c r="D570" s="22" t="s">
        <v>23</v>
      </c>
      <c r="E570" s="22" t="s">
        <v>19</v>
      </c>
      <c r="F570" s="22" t="s">
        <v>25</v>
      </c>
      <c r="G570" s="22" t="s">
        <v>21</v>
      </c>
      <c r="H570" s="22">
        <v>1</v>
      </c>
      <c r="I570" s="22">
        <v>1</v>
      </c>
      <c r="J570" s="22">
        <v>0</v>
      </c>
      <c r="K570" s="22">
        <v>0</v>
      </c>
      <c r="L570" s="22">
        <v>0</v>
      </c>
      <c r="M570" s="22">
        <v>0</v>
      </c>
      <c r="N570" s="22">
        <v>0</v>
      </c>
      <c r="O570" s="22"/>
      <c r="P570" s="22">
        <v>47.2</v>
      </c>
      <c r="Q570" s="22" t="str">
        <f t="shared" si="24"/>
        <v>Normal</v>
      </c>
      <c r="R570" s="26" t="str">
        <f t="shared" si="25"/>
        <v>USR-10056945709ControlWestDesktopOrganicBasic110000047.2</v>
      </c>
      <c r="S570" s="22" t="str">
        <f t="shared" si="26"/>
        <v>OK</v>
      </c>
    </row>
    <row r="571" spans="1:19" ht="41.4">
      <c r="A571" s="22" t="s">
        <v>601</v>
      </c>
      <c r="B571" s="25">
        <v>45664</v>
      </c>
      <c r="C571" s="22" t="s">
        <v>17</v>
      </c>
      <c r="D571" s="22" t="s">
        <v>18</v>
      </c>
      <c r="E571" s="22" t="s">
        <v>24</v>
      </c>
      <c r="F571" s="22" t="s">
        <v>39</v>
      </c>
      <c r="G571" s="22" t="s">
        <v>26</v>
      </c>
      <c r="H571" s="22">
        <v>1</v>
      </c>
      <c r="I571" s="22">
        <v>0</v>
      </c>
      <c r="J571" s="22">
        <v>0</v>
      </c>
      <c r="K571" s="22">
        <v>0</v>
      </c>
      <c r="L571" s="22">
        <v>0</v>
      </c>
      <c r="M571" s="22">
        <v>2</v>
      </c>
      <c r="N571" s="22">
        <v>0</v>
      </c>
      <c r="O571" s="22"/>
      <c r="P571" s="22">
        <v>20.3</v>
      </c>
      <c r="Q571" s="22" t="str">
        <f t="shared" si="24"/>
        <v>Normal</v>
      </c>
      <c r="R571" s="26" t="str">
        <f t="shared" si="25"/>
        <v>USR-10057045664ControlNorthMobileReferralFree100002020.3</v>
      </c>
      <c r="S571" s="22" t="str">
        <f t="shared" si="26"/>
        <v>OK</v>
      </c>
    </row>
    <row r="572" spans="1:19" ht="41.4">
      <c r="A572" s="22" t="s">
        <v>602</v>
      </c>
      <c r="B572" s="25">
        <v>45722</v>
      </c>
      <c r="C572" s="22" t="s">
        <v>17</v>
      </c>
      <c r="D572" s="22" t="s">
        <v>23</v>
      </c>
      <c r="E572" s="22" t="s">
        <v>24</v>
      </c>
      <c r="F572" s="22" t="s">
        <v>29</v>
      </c>
      <c r="G572" s="22" t="s">
        <v>26</v>
      </c>
      <c r="H572" s="22">
        <v>0</v>
      </c>
      <c r="I572" s="22">
        <v>0</v>
      </c>
      <c r="J572" s="22">
        <v>0</v>
      </c>
      <c r="K572" s="22">
        <v>0</v>
      </c>
      <c r="L572" s="22">
        <v>0</v>
      </c>
      <c r="M572" s="22">
        <v>1</v>
      </c>
      <c r="N572" s="22">
        <v>0</v>
      </c>
      <c r="O572" s="22"/>
      <c r="P572" s="22">
        <v>57.8</v>
      </c>
      <c r="Q572" s="22" t="str">
        <f t="shared" si="24"/>
        <v>Normal</v>
      </c>
      <c r="R572" s="26" t="str">
        <f t="shared" si="25"/>
        <v>USR-10057145722ControlWestMobilePaid SearchFree000001057.8</v>
      </c>
      <c r="S572" s="22" t="str">
        <f t="shared" si="26"/>
        <v>OK</v>
      </c>
    </row>
    <row r="573" spans="1:19" ht="41.4">
      <c r="A573" s="22" t="s">
        <v>603</v>
      </c>
      <c r="B573" s="25">
        <v>45746</v>
      </c>
      <c r="C573" s="22" t="s">
        <v>17</v>
      </c>
      <c r="D573" s="22" t="s">
        <v>28</v>
      </c>
      <c r="E573" s="22" t="s">
        <v>24</v>
      </c>
      <c r="F573" s="22" t="s">
        <v>20</v>
      </c>
      <c r="G573" s="22" t="s">
        <v>21</v>
      </c>
      <c r="H573" s="22">
        <v>1</v>
      </c>
      <c r="I573" s="22">
        <v>0</v>
      </c>
      <c r="J573" s="22">
        <v>0</v>
      </c>
      <c r="K573" s="22">
        <v>0</v>
      </c>
      <c r="L573" s="22">
        <v>0</v>
      </c>
      <c r="M573" s="22">
        <v>0</v>
      </c>
      <c r="N573" s="22">
        <v>0</v>
      </c>
      <c r="O573" s="22"/>
      <c r="P573" s="22">
        <v>78.7</v>
      </c>
      <c r="Q573" s="22" t="str">
        <f t="shared" si="24"/>
        <v>Normal</v>
      </c>
      <c r="R573" s="26" t="str">
        <f t="shared" si="25"/>
        <v>USR-10057245746ControlEastMobileEmailBasic100000078.7</v>
      </c>
      <c r="S573" s="22" t="str">
        <f t="shared" si="26"/>
        <v>OK</v>
      </c>
    </row>
    <row r="574" spans="1:19" ht="41.4">
      <c r="A574" s="22" t="s">
        <v>604</v>
      </c>
      <c r="B574" s="25">
        <v>45808</v>
      </c>
      <c r="C574" s="22" t="s">
        <v>17</v>
      </c>
      <c r="D574" s="22" t="s">
        <v>32</v>
      </c>
      <c r="E574" s="22" t="s">
        <v>19</v>
      </c>
      <c r="F574" s="22" t="s">
        <v>25</v>
      </c>
      <c r="G574" s="22" t="s">
        <v>26</v>
      </c>
      <c r="H574" s="22">
        <v>1</v>
      </c>
      <c r="I574" s="22">
        <v>0</v>
      </c>
      <c r="J574" s="22">
        <v>0</v>
      </c>
      <c r="K574" s="22">
        <v>0</v>
      </c>
      <c r="L574" s="22">
        <v>0</v>
      </c>
      <c r="M574" s="22">
        <v>0</v>
      </c>
      <c r="N574" s="22">
        <v>0</v>
      </c>
      <c r="O574" s="22"/>
      <c r="P574" s="22">
        <v>63.6</v>
      </c>
      <c r="Q574" s="22" t="str">
        <f t="shared" si="24"/>
        <v>Normal</v>
      </c>
      <c r="R574" s="26" t="str">
        <f t="shared" si="25"/>
        <v>USR-10057345808ControlSouthDesktopOrganicFree100000063.6</v>
      </c>
      <c r="S574" s="22" t="str">
        <f t="shared" si="26"/>
        <v>OK</v>
      </c>
    </row>
    <row r="575" spans="1:19" ht="41.4">
      <c r="A575" s="22" t="s">
        <v>605</v>
      </c>
      <c r="B575" s="25">
        <v>45708</v>
      </c>
      <c r="C575" s="22" t="s">
        <v>17</v>
      </c>
      <c r="D575" s="22" t="s">
        <v>32</v>
      </c>
      <c r="E575" s="22" t="s">
        <v>24</v>
      </c>
      <c r="F575" s="22" t="s">
        <v>20</v>
      </c>
      <c r="G575" s="22" t="s">
        <v>26</v>
      </c>
      <c r="H575" s="22">
        <v>0</v>
      </c>
      <c r="I575" s="22">
        <v>0</v>
      </c>
      <c r="J575" s="22">
        <v>0</v>
      </c>
      <c r="K575" s="22">
        <v>0</v>
      </c>
      <c r="L575" s="22">
        <v>0</v>
      </c>
      <c r="M575" s="22">
        <v>2</v>
      </c>
      <c r="N575" s="22">
        <v>0</v>
      </c>
      <c r="O575" s="22"/>
      <c r="P575" s="22">
        <v>45.1</v>
      </c>
      <c r="Q575" s="22" t="str">
        <f t="shared" si="24"/>
        <v>Normal</v>
      </c>
      <c r="R575" s="26" t="str">
        <f t="shared" si="25"/>
        <v>USR-10057445708ControlSouthMobileEmailFree000002045.1</v>
      </c>
      <c r="S575" s="22" t="str">
        <f t="shared" si="26"/>
        <v>OK</v>
      </c>
    </row>
    <row r="576" spans="1:19" ht="41.4">
      <c r="A576" s="22" t="s">
        <v>606</v>
      </c>
      <c r="B576" s="25">
        <v>45670</v>
      </c>
      <c r="C576" s="22" t="s">
        <v>17</v>
      </c>
      <c r="D576" s="22" t="s">
        <v>23</v>
      </c>
      <c r="E576" s="22" t="s">
        <v>24</v>
      </c>
      <c r="F576" s="22" t="s">
        <v>41</v>
      </c>
      <c r="G576" s="22" t="s">
        <v>26</v>
      </c>
      <c r="H576" s="22">
        <v>0</v>
      </c>
      <c r="I576" s="22">
        <v>0</v>
      </c>
      <c r="J576" s="22">
        <v>0</v>
      </c>
      <c r="K576" s="22">
        <v>0</v>
      </c>
      <c r="L576" s="22">
        <v>0</v>
      </c>
      <c r="M576" s="22">
        <v>0</v>
      </c>
      <c r="N576" s="22">
        <v>0</v>
      </c>
      <c r="O576" s="22"/>
      <c r="P576" s="22">
        <v>77.5</v>
      </c>
      <c r="Q576" s="22" t="str">
        <f t="shared" si="24"/>
        <v>Normal</v>
      </c>
      <c r="R576" s="26" t="str">
        <f t="shared" si="25"/>
        <v>USR-10057545670ControlWestMobileSocialFree000000077.5</v>
      </c>
      <c r="S576" s="22" t="str">
        <f t="shared" si="26"/>
        <v>OK</v>
      </c>
    </row>
    <row r="577" spans="1:19" ht="41.4">
      <c r="A577" s="22" t="s">
        <v>607</v>
      </c>
      <c r="B577" s="25">
        <v>45790</v>
      </c>
      <c r="C577" s="22" t="s">
        <v>17</v>
      </c>
      <c r="D577" s="22" t="s">
        <v>28</v>
      </c>
      <c r="E577" s="22" t="s">
        <v>19</v>
      </c>
      <c r="F577" s="22" t="s">
        <v>29</v>
      </c>
      <c r="G577" s="22" t="s">
        <v>21</v>
      </c>
      <c r="H577" s="22">
        <v>1</v>
      </c>
      <c r="I577" s="22">
        <v>1</v>
      </c>
      <c r="J577" s="22">
        <v>0</v>
      </c>
      <c r="K577" s="22">
        <v>0</v>
      </c>
      <c r="L577" s="22">
        <v>0</v>
      </c>
      <c r="M577" s="22">
        <v>0</v>
      </c>
      <c r="N577" s="22">
        <v>0</v>
      </c>
      <c r="O577" s="22"/>
      <c r="P577" s="22">
        <v>58</v>
      </c>
      <c r="Q577" s="22" t="str">
        <f t="shared" si="24"/>
        <v>Normal</v>
      </c>
      <c r="R577" s="26" t="str">
        <f t="shared" si="25"/>
        <v>USR-10057645790ControlEastDesktopPaid SearchBasic110000058</v>
      </c>
      <c r="S577" s="22" t="str">
        <f t="shared" si="26"/>
        <v>OK</v>
      </c>
    </row>
    <row r="578" spans="1:19" ht="41.4">
      <c r="A578" s="22" t="s">
        <v>608</v>
      </c>
      <c r="B578" s="25">
        <v>45768</v>
      </c>
      <c r="C578" s="22" t="s">
        <v>17</v>
      </c>
      <c r="D578" s="22" t="s">
        <v>32</v>
      </c>
      <c r="E578" s="22" t="s">
        <v>34</v>
      </c>
      <c r="F578" s="22" t="s">
        <v>25</v>
      </c>
      <c r="G578" s="22" t="s">
        <v>26</v>
      </c>
      <c r="H578" s="22">
        <v>1</v>
      </c>
      <c r="I578" s="22">
        <v>0</v>
      </c>
      <c r="J578" s="22">
        <v>0</v>
      </c>
      <c r="K578" s="22">
        <v>0</v>
      </c>
      <c r="L578" s="22">
        <v>0</v>
      </c>
      <c r="M578" s="22">
        <v>0</v>
      </c>
      <c r="N578" s="22">
        <v>0</v>
      </c>
      <c r="O578" s="22"/>
      <c r="P578" s="22">
        <v>68.099999999999994</v>
      </c>
      <c r="Q578" s="22" t="str">
        <f t="shared" si="24"/>
        <v>Normal</v>
      </c>
      <c r="R578" s="26" t="str">
        <f t="shared" si="25"/>
        <v>USR-10057745768ControlSouthTabletOrganicFree100000068.1</v>
      </c>
      <c r="S578" s="22" t="str">
        <f t="shared" si="26"/>
        <v>OK</v>
      </c>
    </row>
    <row r="579" spans="1:19" ht="41.4">
      <c r="A579" s="22" t="s">
        <v>609</v>
      </c>
      <c r="B579" s="25">
        <v>45717</v>
      </c>
      <c r="C579" s="22" t="s">
        <v>17</v>
      </c>
      <c r="D579" s="22" t="s">
        <v>28</v>
      </c>
      <c r="E579" s="22" t="s">
        <v>34</v>
      </c>
      <c r="F579" s="22" t="s">
        <v>25</v>
      </c>
      <c r="G579" s="22" t="s">
        <v>30</v>
      </c>
      <c r="H579" s="22">
        <v>1</v>
      </c>
      <c r="I579" s="22">
        <v>0</v>
      </c>
      <c r="J579" s="22">
        <v>0</v>
      </c>
      <c r="K579" s="22">
        <v>0</v>
      </c>
      <c r="L579" s="22">
        <v>0</v>
      </c>
      <c r="M579" s="22">
        <v>0</v>
      </c>
      <c r="N579" s="22">
        <v>0</v>
      </c>
      <c r="O579" s="22"/>
      <c r="P579" s="22">
        <v>35.4</v>
      </c>
      <c r="Q579" s="22" t="str">
        <f t="shared" ref="Q579:Q642" si="27">IF(OR(L579&lt;$V$40,L579&gt;$V$41),"Outlier","Normal")</f>
        <v>Normal</v>
      </c>
      <c r="R579" s="26" t="str">
        <f t="shared" ref="R579:R642" si="28">A579&amp;B579&amp;C579&amp;D579&amp;E579&amp;F579&amp;G579&amp;H579&amp;I579&amp;J579&amp;K579&amp;L579&amp;M579&amp;N579&amp;O579&amp;P579</f>
        <v>USR-10057845717ControlEastTabletOrganicPremium100000035.4</v>
      </c>
      <c r="S579" s="22" t="str">
        <f t="shared" ref="S579:S642" si="29">IF(COUNTIF($R$2:$R$1409,R579)=1,"OK",IF(COUNTIF($R$2:$R$1409,R579)&gt;1,"Exact Duplicate","Review Required"))</f>
        <v>OK</v>
      </c>
    </row>
    <row r="580" spans="1:19" ht="41.4">
      <c r="A580" s="22" t="s">
        <v>610</v>
      </c>
      <c r="B580" s="25">
        <v>45726</v>
      </c>
      <c r="C580" s="22" t="s">
        <v>17</v>
      </c>
      <c r="D580" s="22" t="s">
        <v>23</v>
      </c>
      <c r="E580" s="22" t="s">
        <v>34</v>
      </c>
      <c r="F580" s="22" t="s">
        <v>25</v>
      </c>
      <c r="G580" s="22" t="s">
        <v>26</v>
      </c>
      <c r="H580" s="22">
        <v>0</v>
      </c>
      <c r="I580" s="22">
        <v>0</v>
      </c>
      <c r="J580" s="22">
        <v>0</v>
      </c>
      <c r="K580" s="22">
        <v>0</v>
      </c>
      <c r="L580" s="22">
        <v>0</v>
      </c>
      <c r="M580" s="22">
        <v>0</v>
      </c>
      <c r="N580" s="22">
        <v>0</v>
      </c>
      <c r="O580" s="22"/>
      <c r="P580" s="22">
        <v>47</v>
      </c>
      <c r="Q580" s="22" t="str">
        <f t="shared" si="27"/>
        <v>Normal</v>
      </c>
      <c r="R580" s="26" t="str">
        <f t="shared" si="28"/>
        <v>USR-10057945726ControlWestTabletOrganicFree000000047</v>
      </c>
      <c r="S580" s="22" t="str">
        <f t="shared" si="29"/>
        <v>OK</v>
      </c>
    </row>
    <row r="581" spans="1:19" ht="41.4">
      <c r="A581" s="22" t="s">
        <v>611</v>
      </c>
      <c r="B581" s="25">
        <v>45724</v>
      </c>
      <c r="C581" s="22" t="s">
        <v>17</v>
      </c>
      <c r="D581" s="22" t="s">
        <v>28</v>
      </c>
      <c r="E581" s="22" t="s">
        <v>19</v>
      </c>
      <c r="F581" s="22" t="s">
        <v>29</v>
      </c>
      <c r="G581" s="22" t="s">
        <v>26</v>
      </c>
      <c r="H581" s="22">
        <v>0</v>
      </c>
      <c r="I581" s="22">
        <v>0</v>
      </c>
      <c r="J581" s="22">
        <v>0</v>
      </c>
      <c r="K581" s="22">
        <v>0</v>
      </c>
      <c r="L581" s="22">
        <v>0</v>
      </c>
      <c r="M581" s="22">
        <v>0</v>
      </c>
      <c r="N581" s="22">
        <v>0</v>
      </c>
      <c r="O581" s="22"/>
      <c r="P581" s="22">
        <v>75</v>
      </c>
      <c r="Q581" s="22" t="str">
        <f t="shared" si="27"/>
        <v>Normal</v>
      </c>
      <c r="R581" s="26" t="str">
        <f t="shared" si="28"/>
        <v>USR-10058045724ControlEastDesktopPaid SearchFree000000075</v>
      </c>
      <c r="S581" s="22" t="str">
        <f t="shared" si="29"/>
        <v>OK</v>
      </c>
    </row>
    <row r="582" spans="1:19" ht="41.4">
      <c r="A582" s="22" t="s">
        <v>612</v>
      </c>
      <c r="B582" s="25">
        <v>45803</v>
      </c>
      <c r="C582" s="22" t="s">
        <v>17</v>
      </c>
      <c r="D582" s="22" t="s">
        <v>32</v>
      </c>
      <c r="E582" s="22" t="s">
        <v>19</v>
      </c>
      <c r="F582" s="22" t="s">
        <v>29</v>
      </c>
      <c r="G582" s="22" t="s">
        <v>26</v>
      </c>
      <c r="H582" s="22">
        <v>1</v>
      </c>
      <c r="I582" s="22">
        <v>1</v>
      </c>
      <c r="J582" s="22">
        <v>1</v>
      </c>
      <c r="K582" s="22">
        <v>0</v>
      </c>
      <c r="L582" s="22">
        <v>0</v>
      </c>
      <c r="M582" s="22">
        <v>3</v>
      </c>
      <c r="N582" s="22">
        <v>0</v>
      </c>
      <c r="O582" s="22"/>
      <c r="P582" s="22">
        <v>50.2</v>
      </c>
      <c r="Q582" s="22" t="str">
        <f t="shared" si="27"/>
        <v>Normal</v>
      </c>
      <c r="R582" s="26" t="str">
        <f t="shared" si="28"/>
        <v>USR-10058145803ControlSouthDesktopPaid SearchFree111003050.2</v>
      </c>
      <c r="S582" s="22" t="str">
        <f t="shared" si="29"/>
        <v>OK</v>
      </c>
    </row>
    <row r="583" spans="1:19" ht="41.4">
      <c r="A583" s="22" t="s">
        <v>613</v>
      </c>
      <c r="B583" s="25">
        <v>45797</v>
      </c>
      <c r="C583" s="22" t="s">
        <v>17</v>
      </c>
      <c r="D583" s="22" t="s">
        <v>28</v>
      </c>
      <c r="E583" s="22" t="s">
        <v>19</v>
      </c>
      <c r="F583" s="22" t="s">
        <v>29</v>
      </c>
      <c r="G583" s="22" t="s">
        <v>26</v>
      </c>
      <c r="H583" s="22">
        <v>1</v>
      </c>
      <c r="I583" s="22">
        <v>0</v>
      </c>
      <c r="J583" s="22">
        <v>0</v>
      </c>
      <c r="K583" s="22">
        <v>0</v>
      </c>
      <c r="L583" s="22">
        <v>0</v>
      </c>
      <c r="M583" s="22">
        <v>0</v>
      </c>
      <c r="N583" s="22">
        <v>0</v>
      </c>
      <c r="O583" s="22"/>
      <c r="P583" s="22">
        <v>40.1</v>
      </c>
      <c r="Q583" s="22" t="str">
        <f t="shared" si="27"/>
        <v>Normal</v>
      </c>
      <c r="R583" s="26" t="str">
        <f t="shared" si="28"/>
        <v>USR-10058245797ControlEastDesktopPaid SearchFree100000040.1</v>
      </c>
      <c r="S583" s="22" t="str">
        <f t="shared" si="29"/>
        <v>OK</v>
      </c>
    </row>
    <row r="584" spans="1:19" ht="41.4">
      <c r="A584" s="22" t="s">
        <v>614</v>
      </c>
      <c r="B584" s="25">
        <v>45738</v>
      </c>
      <c r="C584" s="22" t="s">
        <v>17</v>
      </c>
      <c r="D584" s="22" t="s">
        <v>23</v>
      </c>
      <c r="E584" s="22" t="s">
        <v>19</v>
      </c>
      <c r="F584" s="22" t="s">
        <v>29</v>
      </c>
      <c r="G584" s="22" t="s">
        <v>26</v>
      </c>
      <c r="H584" s="22">
        <v>0</v>
      </c>
      <c r="I584" s="22">
        <v>0</v>
      </c>
      <c r="J584" s="22">
        <v>0</v>
      </c>
      <c r="K584" s="22">
        <v>0</v>
      </c>
      <c r="L584" s="22">
        <v>0</v>
      </c>
      <c r="M584" s="22">
        <v>0</v>
      </c>
      <c r="N584" s="22">
        <v>0</v>
      </c>
      <c r="O584" s="22"/>
      <c r="P584" s="22">
        <v>61.1</v>
      </c>
      <c r="Q584" s="22" t="str">
        <f t="shared" si="27"/>
        <v>Normal</v>
      </c>
      <c r="R584" s="26" t="str">
        <f t="shared" si="28"/>
        <v>USR-10058345738ControlWestDesktopPaid SearchFree000000061.1</v>
      </c>
      <c r="S584" s="22" t="str">
        <f t="shared" si="29"/>
        <v>OK</v>
      </c>
    </row>
    <row r="585" spans="1:19" ht="41.4">
      <c r="A585" s="22" t="s">
        <v>615</v>
      </c>
      <c r="B585" s="25">
        <v>45703</v>
      </c>
      <c r="C585" s="22" t="s">
        <v>17</v>
      </c>
      <c r="D585" s="22" t="s">
        <v>32</v>
      </c>
      <c r="E585" s="22" t="s">
        <v>19</v>
      </c>
      <c r="F585" s="22" t="s">
        <v>29</v>
      </c>
      <c r="G585" s="22" t="s">
        <v>26</v>
      </c>
      <c r="H585" s="22">
        <v>0</v>
      </c>
      <c r="I585" s="22">
        <v>0</v>
      </c>
      <c r="J585" s="22">
        <v>0</v>
      </c>
      <c r="K585" s="22">
        <v>0</v>
      </c>
      <c r="L585" s="22">
        <v>0</v>
      </c>
      <c r="M585" s="22">
        <v>0</v>
      </c>
      <c r="N585" s="22">
        <v>0</v>
      </c>
      <c r="O585" s="22"/>
      <c r="P585" s="22">
        <v>42.4</v>
      </c>
      <c r="Q585" s="22" t="str">
        <f t="shared" si="27"/>
        <v>Normal</v>
      </c>
      <c r="R585" s="26" t="str">
        <f t="shared" si="28"/>
        <v>USR-10058445703ControlSouthDesktopPaid SearchFree000000042.4</v>
      </c>
      <c r="S585" s="22" t="str">
        <f t="shared" si="29"/>
        <v>OK</v>
      </c>
    </row>
    <row r="586" spans="1:19" ht="41.4">
      <c r="A586" s="22" t="s">
        <v>616</v>
      </c>
      <c r="B586" s="25">
        <v>45665</v>
      </c>
      <c r="C586" s="22" t="s">
        <v>17</v>
      </c>
      <c r="D586" s="22" t="s">
        <v>18</v>
      </c>
      <c r="E586" s="22" t="s">
        <v>24</v>
      </c>
      <c r="F586" s="22" t="s">
        <v>41</v>
      </c>
      <c r="G586" s="22" t="s">
        <v>26</v>
      </c>
      <c r="H586" s="22">
        <v>0</v>
      </c>
      <c r="I586" s="22">
        <v>0</v>
      </c>
      <c r="J586" s="22">
        <v>0</v>
      </c>
      <c r="K586" s="22">
        <v>0</v>
      </c>
      <c r="L586" s="22">
        <v>0</v>
      </c>
      <c r="M586" s="22">
        <v>1</v>
      </c>
      <c r="N586" s="22">
        <v>0</v>
      </c>
      <c r="O586" s="22"/>
      <c r="P586" s="22">
        <v>46.6</v>
      </c>
      <c r="Q586" s="22" t="str">
        <f t="shared" si="27"/>
        <v>Normal</v>
      </c>
      <c r="R586" s="26" t="str">
        <f t="shared" si="28"/>
        <v>USR-10058545665ControlNorthMobileSocialFree000001046.6</v>
      </c>
      <c r="S586" s="22" t="str">
        <f t="shared" si="29"/>
        <v>OK</v>
      </c>
    </row>
    <row r="587" spans="1:19" ht="41.4">
      <c r="A587" s="22" t="s">
        <v>617</v>
      </c>
      <c r="B587" s="25">
        <v>45686</v>
      </c>
      <c r="C587" s="22" t="s">
        <v>17</v>
      </c>
      <c r="D587" s="22" t="s">
        <v>32</v>
      </c>
      <c r="E587" s="22" t="s">
        <v>24</v>
      </c>
      <c r="F587" s="22" t="s">
        <v>25</v>
      </c>
      <c r="G587" s="22" t="s">
        <v>30</v>
      </c>
      <c r="H587" s="22">
        <v>1</v>
      </c>
      <c r="I587" s="22">
        <v>1</v>
      </c>
      <c r="J587" s="22">
        <v>0</v>
      </c>
      <c r="K587" s="22">
        <v>0</v>
      </c>
      <c r="L587" s="22">
        <v>0</v>
      </c>
      <c r="M587" s="22">
        <v>0</v>
      </c>
      <c r="N587" s="22">
        <v>0</v>
      </c>
      <c r="O587" s="22"/>
      <c r="P587" s="22">
        <v>72.099999999999994</v>
      </c>
      <c r="Q587" s="22" t="str">
        <f t="shared" si="27"/>
        <v>Normal</v>
      </c>
      <c r="R587" s="26" t="str">
        <f t="shared" si="28"/>
        <v>USR-10058645686ControlSouthMobileOrganicPremium110000072.1</v>
      </c>
      <c r="S587" s="22" t="str">
        <f t="shared" si="29"/>
        <v>OK</v>
      </c>
    </row>
    <row r="588" spans="1:19" ht="41.4">
      <c r="A588" s="22" t="s">
        <v>618</v>
      </c>
      <c r="B588" s="25">
        <v>45784</v>
      </c>
      <c r="C588" s="22" t="s">
        <v>17</v>
      </c>
      <c r="D588" s="22" t="s">
        <v>28</v>
      </c>
      <c r="E588" s="22" t="s">
        <v>34</v>
      </c>
      <c r="F588" s="22" t="s">
        <v>25</v>
      </c>
      <c r="G588" s="22" t="s">
        <v>26</v>
      </c>
      <c r="H588" s="22">
        <v>0</v>
      </c>
      <c r="I588" s="22">
        <v>0</v>
      </c>
      <c r="J588" s="22">
        <v>0</v>
      </c>
      <c r="K588" s="22">
        <v>0</v>
      </c>
      <c r="L588" s="22">
        <v>0</v>
      </c>
      <c r="M588" s="22">
        <v>0</v>
      </c>
      <c r="N588" s="22">
        <v>0</v>
      </c>
      <c r="O588" s="22"/>
      <c r="P588" s="22">
        <v>21.5</v>
      </c>
      <c r="Q588" s="22" t="str">
        <f t="shared" si="27"/>
        <v>Normal</v>
      </c>
      <c r="R588" s="26" t="str">
        <f t="shared" si="28"/>
        <v>USR-10058745784ControlEastTabletOrganicFree000000021.5</v>
      </c>
      <c r="S588" s="22" t="str">
        <f t="shared" si="29"/>
        <v>OK</v>
      </c>
    </row>
    <row r="589" spans="1:19" ht="41.4">
      <c r="A589" s="22" t="s">
        <v>619</v>
      </c>
      <c r="B589" s="25">
        <v>45717</v>
      </c>
      <c r="C589" s="22" t="s">
        <v>17</v>
      </c>
      <c r="D589" s="22" t="s">
        <v>18</v>
      </c>
      <c r="E589" s="22" t="s">
        <v>24</v>
      </c>
      <c r="F589" s="22" t="s">
        <v>41</v>
      </c>
      <c r="G589" s="22" t="s">
        <v>21</v>
      </c>
      <c r="H589" s="22">
        <v>1</v>
      </c>
      <c r="I589" s="22">
        <v>0</v>
      </c>
      <c r="J589" s="22">
        <v>0</v>
      </c>
      <c r="K589" s="22">
        <v>0</v>
      </c>
      <c r="L589" s="22">
        <v>0</v>
      </c>
      <c r="M589" s="22">
        <v>1</v>
      </c>
      <c r="N589" s="22">
        <v>0</v>
      </c>
      <c r="O589" s="22"/>
      <c r="P589" s="22">
        <v>65.400000000000006</v>
      </c>
      <c r="Q589" s="22" t="str">
        <f t="shared" si="27"/>
        <v>Normal</v>
      </c>
      <c r="R589" s="26" t="str">
        <f t="shared" si="28"/>
        <v>USR-10058845717ControlNorthMobileSocialBasic100001065.4</v>
      </c>
      <c r="S589" s="22" t="str">
        <f t="shared" si="29"/>
        <v>OK</v>
      </c>
    </row>
    <row r="590" spans="1:19" ht="41.4">
      <c r="A590" s="22" t="s">
        <v>620</v>
      </c>
      <c r="B590" s="25">
        <v>45767</v>
      </c>
      <c r="C590" s="22" t="s">
        <v>17</v>
      </c>
      <c r="D590" s="22" t="s">
        <v>28</v>
      </c>
      <c r="E590" s="22" t="s">
        <v>24</v>
      </c>
      <c r="F590" s="22" t="s">
        <v>25</v>
      </c>
      <c r="G590" s="22" t="s">
        <v>26</v>
      </c>
      <c r="H590" s="22">
        <v>1</v>
      </c>
      <c r="I590" s="22">
        <v>1</v>
      </c>
      <c r="J590" s="22">
        <v>0</v>
      </c>
      <c r="K590" s="22">
        <v>0</v>
      </c>
      <c r="L590" s="22">
        <v>0</v>
      </c>
      <c r="M590" s="22">
        <v>0</v>
      </c>
      <c r="N590" s="22">
        <v>0</v>
      </c>
      <c r="O590" s="22"/>
      <c r="P590" s="22">
        <v>53.3</v>
      </c>
      <c r="Q590" s="22" t="str">
        <f t="shared" si="27"/>
        <v>Normal</v>
      </c>
      <c r="R590" s="26" t="str">
        <f t="shared" si="28"/>
        <v>USR-10058945767ControlEastMobileOrganicFree110000053.3</v>
      </c>
      <c r="S590" s="22" t="str">
        <f t="shared" si="29"/>
        <v>OK</v>
      </c>
    </row>
    <row r="591" spans="1:19" ht="41.4">
      <c r="A591" s="22" t="s">
        <v>621</v>
      </c>
      <c r="B591" s="25">
        <v>45673</v>
      </c>
      <c r="C591" s="22" t="s">
        <v>17</v>
      </c>
      <c r="D591" s="22" t="s">
        <v>28</v>
      </c>
      <c r="E591" s="22" t="s">
        <v>24</v>
      </c>
      <c r="F591" s="22" t="s">
        <v>25</v>
      </c>
      <c r="G591" s="22" t="s">
        <v>30</v>
      </c>
      <c r="H591" s="22">
        <v>0</v>
      </c>
      <c r="I591" s="22">
        <v>0</v>
      </c>
      <c r="J591" s="22">
        <v>0</v>
      </c>
      <c r="K591" s="22">
        <v>0</v>
      </c>
      <c r="L591" s="22">
        <v>0</v>
      </c>
      <c r="M591" s="22">
        <v>2</v>
      </c>
      <c r="N591" s="22">
        <v>0</v>
      </c>
      <c r="O591" s="22"/>
      <c r="P591" s="22">
        <v>52.3</v>
      </c>
      <c r="Q591" s="22" t="str">
        <f t="shared" si="27"/>
        <v>Normal</v>
      </c>
      <c r="R591" s="26" t="str">
        <f t="shared" si="28"/>
        <v>USR-10059045673ControlEastMobileOrganicPremium000002052.3</v>
      </c>
      <c r="S591" s="22" t="str">
        <f t="shared" si="29"/>
        <v>OK</v>
      </c>
    </row>
    <row r="592" spans="1:19" ht="41.4">
      <c r="A592" s="22" t="s">
        <v>622</v>
      </c>
      <c r="B592" s="25">
        <v>45751</v>
      </c>
      <c r="C592" s="22" t="s">
        <v>17</v>
      </c>
      <c r="D592" s="22" t="s">
        <v>28</v>
      </c>
      <c r="E592" s="22" t="s">
        <v>24</v>
      </c>
      <c r="F592" s="22" t="s">
        <v>29</v>
      </c>
      <c r="G592" s="22" t="s">
        <v>26</v>
      </c>
      <c r="H592" s="22">
        <v>1</v>
      </c>
      <c r="I592" s="22">
        <v>0</v>
      </c>
      <c r="J592" s="22">
        <v>0</v>
      </c>
      <c r="K592" s="22">
        <v>0</v>
      </c>
      <c r="L592" s="22">
        <v>0</v>
      </c>
      <c r="M592" s="22">
        <v>0</v>
      </c>
      <c r="N592" s="22">
        <v>0</v>
      </c>
      <c r="O592" s="22"/>
      <c r="P592" s="22">
        <v>62.5</v>
      </c>
      <c r="Q592" s="22" t="str">
        <f t="shared" si="27"/>
        <v>Normal</v>
      </c>
      <c r="R592" s="26" t="str">
        <f t="shared" si="28"/>
        <v>USR-10059145751ControlEastMobilePaid SearchFree100000062.5</v>
      </c>
      <c r="S592" s="22" t="str">
        <f t="shared" si="29"/>
        <v>OK</v>
      </c>
    </row>
    <row r="593" spans="1:19" ht="41.4">
      <c r="A593" s="22" t="s">
        <v>623</v>
      </c>
      <c r="B593" s="25">
        <v>45686</v>
      </c>
      <c r="C593" s="22" t="s">
        <v>17</v>
      </c>
      <c r="D593" s="22" t="s">
        <v>18</v>
      </c>
      <c r="E593" s="22" t="s">
        <v>34</v>
      </c>
      <c r="F593" s="22" t="s">
        <v>41</v>
      </c>
      <c r="G593" s="22" t="s">
        <v>26</v>
      </c>
      <c r="H593" s="22">
        <v>1</v>
      </c>
      <c r="I593" s="22">
        <v>0</v>
      </c>
      <c r="J593" s="22">
        <v>0</v>
      </c>
      <c r="K593" s="22">
        <v>0</v>
      </c>
      <c r="L593" s="22">
        <v>0</v>
      </c>
      <c r="M593" s="22">
        <v>0</v>
      </c>
      <c r="N593" s="22">
        <v>0</v>
      </c>
      <c r="O593" s="22"/>
      <c r="P593" s="22">
        <v>69.8</v>
      </c>
      <c r="Q593" s="22" t="str">
        <f t="shared" si="27"/>
        <v>Normal</v>
      </c>
      <c r="R593" s="26" t="str">
        <f t="shared" si="28"/>
        <v>USR-10059245686ControlNorthTabletSocialFree100000069.8</v>
      </c>
      <c r="S593" s="22" t="str">
        <f t="shared" si="29"/>
        <v>OK</v>
      </c>
    </row>
    <row r="594" spans="1:19" ht="41.4">
      <c r="A594" s="22" t="s">
        <v>624</v>
      </c>
      <c r="B594" s="25">
        <v>45766</v>
      </c>
      <c r="C594" s="22" t="s">
        <v>17</v>
      </c>
      <c r="D594" s="22" t="s">
        <v>28</v>
      </c>
      <c r="E594" s="22" t="s">
        <v>24</v>
      </c>
      <c r="F594" s="22" t="s">
        <v>20</v>
      </c>
      <c r="G594" s="22" t="s">
        <v>26</v>
      </c>
      <c r="H594" s="22">
        <v>1</v>
      </c>
      <c r="I594" s="22">
        <v>0</v>
      </c>
      <c r="J594" s="22">
        <v>0</v>
      </c>
      <c r="K594" s="22">
        <v>0</v>
      </c>
      <c r="L594" s="22">
        <v>0</v>
      </c>
      <c r="M594" s="22">
        <v>0</v>
      </c>
      <c r="N594" s="22">
        <v>0</v>
      </c>
      <c r="O594" s="22"/>
      <c r="P594" s="22">
        <v>68.2</v>
      </c>
      <c r="Q594" s="22" t="str">
        <f t="shared" si="27"/>
        <v>Normal</v>
      </c>
      <c r="R594" s="26" t="str">
        <f t="shared" si="28"/>
        <v>USR-10059345766ControlEastMobileEmailFree100000068.2</v>
      </c>
      <c r="S594" s="22" t="str">
        <f t="shared" si="29"/>
        <v>OK</v>
      </c>
    </row>
    <row r="595" spans="1:19" ht="41.4">
      <c r="A595" s="22" t="s">
        <v>625</v>
      </c>
      <c r="B595" s="25">
        <v>45726</v>
      </c>
      <c r="C595" s="22" t="s">
        <v>17</v>
      </c>
      <c r="D595" s="22" t="s">
        <v>32</v>
      </c>
      <c r="E595" s="22" t="s">
        <v>24</v>
      </c>
      <c r="F595" s="22" t="s">
        <v>41</v>
      </c>
      <c r="G595" s="22" t="s">
        <v>21</v>
      </c>
      <c r="H595" s="22">
        <v>1</v>
      </c>
      <c r="I595" s="22">
        <v>1</v>
      </c>
      <c r="J595" s="22">
        <v>1</v>
      </c>
      <c r="K595" s="22">
        <v>1</v>
      </c>
      <c r="L595" s="22">
        <v>751.73</v>
      </c>
      <c r="M595" s="22">
        <v>0</v>
      </c>
      <c r="N595" s="22">
        <v>0</v>
      </c>
      <c r="O595" s="22">
        <v>6</v>
      </c>
      <c r="P595" s="22">
        <v>35.200000000000003</v>
      </c>
      <c r="Q595" s="22" t="str">
        <f t="shared" si="27"/>
        <v>Normal</v>
      </c>
      <c r="R595" s="26" t="str">
        <f t="shared" si="28"/>
        <v>USR-10059445726ControlSouthMobileSocialBasic1111751.7300635.2</v>
      </c>
      <c r="S595" s="22" t="str">
        <f t="shared" si="29"/>
        <v>OK</v>
      </c>
    </row>
    <row r="596" spans="1:19" ht="41.4">
      <c r="A596" s="22" t="s">
        <v>626</v>
      </c>
      <c r="B596" s="25">
        <v>45787</v>
      </c>
      <c r="C596" s="22" t="s">
        <v>17</v>
      </c>
      <c r="D596" s="22" t="s">
        <v>32</v>
      </c>
      <c r="E596" s="22" t="s">
        <v>24</v>
      </c>
      <c r="F596" s="22" t="s">
        <v>41</v>
      </c>
      <c r="G596" s="22" t="s">
        <v>21</v>
      </c>
      <c r="H596" s="22">
        <v>0</v>
      </c>
      <c r="I596" s="22">
        <v>0</v>
      </c>
      <c r="J596" s="22">
        <v>0</v>
      </c>
      <c r="K596" s="22">
        <v>0</v>
      </c>
      <c r="L596" s="22">
        <v>0</v>
      </c>
      <c r="M596" s="22">
        <v>0</v>
      </c>
      <c r="N596" s="22">
        <v>0</v>
      </c>
      <c r="O596" s="22"/>
      <c r="P596" s="22">
        <v>59.3</v>
      </c>
      <c r="Q596" s="22" t="str">
        <f t="shared" si="27"/>
        <v>Normal</v>
      </c>
      <c r="R596" s="26" t="str">
        <f t="shared" si="28"/>
        <v>USR-10059545787ControlSouthMobileSocialBasic000000059.3</v>
      </c>
      <c r="S596" s="22" t="str">
        <f t="shared" si="29"/>
        <v>OK</v>
      </c>
    </row>
    <row r="597" spans="1:19" ht="41.4">
      <c r="A597" s="22" t="s">
        <v>627</v>
      </c>
      <c r="B597" s="25">
        <v>45690</v>
      </c>
      <c r="C597" s="22" t="s">
        <v>17</v>
      </c>
      <c r="D597" s="22" t="s">
        <v>18</v>
      </c>
      <c r="E597" s="22" t="s">
        <v>24</v>
      </c>
      <c r="F597" s="22" t="s">
        <v>41</v>
      </c>
      <c r="G597" s="22" t="s">
        <v>26</v>
      </c>
      <c r="H597" s="22">
        <v>0</v>
      </c>
      <c r="I597" s="22">
        <v>0</v>
      </c>
      <c r="J597" s="22">
        <v>0</v>
      </c>
      <c r="K597" s="22">
        <v>0</v>
      </c>
      <c r="L597" s="22">
        <v>0</v>
      </c>
      <c r="M597" s="22">
        <v>0</v>
      </c>
      <c r="N597" s="22">
        <v>0</v>
      </c>
      <c r="O597" s="22"/>
      <c r="P597" s="22">
        <v>68.099999999999994</v>
      </c>
      <c r="Q597" s="22" t="str">
        <f t="shared" si="27"/>
        <v>Normal</v>
      </c>
      <c r="R597" s="26" t="str">
        <f t="shared" si="28"/>
        <v>USR-10059645690ControlNorthMobileSocialFree000000068.1</v>
      </c>
      <c r="S597" s="22" t="str">
        <f t="shared" si="29"/>
        <v>OK</v>
      </c>
    </row>
    <row r="598" spans="1:19" ht="41.4">
      <c r="A598" s="22" t="s">
        <v>628</v>
      </c>
      <c r="B598" s="25">
        <v>45783</v>
      </c>
      <c r="C598" s="22" t="s">
        <v>17</v>
      </c>
      <c r="D598" s="22" t="s">
        <v>18</v>
      </c>
      <c r="E598" s="22" t="s">
        <v>19</v>
      </c>
      <c r="F598" s="22" t="s">
        <v>25</v>
      </c>
      <c r="G598" s="22" t="s">
        <v>26</v>
      </c>
      <c r="H598" s="22">
        <v>1</v>
      </c>
      <c r="I598" s="22">
        <v>1</v>
      </c>
      <c r="J598" s="22">
        <v>0</v>
      </c>
      <c r="K598" s="22">
        <v>0</v>
      </c>
      <c r="L598" s="22">
        <v>0</v>
      </c>
      <c r="M598" s="22">
        <v>0</v>
      </c>
      <c r="N598" s="22">
        <v>0</v>
      </c>
      <c r="O598" s="22"/>
      <c r="P598" s="22">
        <v>74.8</v>
      </c>
      <c r="Q598" s="22" t="str">
        <f t="shared" si="27"/>
        <v>Normal</v>
      </c>
      <c r="R598" s="26" t="str">
        <f t="shared" si="28"/>
        <v>USR-10059745783ControlNorthDesktopOrganicFree110000074.8</v>
      </c>
      <c r="S598" s="22" t="str">
        <f t="shared" si="29"/>
        <v>OK</v>
      </c>
    </row>
    <row r="599" spans="1:19" ht="41.4">
      <c r="A599" s="22" t="s">
        <v>629</v>
      </c>
      <c r="B599" s="25">
        <v>45676</v>
      </c>
      <c r="C599" s="22" t="s">
        <v>17</v>
      </c>
      <c r="D599" s="22" t="s">
        <v>23</v>
      </c>
      <c r="E599" s="22" t="s">
        <v>19</v>
      </c>
      <c r="F599" s="22" t="s">
        <v>25</v>
      </c>
      <c r="G599" s="22" t="s">
        <v>26</v>
      </c>
      <c r="H599" s="22">
        <v>1</v>
      </c>
      <c r="I599" s="22">
        <v>1</v>
      </c>
      <c r="J599" s="22">
        <v>1</v>
      </c>
      <c r="K599" s="22">
        <v>0</v>
      </c>
      <c r="L599" s="22">
        <v>0</v>
      </c>
      <c r="M599" s="22">
        <v>0</v>
      </c>
      <c r="N599" s="22">
        <v>0</v>
      </c>
      <c r="O599" s="22"/>
      <c r="P599" s="22">
        <v>61.7</v>
      </c>
      <c r="Q599" s="22" t="str">
        <f t="shared" si="27"/>
        <v>Normal</v>
      </c>
      <c r="R599" s="26" t="str">
        <f t="shared" si="28"/>
        <v>USR-10059845676ControlWestDesktopOrganicFree111000061.7</v>
      </c>
      <c r="S599" s="22" t="str">
        <f t="shared" si="29"/>
        <v>OK</v>
      </c>
    </row>
    <row r="600" spans="1:19" ht="41.4">
      <c r="A600" s="22" t="s">
        <v>630</v>
      </c>
      <c r="B600" s="25">
        <v>45659</v>
      </c>
      <c r="C600" s="22" t="s">
        <v>17</v>
      </c>
      <c r="D600" s="22" t="s">
        <v>18</v>
      </c>
      <c r="E600" s="22" t="s">
        <v>24</v>
      </c>
      <c r="F600" s="22" t="s">
        <v>25</v>
      </c>
      <c r="G600" s="22" t="s">
        <v>26</v>
      </c>
      <c r="H600" s="22">
        <v>1</v>
      </c>
      <c r="I600" s="22">
        <v>0</v>
      </c>
      <c r="J600" s="22">
        <v>0</v>
      </c>
      <c r="K600" s="22">
        <v>0</v>
      </c>
      <c r="L600" s="22">
        <v>0</v>
      </c>
      <c r="M600" s="22">
        <v>0</v>
      </c>
      <c r="N600" s="22">
        <v>0</v>
      </c>
      <c r="O600" s="22"/>
      <c r="P600" s="22">
        <v>24.3</v>
      </c>
      <c r="Q600" s="22" t="str">
        <f t="shared" si="27"/>
        <v>Normal</v>
      </c>
      <c r="R600" s="26" t="str">
        <f t="shared" si="28"/>
        <v>USR-10059945659ControlNorthMobileOrganicFree100000024.3</v>
      </c>
      <c r="S600" s="22" t="str">
        <f t="shared" si="29"/>
        <v>OK</v>
      </c>
    </row>
    <row r="601" spans="1:19" ht="41.4">
      <c r="A601" s="22" t="s">
        <v>631</v>
      </c>
      <c r="B601" s="25">
        <v>45780</v>
      </c>
      <c r="C601" s="22" t="s">
        <v>17</v>
      </c>
      <c r="D601" s="22" t="s">
        <v>32</v>
      </c>
      <c r="E601" s="22" t="s">
        <v>19</v>
      </c>
      <c r="F601" s="22" t="s">
        <v>29</v>
      </c>
      <c r="G601" s="22" t="s">
        <v>26</v>
      </c>
      <c r="H601" s="22">
        <v>0</v>
      </c>
      <c r="I601" s="22">
        <v>0</v>
      </c>
      <c r="J601" s="22">
        <v>0</v>
      </c>
      <c r="K601" s="22">
        <v>0</v>
      </c>
      <c r="L601" s="22">
        <v>0</v>
      </c>
      <c r="M601" s="22">
        <v>1</v>
      </c>
      <c r="N601" s="22">
        <v>0</v>
      </c>
      <c r="O601" s="22"/>
      <c r="P601" s="22">
        <v>61.9</v>
      </c>
      <c r="Q601" s="22" t="str">
        <f t="shared" si="27"/>
        <v>Normal</v>
      </c>
      <c r="R601" s="26" t="str">
        <f t="shared" si="28"/>
        <v>USR-10060045780ControlSouthDesktopPaid SearchFree000001061.9</v>
      </c>
      <c r="S601" s="22" t="str">
        <f t="shared" si="29"/>
        <v>OK</v>
      </c>
    </row>
    <row r="602" spans="1:19" ht="41.4">
      <c r="A602" s="22" t="s">
        <v>632</v>
      </c>
      <c r="B602" s="25">
        <v>45804</v>
      </c>
      <c r="C602" s="22" t="s">
        <v>17</v>
      </c>
      <c r="D602" s="22" t="s">
        <v>28</v>
      </c>
      <c r="E602" s="22" t="s">
        <v>19</v>
      </c>
      <c r="F602" s="22" t="s">
        <v>39</v>
      </c>
      <c r="G602" s="22" t="s">
        <v>30</v>
      </c>
      <c r="H602" s="22">
        <v>0</v>
      </c>
      <c r="I602" s="22">
        <v>0</v>
      </c>
      <c r="J602" s="22">
        <v>0</v>
      </c>
      <c r="K602" s="22">
        <v>0</v>
      </c>
      <c r="L602" s="22">
        <v>0</v>
      </c>
      <c r="M602" s="22">
        <v>2</v>
      </c>
      <c r="N602" s="22">
        <v>0</v>
      </c>
      <c r="O602" s="22"/>
      <c r="P602" s="22">
        <v>41.7</v>
      </c>
      <c r="Q602" s="22" t="str">
        <f t="shared" si="27"/>
        <v>Normal</v>
      </c>
      <c r="R602" s="26" t="str">
        <f t="shared" si="28"/>
        <v>USR-10060145804ControlEastDesktopReferralPremium000002041.7</v>
      </c>
      <c r="S602" s="22" t="str">
        <f t="shared" si="29"/>
        <v>OK</v>
      </c>
    </row>
    <row r="603" spans="1:19" ht="41.4">
      <c r="A603" s="22" t="s">
        <v>633</v>
      </c>
      <c r="B603" s="25">
        <v>45697</v>
      </c>
      <c r="C603" s="22" t="s">
        <v>17</v>
      </c>
      <c r="D603" s="22" t="s">
        <v>32</v>
      </c>
      <c r="E603" s="22" t="s">
        <v>19</v>
      </c>
      <c r="F603" s="22" t="s">
        <v>41</v>
      </c>
      <c r="G603" s="22" t="s">
        <v>26</v>
      </c>
      <c r="H603" s="22">
        <v>1</v>
      </c>
      <c r="I603" s="22">
        <v>0</v>
      </c>
      <c r="J603" s="22">
        <v>0</v>
      </c>
      <c r="K603" s="22">
        <v>0</v>
      </c>
      <c r="L603" s="22">
        <v>0</v>
      </c>
      <c r="M603" s="22">
        <v>0</v>
      </c>
      <c r="N603" s="22">
        <v>0</v>
      </c>
      <c r="O603" s="22"/>
      <c r="P603" s="22">
        <v>87.6</v>
      </c>
      <c r="Q603" s="22" t="str">
        <f t="shared" si="27"/>
        <v>Normal</v>
      </c>
      <c r="R603" s="26" t="str">
        <f t="shared" si="28"/>
        <v>USR-10060245697ControlSouthDesktopSocialFree100000087.6</v>
      </c>
      <c r="S603" s="22" t="str">
        <f t="shared" si="29"/>
        <v>OK</v>
      </c>
    </row>
    <row r="604" spans="1:19" ht="41.4">
      <c r="A604" s="22" t="s">
        <v>634</v>
      </c>
      <c r="B604" s="25">
        <v>45795</v>
      </c>
      <c r="C604" s="22" t="s">
        <v>17</v>
      </c>
      <c r="D604" s="22" t="s">
        <v>28</v>
      </c>
      <c r="E604" s="22" t="s">
        <v>24</v>
      </c>
      <c r="F604" s="22" t="s">
        <v>29</v>
      </c>
      <c r="G604" s="22" t="s">
        <v>26</v>
      </c>
      <c r="H604" s="22">
        <v>1</v>
      </c>
      <c r="I604" s="22">
        <v>0</v>
      </c>
      <c r="J604" s="22">
        <v>0</v>
      </c>
      <c r="K604" s="22">
        <v>0</v>
      </c>
      <c r="L604" s="22">
        <v>0</v>
      </c>
      <c r="M604" s="22">
        <v>0</v>
      </c>
      <c r="N604" s="22">
        <v>0</v>
      </c>
      <c r="O604" s="22"/>
      <c r="P604" s="22">
        <v>30.8</v>
      </c>
      <c r="Q604" s="22" t="str">
        <f t="shared" si="27"/>
        <v>Normal</v>
      </c>
      <c r="R604" s="26" t="str">
        <f t="shared" si="28"/>
        <v>USR-10060345795ControlEastMobilePaid SearchFree100000030.8</v>
      </c>
      <c r="S604" s="22" t="str">
        <f t="shared" si="29"/>
        <v>OK</v>
      </c>
    </row>
    <row r="605" spans="1:19" ht="41.4">
      <c r="A605" s="22" t="s">
        <v>635</v>
      </c>
      <c r="B605" s="25">
        <v>45794</v>
      </c>
      <c r="C605" s="22" t="s">
        <v>17</v>
      </c>
      <c r="D605" s="22" t="s">
        <v>18</v>
      </c>
      <c r="E605" s="22" t="s">
        <v>24</v>
      </c>
      <c r="F605" s="22" t="s">
        <v>20</v>
      </c>
      <c r="G605" s="22" t="s">
        <v>26</v>
      </c>
      <c r="H605" s="22">
        <v>0</v>
      </c>
      <c r="I605" s="22">
        <v>0</v>
      </c>
      <c r="J605" s="22">
        <v>0</v>
      </c>
      <c r="K605" s="22">
        <v>0</v>
      </c>
      <c r="L605" s="22">
        <v>0</v>
      </c>
      <c r="M605" s="22">
        <v>0</v>
      </c>
      <c r="N605" s="22">
        <v>0</v>
      </c>
      <c r="O605" s="22"/>
      <c r="P605" s="22">
        <v>54</v>
      </c>
      <c r="Q605" s="22" t="str">
        <f t="shared" si="27"/>
        <v>Normal</v>
      </c>
      <c r="R605" s="26" t="str">
        <f t="shared" si="28"/>
        <v>USR-10060445794ControlNorthMobileEmailFree000000054</v>
      </c>
      <c r="S605" s="22" t="str">
        <f t="shared" si="29"/>
        <v>OK</v>
      </c>
    </row>
    <row r="606" spans="1:19" ht="41.4">
      <c r="A606" s="22" t="s">
        <v>636</v>
      </c>
      <c r="B606" s="25">
        <v>45682</v>
      </c>
      <c r="C606" s="22" t="s">
        <v>17</v>
      </c>
      <c r="D606" s="22" t="s">
        <v>28</v>
      </c>
      <c r="E606" s="22" t="s">
        <v>19</v>
      </c>
      <c r="F606" s="22" t="s">
        <v>39</v>
      </c>
      <c r="G606" s="22" t="s">
        <v>21</v>
      </c>
      <c r="H606" s="22">
        <v>1</v>
      </c>
      <c r="I606" s="22">
        <v>0</v>
      </c>
      <c r="J606" s="22">
        <v>0</v>
      </c>
      <c r="K606" s="22">
        <v>0</v>
      </c>
      <c r="L606" s="22">
        <v>0</v>
      </c>
      <c r="M606" s="22">
        <v>1</v>
      </c>
      <c r="N606" s="22">
        <v>0</v>
      </c>
      <c r="O606" s="22"/>
      <c r="P606" s="22">
        <v>54.5</v>
      </c>
      <c r="Q606" s="22" t="str">
        <f t="shared" si="27"/>
        <v>Normal</v>
      </c>
      <c r="R606" s="26" t="str">
        <f t="shared" si="28"/>
        <v>USR-10060545682ControlEastDesktopReferralBasic100001054.5</v>
      </c>
      <c r="S606" s="22" t="str">
        <f t="shared" si="29"/>
        <v>OK</v>
      </c>
    </row>
    <row r="607" spans="1:19" ht="41.4">
      <c r="A607" s="22" t="s">
        <v>637</v>
      </c>
      <c r="B607" s="25">
        <v>45781</v>
      </c>
      <c r="C607" s="22" t="s">
        <v>17</v>
      </c>
      <c r="D607" s="22" t="s">
        <v>23</v>
      </c>
      <c r="E607" s="22" t="s">
        <v>24</v>
      </c>
      <c r="F607" s="22" t="s">
        <v>29</v>
      </c>
      <c r="G607" s="22" t="s">
        <v>30</v>
      </c>
      <c r="H607" s="22">
        <v>1</v>
      </c>
      <c r="I607" s="22">
        <v>1</v>
      </c>
      <c r="J607" s="22">
        <v>0</v>
      </c>
      <c r="K607" s="22">
        <v>0</v>
      </c>
      <c r="L607" s="22">
        <v>0</v>
      </c>
      <c r="M607" s="22">
        <v>0</v>
      </c>
      <c r="N607" s="22">
        <v>0</v>
      </c>
      <c r="O607" s="22"/>
      <c r="P607" s="22">
        <v>61.3</v>
      </c>
      <c r="Q607" s="22" t="str">
        <f t="shared" si="27"/>
        <v>Normal</v>
      </c>
      <c r="R607" s="26" t="str">
        <f t="shared" si="28"/>
        <v>USR-10060645781ControlWestMobilePaid SearchPremium110000061.3</v>
      </c>
      <c r="S607" s="22" t="str">
        <f t="shared" si="29"/>
        <v>OK</v>
      </c>
    </row>
    <row r="608" spans="1:19" ht="41.4">
      <c r="A608" s="22" t="s">
        <v>638</v>
      </c>
      <c r="B608" s="25">
        <v>45761</v>
      </c>
      <c r="C608" s="22" t="s">
        <v>17</v>
      </c>
      <c r="D608" s="22" t="s">
        <v>23</v>
      </c>
      <c r="E608" s="22" t="s">
        <v>24</v>
      </c>
      <c r="F608" s="22" t="s">
        <v>25</v>
      </c>
      <c r="G608" s="22" t="s">
        <v>26</v>
      </c>
      <c r="H608" s="22">
        <v>1</v>
      </c>
      <c r="I608" s="22">
        <v>0</v>
      </c>
      <c r="J608" s="22">
        <v>0</v>
      </c>
      <c r="K608" s="22">
        <v>0</v>
      </c>
      <c r="L608" s="22">
        <v>0</v>
      </c>
      <c r="M608" s="22">
        <v>0</v>
      </c>
      <c r="N608" s="22">
        <v>0</v>
      </c>
      <c r="O608" s="22"/>
      <c r="P608" s="22">
        <v>62.7</v>
      </c>
      <c r="Q608" s="22" t="str">
        <f t="shared" si="27"/>
        <v>Normal</v>
      </c>
      <c r="R608" s="26" t="str">
        <f t="shared" si="28"/>
        <v>USR-10060745761ControlWestMobileOrganicFree100000062.7</v>
      </c>
      <c r="S608" s="22" t="str">
        <f t="shared" si="29"/>
        <v>OK</v>
      </c>
    </row>
    <row r="609" spans="1:19" ht="41.4">
      <c r="A609" s="22" t="s">
        <v>639</v>
      </c>
      <c r="B609" s="25">
        <v>45765</v>
      </c>
      <c r="C609" s="22" t="s">
        <v>17</v>
      </c>
      <c r="D609" s="22" t="s">
        <v>32</v>
      </c>
      <c r="E609" s="22" t="s">
        <v>24</v>
      </c>
      <c r="F609" s="22" t="s">
        <v>29</v>
      </c>
      <c r="G609" s="22" t="s">
        <v>26</v>
      </c>
      <c r="H609" s="22">
        <v>1</v>
      </c>
      <c r="I609" s="22">
        <v>1</v>
      </c>
      <c r="J609" s="22">
        <v>0</v>
      </c>
      <c r="K609" s="22">
        <v>0</v>
      </c>
      <c r="L609" s="22">
        <v>0</v>
      </c>
      <c r="M609" s="22">
        <v>0</v>
      </c>
      <c r="N609" s="22">
        <v>0</v>
      </c>
      <c r="O609" s="22"/>
      <c r="P609" s="22">
        <v>43.1</v>
      </c>
      <c r="Q609" s="22" t="str">
        <f t="shared" si="27"/>
        <v>Normal</v>
      </c>
      <c r="R609" s="26" t="str">
        <f t="shared" si="28"/>
        <v>USR-10060845765ControlSouthMobilePaid SearchFree110000043.1</v>
      </c>
      <c r="S609" s="22" t="str">
        <f t="shared" si="29"/>
        <v>OK</v>
      </c>
    </row>
    <row r="610" spans="1:19" ht="41.4">
      <c r="A610" s="22" t="s">
        <v>640</v>
      </c>
      <c r="B610" s="25">
        <v>45712</v>
      </c>
      <c r="C610" s="22" t="s">
        <v>17</v>
      </c>
      <c r="D610" s="22" t="s">
        <v>32</v>
      </c>
      <c r="E610" s="22" t="s">
        <v>19</v>
      </c>
      <c r="F610" s="22" t="s">
        <v>20</v>
      </c>
      <c r="G610" s="22" t="s">
        <v>21</v>
      </c>
      <c r="H610" s="22">
        <v>0</v>
      </c>
      <c r="I610" s="22">
        <v>0</v>
      </c>
      <c r="J610" s="22">
        <v>0</v>
      </c>
      <c r="K610" s="22">
        <v>0</v>
      </c>
      <c r="L610" s="22">
        <v>0</v>
      </c>
      <c r="M610" s="22">
        <v>0</v>
      </c>
      <c r="N610" s="22">
        <v>0</v>
      </c>
      <c r="O610" s="22"/>
      <c r="P610" s="22">
        <v>59.9</v>
      </c>
      <c r="Q610" s="22" t="str">
        <f t="shared" si="27"/>
        <v>Normal</v>
      </c>
      <c r="R610" s="26" t="str">
        <f t="shared" si="28"/>
        <v>USR-10060945712ControlSouthDesktopEmailBasic000000059.9</v>
      </c>
      <c r="S610" s="22" t="str">
        <f t="shared" si="29"/>
        <v>OK</v>
      </c>
    </row>
    <row r="611" spans="1:19" ht="41.4">
      <c r="A611" s="22" t="s">
        <v>641</v>
      </c>
      <c r="B611" s="25">
        <v>45766</v>
      </c>
      <c r="C611" s="22" t="s">
        <v>17</v>
      </c>
      <c r="D611" s="22" t="s">
        <v>18</v>
      </c>
      <c r="E611" s="22" t="s">
        <v>34</v>
      </c>
      <c r="F611" s="22" t="s">
        <v>29</v>
      </c>
      <c r="G611" s="22" t="s">
        <v>26</v>
      </c>
      <c r="H611" s="22">
        <v>1</v>
      </c>
      <c r="I611" s="22">
        <v>1</v>
      </c>
      <c r="J611" s="22">
        <v>1</v>
      </c>
      <c r="K611" s="22">
        <v>0</v>
      </c>
      <c r="L611" s="22">
        <v>0</v>
      </c>
      <c r="M611" s="22">
        <v>0</v>
      </c>
      <c r="N611" s="22">
        <v>0</v>
      </c>
      <c r="O611" s="22"/>
      <c r="P611" s="22">
        <v>55.7</v>
      </c>
      <c r="Q611" s="22" t="str">
        <f t="shared" si="27"/>
        <v>Normal</v>
      </c>
      <c r="R611" s="26" t="str">
        <f t="shared" si="28"/>
        <v>USR-10061045766ControlNorthTabletPaid SearchFree111000055.7</v>
      </c>
      <c r="S611" s="22" t="str">
        <f t="shared" si="29"/>
        <v>OK</v>
      </c>
    </row>
    <row r="612" spans="1:19" ht="41.4">
      <c r="A612" s="22" t="s">
        <v>642</v>
      </c>
      <c r="B612" s="25">
        <v>45723</v>
      </c>
      <c r="C612" s="22" t="s">
        <v>17</v>
      </c>
      <c r="D612" s="22" t="s">
        <v>32</v>
      </c>
      <c r="E612" s="22" t="s">
        <v>19</v>
      </c>
      <c r="F612" s="22" t="s">
        <v>25</v>
      </c>
      <c r="G612" s="22" t="s">
        <v>21</v>
      </c>
      <c r="H612" s="22">
        <v>1</v>
      </c>
      <c r="I612" s="22">
        <v>0</v>
      </c>
      <c r="J612" s="22">
        <v>0</v>
      </c>
      <c r="K612" s="22">
        <v>0</v>
      </c>
      <c r="L612" s="22">
        <v>0</v>
      </c>
      <c r="M612" s="22">
        <v>0</v>
      </c>
      <c r="N612" s="22">
        <v>0</v>
      </c>
      <c r="O612" s="22"/>
      <c r="P612" s="22">
        <v>37.1</v>
      </c>
      <c r="Q612" s="22" t="str">
        <f t="shared" si="27"/>
        <v>Normal</v>
      </c>
      <c r="R612" s="26" t="str">
        <f t="shared" si="28"/>
        <v>USR-10061145723ControlSouthDesktopOrganicBasic100000037.1</v>
      </c>
      <c r="S612" s="22" t="str">
        <f t="shared" si="29"/>
        <v>OK</v>
      </c>
    </row>
    <row r="613" spans="1:19" ht="41.4">
      <c r="A613" s="22" t="s">
        <v>643</v>
      </c>
      <c r="B613" s="25">
        <v>45725</v>
      </c>
      <c r="C613" s="22" t="s">
        <v>17</v>
      </c>
      <c r="D613" s="22" t="s">
        <v>28</v>
      </c>
      <c r="E613" s="22" t="s">
        <v>24</v>
      </c>
      <c r="F613" s="22" t="s">
        <v>25</v>
      </c>
      <c r="G613" s="22" t="s">
        <v>21</v>
      </c>
      <c r="H613" s="22">
        <v>0</v>
      </c>
      <c r="I613" s="22">
        <v>0</v>
      </c>
      <c r="J613" s="22">
        <v>0</v>
      </c>
      <c r="K613" s="22">
        <v>0</v>
      </c>
      <c r="L613" s="22">
        <v>0</v>
      </c>
      <c r="M613" s="22">
        <v>1</v>
      </c>
      <c r="N613" s="22">
        <v>0</v>
      </c>
      <c r="O613" s="22"/>
      <c r="P613" s="22">
        <v>46.7</v>
      </c>
      <c r="Q613" s="22" t="str">
        <f t="shared" si="27"/>
        <v>Normal</v>
      </c>
      <c r="R613" s="26" t="str">
        <f t="shared" si="28"/>
        <v>USR-10061245725ControlEastMobileOrganicBasic000001046.7</v>
      </c>
      <c r="S613" s="22" t="str">
        <f t="shared" si="29"/>
        <v>OK</v>
      </c>
    </row>
    <row r="614" spans="1:19" ht="41.4">
      <c r="A614" s="22" t="s">
        <v>644</v>
      </c>
      <c r="B614" s="25">
        <v>45778</v>
      </c>
      <c r="C614" s="22" t="s">
        <v>17</v>
      </c>
      <c r="D614" s="22" t="s">
        <v>32</v>
      </c>
      <c r="E614" s="22" t="s">
        <v>19</v>
      </c>
      <c r="F614" s="22" t="s">
        <v>25</v>
      </c>
      <c r="G614" s="22" t="s">
        <v>21</v>
      </c>
      <c r="H614" s="22">
        <v>1</v>
      </c>
      <c r="I614" s="22">
        <v>0</v>
      </c>
      <c r="J614" s="22">
        <v>0</v>
      </c>
      <c r="K614" s="22">
        <v>0</v>
      </c>
      <c r="L614" s="22">
        <v>0</v>
      </c>
      <c r="M614" s="22">
        <v>0</v>
      </c>
      <c r="N614" s="22">
        <v>0</v>
      </c>
      <c r="O614" s="22"/>
      <c r="P614" s="22">
        <v>54.1</v>
      </c>
      <c r="Q614" s="22" t="str">
        <f t="shared" si="27"/>
        <v>Normal</v>
      </c>
      <c r="R614" s="26" t="str">
        <f t="shared" si="28"/>
        <v>USR-10061345778ControlSouthDesktopOrganicBasic100000054.1</v>
      </c>
      <c r="S614" s="22" t="str">
        <f t="shared" si="29"/>
        <v>OK</v>
      </c>
    </row>
    <row r="615" spans="1:19" ht="41.4">
      <c r="A615" s="22" t="s">
        <v>645</v>
      </c>
      <c r="B615" s="25">
        <v>45697</v>
      </c>
      <c r="C615" s="22" t="s">
        <v>17</v>
      </c>
      <c r="D615" s="22" t="s">
        <v>23</v>
      </c>
      <c r="E615" s="22" t="s">
        <v>19</v>
      </c>
      <c r="F615" s="22" t="s">
        <v>25</v>
      </c>
      <c r="G615" s="22" t="s">
        <v>30</v>
      </c>
      <c r="H615" s="22">
        <v>1</v>
      </c>
      <c r="I615" s="22">
        <v>1</v>
      </c>
      <c r="J615" s="22">
        <v>1</v>
      </c>
      <c r="K615" s="22">
        <v>0</v>
      </c>
      <c r="L615" s="22">
        <v>0</v>
      </c>
      <c r="M615" s="22">
        <v>0</v>
      </c>
      <c r="N615" s="22">
        <v>0</v>
      </c>
      <c r="O615" s="22"/>
      <c r="P615" s="22">
        <v>56.1</v>
      </c>
      <c r="Q615" s="22" t="str">
        <f t="shared" si="27"/>
        <v>Normal</v>
      </c>
      <c r="R615" s="26" t="str">
        <f t="shared" si="28"/>
        <v>USR-10061445697ControlWestDesktopOrganicPremium111000056.1</v>
      </c>
      <c r="S615" s="22" t="str">
        <f t="shared" si="29"/>
        <v>OK</v>
      </c>
    </row>
    <row r="616" spans="1:19" ht="41.4">
      <c r="A616" s="22" t="s">
        <v>646</v>
      </c>
      <c r="B616" s="25">
        <v>45799</v>
      </c>
      <c r="C616" s="22" t="s">
        <v>17</v>
      </c>
      <c r="D616" s="22" t="s">
        <v>23</v>
      </c>
      <c r="E616" s="22" t="s">
        <v>24</v>
      </c>
      <c r="F616" s="22" t="s">
        <v>39</v>
      </c>
      <c r="G616" s="22" t="s">
        <v>30</v>
      </c>
      <c r="H616" s="22">
        <v>0</v>
      </c>
      <c r="I616" s="22">
        <v>0</v>
      </c>
      <c r="J616" s="22">
        <v>0</v>
      </c>
      <c r="K616" s="22">
        <v>0</v>
      </c>
      <c r="L616" s="22">
        <v>0</v>
      </c>
      <c r="M616" s="22">
        <v>0</v>
      </c>
      <c r="N616" s="22">
        <v>0</v>
      </c>
      <c r="O616" s="22"/>
      <c r="P616" s="22">
        <v>23.6</v>
      </c>
      <c r="Q616" s="22" t="str">
        <f t="shared" si="27"/>
        <v>Normal</v>
      </c>
      <c r="R616" s="26" t="str">
        <f t="shared" si="28"/>
        <v>USR-10061545799ControlWestMobileReferralPremium000000023.6</v>
      </c>
      <c r="S616" s="22" t="str">
        <f t="shared" si="29"/>
        <v>OK</v>
      </c>
    </row>
    <row r="617" spans="1:19" ht="41.4">
      <c r="A617" s="22" t="s">
        <v>647</v>
      </c>
      <c r="B617" s="25">
        <v>45699</v>
      </c>
      <c r="C617" s="22" t="s">
        <v>17</v>
      </c>
      <c r="D617" s="22" t="s">
        <v>18</v>
      </c>
      <c r="E617" s="22" t="s">
        <v>24</v>
      </c>
      <c r="F617" s="22" t="s">
        <v>25</v>
      </c>
      <c r="G617" s="22" t="s">
        <v>30</v>
      </c>
      <c r="H617" s="22">
        <v>0</v>
      </c>
      <c r="I617" s="22">
        <v>0</v>
      </c>
      <c r="J617" s="22">
        <v>0</v>
      </c>
      <c r="K617" s="22">
        <v>0</v>
      </c>
      <c r="L617" s="22">
        <v>0</v>
      </c>
      <c r="M617" s="22">
        <v>0</v>
      </c>
      <c r="N617" s="22">
        <v>0</v>
      </c>
      <c r="O617" s="22"/>
      <c r="P617" s="22">
        <v>54.7</v>
      </c>
      <c r="Q617" s="22" t="str">
        <f t="shared" si="27"/>
        <v>Normal</v>
      </c>
      <c r="R617" s="26" t="str">
        <f t="shared" si="28"/>
        <v>USR-10061645699ControlNorthMobileOrganicPremium000000054.7</v>
      </c>
      <c r="S617" s="22" t="str">
        <f t="shared" si="29"/>
        <v>OK</v>
      </c>
    </row>
    <row r="618" spans="1:19" ht="41.4">
      <c r="A618" s="22" t="s">
        <v>648</v>
      </c>
      <c r="B618" s="25">
        <v>45759</v>
      </c>
      <c r="C618" s="22" t="s">
        <v>17</v>
      </c>
      <c r="D618" s="22" t="s">
        <v>18</v>
      </c>
      <c r="E618" s="22" t="s">
        <v>24</v>
      </c>
      <c r="F618" s="22" t="s">
        <v>39</v>
      </c>
      <c r="G618" s="22" t="s">
        <v>21</v>
      </c>
      <c r="H618" s="22">
        <v>0</v>
      </c>
      <c r="I618" s="22">
        <v>0</v>
      </c>
      <c r="J618" s="22">
        <v>0</v>
      </c>
      <c r="K618" s="22">
        <v>0</v>
      </c>
      <c r="L618" s="22">
        <v>0</v>
      </c>
      <c r="M618" s="22">
        <v>2</v>
      </c>
      <c r="N618" s="22">
        <v>0</v>
      </c>
      <c r="O618" s="22"/>
      <c r="P618" s="22">
        <v>50.4</v>
      </c>
      <c r="Q618" s="22" t="str">
        <f t="shared" si="27"/>
        <v>Normal</v>
      </c>
      <c r="R618" s="26" t="str">
        <f t="shared" si="28"/>
        <v>USR-10061745759ControlNorthMobileReferralBasic000002050.4</v>
      </c>
      <c r="S618" s="22" t="str">
        <f t="shared" si="29"/>
        <v>OK</v>
      </c>
    </row>
    <row r="619" spans="1:19" ht="41.4">
      <c r="A619" s="22" t="s">
        <v>649</v>
      </c>
      <c r="B619" s="25">
        <v>45717</v>
      </c>
      <c r="C619" s="22" t="s">
        <v>17</v>
      </c>
      <c r="D619" s="22" t="s">
        <v>23</v>
      </c>
      <c r="E619" s="22" t="s">
        <v>24</v>
      </c>
      <c r="F619" s="22" t="s">
        <v>41</v>
      </c>
      <c r="G619" s="22" t="s">
        <v>26</v>
      </c>
      <c r="H619" s="22">
        <v>1</v>
      </c>
      <c r="I619" s="22">
        <v>0</v>
      </c>
      <c r="J619" s="22">
        <v>0</v>
      </c>
      <c r="K619" s="22">
        <v>0</v>
      </c>
      <c r="L619" s="22">
        <v>0</v>
      </c>
      <c r="M619" s="22">
        <v>0</v>
      </c>
      <c r="N619" s="22">
        <v>0</v>
      </c>
      <c r="O619" s="22"/>
      <c r="P619" s="22">
        <v>54.5</v>
      </c>
      <c r="Q619" s="22" t="str">
        <f t="shared" si="27"/>
        <v>Normal</v>
      </c>
      <c r="R619" s="26" t="str">
        <f t="shared" si="28"/>
        <v>USR-10061845717ControlWestMobileSocialFree100000054.5</v>
      </c>
      <c r="S619" s="22" t="str">
        <f t="shared" si="29"/>
        <v>OK</v>
      </c>
    </row>
    <row r="620" spans="1:19" ht="41.4">
      <c r="A620" s="22" t="s">
        <v>650</v>
      </c>
      <c r="B620" s="25">
        <v>45733</v>
      </c>
      <c r="C620" s="22" t="s">
        <v>17</v>
      </c>
      <c r="D620" s="22" t="s">
        <v>23</v>
      </c>
      <c r="E620" s="22" t="s">
        <v>19</v>
      </c>
      <c r="F620" s="22" t="s">
        <v>20</v>
      </c>
      <c r="G620" s="22" t="s">
        <v>21</v>
      </c>
      <c r="H620" s="22">
        <v>0</v>
      </c>
      <c r="I620" s="22">
        <v>0</v>
      </c>
      <c r="J620" s="22">
        <v>0</v>
      </c>
      <c r="K620" s="22">
        <v>0</v>
      </c>
      <c r="L620" s="22">
        <v>0</v>
      </c>
      <c r="M620" s="22">
        <v>0</v>
      </c>
      <c r="N620" s="22">
        <v>0</v>
      </c>
      <c r="O620" s="22"/>
      <c r="P620" s="22">
        <v>58</v>
      </c>
      <c r="Q620" s="22" t="str">
        <f t="shared" si="27"/>
        <v>Normal</v>
      </c>
      <c r="R620" s="26" t="str">
        <f t="shared" si="28"/>
        <v>USR-10061945733ControlWestDesktopEmailBasic000000058</v>
      </c>
      <c r="S620" s="22" t="str">
        <f t="shared" si="29"/>
        <v>OK</v>
      </c>
    </row>
    <row r="621" spans="1:19" ht="41.4">
      <c r="A621" s="22" t="s">
        <v>651</v>
      </c>
      <c r="B621" s="25">
        <v>45668</v>
      </c>
      <c r="C621" s="22" t="s">
        <v>17</v>
      </c>
      <c r="D621" s="22" t="s">
        <v>18</v>
      </c>
      <c r="E621" s="22" t="s">
        <v>24</v>
      </c>
      <c r="F621" s="22" t="s">
        <v>29</v>
      </c>
      <c r="G621" s="22" t="s">
        <v>26</v>
      </c>
      <c r="H621" s="22">
        <v>0</v>
      </c>
      <c r="I621" s="22">
        <v>0</v>
      </c>
      <c r="J621" s="22">
        <v>0</v>
      </c>
      <c r="K621" s="22">
        <v>0</v>
      </c>
      <c r="L621" s="22">
        <v>0</v>
      </c>
      <c r="M621" s="22">
        <v>0</v>
      </c>
      <c r="N621" s="22">
        <v>0</v>
      </c>
      <c r="O621" s="22"/>
      <c r="P621" s="22">
        <v>42.9</v>
      </c>
      <c r="Q621" s="22" t="str">
        <f t="shared" si="27"/>
        <v>Normal</v>
      </c>
      <c r="R621" s="26" t="str">
        <f t="shared" si="28"/>
        <v>USR-10062045668ControlNorthMobilePaid SearchFree000000042.9</v>
      </c>
      <c r="S621" s="22" t="str">
        <f t="shared" si="29"/>
        <v>OK</v>
      </c>
    </row>
    <row r="622" spans="1:19" ht="41.4">
      <c r="A622" s="22" t="s">
        <v>652</v>
      </c>
      <c r="B622" s="25">
        <v>45705</v>
      </c>
      <c r="C622" s="22" t="s">
        <v>17</v>
      </c>
      <c r="D622" s="22" t="s">
        <v>32</v>
      </c>
      <c r="E622" s="22" t="s">
        <v>24</v>
      </c>
      <c r="F622" s="22" t="s">
        <v>41</v>
      </c>
      <c r="G622" s="22" t="s">
        <v>30</v>
      </c>
      <c r="H622" s="22">
        <v>1</v>
      </c>
      <c r="I622" s="22">
        <v>0</v>
      </c>
      <c r="J622" s="22">
        <v>0</v>
      </c>
      <c r="K622" s="22">
        <v>0</v>
      </c>
      <c r="L622" s="22">
        <v>0</v>
      </c>
      <c r="M622" s="22">
        <v>0</v>
      </c>
      <c r="N622" s="22">
        <v>0</v>
      </c>
      <c r="O622" s="22"/>
      <c r="P622" s="22">
        <v>51.1</v>
      </c>
      <c r="Q622" s="22" t="str">
        <f t="shared" si="27"/>
        <v>Normal</v>
      </c>
      <c r="R622" s="26" t="str">
        <f t="shared" si="28"/>
        <v>USR-10062145705ControlSouthMobileSocialPremium100000051.1</v>
      </c>
      <c r="S622" s="22" t="str">
        <f t="shared" si="29"/>
        <v>OK</v>
      </c>
    </row>
    <row r="623" spans="1:19" ht="41.4">
      <c r="A623" s="22" t="s">
        <v>653</v>
      </c>
      <c r="B623" s="25">
        <v>45741</v>
      </c>
      <c r="C623" s="22" t="s">
        <v>17</v>
      </c>
      <c r="D623" s="22" t="s">
        <v>28</v>
      </c>
      <c r="E623" s="22" t="s">
        <v>24</v>
      </c>
      <c r="F623" s="22" t="s">
        <v>29</v>
      </c>
      <c r="G623" s="22" t="s">
        <v>21</v>
      </c>
      <c r="H623" s="22">
        <v>1</v>
      </c>
      <c r="I623" s="22">
        <v>1</v>
      </c>
      <c r="J623" s="22">
        <v>0</v>
      </c>
      <c r="K623" s="22">
        <v>0</v>
      </c>
      <c r="L623" s="22">
        <v>0</v>
      </c>
      <c r="M623" s="22">
        <v>0</v>
      </c>
      <c r="N623" s="22">
        <v>0</v>
      </c>
      <c r="O623" s="22"/>
      <c r="P623" s="22">
        <v>51.8</v>
      </c>
      <c r="Q623" s="22" t="str">
        <f t="shared" si="27"/>
        <v>Normal</v>
      </c>
      <c r="R623" s="26" t="str">
        <f t="shared" si="28"/>
        <v>USR-10062245741ControlEastMobilePaid SearchBasic110000051.8</v>
      </c>
      <c r="S623" s="22" t="str">
        <f t="shared" si="29"/>
        <v>OK</v>
      </c>
    </row>
    <row r="624" spans="1:19" ht="41.4">
      <c r="A624" s="22" t="s">
        <v>654</v>
      </c>
      <c r="B624" s="25">
        <v>45778</v>
      </c>
      <c r="C624" s="22" t="s">
        <v>17</v>
      </c>
      <c r="D624" s="22" t="s">
        <v>32</v>
      </c>
      <c r="E624" s="22" t="s">
        <v>24</v>
      </c>
      <c r="F624" s="22" t="s">
        <v>29</v>
      </c>
      <c r="G624" s="22" t="s">
        <v>26</v>
      </c>
      <c r="H624" s="22">
        <v>0</v>
      </c>
      <c r="I624" s="22">
        <v>0</v>
      </c>
      <c r="J624" s="22">
        <v>0</v>
      </c>
      <c r="K624" s="22">
        <v>0</v>
      </c>
      <c r="L624" s="22">
        <v>0</v>
      </c>
      <c r="M624" s="22">
        <v>0</v>
      </c>
      <c r="N624" s="22">
        <v>0</v>
      </c>
      <c r="O624" s="22"/>
      <c r="P624" s="22">
        <v>67.7</v>
      </c>
      <c r="Q624" s="22" t="str">
        <f t="shared" si="27"/>
        <v>Normal</v>
      </c>
      <c r="R624" s="26" t="str">
        <f t="shared" si="28"/>
        <v>USR-10062345778ControlSouthMobilePaid SearchFree000000067.7</v>
      </c>
      <c r="S624" s="22" t="str">
        <f t="shared" si="29"/>
        <v>OK</v>
      </c>
    </row>
    <row r="625" spans="1:19" ht="41.4">
      <c r="A625" s="22" t="s">
        <v>655</v>
      </c>
      <c r="B625" s="25">
        <v>45749</v>
      </c>
      <c r="C625" s="22" t="s">
        <v>17</v>
      </c>
      <c r="D625" s="22" t="s">
        <v>28</v>
      </c>
      <c r="E625" s="22" t="s">
        <v>24</v>
      </c>
      <c r="F625" s="22" t="s">
        <v>25</v>
      </c>
      <c r="G625" s="22" t="s">
        <v>21</v>
      </c>
      <c r="H625" s="22">
        <v>0</v>
      </c>
      <c r="I625" s="22">
        <v>0</v>
      </c>
      <c r="J625" s="22">
        <v>0</v>
      </c>
      <c r="K625" s="22">
        <v>0</v>
      </c>
      <c r="L625" s="22">
        <v>0</v>
      </c>
      <c r="M625" s="22">
        <v>0</v>
      </c>
      <c r="N625" s="22">
        <v>0</v>
      </c>
      <c r="O625" s="22"/>
      <c r="P625" s="22">
        <v>75.8</v>
      </c>
      <c r="Q625" s="22" t="str">
        <f t="shared" si="27"/>
        <v>Normal</v>
      </c>
      <c r="R625" s="26" t="str">
        <f t="shared" si="28"/>
        <v>USR-10062445749ControlEastMobileOrganicBasic000000075.8</v>
      </c>
      <c r="S625" s="22" t="str">
        <f t="shared" si="29"/>
        <v>OK</v>
      </c>
    </row>
    <row r="626" spans="1:19" ht="41.4">
      <c r="A626" s="22" t="s">
        <v>656</v>
      </c>
      <c r="B626" s="25">
        <v>45752</v>
      </c>
      <c r="C626" s="22" t="s">
        <v>17</v>
      </c>
      <c r="D626" s="22" t="s">
        <v>28</v>
      </c>
      <c r="E626" s="22" t="s">
        <v>24</v>
      </c>
      <c r="F626" s="22" t="s">
        <v>20</v>
      </c>
      <c r="G626" s="22" t="s">
        <v>26</v>
      </c>
      <c r="H626" s="22">
        <v>1</v>
      </c>
      <c r="I626" s="22">
        <v>1</v>
      </c>
      <c r="J626" s="22">
        <v>0</v>
      </c>
      <c r="K626" s="22">
        <v>0</v>
      </c>
      <c r="L626" s="22">
        <v>0</v>
      </c>
      <c r="M626" s="22">
        <v>0</v>
      </c>
      <c r="N626" s="22">
        <v>0</v>
      </c>
      <c r="O626" s="22"/>
      <c r="P626" s="22">
        <v>72.8</v>
      </c>
      <c r="Q626" s="22" t="str">
        <f t="shared" si="27"/>
        <v>Normal</v>
      </c>
      <c r="R626" s="26" t="str">
        <f t="shared" si="28"/>
        <v>USR-10062545752ControlEastMobileEmailFree110000072.8</v>
      </c>
      <c r="S626" s="22" t="str">
        <f t="shared" si="29"/>
        <v>OK</v>
      </c>
    </row>
    <row r="627" spans="1:19" ht="41.4">
      <c r="A627" s="22" t="s">
        <v>657</v>
      </c>
      <c r="B627" s="25">
        <v>45712</v>
      </c>
      <c r="C627" s="22" t="s">
        <v>17</v>
      </c>
      <c r="D627" s="22" t="s">
        <v>18</v>
      </c>
      <c r="E627" s="22" t="s">
        <v>19</v>
      </c>
      <c r="F627" s="22" t="s">
        <v>41</v>
      </c>
      <c r="G627" s="22" t="s">
        <v>26</v>
      </c>
      <c r="H627" s="22">
        <v>1</v>
      </c>
      <c r="I627" s="22">
        <v>1</v>
      </c>
      <c r="J627" s="22">
        <v>0</v>
      </c>
      <c r="K627" s="22">
        <v>0</v>
      </c>
      <c r="L627" s="22">
        <v>0</v>
      </c>
      <c r="M627" s="22">
        <v>0</v>
      </c>
      <c r="N627" s="22">
        <v>0</v>
      </c>
      <c r="O627" s="22"/>
      <c r="P627" s="22">
        <v>54.4</v>
      </c>
      <c r="Q627" s="22" t="str">
        <f t="shared" si="27"/>
        <v>Normal</v>
      </c>
      <c r="R627" s="26" t="str">
        <f t="shared" si="28"/>
        <v>USR-10062645712ControlNorthDesktopSocialFree110000054.4</v>
      </c>
      <c r="S627" s="22" t="str">
        <f t="shared" si="29"/>
        <v>OK</v>
      </c>
    </row>
    <row r="628" spans="1:19" ht="41.4">
      <c r="A628" s="22" t="s">
        <v>658</v>
      </c>
      <c r="B628" s="25">
        <v>45681</v>
      </c>
      <c r="C628" s="22" t="s">
        <v>17</v>
      </c>
      <c r="D628" s="22" t="s">
        <v>23</v>
      </c>
      <c r="E628" s="22" t="s">
        <v>24</v>
      </c>
      <c r="F628" s="22" t="s">
        <v>29</v>
      </c>
      <c r="G628" s="22" t="s">
        <v>21</v>
      </c>
      <c r="H628" s="22">
        <v>1</v>
      </c>
      <c r="I628" s="22">
        <v>0</v>
      </c>
      <c r="J628" s="22">
        <v>0</v>
      </c>
      <c r="K628" s="22">
        <v>0</v>
      </c>
      <c r="L628" s="22">
        <v>0</v>
      </c>
      <c r="M628" s="22">
        <v>0</v>
      </c>
      <c r="N628" s="22">
        <v>0</v>
      </c>
      <c r="O628" s="22"/>
      <c r="P628" s="22">
        <v>51.8</v>
      </c>
      <c r="Q628" s="22" t="str">
        <f t="shared" si="27"/>
        <v>Normal</v>
      </c>
      <c r="R628" s="26" t="str">
        <f t="shared" si="28"/>
        <v>USR-10062745681ControlWestMobilePaid SearchBasic100000051.8</v>
      </c>
      <c r="S628" s="22" t="str">
        <f t="shared" si="29"/>
        <v>OK</v>
      </c>
    </row>
    <row r="629" spans="1:19" ht="41.4">
      <c r="A629" s="22" t="s">
        <v>659</v>
      </c>
      <c r="B629" s="25">
        <v>45757</v>
      </c>
      <c r="C629" s="22" t="s">
        <v>17</v>
      </c>
      <c r="D629" s="22" t="s">
        <v>32</v>
      </c>
      <c r="E629" s="22" t="s">
        <v>24</v>
      </c>
      <c r="F629" s="22" t="s">
        <v>29</v>
      </c>
      <c r="G629" s="22" t="s">
        <v>26</v>
      </c>
      <c r="H629" s="22">
        <v>0</v>
      </c>
      <c r="I629" s="22">
        <v>0</v>
      </c>
      <c r="J629" s="22">
        <v>0</v>
      </c>
      <c r="K629" s="22">
        <v>0</v>
      </c>
      <c r="L629" s="22">
        <v>0</v>
      </c>
      <c r="M629" s="22">
        <v>0</v>
      </c>
      <c r="N629" s="22">
        <v>0</v>
      </c>
      <c r="O629" s="22"/>
      <c r="P629" s="22">
        <v>40.299999999999997</v>
      </c>
      <c r="Q629" s="22" t="str">
        <f t="shared" si="27"/>
        <v>Normal</v>
      </c>
      <c r="R629" s="26" t="str">
        <f t="shared" si="28"/>
        <v>USR-10062845757ControlSouthMobilePaid SearchFree000000040.3</v>
      </c>
      <c r="S629" s="22" t="str">
        <f t="shared" si="29"/>
        <v>OK</v>
      </c>
    </row>
    <row r="630" spans="1:19" ht="41.4">
      <c r="A630" s="22" t="s">
        <v>660</v>
      </c>
      <c r="B630" s="25">
        <v>45707</v>
      </c>
      <c r="C630" s="22" t="s">
        <v>17</v>
      </c>
      <c r="D630" s="22" t="s">
        <v>32</v>
      </c>
      <c r="E630" s="22" t="s">
        <v>24</v>
      </c>
      <c r="F630" s="22" t="s">
        <v>39</v>
      </c>
      <c r="G630" s="22" t="s">
        <v>26</v>
      </c>
      <c r="H630" s="22">
        <v>1</v>
      </c>
      <c r="I630" s="22">
        <v>1</v>
      </c>
      <c r="J630" s="22">
        <v>1</v>
      </c>
      <c r="K630" s="22">
        <v>0</v>
      </c>
      <c r="L630" s="22">
        <v>0</v>
      </c>
      <c r="M630" s="22">
        <v>0</v>
      </c>
      <c r="N630" s="22">
        <v>0</v>
      </c>
      <c r="O630" s="22"/>
      <c r="P630" s="22">
        <v>61.7</v>
      </c>
      <c r="Q630" s="22" t="str">
        <f t="shared" si="27"/>
        <v>Normal</v>
      </c>
      <c r="R630" s="26" t="str">
        <f t="shared" si="28"/>
        <v>USR-10062945707ControlSouthMobileReferralFree111000061.7</v>
      </c>
      <c r="S630" s="22" t="str">
        <f t="shared" si="29"/>
        <v>OK</v>
      </c>
    </row>
    <row r="631" spans="1:19" ht="41.4">
      <c r="A631" s="22" t="s">
        <v>661</v>
      </c>
      <c r="B631" s="25">
        <v>45738</v>
      </c>
      <c r="C631" s="22" t="s">
        <v>17</v>
      </c>
      <c r="D631" s="22" t="s">
        <v>18</v>
      </c>
      <c r="E631" s="22" t="s">
        <v>24</v>
      </c>
      <c r="F631" s="22" t="s">
        <v>41</v>
      </c>
      <c r="G631" s="22" t="s">
        <v>26</v>
      </c>
      <c r="H631" s="22">
        <v>0</v>
      </c>
      <c r="I631" s="22">
        <v>0</v>
      </c>
      <c r="J631" s="22">
        <v>0</v>
      </c>
      <c r="K631" s="22">
        <v>0</v>
      </c>
      <c r="L631" s="22">
        <v>0</v>
      </c>
      <c r="M631" s="22">
        <v>0</v>
      </c>
      <c r="N631" s="22">
        <v>0</v>
      </c>
      <c r="O631" s="22"/>
      <c r="P631" s="22">
        <v>45</v>
      </c>
      <c r="Q631" s="22" t="str">
        <f t="shared" si="27"/>
        <v>Normal</v>
      </c>
      <c r="R631" s="26" t="str">
        <f t="shared" si="28"/>
        <v>USR-10063045738ControlNorthMobileSocialFree000000045</v>
      </c>
      <c r="S631" s="22" t="str">
        <f t="shared" si="29"/>
        <v>OK</v>
      </c>
    </row>
    <row r="632" spans="1:19" ht="41.4">
      <c r="A632" s="22" t="s">
        <v>662</v>
      </c>
      <c r="B632" s="25">
        <v>45755</v>
      </c>
      <c r="C632" s="22" t="s">
        <v>17</v>
      </c>
      <c r="D632" s="22" t="s">
        <v>28</v>
      </c>
      <c r="E632" s="22" t="s">
        <v>19</v>
      </c>
      <c r="F632" s="22" t="s">
        <v>25</v>
      </c>
      <c r="G632" s="22" t="s">
        <v>30</v>
      </c>
      <c r="H632" s="22">
        <v>1</v>
      </c>
      <c r="I632" s="22">
        <v>1</v>
      </c>
      <c r="J632" s="22">
        <v>1</v>
      </c>
      <c r="K632" s="22">
        <v>0</v>
      </c>
      <c r="L632" s="22">
        <v>0</v>
      </c>
      <c r="M632" s="22">
        <v>0</v>
      </c>
      <c r="N632" s="22">
        <v>0</v>
      </c>
      <c r="O632" s="22"/>
      <c r="P632" s="22">
        <v>60</v>
      </c>
      <c r="Q632" s="22" t="str">
        <f t="shared" si="27"/>
        <v>Normal</v>
      </c>
      <c r="R632" s="26" t="str">
        <f t="shared" si="28"/>
        <v>USR-10063145755ControlEastDesktopOrganicPremium111000060</v>
      </c>
      <c r="S632" s="22" t="str">
        <f t="shared" si="29"/>
        <v>OK</v>
      </c>
    </row>
    <row r="633" spans="1:19" ht="41.4">
      <c r="A633" s="22" t="s">
        <v>663</v>
      </c>
      <c r="B633" s="25">
        <v>45732</v>
      </c>
      <c r="C633" s="22" t="s">
        <v>17</v>
      </c>
      <c r="D633" s="22" t="s">
        <v>18</v>
      </c>
      <c r="E633" s="22" t="s">
        <v>24</v>
      </c>
      <c r="F633" s="22" t="s">
        <v>41</v>
      </c>
      <c r="G633" s="22" t="s">
        <v>26</v>
      </c>
      <c r="H633" s="22">
        <v>1</v>
      </c>
      <c r="I633" s="22">
        <v>0</v>
      </c>
      <c r="J633" s="22">
        <v>0</v>
      </c>
      <c r="K633" s="22">
        <v>0</v>
      </c>
      <c r="L633" s="22">
        <v>0</v>
      </c>
      <c r="M633" s="22">
        <v>0</v>
      </c>
      <c r="N633" s="22">
        <v>0</v>
      </c>
      <c r="O633" s="22"/>
      <c r="P633" s="22"/>
      <c r="Q633" s="22" t="str">
        <f t="shared" si="27"/>
        <v>Normal</v>
      </c>
      <c r="R633" s="26" t="str">
        <f t="shared" si="28"/>
        <v>USR-10063245732ControlNorthMobileSocialFree1000000</v>
      </c>
      <c r="S633" s="22" t="str">
        <f t="shared" si="29"/>
        <v>OK</v>
      </c>
    </row>
    <row r="634" spans="1:19" ht="41.4">
      <c r="A634" s="22" t="s">
        <v>664</v>
      </c>
      <c r="B634" s="25">
        <v>45723</v>
      </c>
      <c r="C634" s="22" t="s">
        <v>17</v>
      </c>
      <c r="D634" s="22" t="s">
        <v>28</v>
      </c>
      <c r="E634" s="22" t="s">
        <v>24</v>
      </c>
      <c r="F634" s="22" t="s">
        <v>29</v>
      </c>
      <c r="G634" s="22" t="s">
        <v>26</v>
      </c>
      <c r="H634" s="22">
        <v>1</v>
      </c>
      <c r="I634" s="22">
        <v>0</v>
      </c>
      <c r="J634" s="22">
        <v>0</v>
      </c>
      <c r="K634" s="22">
        <v>0</v>
      </c>
      <c r="L634" s="22">
        <v>0</v>
      </c>
      <c r="M634" s="22">
        <v>0</v>
      </c>
      <c r="N634" s="22">
        <v>0</v>
      </c>
      <c r="O634" s="22"/>
      <c r="P634" s="22">
        <v>55.5</v>
      </c>
      <c r="Q634" s="22" t="str">
        <f t="shared" si="27"/>
        <v>Normal</v>
      </c>
      <c r="R634" s="26" t="str">
        <f t="shared" si="28"/>
        <v>USR-10063345723ControlEastMobilePaid SearchFree100000055.5</v>
      </c>
      <c r="S634" s="22" t="str">
        <f t="shared" si="29"/>
        <v>OK</v>
      </c>
    </row>
    <row r="635" spans="1:19" ht="41.4">
      <c r="A635" s="22" t="s">
        <v>665</v>
      </c>
      <c r="B635" s="25">
        <v>45732</v>
      </c>
      <c r="C635" s="22" t="s">
        <v>17</v>
      </c>
      <c r="D635" s="22" t="s">
        <v>32</v>
      </c>
      <c r="E635" s="22" t="s">
        <v>24</v>
      </c>
      <c r="F635" s="22" t="s">
        <v>39</v>
      </c>
      <c r="G635" s="22" t="s">
        <v>21</v>
      </c>
      <c r="H635" s="22">
        <v>0</v>
      </c>
      <c r="I635" s="22">
        <v>0</v>
      </c>
      <c r="J635" s="22">
        <v>0</v>
      </c>
      <c r="K635" s="22">
        <v>0</v>
      </c>
      <c r="L635" s="22">
        <v>0</v>
      </c>
      <c r="M635" s="22">
        <v>0</v>
      </c>
      <c r="N635" s="22">
        <v>0</v>
      </c>
      <c r="O635" s="22"/>
      <c r="P635" s="22">
        <v>51.8</v>
      </c>
      <c r="Q635" s="22" t="str">
        <f t="shared" si="27"/>
        <v>Normal</v>
      </c>
      <c r="R635" s="26" t="str">
        <f t="shared" si="28"/>
        <v>USR-10063445732ControlSouthMobileReferralBasic000000051.8</v>
      </c>
      <c r="S635" s="22" t="str">
        <f t="shared" si="29"/>
        <v>OK</v>
      </c>
    </row>
    <row r="636" spans="1:19" ht="41.4">
      <c r="A636" s="22" t="s">
        <v>666</v>
      </c>
      <c r="B636" s="25">
        <v>45803</v>
      </c>
      <c r="C636" s="22" t="s">
        <v>17</v>
      </c>
      <c r="D636" s="22" t="s">
        <v>28</v>
      </c>
      <c r="E636" s="22" t="s">
        <v>24</v>
      </c>
      <c r="F636" s="22"/>
      <c r="G636" s="22" t="s">
        <v>30</v>
      </c>
      <c r="H636" s="22">
        <v>1</v>
      </c>
      <c r="I636" s="22">
        <v>0</v>
      </c>
      <c r="J636" s="22">
        <v>0</v>
      </c>
      <c r="K636" s="22">
        <v>0</v>
      </c>
      <c r="L636" s="22">
        <v>0</v>
      </c>
      <c r="M636" s="22">
        <v>3</v>
      </c>
      <c r="N636" s="22">
        <v>0</v>
      </c>
      <c r="O636" s="22"/>
      <c r="P636" s="22">
        <v>56</v>
      </c>
      <c r="Q636" s="22" t="str">
        <f t="shared" si="27"/>
        <v>Normal</v>
      </c>
      <c r="R636" s="26" t="str">
        <f t="shared" si="28"/>
        <v>USR-10063545803ControlEastMobilePremium100003056</v>
      </c>
      <c r="S636" s="22" t="str">
        <f t="shared" si="29"/>
        <v>OK</v>
      </c>
    </row>
    <row r="637" spans="1:19" ht="41.4">
      <c r="A637" s="22" t="s">
        <v>667</v>
      </c>
      <c r="B637" s="25">
        <v>45671</v>
      </c>
      <c r="C637" s="22" t="s">
        <v>17</v>
      </c>
      <c r="D637" s="22" t="s">
        <v>23</v>
      </c>
      <c r="E637" s="22" t="s">
        <v>24</v>
      </c>
      <c r="F637" s="22" t="s">
        <v>25</v>
      </c>
      <c r="G637" s="22" t="s">
        <v>26</v>
      </c>
      <c r="H637" s="22">
        <v>0</v>
      </c>
      <c r="I637" s="22">
        <v>0</v>
      </c>
      <c r="J637" s="22">
        <v>0</v>
      </c>
      <c r="K637" s="22">
        <v>0</v>
      </c>
      <c r="L637" s="22">
        <v>0</v>
      </c>
      <c r="M637" s="22">
        <v>0</v>
      </c>
      <c r="N637" s="22">
        <v>0</v>
      </c>
      <c r="O637" s="22"/>
      <c r="P637" s="22">
        <v>52.5</v>
      </c>
      <c r="Q637" s="22" t="str">
        <f t="shared" si="27"/>
        <v>Normal</v>
      </c>
      <c r="R637" s="26" t="str">
        <f t="shared" si="28"/>
        <v>USR-10063645671ControlWestMobileOrganicFree000000052.5</v>
      </c>
      <c r="S637" s="22" t="str">
        <f t="shared" si="29"/>
        <v>OK</v>
      </c>
    </row>
    <row r="638" spans="1:19" ht="41.4">
      <c r="A638" s="22" t="s">
        <v>668</v>
      </c>
      <c r="B638" s="25">
        <v>45746</v>
      </c>
      <c r="C638" s="22" t="s">
        <v>17</v>
      </c>
      <c r="D638" s="22" t="s">
        <v>23</v>
      </c>
      <c r="E638" s="22" t="s">
        <v>24</v>
      </c>
      <c r="F638" s="22" t="s">
        <v>29</v>
      </c>
      <c r="G638" s="22" t="s">
        <v>30</v>
      </c>
      <c r="H638" s="22">
        <v>1</v>
      </c>
      <c r="I638" s="22">
        <v>0</v>
      </c>
      <c r="J638" s="22">
        <v>0</v>
      </c>
      <c r="K638" s="22">
        <v>0</v>
      </c>
      <c r="L638" s="22">
        <v>0</v>
      </c>
      <c r="M638" s="22">
        <v>0</v>
      </c>
      <c r="N638" s="22">
        <v>0</v>
      </c>
      <c r="O638" s="22"/>
      <c r="P638" s="22">
        <v>42.5</v>
      </c>
      <c r="Q638" s="22" t="str">
        <f t="shared" si="27"/>
        <v>Normal</v>
      </c>
      <c r="R638" s="26" t="str">
        <f t="shared" si="28"/>
        <v>USR-10063745746ControlWestMobilePaid SearchPremium100000042.5</v>
      </c>
      <c r="S638" s="22" t="str">
        <f t="shared" si="29"/>
        <v>OK</v>
      </c>
    </row>
    <row r="639" spans="1:19" ht="41.4">
      <c r="A639" s="22" t="s">
        <v>669</v>
      </c>
      <c r="B639" s="25">
        <v>45789</v>
      </c>
      <c r="C639" s="22" t="s">
        <v>17</v>
      </c>
      <c r="D639" s="22" t="s">
        <v>28</v>
      </c>
      <c r="E639" s="22" t="s">
        <v>19</v>
      </c>
      <c r="F639" s="22" t="s">
        <v>20</v>
      </c>
      <c r="G639" s="22" t="s">
        <v>26</v>
      </c>
      <c r="H639" s="22">
        <v>1</v>
      </c>
      <c r="I639" s="22">
        <v>1</v>
      </c>
      <c r="J639" s="22">
        <v>1</v>
      </c>
      <c r="K639" s="22">
        <v>0</v>
      </c>
      <c r="L639" s="22">
        <v>0</v>
      </c>
      <c r="M639" s="22">
        <v>0</v>
      </c>
      <c r="N639" s="22">
        <v>0</v>
      </c>
      <c r="O639" s="22"/>
      <c r="P639" s="22">
        <v>65.3</v>
      </c>
      <c r="Q639" s="22" t="str">
        <f t="shared" si="27"/>
        <v>Normal</v>
      </c>
      <c r="R639" s="26" t="str">
        <f t="shared" si="28"/>
        <v>USR-10063845789ControlEastDesktopEmailFree111000065.3</v>
      </c>
      <c r="S639" s="22" t="str">
        <f t="shared" si="29"/>
        <v>OK</v>
      </c>
    </row>
    <row r="640" spans="1:19" ht="41.4">
      <c r="A640" s="22" t="s">
        <v>670</v>
      </c>
      <c r="B640" s="25">
        <v>45787</v>
      </c>
      <c r="C640" s="22" t="s">
        <v>17</v>
      </c>
      <c r="D640" s="22" t="s">
        <v>23</v>
      </c>
      <c r="E640" s="22" t="s">
        <v>24</v>
      </c>
      <c r="F640" s="22" t="s">
        <v>29</v>
      </c>
      <c r="G640" s="22" t="s">
        <v>26</v>
      </c>
      <c r="H640" s="22">
        <v>0</v>
      </c>
      <c r="I640" s="22">
        <v>0</v>
      </c>
      <c r="J640" s="22">
        <v>0</v>
      </c>
      <c r="K640" s="22">
        <v>0</v>
      </c>
      <c r="L640" s="22">
        <v>0</v>
      </c>
      <c r="M640" s="22">
        <v>0</v>
      </c>
      <c r="N640" s="22">
        <v>0</v>
      </c>
      <c r="O640" s="22"/>
      <c r="P640" s="22">
        <v>37.6</v>
      </c>
      <c r="Q640" s="22" t="str">
        <f t="shared" si="27"/>
        <v>Normal</v>
      </c>
      <c r="R640" s="26" t="str">
        <f t="shared" si="28"/>
        <v>USR-10063945787ControlWestMobilePaid SearchFree000000037.6</v>
      </c>
      <c r="S640" s="22" t="str">
        <f t="shared" si="29"/>
        <v>OK</v>
      </c>
    </row>
    <row r="641" spans="1:19" ht="41.4">
      <c r="A641" s="22" t="s">
        <v>671</v>
      </c>
      <c r="B641" s="25">
        <v>45756</v>
      </c>
      <c r="C641" s="22" t="s">
        <v>17</v>
      </c>
      <c r="D641" s="22" t="s">
        <v>28</v>
      </c>
      <c r="E641" s="22" t="s">
        <v>24</v>
      </c>
      <c r="F641" s="22" t="s">
        <v>41</v>
      </c>
      <c r="G641" s="22" t="s">
        <v>21</v>
      </c>
      <c r="H641" s="22">
        <v>0</v>
      </c>
      <c r="I641" s="22">
        <v>0</v>
      </c>
      <c r="J641" s="22">
        <v>0</v>
      </c>
      <c r="K641" s="22">
        <v>0</v>
      </c>
      <c r="L641" s="22">
        <v>0</v>
      </c>
      <c r="M641" s="22">
        <v>0</v>
      </c>
      <c r="N641" s="22">
        <v>0</v>
      </c>
      <c r="O641" s="22"/>
      <c r="P641" s="22">
        <v>57.8</v>
      </c>
      <c r="Q641" s="22" t="str">
        <f t="shared" si="27"/>
        <v>Normal</v>
      </c>
      <c r="R641" s="26" t="str">
        <f t="shared" si="28"/>
        <v>USR-10064045756ControlEastMobileSocialBasic000000057.8</v>
      </c>
      <c r="S641" s="22" t="str">
        <f t="shared" si="29"/>
        <v>OK</v>
      </c>
    </row>
    <row r="642" spans="1:19" ht="41.4">
      <c r="A642" s="22" t="s">
        <v>672</v>
      </c>
      <c r="B642" s="25">
        <v>45803</v>
      </c>
      <c r="C642" s="22" t="s">
        <v>17</v>
      </c>
      <c r="D642" s="22" t="s">
        <v>18</v>
      </c>
      <c r="E642" s="22" t="s">
        <v>24</v>
      </c>
      <c r="F642" s="22" t="s">
        <v>41</v>
      </c>
      <c r="G642" s="22" t="s">
        <v>26</v>
      </c>
      <c r="H642" s="22">
        <v>1</v>
      </c>
      <c r="I642" s="22">
        <v>0</v>
      </c>
      <c r="J642" s="22">
        <v>0</v>
      </c>
      <c r="K642" s="22">
        <v>0</v>
      </c>
      <c r="L642" s="22">
        <v>0</v>
      </c>
      <c r="M642" s="22">
        <v>0</v>
      </c>
      <c r="N642" s="22">
        <v>0</v>
      </c>
      <c r="O642" s="22"/>
      <c r="P642" s="22">
        <v>52.7</v>
      </c>
      <c r="Q642" s="22" t="str">
        <f t="shared" si="27"/>
        <v>Normal</v>
      </c>
      <c r="R642" s="26" t="str">
        <f t="shared" si="28"/>
        <v>USR-10064145803ControlNorthMobileSocialFree100000052.7</v>
      </c>
      <c r="S642" s="22" t="str">
        <f t="shared" si="29"/>
        <v>OK</v>
      </c>
    </row>
    <row r="643" spans="1:19" ht="41.4">
      <c r="A643" s="22" t="s">
        <v>673</v>
      </c>
      <c r="B643" s="25">
        <v>45700</v>
      </c>
      <c r="C643" s="22" t="s">
        <v>17</v>
      </c>
      <c r="D643" s="22" t="s">
        <v>18</v>
      </c>
      <c r="E643" s="22" t="s">
        <v>24</v>
      </c>
      <c r="F643" s="22" t="s">
        <v>25</v>
      </c>
      <c r="G643" s="22" t="s">
        <v>26</v>
      </c>
      <c r="H643" s="22">
        <v>1</v>
      </c>
      <c r="I643" s="22">
        <v>0</v>
      </c>
      <c r="J643" s="22">
        <v>0</v>
      </c>
      <c r="K643" s="22">
        <v>0</v>
      </c>
      <c r="L643" s="22">
        <v>0</v>
      </c>
      <c r="M643" s="22">
        <v>0</v>
      </c>
      <c r="N643" s="22">
        <v>0</v>
      </c>
      <c r="O643" s="22"/>
      <c r="P643" s="22">
        <v>51.7</v>
      </c>
      <c r="Q643" s="22" t="str">
        <f t="shared" ref="Q643:Q706" si="30">IF(OR(L643&lt;$V$40,L643&gt;$V$41),"Outlier","Normal")</f>
        <v>Normal</v>
      </c>
      <c r="R643" s="26" t="str">
        <f t="shared" ref="R643:R706" si="31">A643&amp;B643&amp;C643&amp;D643&amp;E643&amp;F643&amp;G643&amp;H643&amp;I643&amp;J643&amp;K643&amp;L643&amp;M643&amp;N643&amp;O643&amp;P643</f>
        <v>USR-10064245700ControlNorthMobileOrganicFree100000051.7</v>
      </c>
      <c r="S643" s="22" t="str">
        <f t="shared" ref="S643:S706" si="32">IF(COUNTIF($R$2:$R$1409,R643)=1,"OK",IF(COUNTIF($R$2:$R$1409,R643)&gt;1,"Exact Duplicate","Review Required"))</f>
        <v>OK</v>
      </c>
    </row>
    <row r="644" spans="1:19" ht="41.4">
      <c r="A644" s="22" t="s">
        <v>674</v>
      </c>
      <c r="B644" s="25">
        <v>45748</v>
      </c>
      <c r="C644" s="22" t="s">
        <v>17</v>
      </c>
      <c r="D644" s="22" t="s">
        <v>18</v>
      </c>
      <c r="E644" s="22" t="s">
        <v>19</v>
      </c>
      <c r="F644" s="22" t="s">
        <v>20</v>
      </c>
      <c r="G644" s="22" t="s">
        <v>21</v>
      </c>
      <c r="H644" s="22">
        <v>0</v>
      </c>
      <c r="I644" s="22">
        <v>0</v>
      </c>
      <c r="J644" s="22">
        <v>0</v>
      </c>
      <c r="K644" s="22">
        <v>0</v>
      </c>
      <c r="L644" s="22">
        <v>0</v>
      </c>
      <c r="M644" s="22">
        <v>0</v>
      </c>
      <c r="N644" s="22">
        <v>0</v>
      </c>
      <c r="O644" s="22"/>
      <c r="P644" s="22">
        <v>57</v>
      </c>
      <c r="Q644" s="22" t="str">
        <f t="shared" si="30"/>
        <v>Normal</v>
      </c>
      <c r="R644" s="26" t="str">
        <f t="shared" si="31"/>
        <v>USR-10064345748ControlNorthDesktopEmailBasic000000057</v>
      </c>
      <c r="S644" s="22" t="str">
        <f t="shared" si="32"/>
        <v>OK</v>
      </c>
    </row>
    <row r="645" spans="1:19" ht="41.4">
      <c r="A645" s="22" t="s">
        <v>675</v>
      </c>
      <c r="B645" s="25">
        <v>45675</v>
      </c>
      <c r="C645" s="22" t="s">
        <v>17</v>
      </c>
      <c r="D645" s="22" t="s">
        <v>32</v>
      </c>
      <c r="E645" s="22" t="s">
        <v>19</v>
      </c>
      <c r="F645" s="22" t="s">
        <v>25</v>
      </c>
      <c r="G645" s="22" t="s">
        <v>21</v>
      </c>
      <c r="H645" s="22">
        <v>0</v>
      </c>
      <c r="I645" s="22">
        <v>0</v>
      </c>
      <c r="J645" s="22">
        <v>0</v>
      </c>
      <c r="K645" s="22">
        <v>0</v>
      </c>
      <c r="L645" s="22">
        <v>0</v>
      </c>
      <c r="M645" s="22">
        <v>0</v>
      </c>
      <c r="N645" s="22">
        <v>0</v>
      </c>
      <c r="O645" s="22"/>
      <c r="P645" s="22">
        <v>39.5</v>
      </c>
      <c r="Q645" s="22" t="str">
        <f t="shared" si="30"/>
        <v>Normal</v>
      </c>
      <c r="R645" s="26" t="str">
        <f t="shared" si="31"/>
        <v>USR-10064445675ControlSouthDesktopOrganicBasic000000039.5</v>
      </c>
      <c r="S645" s="22" t="str">
        <f t="shared" si="32"/>
        <v>OK</v>
      </c>
    </row>
    <row r="646" spans="1:19" ht="41.4">
      <c r="A646" s="22" t="s">
        <v>676</v>
      </c>
      <c r="B646" s="25">
        <v>45753</v>
      </c>
      <c r="C646" s="22" t="s">
        <v>17</v>
      </c>
      <c r="D646" s="22" t="s">
        <v>28</v>
      </c>
      <c r="E646" s="22" t="s">
        <v>34</v>
      </c>
      <c r="F646" s="22" t="s">
        <v>25</v>
      </c>
      <c r="G646" s="22" t="s">
        <v>26</v>
      </c>
      <c r="H646" s="22">
        <v>1</v>
      </c>
      <c r="I646" s="22">
        <v>0</v>
      </c>
      <c r="J646" s="22">
        <v>0</v>
      </c>
      <c r="K646" s="22">
        <v>0</v>
      </c>
      <c r="L646" s="22">
        <v>0</v>
      </c>
      <c r="M646" s="22">
        <v>0</v>
      </c>
      <c r="N646" s="22">
        <v>0</v>
      </c>
      <c r="O646" s="22"/>
      <c r="P646" s="22">
        <v>76.5</v>
      </c>
      <c r="Q646" s="22" t="str">
        <f t="shared" si="30"/>
        <v>Normal</v>
      </c>
      <c r="R646" s="26" t="str">
        <f t="shared" si="31"/>
        <v>USR-10064545753ControlEastTabletOrganicFree100000076.5</v>
      </c>
      <c r="S646" s="22" t="str">
        <f t="shared" si="32"/>
        <v>OK</v>
      </c>
    </row>
    <row r="647" spans="1:19" ht="41.4">
      <c r="A647" s="22" t="s">
        <v>677</v>
      </c>
      <c r="B647" s="25">
        <v>45764</v>
      </c>
      <c r="C647" s="22" t="s">
        <v>17</v>
      </c>
      <c r="D647" s="22" t="s">
        <v>28</v>
      </c>
      <c r="E647" s="22" t="s">
        <v>24</v>
      </c>
      <c r="F647" s="22" t="s">
        <v>25</v>
      </c>
      <c r="G647" s="22" t="s">
        <v>26</v>
      </c>
      <c r="H647" s="22">
        <v>1</v>
      </c>
      <c r="I647" s="22">
        <v>0</v>
      </c>
      <c r="J647" s="22">
        <v>0</v>
      </c>
      <c r="K647" s="22">
        <v>0</v>
      </c>
      <c r="L647" s="22">
        <v>0</v>
      </c>
      <c r="M647" s="22">
        <v>0</v>
      </c>
      <c r="N647" s="22">
        <v>0</v>
      </c>
      <c r="O647" s="22"/>
      <c r="P647" s="22">
        <v>32.4</v>
      </c>
      <c r="Q647" s="22" t="str">
        <f t="shared" si="30"/>
        <v>Normal</v>
      </c>
      <c r="R647" s="26" t="str">
        <f t="shared" si="31"/>
        <v>USR-10064645764ControlEastMobileOrganicFree100000032.4</v>
      </c>
      <c r="S647" s="22" t="str">
        <f t="shared" si="32"/>
        <v>OK</v>
      </c>
    </row>
    <row r="648" spans="1:19" ht="41.4">
      <c r="A648" s="22" t="s">
        <v>678</v>
      </c>
      <c r="B648" s="25">
        <v>45695</v>
      </c>
      <c r="C648" s="22" t="s">
        <v>17</v>
      </c>
      <c r="D648" s="22" t="s">
        <v>18</v>
      </c>
      <c r="E648" s="22" t="s">
        <v>19</v>
      </c>
      <c r="F648" s="22" t="s">
        <v>29</v>
      </c>
      <c r="G648" s="22" t="s">
        <v>26</v>
      </c>
      <c r="H648" s="22">
        <v>0</v>
      </c>
      <c r="I648" s="22">
        <v>0</v>
      </c>
      <c r="J648" s="22">
        <v>0</v>
      </c>
      <c r="K648" s="22">
        <v>0</v>
      </c>
      <c r="L648" s="22">
        <v>0</v>
      </c>
      <c r="M648" s="22">
        <v>0</v>
      </c>
      <c r="N648" s="22">
        <v>0</v>
      </c>
      <c r="O648" s="22"/>
      <c r="P648" s="22">
        <v>58.6</v>
      </c>
      <c r="Q648" s="22" t="str">
        <f t="shared" si="30"/>
        <v>Normal</v>
      </c>
      <c r="R648" s="26" t="str">
        <f t="shared" si="31"/>
        <v>USR-10064745695ControlNorthDesktopPaid SearchFree000000058.6</v>
      </c>
      <c r="S648" s="22" t="str">
        <f t="shared" si="32"/>
        <v>OK</v>
      </c>
    </row>
    <row r="649" spans="1:19" ht="41.4">
      <c r="A649" s="22" t="s">
        <v>679</v>
      </c>
      <c r="B649" s="25">
        <v>45720</v>
      </c>
      <c r="C649" s="22" t="s">
        <v>17</v>
      </c>
      <c r="D649" s="22" t="s">
        <v>28</v>
      </c>
      <c r="E649" s="22" t="s">
        <v>24</v>
      </c>
      <c r="F649" s="22" t="s">
        <v>25</v>
      </c>
      <c r="G649" s="22" t="s">
        <v>21</v>
      </c>
      <c r="H649" s="22">
        <v>1</v>
      </c>
      <c r="I649" s="22">
        <v>0</v>
      </c>
      <c r="J649" s="22">
        <v>0</v>
      </c>
      <c r="K649" s="22">
        <v>0</v>
      </c>
      <c r="L649" s="22">
        <v>0</v>
      </c>
      <c r="M649" s="22">
        <v>0</v>
      </c>
      <c r="N649" s="22">
        <v>0</v>
      </c>
      <c r="O649" s="22"/>
      <c r="P649" s="22">
        <v>78.599999999999994</v>
      </c>
      <c r="Q649" s="22" t="str">
        <f t="shared" si="30"/>
        <v>Normal</v>
      </c>
      <c r="R649" s="26" t="str">
        <f t="shared" si="31"/>
        <v>USR-10064845720ControlEastMobileOrganicBasic100000078.6</v>
      </c>
      <c r="S649" s="22" t="str">
        <f t="shared" si="32"/>
        <v>OK</v>
      </c>
    </row>
    <row r="650" spans="1:19" ht="41.4">
      <c r="A650" s="22" t="s">
        <v>680</v>
      </c>
      <c r="B650" s="25">
        <v>45705</v>
      </c>
      <c r="C650" s="22" t="s">
        <v>17</v>
      </c>
      <c r="D650" s="22" t="s">
        <v>18</v>
      </c>
      <c r="E650" s="22" t="s">
        <v>19</v>
      </c>
      <c r="F650" s="22" t="s">
        <v>25</v>
      </c>
      <c r="G650" s="22" t="s">
        <v>30</v>
      </c>
      <c r="H650" s="22">
        <v>0</v>
      </c>
      <c r="I650" s="22">
        <v>0</v>
      </c>
      <c r="J650" s="22">
        <v>0</v>
      </c>
      <c r="K650" s="22">
        <v>0</v>
      </c>
      <c r="L650" s="22">
        <v>0</v>
      </c>
      <c r="M650" s="22">
        <v>0</v>
      </c>
      <c r="N650" s="22">
        <v>0</v>
      </c>
      <c r="O650" s="22"/>
      <c r="P650" s="22">
        <v>54.5</v>
      </c>
      <c r="Q650" s="22" t="str">
        <f t="shared" si="30"/>
        <v>Normal</v>
      </c>
      <c r="R650" s="26" t="str">
        <f t="shared" si="31"/>
        <v>USR-10064945705ControlNorthDesktopOrganicPremium000000054.5</v>
      </c>
      <c r="S650" s="22" t="str">
        <f t="shared" si="32"/>
        <v>OK</v>
      </c>
    </row>
    <row r="651" spans="1:19" ht="41.4">
      <c r="A651" s="22" t="s">
        <v>681</v>
      </c>
      <c r="B651" s="25">
        <v>45783</v>
      </c>
      <c r="C651" s="22" t="s">
        <v>17</v>
      </c>
      <c r="D651" s="22" t="s">
        <v>32</v>
      </c>
      <c r="E651" s="22" t="s">
        <v>24</v>
      </c>
      <c r="F651" s="22" t="s">
        <v>39</v>
      </c>
      <c r="G651" s="22" t="s">
        <v>26</v>
      </c>
      <c r="H651" s="22">
        <v>1</v>
      </c>
      <c r="I651" s="22">
        <v>0</v>
      </c>
      <c r="J651" s="22">
        <v>0</v>
      </c>
      <c r="K651" s="22">
        <v>0</v>
      </c>
      <c r="L651" s="22">
        <v>0</v>
      </c>
      <c r="M651" s="22">
        <v>0</v>
      </c>
      <c r="N651" s="22">
        <v>0</v>
      </c>
      <c r="O651" s="22"/>
      <c r="P651" s="22">
        <v>57.6</v>
      </c>
      <c r="Q651" s="22" t="str">
        <f t="shared" si="30"/>
        <v>Normal</v>
      </c>
      <c r="R651" s="26" t="str">
        <f t="shared" si="31"/>
        <v>USR-10065045783ControlSouthMobileReferralFree100000057.6</v>
      </c>
      <c r="S651" s="22" t="str">
        <f t="shared" si="32"/>
        <v>OK</v>
      </c>
    </row>
    <row r="652" spans="1:19" ht="41.4">
      <c r="A652" s="22" t="s">
        <v>682</v>
      </c>
      <c r="B652" s="25">
        <v>45741</v>
      </c>
      <c r="C652" s="22" t="s">
        <v>17</v>
      </c>
      <c r="D652" s="22" t="s">
        <v>32</v>
      </c>
      <c r="E652" s="22" t="s">
        <v>24</v>
      </c>
      <c r="F652" s="22" t="s">
        <v>39</v>
      </c>
      <c r="G652" s="22" t="s">
        <v>30</v>
      </c>
      <c r="H652" s="22">
        <v>0</v>
      </c>
      <c r="I652" s="22">
        <v>0</v>
      </c>
      <c r="J652" s="22">
        <v>0</v>
      </c>
      <c r="K652" s="22">
        <v>0</v>
      </c>
      <c r="L652" s="22">
        <v>0</v>
      </c>
      <c r="M652" s="22">
        <v>0</v>
      </c>
      <c r="N652" s="22">
        <v>0</v>
      </c>
      <c r="O652" s="22"/>
      <c r="P652" s="22">
        <v>52.8</v>
      </c>
      <c r="Q652" s="22" t="str">
        <f t="shared" si="30"/>
        <v>Normal</v>
      </c>
      <c r="R652" s="26" t="str">
        <f t="shared" si="31"/>
        <v>USR-10065145741ControlSouthMobileReferralPremium000000052.8</v>
      </c>
      <c r="S652" s="22" t="str">
        <f t="shared" si="32"/>
        <v>OK</v>
      </c>
    </row>
    <row r="653" spans="1:19" ht="41.4">
      <c r="A653" s="22" t="s">
        <v>683</v>
      </c>
      <c r="B653" s="25">
        <v>45720</v>
      </c>
      <c r="C653" s="22" t="s">
        <v>17</v>
      </c>
      <c r="D653" s="22" t="s">
        <v>23</v>
      </c>
      <c r="E653" s="22" t="s">
        <v>24</v>
      </c>
      <c r="F653" s="22" t="s">
        <v>20</v>
      </c>
      <c r="G653" s="22" t="s">
        <v>30</v>
      </c>
      <c r="H653" s="22">
        <v>1</v>
      </c>
      <c r="I653" s="22">
        <v>0</v>
      </c>
      <c r="J653" s="22">
        <v>0</v>
      </c>
      <c r="K653" s="22">
        <v>0</v>
      </c>
      <c r="L653" s="22">
        <v>0</v>
      </c>
      <c r="M653" s="22">
        <v>0</v>
      </c>
      <c r="N653" s="22">
        <v>0</v>
      </c>
      <c r="O653" s="22"/>
      <c r="P653" s="22">
        <v>52.9</v>
      </c>
      <c r="Q653" s="22" t="str">
        <f t="shared" si="30"/>
        <v>Normal</v>
      </c>
      <c r="R653" s="26" t="str">
        <f t="shared" si="31"/>
        <v>USR-10065245720ControlWestMobileEmailPremium100000052.9</v>
      </c>
      <c r="S653" s="22" t="str">
        <f t="shared" si="32"/>
        <v>OK</v>
      </c>
    </row>
    <row r="654" spans="1:19" ht="41.4">
      <c r="A654" s="22" t="s">
        <v>684</v>
      </c>
      <c r="B654" s="25">
        <v>45786</v>
      </c>
      <c r="C654" s="22" t="s">
        <v>17</v>
      </c>
      <c r="D654" s="22" t="s">
        <v>23</v>
      </c>
      <c r="E654" s="22" t="s">
        <v>24</v>
      </c>
      <c r="F654" s="22" t="s">
        <v>25</v>
      </c>
      <c r="G654" s="22" t="s">
        <v>26</v>
      </c>
      <c r="H654" s="22">
        <v>1</v>
      </c>
      <c r="I654" s="22">
        <v>0</v>
      </c>
      <c r="J654" s="22">
        <v>0</v>
      </c>
      <c r="K654" s="22">
        <v>0</v>
      </c>
      <c r="L654" s="22">
        <v>0</v>
      </c>
      <c r="M654" s="22">
        <v>1</v>
      </c>
      <c r="N654" s="22">
        <v>0</v>
      </c>
      <c r="O654" s="22"/>
      <c r="P654" s="22">
        <v>55.9</v>
      </c>
      <c r="Q654" s="22" t="str">
        <f t="shared" si="30"/>
        <v>Normal</v>
      </c>
      <c r="R654" s="26" t="str">
        <f t="shared" si="31"/>
        <v>USR-10065345786ControlWestMobileOrganicFree100001055.9</v>
      </c>
      <c r="S654" s="22" t="str">
        <f t="shared" si="32"/>
        <v>OK</v>
      </c>
    </row>
    <row r="655" spans="1:19" ht="41.4">
      <c r="A655" s="22" t="s">
        <v>685</v>
      </c>
      <c r="B655" s="25">
        <v>45794</v>
      </c>
      <c r="C655" s="22" t="s">
        <v>17</v>
      </c>
      <c r="D655" s="22" t="s">
        <v>23</v>
      </c>
      <c r="E655" s="22" t="s">
        <v>24</v>
      </c>
      <c r="F655" s="22" t="s">
        <v>39</v>
      </c>
      <c r="G655" s="22" t="s">
        <v>30</v>
      </c>
      <c r="H655" s="22">
        <v>1</v>
      </c>
      <c r="I655" s="22">
        <v>0</v>
      </c>
      <c r="J655" s="22">
        <v>0</v>
      </c>
      <c r="K655" s="22">
        <v>0</v>
      </c>
      <c r="L655" s="22">
        <v>0</v>
      </c>
      <c r="M655" s="22">
        <v>0</v>
      </c>
      <c r="N655" s="22">
        <v>0</v>
      </c>
      <c r="O655" s="22"/>
      <c r="P655" s="22">
        <v>74.2</v>
      </c>
      <c r="Q655" s="22" t="str">
        <f t="shared" si="30"/>
        <v>Normal</v>
      </c>
      <c r="R655" s="26" t="str">
        <f t="shared" si="31"/>
        <v>USR-10065445794ControlWestMobileReferralPremium100000074.2</v>
      </c>
      <c r="S655" s="22" t="str">
        <f t="shared" si="32"/>
        <v>OK</v>
      </c>
    </row>
    <row r="656" spans="1:19" ht="41.4">
      <c r="A656" s="22" t="s">
        <v>686</v>
      </c>
      <c r="B656" s="25">
        <v>45669</v>
      </c>
      <c r="C656" s="22" t="s">
        <v>17</v>
      </c>
      <c r="D656" s="22" t="s">
        <v>23</v>
      </c>
      <c r="E656" s="22" t="s">
        <v>24</v>
      </c>
      <c r="F656" s="22" t="s">
        <v>25</v>
      </c>
      <c r="G656" s="22" t="s">
        <v>26</v>
      </c>
      <c r="H656" s="22">
        <v>0</v>
      </c>
      <c r="I656" s="22">
        <v>0</v>
      </c>
      <c r="J656" s="22">
        <v>0</v>
      </c>
      <c r="K656" s="22">
        <v>0</v>
      </c>
      <c r="L656" s="22">
        <v>0</v>
      </c>
      <c r="M656" s="22">
        <v>0</v>
      </c>
      <c r="N656" s="22">
        <v>0</v>
      </c>
      <c r="O656" s="22"/>
      <c r="P656" s="22">
        <v>46.3</v>
      </c>
      <c r="Q656" s="22" t="str">
        <f t="shared" si="30"/>
        <v>Normal</v>
      </c>
      <c r="R656" s="26" t="str">
        <f t="shared" si="31"/>
        <v>USR-10065545669ControlWestMobileOrganicFree000000046.3</v>
      </c>
      <c r="S656" s="22" t="str">
        <f t="shared" si="32"/>
        <v>OK</v>
      </c>
    </row>
    <row r="657" spans="1:19" ht="41.4">
      <c r="A657" s="22" t="s">
        <v>687</v>
      </c>
      <c r="B657" s="25">
        <v>45728</v>
      </c>
      <c r="C657" s="22" t="s">
        <v>17</v>
      </c>
      <c r="D657" s="22" t="s">
        <v>23</v>
      </c>
      <c r="E657" s="22" t="s">
        <v>24</v>
      </c>
      <c r="F657" s="22" t="s">
        <v>25</v>
      </c>
      <c r="G657" s="22" t="s">
        <v>30</v>
      </c>
      <c r="H657" s="22">
        <v>1</v>
      </c>
      <c r="I657" s="22">
        <v>0</v>
      </c>
      <c r="J657" s="22">
        <v>0</v>
      </c>
      <c r="K657" s="22">
        <v>0</v>
      </c>
      <c r="L657" s="22">
        <v>0</v>
      </c>
      <c r="M657" s="22">
        <v>0</v>
      </c>
      <c r="N657" s="22">
        <v>0</v>
      </c>
      <c r="O657" s="22"/>
      <c r="P657" s="22">
        <v>62</v>
      </c>
      <c r="Q657" s="22" t="str">
        <f t="shared" si="30"/>
        <v>Normal</v>
      </c>
      <c r="R657" s="26" t="str">
        <f t="shared" si="31"/>
        <v>USR-10065645728ControlWestMobileOrganicPremium100000062</v>
      </c>
      <c r="S657" s="22" t="str">
        <f t="shared" si="32"/>
        <v>OK</v>
      </c>
    </row>
    <row r="658" spans="1:19" ht="41.4">
      <c r="A658" s="22" t="s">
        <v>688</v>
      </c>
      <c r="B658" s="25">
        <v>45749</v>
      </c>
      <c r="C658" s="22" t="s">
        <v>17</v>
      </c>
      <c r="D658" s="22" t="s">
        <v>32</v>
      </c>
      <c r="E658" s="22" t="s">
        <v>24</v>
      </c>
      <c r="F658" s="22" t="s">
        <v>25</v>
      </c>
      <c r="G658" s="22" t="s">
        <v>21</v>
      </c>
      <c r="H658" s="22">
        <v>0</v>
      </c>
      <c r="I658" s="22">
        <v>0</v>
      </c>
      <c r="J658" s="22">
        <v>0</v>
      </c>
      <c r="K658" s="22">
        <v>0</v>
      </c>
      <c r="L658" s="22">
        <v>0</v>
      </c>
      <c r="M658" s="22">
        <v>0</v>
      </c>
      <c r="N658" s="22">
        <v>0</v>
      </c>
      <c r="O658" s="22"/>
      <c r="P658" s="22">
        <v>55.6</v>
      </c>
      <c r="Q658" s="22" t="str">
        <f t="shared" si="30"/>
        <v>Normal</v>
      </c>
      <c r="R658" s="26" t="str">
        <f t="shared" si="31"/>
        <v>USR-10065745749ControlSouthMobileOrganicBasic000000055.6</v>
      </c>
      <c r="S658" s="22" t="str">
        <f t="shared" si="32"/>
        <v>OK</v>
      </c>
    </row>
    <row r="659" spans="1:19" ht="41.4">
      <c r="A659" s="22" t="s">
        <v>689</v>
      </c>
      <c r="B659" s="25">
        <v>45670</v>
      </c>
      <c r="C659" s="22" t="s">
        <v>17</v>
      </c>
      <c r="D659" s="22" t="s">
        <v>32</v>
      </c>
      <c r="E659" s="22" t="s">
        <v>24</v>
      </c>
      <c r="F659" s="22" t="s">
        <v>25</v>
      </c>
      <c r="G659" s="22" t="s">
        <v>21</v>
      </c>
      <c r="H659" s="22">
        <v>1</v>
      </c>
      <c r="I659" s="22">
        <v>0</v>
      </c>
      <c r="J659" s="22">
        <v>0</v>
      </c>
      <c r="K659" s="22">
        <v>0</v>
      </c>
      <c r="L659" s="22">
        <v>0</v>
      </c>
      <c r="M659" s="22">
        <v>0</v>
      </c>
      <c r="N659" s="22">
        <v>0</v>
      </c>
      <c r="O659" s="22"/>
      <c r="P659" s="22">
        <v>62.8</v>
      </c>
      <c r="Q659" s="22" t="str">
        <f t="shared" si="30"/>
        <v>Normal</v>
      </c>
      <c r="R659" s="26" t="str">
        <f t="shared" si="31"/>
        <v>USR-10065845670ControlSouthMobileOrganicBasic100000062.8</v>
      </c>
      <c r="S659" s="22" t="str">
        <f t="shared" si="32"/>
        <v>OK</v>
      </c>
    </row>
    <row r="660" spans="1:19" ht="41.4">
      <c r="A660" s="22" t="s">
        <v>690</v>
      </c>
      <c r="B660" s="25">
        <v>45723</v>
      </c>
      <c r="C660" s="22" t="s">
        <v>17</v>
      </c>
      <c r="D660" s="22" t="s">
        <v>28</v>
      </c>
      <c r="E660" s="22" t="s">
        <v>24</v>
      </c>
      <c r="F660" s="22" t="s">
        <v>39</v>
      </c>
      <c r="G660" s="22" t="s">
        <v>26</v>
      </c>
      <c r="H660" s="22">
        <v>0</v>
      </c>
      <c r="I660" s="22">
        <v>0</v>
      </c>
      <c r="J660" s="22">
        <v>0</v>
      </c>
      <c r="K660" s="22">
        <v>0</v>
      </c>
      <c r="L660" s="22">
        <v>0</v>
      </c>
      <c r="M660" s="22">
        <v>0</v>
      </c>
      <c r="N660" s="22">
        <v>0</v>
      </c>
      <c r="O660" s="22"/>
      <c r="P660" s="22">
        <v>73.099999999999994</v>
      </c>
      <c r="Q660" s="22" t="str">
        <f t="shared" si="30"/>
        <v>Normal</v>
      </c>
      <c r="R660" s="26" t="str">
        <f t="shared" si="31"/>
        <v>USR-10065945723ControlEastMobileReferralFree000000073.1</v>
      </c>
      <c r="S660" s="22" t="str">
        <f t="shared" si="32"/>
        <v>OK</v>
      </c>
    </row>
    <row r="661" spans="1:19" ht="41.4">
      <c r="A661" s="22" t="s">
        <v>691</v>
      </c>
      <c r="B661" s="25">
        <v>45767</v>
      </c>
      <c r="C661" s="22" t="s">
        <v>17</v>
      </c>
      <c r="D661" s="22" t="s">
        <v>32</v>
      </c>
      <c r="E661" s="22" t="s">
        <v>19</v>
      </c>
      <c r="F661" s="22" t="s">
        <v>41</v>
      </c>
      <c r="G661" s="22" t="s">
        <v>26</v>
      </c>
      <c r="H661" s="22">
        <v>1</v>
      </c>
      <c r="I661" s="22">
        <v>1</v>
      </c>
      <c r="J661" s="22">
        <v>1</v>
      </c>
      <c r="K661" s="22">
        <v>1</v>
      </c>
      <c r="L661" s="22">
        <v>347.52</v>
      </c>
      <c r="M661" s="22">
        <v>0</v>
      </c>
      <c r="N661" s="22">
        <v>0</v>
      </c>
      <c r="O661" s="22">
        <v>2</v>
      </c>
      <c r="P661" s="22">
        <v>57.2</v>
      </c>
      <c r="Q661" s="22" t="str">
        <f t="shared" si="30"/>
        <v>Normal</v>
      </c>
      <c r="R661" s="26" t="str">
        <f t="shared" si="31"/>
        <v>USR-10066045767ControlSouthDesktopSocialFree1111347.5200257.2</v>
      </c>
      <c r="S661" s="22" t="str">
        <f t="shared" si="32"/>
        <v>OK</v>
      </c>
    </row>
    <row r="662" spans="1:19" ht="41.4">
      <c r="A662" s="22" t="s">
        <v>692</v>
      </c>
      <c r="B662" s="25">
        <v>45664</v>
      </c>
      <c r="C662" s="22" t="s">
        <v>17</v>
      </c>
      <c r="D662" s="22" t="s">
        <v>32</v>
      </c>
      <c r="E662" s="22" t="s">
        <v>24</v>
      </c>
      <c r="F662" s="22" t="s">
        <v>29</v>
      </c>
      <c r="G662" s="22" t="s">
        <v>26</v>
      </c>
      <c r="H662" s="22">
        <v>1</v>
      </c>
      <c r="I662" s="22">
        <v>0</v>
      </c>
      <c r="J662" s="22">
        <v>0</v>
      </c>
      <c r="K662" s="22">
        <v>0</v>
      </c>
      <c r="L662" s="22">
        <v>0</v>
      </c>
      <c r="M662" s="22">
        <v>0</v>
      </c>
      <c r="N662" s="22">
        <v>0</v>
      </c>
      <c r="O662" s="22"/>
      <c r="P662" s="22">
        <v>67.900000000000006</v>
      </c>
      <c r="Q662" s="22" t="str">
        <f t="shared" si="30"/>
        <v>Normal</v>
      </c>
      <c r="R662" s="26" t="str">
        <f t="shared" si="31"/>
        <v>USR-10066145664ControlSouthMobilePaid SearchFree100000067.9</v>
      </c>
      <c r="S662" s="22" t="str">
        <f t="shared" si="32"/>
        <v>OK</v>
      </c>
    </row>
    <row r="663" spans="1:19" ht="41.4">
      <c r="A663" s="22" t="s">
        <v>693</v>
      </c>
      <c r="B663" s="25">
        <v>45770</v>
      </c>
      <c r="C663" s="22" t="s">
        <v>17</v>
      </c>
      <c r="D663" s="22" t="s">
        <v>32</v>
      </c>
      <c r="E663" s="22" t="s">
        <v>24</v>
      </c>
      <c r="F663" s="22" t="s">
        <v>39</v>
      </c>
      <c r="G663" s="22" t="s">
        <v>26</v>
      </c>
      <c r="H663" s="22">
        <v>0</v>
      </c>
      <c r="I663" s="22">
        <v>0</v>
      </c>
      <c r="J663" s="22">
        <v>0</v>
      </c>
      <c r="K663" s="22">
        <v>0</v>
      </c>
      <c r="L663" s="22">
        <v>0</v>
      </c>
      <c r="M663" s="22">
        <v>0</v>
      </c>
      <c r="N663" s="22">
        <v>0</v>
      </c>
      <c r="O663" s="22"/>
      <c r="P663" s="22">
        <v>50.1</v>
      </c>
      <c r="Q663" s="22" t="str">
        <f t="shared" si="30"/>
        <v>Normal</v>
      </c>
      <c r="R663" s="26" t="str">
        <f t="shared" si="31"/>
        <v>USR-10066245770ControlSouthMobileReferralFree000000050.1</v>
      </c>
      <c r="S663" s="22" t="str">
        <f t="shared" si="32"/>
        <v>OK</v>
      </c>
    </row>
    <row r="664" spans="1:19" ht="41.4">
      <c r="A664" s="22" t="s">
        <v>694</v>
      </c>
      <c r="B664" s="25">
        <v>45803</v>
      </c>
      <c r="C664" s="22" t="s">
        <v>17</v>
      </c>
      <c r="D664" s="22" t="s">
        <v>18</v>
      </c>
      <c r="E664" s="22" t="s">
        <v>24</v>
      </c>
      <c r="F664" s="22" t="s">
        <v>29</v>
      </c>
      <c r="G664" s="22" t="s">
        <v>21</v>
      </c>
      <c r="H664" s="22">
        <v>0</v>
      </c>
      <c r="I664" s="22">
        <v>0</v>
      </c>
      <c r="J664" s="22">
        <v>0</v>
      </c>
      <c r="K664" s="22">
        <v>0</v>
      </c>
      <c r="L664" s="22">
        <v>0</v>
      </c>
      <c r="M664" s="22">
        <v>0</v>
      </c>
      <c r="N664" s="22">
        <v>0</v>
      </c>
      <c r="O664" s="22"/>
      <c r="P664" s="22">
        <v>67.8</v>
      </c>
      <c r="Q664" s="22" t="str">
        <f t="shared" si="30"/>
        <v>Normal</v>
      </c>
      <c r="R664" s="26" t="str">
        <f t="shared" si="31"/>
        <v>USR-10066345803ControlNorthMobilePaid SearchBasic000000067.8</v>
      </c>
      <c r="S664" s="22" t="str">
        <f t="shared" si="32"/>
        <v>OK</v>
      </c>
    </row>
    <row r="665" spans="1:19" ht="41.4">
      <c r="A665" s="22" t="s">
        <v>695</v>
      </c>
      <c r="B665" s="25">
        <v>45733</v>
      </c>
      <c r="C665" s="22" t="s">
        <v>17</v>
      </c>
      <c r="D665" s="22" t="s">
        <v>18</v>
      </c>
      <c r="E665" s="22" t="s">
        <v>19</v>
      </c>
      <c r="F665" s="22" t="s">
        <v>41</v>
      </c>
      <c r="G665" s="22" t="s">
        <v>21</v>
      </c>
      <c r="H665" s="22">
        <v>1</v>
      </c>
      <c r="I665" s="22">
        <v>1</v>
      </c>
      <c r="J665" s="22">
        <v>1</v>
      </c>
      <c r="K665" s="22">
        <v>0</v>
      </c>
      <c r="L665" s="22">
        <v>0</v>
      </c>
      <c r="M665" s="22">
        <v>0</v>
      </c>
      <c r="N665" s="22">
        <v>0</v>
      </c>
      <c r="O665" s="22"/>
      <c r="P665" s="22">
        <v>60.8</v>
      </c>
      <c r="Q665" s="22" t="str">
        <f t="shared" si="30"/>
        <v>Normal</v>
      </c>
      <c r="R665" s="26" t="str">
        <f t="shared" si="31"/>
        <v>USR-10066445733ControlNorthDesktopSocialBasic111000060.8</v>
      </c>
      <c r="S665" s="22" t="str">
        <f t="shared" si="32"/>
        <v>OK</v>
      </c>
    </row>
    <row r="666" spans="1:19" ht="41.4">
      <c r="A666" s="22" t="s">
        <v>696</v>
      </c>
      <c r="B666" s="25">
        <v>45794</v>
      </c>
      <c r="C666" s="22" t="s">
        <v>17</v>
      </c>
      <c r="D666" s="22" t="s">
        <v>18</v>
      </c>
      <c r="E666" s="22" t="s">
        <v>19</v>
      </c>
      <c r="F666" s="22" t="s">
        <v>29</v>
      </c>
      <c r="G666" s="22" t="s">
        <v>21</v>
      </c>
      <c r="H666" s="22">
        <v>1</v>
      </c>
      <c r="I666" s="22">
        <v>0</v>
      </c>
      <c r="J666" s="22">
        <v>0</v>
      </c>
      <c r="K666" s="22">
        <v>0</v>
      </c>
      <c r="L666" s="22">
        <v>0</v>
      </c>
      <c r="M666" s="22">
        <v>3</v>
      </c>
      <c r="N666" s="22">
        <v>0</v>
      </c>
      <c r="O666" s="22"/>
      <c r="P666" s="22">
        <v>33.700000000000003</v>
      </c>
      <c r="Q666" s="22" t="str">
        <f t="shared" si="30"/>
        <v>Normal</v>
      </c>
      <c r="R666" s="26" t="str">
        <f t="shared" si="31"/>
        <v>USR-10066545794ControlNorthDesktopPaid SearchBasic100003033.7</v>
      </c>
      <c r="S666" s="22" t="str">
        <f t="shared" si="32"/>
        <v>OK</v>
      </c>
    </row>
    <row r="667" spans="1:19" ht="41.4">
      <c r="A667" s="22" t="s">
        <v>697</v>
      </c>
      <c r="B667" s="25">
        <v>45709</v>
      </c>
      <c r="C667" s="22" t="s">
        <v>17</v>
      </c>
      <c r="D667" s="22" t="s">
        <v>18</v>
      </c>
      <c r="E667" s="22" t="s">
        <v>24</v>
      </c>
      <c r="F667" s="22" t="s">
        <v>29</v>
      </c>
      <c r="G667" s="22" t="s">
        <v>21</v>
      </c>
      <c r="H667" s="22">
        <v>0</v>
      </c>
      <c r="I667" s="22">
        <v>0</v>
      </c>
      <c r="J667" s="22">
        <v>0</v>
      </c>
      <c r="K667" s="22">
        <v>0</v>
      </c>
      <c r="L667" s="22">
        <v>0</v>
      </c>
      <c r="M667" s="22">
        <v>0</v>
      </c>
      <c r="N667" s="22">
        <v>0</v>
      </c>
      <c r="O667" s="22"/>
      <c r="P667" s="22">
        <v>45.2</v>
      </c>
      <c r="Q667" s="22" t="str">
        <f t="shared" si="30"/>
        <v>Normal</v>
      </c>
      <c r="R667" s="26" t="str">
        <f t="shared" si="31"/>
        <v>USR-10066645709ControlNorthMobilePaid SearchBasic000000045.2</v>
      </c>
      <c r="S667" s="22" t="str">
        <f t="shared" si="32"/>
        <v>OK</v>
      </c>
    </row>
    <row r="668" spans="1:19" ht="41.4">
      <c r="A668" s="22" t="s">
        <v>698</v>
      </c>
      <c r="B668" s="25">
        <v>45713</v>
      </c>
      <c r="C668" s="22" t="s">
        <v>17</v>
      </c>
      <c r="D668" s="22" t="s">
        <v>28</v>
      </c>
      <c r="E668" s="22" t="s">
        <v>19</v>
      </c>
      <c r="F668" s="22" t="s">
        <v>29</v>
      </c>
      <c r="G668" s="22" t="s">
        <v>30</v>
      </c>
      <c r="H668" s="22">
        <v>0</v>
      </c>
      <c r="I668" s="22">
        <v>0</v>
      </c>
      <c r="J668" s="22">
        <v>0</v>
      </c>
      <c r="K668" s="22">
        <v>0</v>
      </c>
      <c r="L668" s="22">
        <v>0</v>
      </c>
      <c r="M668" s="22">
        <v>0</v>
      </c>
      <c r="N668" s="22">
        <v>0</v>
      </c>
      <c r="O668" s="22"/>
      <c r="P668" s="22">
        <v>48.2</v>
      </c>
      <c r="Q668" s="22" t="str">
        <f t="shared" si="30"/>
        <v>Normal</v>
      </c>
      <c r="R668" s="26" t="str">
        <f t="shared" si="31"/>
        <v>USR-10066745713ControlEastDesktopPaid SearchPremium000000048.2</v>
      </c>
      <c r="S668" s="22" t="str">
        <f t="shared" si="32"/>
        <v>OK</v>
      </c>
    </row>
    <row r="669" spans="1:19" ht="41.4">
      <c r="A669" s="22" t="s">
        <v>699</v>
      </c>
      <c r="B669" s="25">
        <v>45687</v>
      </c>
      <c r="C669" s="22" t="s">
        <v>17</v>
      </c>
      <c r="D669" s="22" t="s">
        <v>32</v>
      </c>
      <c r="E669" s="22" t="s">
        <v>24</v>
      </c>
      <c r="F669" s="22" t="s">
        <v>41</v>
      </c>
      <c r="G669" s="22" t="s">
        <v>26</v>
      </c>
      <c r="H669" s="22">
        <v>1</v>
      </c>
      <c r="I669" s="22">
        <v>1</v>
      </c>
      <c r="J669" s="22">
        <v>0</v>
      </c>
      <c r="K669" s="22">
        <v>0</v>
      </c>
      <c r="L669" s="22">
        <v>0</v>
      </c>
      <c r="M669" s="22">
        <v>1</v>
      </c>
      <c r="N669" s="22">
        <v>0</v>
      </c>
      <c r="O669" s="22"/>
      <c r="P669" s="22">
        <v>44.8</v>
      </c>
      <c r="Q669" s="22" t="str">
        <f t="shared" si="30"/>
        <v>Normal</v>
      </c>
      <c r="R669" s="26" t="str">
        <f t="shared" si="31"/>
        <v>USR-10066845687ControlSouthMobileSocialFree110001044.8</v>
      </c>
      <c r="S669" s="22" t="str">
        <f t="shared" si="32"/>
        <v>OK</v>
      </c>
    </row>
    <row r="670" spans="1:19" ht="41.4">
      <c r="A670" s="22" t="s">
        <v>700</v>
      </c>
      <c r="B670" s="25">
        <v>45705</v>
      </c>
      <c r="C670" s="22" t="s">
        <v>17</v>
      </c>
      <c r="D670" s="22" t="s">
        <v>18</v>
      </c>
      <c r="E670" s="22" t="s">
        <v>34</v>
      </c>
      <c r="F670" s="22" t="s">
        <v>41</v>
      </c>
      <c r="G670" s="22" t="s">
        <v>21</v>
      </c>
      <c r="H670" s="22">
        <v>0</v>
      </c>
      <c r="I670" s="22">
        <v>0</v>
      </c>
      <c r="J670" s="22">
        <v>0</v>
      </c>
      <c r="K670" s="22">
        <v>0</v>
      </c>
      <c r="L670" s="22">
        <v>0</v>
      </c>
      <c r="M670" s="22">
        <v>0</v>
      </c>
      <c r="N670" s="22">
        <v>0</v>
      </c>
      <c r="O670" s="22"/>
      <c r="P670" s="22">
        <v>52.1</v>
      </c>
      <c r="Q670" s="22" t="str">
        <f t="shared" si="30"/>
        <v>Normal</v>
      </c>
      <c r="R670" s="26" t="str">
        <f t="shared" si="31"/>
        <v>USR-10066945705ControlNorthTabletSocialBasic000000052.1</v>
      </c>
      <c r="S670" s="22" t="str">
        <f t="shared" si="32"/>
        <v>OK</v>
      </c>
    </row>
    <row r="671" spans="1:19" ht="41.4">
      <c r="A671" s="22" t="s">
        <v>701</v>
      </c>
      <c r="B671" s="25">
        <v>45794</v>
      </c>
      <c r="C671" s="22" t="s">
        <v>17</v>
      </c>
      <c r="D671" s="22" t="s">
        <v>18</v>
      </c>
      <c r="E671" s="22" t="s">
        <v>19</v>
      </c>
      <c r="F671" s="22" t="s">
        <v>29</v>
      </c>
      <c r="G671" s="22" t="s">
        <v>21</v>
      </c>
      <c r="H671" s="22">
        <v>1</v>
      </c>
      <c r="I671" s="22">
        <v>0</v>
      </c>
      <c r="J671" s="22">
        <v>0</v>
      </c>
      <c r="K671" s="22">
        <v>0</v>
      </c>
      <c r="L671" s="22">
        <v>0</v>
      </c>
      <c r="M671" s="22">
        <v>0</v>
      </c>
      <c r="N671" s="22">
        <v>0</v>
      </c>
      <c r="O671" s="22"/>
      <c r="P671" s="22">
        <v>30.7</v>
      </c>
      <c r="Q671" s="22" t="str">
        <f t="shared" si="30"/>
        <v>Normal</v>
      </c>
      <c r="R671" s="26" t="str">
        <f t="shared" si="31"/>
        <v>USR-10067045794ControlNorthDesktopPaid SearchBasic100000030.7</v>
      </c>
      <c r="S671" s="22" t="str">
        <f t="shared" si="32"/>
        <v>OK</v>
      </c>
    </row>
    <row r="672" spans="1:19" ht="41.4">
      <c r="A672" s="22" t="s">
        <v>702</v>
      </c>
      <c r="B672" s="25">
        <v>45777</v>
      </c>
      <c r="C672" s="22" t="s">
        <v>17</v>
      </c>
      <c r="D672" s="22" t="s">
        <v>28</v>
      </c>
      <c r="E672" s="22" t="s">
        <v>19</v>
      </c>
      <c r="F672" s="22" t="s">
        <v>29</v>
      </c>
      <c r="G672" s="22" t="s">
        <v>26</v>
      </c>
      <c r="H672" s="22">
        <v>1</v>
      </c>
      <c r="I672" s="22">
        <v>0</v>
      </c>
      <c r="J672" s="22">
        <v>0</v>
      </c>
      <c r="K672" s="22">
        <v>0</v>
      </c>
      <c r="L672" s="22">
        <v>0</v>
      </c>
      <c r="M672" s="22">
        <v>0</v>
      </c>
      <c r="N672" s="22">
        <v>0</v>
      </c>
      <c r="O672" s="22"/>
      <c r="P672" s="22">
        <v>58.4</v>
      </c>
      <c r="Q672" s="22" t="str">
        <f t="shared" si="30"/>
        <v>Normal</v>
      </c>
      <c r="R672" s="26" t="str">
        <f t="shared" si="31"/>
        <v>USR-10067145777ControlEastDesktopPaid SearchFree100000058.4</v>
      </c>
      <c r="S672" s="22" t="str">
        <f t="shared" si="32"/>
        <v>OK</v>
      </c>
    </row>
    <row r="673" spans="1:19" ht="41.4">
      <c r="A673" s="22" t="s">
        <v>703</v>
      </c>
      <c r="B673" s="25">
        <v>45738</v>
      </c>
      <c r="C673" s="22" t="s">
        <v>17</v>
      </c>
      <c r="D673" s="22" t="s">
        <v>23</v>
      </c>
      <c r="E673" s="22" t="s">
        <v>24</v>
      </c>
      <c r="F673" s="22" t="s">
        <v>39</v>
      </c>
      <c r="G673" s="22" t="s">
        <v>26</v>
      </c>
      <c r="H673" s="22">
        <v>1</v>
      </c>
      <c r="I673" s="22">
        <v>1</v>
      </c>
      <c r="J673" s="22">
        <v>0</v>
      </c>
      <c r="K673" s="22">
        <v>0</v>
      </c>
      <c r="L673" s="22">
        <v>0</v>
      </c>
      <c r="M673" s="22">
        <v>0</v>
      </c>
      <c r="N673" s="22">
        <v>0</v>
      </c>
      <c r="O673" s="22"/>
      <c r="P673" s="22">
        <v>52.6</v>
      </c>
      <c r="Q673" s="22" t="str">
        <f t="shared" si="30"/>
        <v>Normal</v>
      </c>
      <c r="R673" s="26" t="str">
        <f t="shared" si="31"/>
        <v>USR-10067245738ControlWestMobileReferralFree110000052.6</v>
      </c>
      <c r="S673" s="22" t="str">
        <f t="shared" si="32"/>
        <v>OK</v>
      </c>
    </row>
    <row r="674" spans="1:19" ht="27.6">
      <c r="A674" s="22" t="s">
        <v>704</v>
      </c>
      <c r="B674" s="25">
        <v>45667</v>
      </c>
      <c r="C674" s="22" t="s">
        <v>17</v>
      </c>
      <c r="D674" s="22" t="s">
        <v>23</v>
      </c>
      <c r="E674" s="22"/>
      <c r="F674" s="22" t="s">
        <v>29</v>
      </c>
      <c r="G674" s="22" t="s">
        <v>26</v>
      </c>
      <c r="H674" s="22">
        <v>1</v>
      </c>
      <c r="I674" s="22">
        <v>0</v>
      </c>
      <c r="J674" s="22">
        <v>0</v>
      </c>
      <c r="K674" s="22">
        <v>0</v>
      </c>
      <c r="L674" s="22">
        <v>0</v>
      </c>
      <c r="M674" s="22">
        <v>1</v>
      </c>
      <c r="N674" s="22">
        <v>0</v>
      </c>
      <c r="O674" s="22"/>
      <c r="P674" s="22">
        <v>19.100000000000001</v>
      </c>
      <c r="Q674" s="22" t="str">
        <f t="shared" si="30"/>
        <v>Normal</v>
      </c>
      <c r="R674" s="26" t="str">
        <f t="shared" si="31"/>
        <v>USR-10067345667ControlWestPaid SearchFree100001019.1</v>
      </c>
      <c r="S674" s="22" t="str">
        <f t="shared" si="32"/>
        <v>OK</v>
      </c>
    </row>
    <row r="675" spans="1:19" ht="41.4">
      <c r="A675" s="22" t="s">
        <v>705</v>
      </c>
      <c r="B675" s="25">
        <v>45737</v>
      </c>
      <c r="C675" s="22" t="s">
        <v>17</v>
      </c>
      <c r="D675" s="22" t="s">
        <v>32</v>
      </c>
      <c r="E675" s="22"/>
      <c r="F675" s="22" t="s">
        <v>29</v>
      </c>
      <c r="G675" s="22" t="s">
        <v>26</v>
      </c>
      <c r="H675" s="22">
        <v>1</v>
      </c>
      <c r="I675" s="22">
        <v>0</v>
      </c>
      <c r="J675" s="22">
        <v>0</v>
      </c>
      <c r="K675" s="22">
        <v>0</v>
      </c>
      <c r="L675" s="22">
        <v>0</v>
      </c>
      <c r="M675" s="22">
        <v>0</v>
      </c>
      <c r="N675" s="22">
        <v>0</v>
      </c>
      <c r="O675" s="22"/>
      <c r="P675" s="22">
        <v>36.799999999999997</v>
      </c>
      <c r="Q675" s="22" t="str">
        <f t="shared" si="30"/>
        <v>Normal</v>
      </c>
      <c r="R675" s="26" t="str">
        <f t="shared" si="31"/>
        <v>USR-10067445737ControlSouthPaid SearchFree100000036.8</v>
      </c>
      <c r="S675" s="22" t="str">
        <f t="shared" si="32"/>
        <v>OK</v>
      </c>
    </row>
    <row r="676" spans="1:19" ht="41.4">
      <c r="A676" s="22" t="s">
        <v>706</v>
      </c>
      <c r="B676" s="25">
        <v>45789</v>
      </c>
      <c r="C676" s="22" t="s">
        <v>17</v>
      </c>
      <c r="D676" s="22" t="s">
        <v>18</v>
      </c>
      <c r="E676" s="22" t="s">
        <v>19</v>
      </c>
      <c r="F676" s="22" t="s">
        <v>29</v>
      </c>
      <c r="G676" s="22" t="s">
        <v>21</v>
      </c>
      <c r="H676" s="22">
        <v>0</v>
      </c>
      <c r="I676" s="22">
        <v>0</v>
      </c>
      <c r="J676" s="22">
        <v>0</v>
      </c>
      <c r="K676" s="22">
        <v>0</v>
      </c>
      <c r="L676" s="22">
        <v>0</v>
      </c>
      <c r="M676" s="22">
        <v>0</v>
      </c>
      <c r="N676" s="22">
        <v>0</v>
      </c>
      <c r="O676" s="22"/>
      <c r="P676" s="22">
        <v>68.5</v>
      </c>
      <c r="Q676" s="22" t="str">
        <f t="shared" si="30"/>
        <v>Normal</v>
      </c>
      <c r="R676" s="26" t="str">
        <f t="shared" si="31"/>
        <v>USR-10067545789ControlNorthDesktopPaid SearchBasic000000068.5</v>
      </c>
      <c r="S676" s="22" t="str">
        <f t="shared" si="32"/>
        <v>OK</v>
      </c>
    </row>
    <row r="677" spans="1:19" ht="41.4">
      <c r="A677" s="22" t="s">
        <v>707</v>
      </c>
      <c r="B677" s="25">
        <v>45801</v>
      </c>
      <c r="C677" s="22" t="s">
        <v>17</v>
      </c>
      <c r="D677" s="22" t="s">
        <v>23</v>
      </c>
      <c r="E677" s="22" t="s">
        <v>24</v>
      </c>
      <c r="F677" s="22" t="s">
        <v>29</v>
      </c>
      <c r="G677" s="22" t="s">
        <v>26</v>
      </c>
      <c r="H677" s="22">
        <v>1</v>
      </c>
      <c r="I677" s="22">
        <v>1</v>
      </c>
      <c r="J677" s="22">
        <v>1</v>
      </c>
      <c r="K677" s="22">
        <v>0</v>
      </c>
      <c r="L677" s="22">
        <v>0</v>
      </c>
      <c r="M677" s="22">
        <v>0</v>
      </c>
      <c r="N677" s="22">
        <v>0</v>
      </c>
      <c r="O677" s="22"/>
      <c r="P677" s="22">
        <v>40.1</v>
      </c>
      <c r="Q677" s="22" t="str">
        <f t="shared" si="30"/>
        <v>Normal</v>
      </c>
      <c r="R677" s="26" t="str">
        <f t="shared" si="31"/>
        <v>USR-10067645801ControlWestMobilePaid SearchFree111000040.1</v>
      </c>
      <c r="S677" s="22" t="str">
        <f t="shared" si="32"/>
        <v>OK</v>
      </c>
    </row>
    <row r="678" spans="1:19" ht="41.4">
      <c r="A678" s="22" t="s">
        <v>708</v>
      </c>
      <c r="B678" s="25">
        <v>45780</v>
      </c>
      <c r="C678" s="22" t="s">
        <v>17</v>
      </c>
      <c r="D678" s="22" t="s">
        <v>23</v>
      </c>
      <c r="E678" s="22" t="s">
        <v>34</v>
      </c>
      <c r="F678" s="22" t="s">
        <v>25</v>
      </c>
      <c r="G678" s="22" t="s">
        <v>26</v>
      </c>
      <c r="H678" s="22">
        <v>1</v>
      </c>
      <c r="I678" s="22">
        <v>0</v>
      </c>
      <c r="J678" s="22">
        <v>0</v>
      </c>
      <c r="K678" s="22">
        <v>0</v>
      </c>
      <c r="L678" s="22">
        <v>0</v>
      </c>
      <c r="M678" s="22">
        <v>0</v>
      </c>
      <c r="N678" s="22">
        <v>0</v>
      </c>
      <c r="O678" s="22"/>
      <c r="P678" s="22">
        <v>47.5</v>
      </c>
      <c r="Q678" s="22" t="str">
        <f t="shared" si="30"/>
        <v>Normal</v>
      </c>
      <c r="R678" s="26" t="str">
        <f t="shared" si="31"/>
        <v>USR-10067745780ControlWestTabletOrganicFree100000047.5</v>
      </c>
      <c r="S678" s="22" t="str">
        <f t="shared" si="32"/>
        <v>OK</v>
      </c>
    </row>
    <row r="679" spans="1:19" ht="41.4">
      <c r="A679" s="22" t="s">
        <v>709</v>
      </c>
      <c r="B679" s="25">
        <v>45671</v>
      </c>
      <c r="C679" s="22" t="s">
        <v>17</v>
      </c>
      <c r="D679" s="22" t="s">
        <v>32</v>
      </c>
      <c r="E679" s="22" t="s">
        <v>24</v>
      </c>
      <c r="F679" s="22" t="s">
        <v>25</v>
      </c>
      <c r="G679" s="22" t="s">
        <v>21</v>
      </c>
      <c r="H679" s="22">
        <v>1</v>
      </c>
      <c r="I679" s="22">
        <v>0</v>
      </c>
      <c r="J679" s="22">
        <v>0</v>
      </c>
      <c r="K679" s="22">
        <v>0</v>
      </c>
      <c r="L679" s="22">
        <v>0</v>
      </c>
      <c r="M679" s="22">
        <v>0</v>
      </c>
      <c r="N679" s="22">
        <v>0</v>
      </c>
      <c r="O679" s="22"/>
      <c r="P679" s="22">
        <v>77.099999999999994</v>
      </c>
      <c r="Q679" s="22" t="str">
        <f t="shared" si="30"/>
        <v>Normal</v>
      </c>
      <c r="R679" s="26" t="str">
        <f t="shared" si="31"/>
        <v>USR-10067845671ControlSouthMobileOrganicBasic100000077.1</v>
      </c>
      <c r="S679" s="22" t="str">
        <f t="shared" si="32"/>
        <v>OK</v>
      </c>
    </row>
    <row r="680" spans="1:19" ht="41.4">
      <c r="A680" s="22" t="s">
        <v>710</v>
      </c>
      <c r="B680" s="25">
        <v>45743</v>
      </c>
      <c r="C680" s="22" t="s">
        <v>17</v>
      </c>
      <c r="D680" s="22" t="s">
        <v>23</v>
      </c>
      <c r="E680" s="22" t="s">
        <v>24</v>
      </c>
      <c r="F680" s="22" t="s">
        <v>41</v>
      </c>
      <c r="G680" s="22" t="s">
        <v>21</v>
      </c>
      <c r="H680" s="22">
        <v>1</v>
      </c>
      <c r="I680" s="22">
        <v>0</v>
      </c>
      <c r="J680" s="22">
        <v>0</v>
      </c>
      <c r="K680" s="22">
        <v>0</v>
      </c>
      <c r="L680" s="22">
        <v>0</v>
      </c>
      <c r="M680" s="22">
        <v>0</v>
      </c>
      <c r="N680" s="22">
        <v>0</v>
      </c>
      <c r="O680" s="22"/>
      <c r="P680" s="22">
        <v>75.900000000000006</v>
      </c>
      <c r="Q680" s="22" t="str">
        <f t="shared" si="30"/>
        <v>Normal</v>
      </c>
      <c r="R680" s="26" t="str">
        <f t="shared" si="31"/>
        <v>USR-10067945743ControlWestMobileSocialBasic100000075.9</v>
      </c>
      <c r="S680" s="22" t="str">
        <f t="shared" si="32"/>
        <v>OK</v>
      </c>
    </row>
    <row r="681" spans="1:19" ht="41.4">
      <c r="A681" s="22" t="s">
        <v>711</v>
      </c>
      <c r="B681" s="25">
        <v>45716</v>
      </c>
      <c r="C681" s="22" t="s">
        <v>17</v>
      </c>
      <c r="D681" s="22" t="s">
        <v>18</v>
      </c>
      <c r="E681" s="22" t="s">
        <v>19</v>
      </c>
      <c r="F681" s="22" t="s">
        <v>39</v>
      </c>
      <c r="G681" s="22" t="s">
        <v>30</v>
      </c>
      <c r="H681" s="22">
        <v>0</v>
      </c>
      <c r="I681" s="22">
        <v>0</v>
      </c>
      <c r="J681" s="22">
        <v>0</v>
      </c>
      <c r="K681" s="22">
        <v>0</v>
      </c>
      <c r="L681" s="22">
        <v>0</v>
      </c>
      <c r="M681" s="22">
        <v>1</v>
      </c>
      <c r="N681" s="22">
        <v>0</v>
      </c>
      <c r="O681" s="22"/>
      <c r="P681" s="22">
        <v>52</v>
      </c>
      <c r="Q681" s="22" t="str">
        <f t="shared" si="30"/>
        <v>Normal</v>
      </c>
      <c r="R681" s="26" t="str">
        <f t="shared" si="31"/>
        <v>USR-10068045716ControlNorthDesktopReferralPremium000001052</v>
      </c>
      <c r="S681" s="22" t="str">
        <f t="shared" si="32"/>
        <v>OK</v>
      </c>
    </row>
    <row r="682" spans="1:19" ht="41.4">
      <c r="A682" s="22" t="s">
        <v>712</v>
      </c>
      <c r="B682" s="25">
        <v>45789</v>
      </c>
      <c r="C682" s="22" t="s">
        <v>17</v>
      </c>
      <c r="D682" s="22" t="s">
        <v>23</v>
      </c>
      <c r="E682" s="22" t="s">
        <v>19</v>
      </c>
      <c r="F682" s="22" t="s">
        <v>39</v>
      </c>
      <c r="G682" s="22" t="s">
        <v>30</v>
      </c>
      <c r="H682" s="22">
        <v>1</v>
      </c>
      <c r="I682" s="22">
        <v>1</v>
      </c>
      <c r="J682" s="22">
        <v>1</v>
      </c>
      <c r="K682" s="22">
        <v>0</v>
      </c>
      <c r="L682" s="22">
        <v>0</v>
      </c>
      <c r="M682" s="22">
        <v>0</v>
      </c>
      <c r="N682" s="22">
        <v>0</v>
      </c>
      <c r="O682" s="22"/>
      <c r="P682" s="22">
        <v>64.900000000000006</v>
      </c>
      <c r="Q682" s="22" t="str">
        <f t="shared" si="30"/>
        <v>Normal</v>
      </c>
      <c r="R682" s="26" t="str">
        <f t="shared" si="31"/>
        <v>USR-10068145789ControlWestDesktopReferralPremium111000064.9</v>
      </c>
      <c r="S682" s="22" t="str">
        <f t="shared" si="32"/>
        <v>OK</v>
      </c>
    </row>
    <row r="683" spans="1:19" ht="41.4">
      <c r="A683" s="22" t="s">
        <v>713</v>
      </c>
      <c r="B683" s="25">
        <v>45730</v>
      </c>
      <c r="C683" s="22" t="s">
        <v>17</v>
      </c>
      <c r="D683" s="22" t="s">
        <v>18</v>
      </c>
      <c r="E683" s="22" t="s">
        <v>24</v>
      </c>
      <c r="F683" s="22" t="s">
        <v>25</v>
      </c>
      <c r="G683" s="22" t="s">
        <v>26</v>
      </c>
      <c r="H683" s="22">
        <v>1</v>
      </c>
      <c r="I683" s="22">
        <v>0</v>
      </c>
      <c r="J683" s="22">
        <v>0</v>
      </c>
      <c r="K683" s="22">
        <v>0</v>
      </c>
      <c r="L683" s="22">
        <v>0</v>
      </c>
      <c r="M683" s="22">
        <v>0</v>
      </c>
      <c r="N683" s="22">
        <v>0</v>
      </c>
      <c r="O683" s="22"/>
      <c r="P683" s="22">
        <v>48.2</v>
      </c>
      <c r="Q683" s="22" t="str">
        <f t="shared" si="30"/>
        <v>Normal</v>
      </c>
      <c r="R683" s="26" t="str">
        <f t="shared" si="31"/>
        <v>USR-10068245730ControlNorthMobileOrganicFree100000048.2</v>
      </c>
      <c r="S683" s="22" t="str">
        <f t="shared" si="32"/>
        <v>OK</v>
      </c>
    </row>
    <row r="684" spans="1:19" ht="41.4">
      <c r="A684" s="22" t="s">
        <v>714</v>
      </c>
      <c r="B684" s="25">
        <v>45797</v>
      </c>
      <c r="C684" s="22" t="s">
        <v>17</v>
      </c>
      <c r="D684" s="22" t="s">
        <v>28</v>
      </c>
      <c r="E684" s="22" t="s">
        <v>24</v>
      </c>
      <c r="F684" s="22" t="s">
        <v>25</v>
      </c>
      <c r="G684" s="22" t="s">
        <v>21</v>
      </c>
      <c r="H684" s="22">
        <v>0</v>
      </c>
      <c r="I684" s="22">
        <v>0</v>
      </c>
      <c r="J684" s="22">
        <v>0</v>
      </c>
      <c r="K684" s="22">
        <v>0</v>
      </c>
      <c r="L684" s="22">
        <v>0</v>
      </c>
      <c r="M684" s="22">
        <v>0</v>
      </c>
      <c r="N684" s="22">
        <v>0</v>
      </c>
      <c r="O684" s="22"/>
      <c r="P684" s="22">
        <v>42.1</v>
      </c>
      <c r="Q684" s="22" t="str">
        <f t="shared" si="30"/>
        <v>Normal</v>
      </c>
      <c r="R684" s="26" t="str">
        <f t="shared" si="31"/>
        <v>USR-10068345797ControlEastMobileOrganicBasic000000042.1</v>
      </c>
      <c r="S684" s="22" t="str">
        <f t="shared" si="32"/>
        <v>OK</v>
      </c>
    </row>
    <row r="685" spans="1:19" ht="41.4">
      <c r="A685" s="22" t="s">
        <v>715</v>
      </c>
      <c r="B685" s="25">
        <v>45712</v>
      </c>
      <c r="C685" s="22" t="s">
        <v>17</v>
      </c>
      <c r="D685" s="22" t="s">
        <v>32</v>
      </c>
      <c r="E685" s="22" t="s">
        <v>19</v>
      </c>
      <c r="F685" s="22" t="s">
        <v>39</v>
      </c>
      <c r="G685" s="22" t="s">
        <v>26</v>
      </c>
      <c r="H685" s="22">
        <v>0</v>
      </c>
      <c r="I685" s="22">
        <v>0</v>
      </c>
      <c r="J685" s="22">
        <v>0</v>
      </c>
      <c r="K685" s="22">
        <v>0</v>
      </c>
      <c r="L685" s="22">
        <v>0</v>
      </c>
      <c r="M685" s="22">
        <v>0</v>
      </c>
      <c r="N685" s="22">
        <v>0</v>
      </c>
      <c r="O685" s="22"/>
      <c r="P685" s="22">
        <v>27.6</v>
      </c>
      <c r="Q685" s="22" t="str">
        <f t="shared" si="30"/>
        <v>Normal</v>
      </c>
      <c r="R685" s="26" t="str">
        <f t="shared" si="31"/>
        <v>USR-10068445712ControlSouthDesktopReferralFree000000027.6</v>
      </c>
      <c r="S685" s="22" t="str">
        <f t="shared" si="32"/>
        <v>OK</v>
      </c>
    </row>
    <row r="686" spans="1:19" ht="41.4">
      <c r="A686" s="22" t="s">
        <v>716</v>
      </c>
      <c r="B686" s="25">
        <v>45701</v>
      </c>
      <c r="C686" s="22" t="s">
        <v>17</v>
      </c>
      <c r="D686" s="22" t="s">
        <v>23</v>
      </c>
      <c r="E686" s="22" t="s">
        <v>24</v>
      </c>
      <c r="F686" s="22" t="s">
        <v>25</v>
      </c>
      <c r="G686" s="22" t="s">
        <v>30</v>
      </c>
      <c r="H686" s="22">
        <v>1</v>
      </c>
      <c r="I686" s="22">
        <v>0</v>
      </c>
      <c r="J686" s="22">
        <v>0</v>
      </c>
      <c r="K686" s="22">
        <v>0</v>
      </c>
      <c r="L686" s="22">
        <v>0</v>
      </c>
      <c r="M686" s="22">
        <v>1</v>
      </c>
      <c r="N686" s="22">
        <v>0</v>
      </c>
      <c r="O686" s="22"/>
      <c r="P686" s="22">
        <v>68.5</v>
      </c>
      <c r="Q686" s="22" t="str">
        <f t="shared" si="30"/>
        <v>Normal</v>
      </c>
      <c r="R686" s="26" t="str">
        <f t="shared" si="31"/>
        <v>USR-10068545701ControlWestMobileOrganicPremium100001068.5</v>
      </c>
      <c r="S686" s="22" t="str">
        <f t="shared" si="32"/>
        <v>OK</v>
      </c>
    </row>
    <row r="687" spans="1:19" ht="41.4">
      <c r="A687" s="22" t="s">
        <v>717</v>
      </c>
      <c r="B687" s="25">
        <v>45694</v>
      </c>
      <c r="C687" s="22" t="s">
        <v>17</v>
      </c>
      <c r="D687" s="22" t="s">
        <v>32</v>
      </c>
      <c r="E687" s="22" t="s">
        <v>19</v>
      </c>
      <c r="F687" s="22" t="s">
        <v>25</v>
      </c>
      <c r="G687" s="22" t="s">
        <v>26</v>
      </c>
      <c r="H687" s="22">
        <v>1</v>
      </c>
      <c r="I687" s="22">
        <v>1</v>
      </c>
      <c r="J687" s="22">
        <v>1</v>
      </c>
      <c r="K687" s="22">
        <v>0</v>
      </c>
      <c r="L687" s="22">
        <v>0</v>
      </c>
      <c r="M687" s="22">
        <v>0</v>
      </c>
      <c r="N687" s="22">
        <v>0</v>
      </c>
      <c r="O687" s="22"/>
      <c r="P687" s="22">
        <v>59.2</v>
      </c>
      <c r="Q687" s="22" t="str">
        <f t="shared" si="30"/>
        <v>Normal</v>
      </c>
      <c r="R687" s="26" t="str">
        <f t="shared" si="31"/>
        <v>USR-10068645694ControlSouthDesktopOrganicFree111000059.2</v>
      </c>
      <c r="S687" s="22" t="str">
        <f t="shared" si="32"/>
        <v>OK</v>
      </c>
    </row>
    <row r="688" spans="1:19" ht="41.4">
      <c r="A688" s="22" t="s">
        <v>718</v>
      </c>
      <c r="B688" s="25">
        <v>45718</v>
      </c>
      <c r="C688" s="22" t="s">
        <v>17</v>
      </c>
      <c r="D688" s="22" t="s">
        <v>18</v>
      </c>
      <c r="E688" s="22" t="s">
        <v>24</v>
      </c>
      <c r="F688" s="22" t="s">
        <v>41</v>
      </c>
      <c r="G688" s="22" t="s">
        <v>21</v>
      </c>
      <c r="H688" s="22">
        <v>1</v>
      </c>
      <c r="I688" s="22">
        <v>0</v>
      </c>
      <c r="J688" s="22">
        <v>0</v>
      </c>
      <c r="K688" s="22">
        <v>0</v>
      </c>
      <c r="L688" s="22">
        <v>0</v>
      </c>
      <c r="M688" s="22">
        <v>0</v>
      </c>
      <c r="N688" s="22">
        <v>0</v>
      </c>
      <c r="O688" s="22"/>
      <c r="P688" s="22">
        <v>63.3</v>
      </c>
      <c r="Q688" s="22" t="str">
        <f t="shared" si="30"/>
        <v>Normal</v>
      </c>
      <c r="R688" s="26" t="str">
        <f t="shared" si="31"/>
        <v>USR-10068745718ControlNorthMobileSocialBasic100000063.3</v>
      </c>
      <c r="S688" s="22" t="str">
        <f t="shared" si="32"/>
        <v>OK</v>
      </c>
    </row>
    <row r="689" spans="1:19" ht="41.4">
      <c r="A689" s="22" t="s">
        <v>719</v>
      </c>
      <c r="B689" s="25">
        <v>45775</v>
      </c>
      <c r="C689" s="22" t="s">
        <v>17</v>
      </c>
      <c r="D689" s="22" t="s">
        <v>28</v>
      </c>
      <c r="E689" s="22" t="s">
        <v>19</v>
      </c>
      <c r="F689" s="22" t="s">
        <v>29</v>
      </c>
      <c r="G689" s="22" t="s">
        <v>26</v>
      </c>
      <c r="H689" s="22">
        <v>0</v>
      </c>
      <c r="I689" s="22">
        <v>0</v>
      </c>
      <c r="J689" s="22">
        <v>0</v>
      </c>
      <c r="K689" s="22">
        <v>0</v>
      </c>
      <c r="L689" s="22">
        <v>0</v>
      </c>
      <c r="M689" s="22">
        <v>0</v>
      </c>
      <c r="N689" s="22">
        <v>0</v>
      </c>
      <c r="O689" s="22"/>
      <c r="P689" s="22">
        <v>55</v>
      </c>
      <c r="Q689" s="22" t="str">
        <f t="shared" si="30"/>
        <v>Normal</v>
      </c>
      <c r="R689" s="26" t="str">
        <f t="shared" si="31"/>
        <v>USR-10068845775ControlEastDesktopPaid SearchFree000000055</v>
      </c>
      <c r="S689" s="22" t="str">
        <f t="shared" si="32"/>
        <v>OK</v>
      </c>
    </row>
    <row r="690" spans="1:19" ht="41.4">
      <c r="A690" s="22" t="s">
        <v>720</v>
      </c>
      <c r="B690" s="25">
        <v>45804</v>
      </c>
      <c r="C690" s="22" t="s">
        <v>17</v>
      </c>
      <c r="D690" s="22" t="s">
        <v>18</v>
      </c>
      <c r="E690" s="22" t="s">
        <v>19</v>
      </c>
      <c r="F690" s="22"/>
      <c r="G690" s="22" t="s">
        <v>30</v>
      </c>
      <c r="H690" s="22">
        <v>1</v>
      </c>
      <c r="I690" s="22">
        <v>0</v>
      </c>
      <c r="J690" s="22">
        <v>0</v>
      </c>
      <c r="K690" s="22">
        <v>0</v>
      </c>
      <c r="L690" s="22">
        <v>0</v>
      </c>
      <c r="M690" s="22">
        <v>0</v>
      </c>
      <c r="N690" s="22">
        <v>0</v>
      </c>
      <c r="O690" s="22"/>
      <c r="P690" s="22">
        <v>64.8</v>
      </c>
      <c r="Q690" s="22" t="str">
        <f t="shared" si="30"/>
        <v>Normal</v>
      </c>
      <c r="R690" s="26" t="str">
        <f t="shared" si="31"/>
        <v>USR-10068945804ControlNorthDesktopPremium100000064.8</v>
      </c>
      <c r="S690" s="22" t="str">
        <f t="shared" si="32"/>
        <v>OK</v>
      </c>
    </row>
    <row r="691" spans="1:19" ht="41.4">
      <c r="A691" s="22" t="s">
        <v>721</v>
      </c>
      <c r="B691" s="25">
        <v>45754</v>
      </c>
      <c r="C691" s="22" t="s">
        <v>17</v>
      </c>
      <c r="D691" s="22" t="s">
        <v>32</v>
      </c>
      <c r="E691" s="22" t="s">
        <v>19</v>
      </c>
      <c r="F691" s="22" t="s">
        <v>25</v>
      </c>
      <c r="G691" s="22" t="s">
        <v>21</v>
      </c>
      <c r="H691" s="22">
        <v>0</v>
      </c>
      <c r="I691" s="22">
        <v>0</v>
      </c>
      <c r="J691" s="22">
        <v>0</v>
      </c>
      <c r="K691" s="22">
        <v>0</v>
      </c>
      <c r="L691" s="22">
        <v>0</v>
      </c>
      <c r="M691" s="22">
        <v>2</v>
      </c>
      <c r="N691" s="22">
        <v>0</v>
      </c>
      <c r="O691" s="22"/>
      <c r="P691" s="22">
        <v>41.8</v>
      </c>
      <c r="Q691" s="22" t="str">
        <f t="shared" si="30"/>
        <v>Normal</v>
      </c>
      <c r="R691" s="26" t="str">
        <f t="shared" si="31"/>
        <v>USR-10069045754ControlSouthDesktopOrganicBasic000002041.8</v>
      </c>
      <c r="S691" s="22" t="str">
        <f t="shared" si="32"/>
        <v>OK</v>
      </c>
    </row>
    <row r="692" spans="1:19" ht="41.4">
      <c r="A692" s="22" t="s">
        <v>722</v>
      </c>
      <c r="B692" s="25">
        <v>45761</v>
      </c>
      <c r="C692" s="22" t="s">
        <v>723</v>
      </c>
      <c r="D692" s="22" t="s">
        <v>28</v>
      </c>
      <c r="E692" s="22" t="s">
        <v>19</v>
      </c>
      <c r="F692" s="22" t="s">
        <v>41</v>
      </c>
      <c r="G692" s="22" t="s">
        <v>21</v>
      </c>
      <c r="H692" s="22">
        <v>1</v>
      </c>
      <c r="I692" s="22">
        <v>0</v>
      </c>
      <c r="J692" s="22">
        <v>0</v>
      </c>
      <c r="K692" s="22">
        <v>0</v>
      </c>
      <c r="L692" s="22">
        <v>0</v>
      </c>
      <c r="M692" s="22">
        <v>0</v>
      </c>
      <c r="N692" s="22">
        <v>0</v>
      </c>
      <c r="O692" s="22"/>
      <c r="P692" s="22">
        <v>73.2</v>
      </c>
      <c r="Q692" s="22" t="str">
        <f t="shared" si="30"/>
        <v>Normal</v>
      </c>
      <c r="R692" s="26" t="str">
        <f t="shared" si="31"/>
        <v>USR-10069145761TreatmentEastDesktopSocialBasic100000073.2</v>
      </c>
      <c r="S692" s="22" t="str">
        <f t="shared" si="32"/>
        <v>OK</v>
      </c>
    </row>
    <row r="693" spans="1:19" ht="41.4">
      <c r="A693" s="22" t="s">
        <v>724</v>
      </c>
      <c r="B693" s="25">
        <v>45786</v>
      </c>
      <c r="C693" s="22" t="s">
        <v>723</v>
      </c>
      <c r="D693" s="22" t="s">
        <v>28</v>
      </c>
      <c r="E693" s="22" t="s">
        <v>19</v>
      </c>
      <c r="F693" s="22" t="s">
        <v>25</v>
      </c>
      <c r="G693" s="22" t="s">
        <v>21</v>
      </c>
      <c r="H693" s="22">
        <v>1</v>
      </c>
      <c r="I693" s="22">
        <v>1</v>
      </c>
      <c r="J693" s="22">
        <v>1</v>
      </c>
      <c r="K693" s="22">
        <v>0</v>
      </c>
      <c r="L693" s="22">
        <v>0</v>
      </c>
      <c r="M693" s="22">
        <v>3</v>
      </c>
      <c r="N693" s="22">
        <v>0</v>
      </c>
      <c r="O693" s="22"/>
      <c r="P693" s="22">
        <v>55.7</v>
      </c>
      <c r="Q693" s="22" t="str">
        <f t="shared" si="30"/>
        <v>Normal</v>
      </c>
      <c r="R693" s="26" t="str">
        <f t="shared" si="31"/>
        <v>USR-10069245786TreatmentEastDesktopOrganicBasic111003055.7</v>
      </c>
      <c r="S693" s="22" t="str">
        <f t="shared" si="32"/>
        <v>OK</v>
      </c>
    </row>
    <row r="694" spans="1:19" ht="41.4">
      <c r="A694" s="22" t="s">
        <v>725</v>
      </c>
      <c r="B694" s="25">
        <v>45737</v>
      </c>
      <c r="C694" s="22" t="s">
        <v>723</v>
      </c>
      <c r="D694" s="22" t="s">
        <v>18</v>
      </c>
      <c r="E694" s="22" t="s">
        <v>24</v>
      </c>
      <c r="F694" s="22" t="s">
        <v>25</v>
      </c>
      <c r="G694" s="22" t="s">
        <v>26</v>
      </c>
      <c r="H694" s="22">
        <v>1</v>
      </c>
      <c r="I694" s="22">
        <v>1</v>
      </c>
      <c r="J694" s="22">
        <v>1</v>
      </c>
      <c r="K694" s="22">
        <v>0</v>
      </c>
      <c r="L694" s="22">
        <v>0</v>
      </c>
      <c r="M694" s="22">
        <v>0</v>
      </c>
      <c r="N694" s="22">
        <v>0</v>
      </c>
      <c r="O694" s="22"/>
      <c r="P694" s="22">
        <v>82.8</v>
      </c>
      <c r="Q694" s="22" t="str">
        <f t="shared" si="30"/>
        <v>Normal</v>
      </c>
      <c r="R694" s="26" t="str">
        <f t="shared" si="31"/>
        <v>USR-10069345737TreatmentNorthMobileOrganicFree111000082.8</v>
      </c>
      <c r="S694" s="22" t="str">
        <f t="shared" si="32"/>
        <v>OK</v>
      </c>
    </row>
    <row r="695" spans="1:19" ht="41.4">
      <c r="A695" s="22" t="s">
        <v>726</v>
      </c>
      <c r="B695" s="25">
        <v>45743</v>
      </c>
      <c r="C695" s="22" t="s">
        <v>723</v>
      </c>
      <c r="D695" s="22" t="s">
        <v>18</v>
      </c>
      <c r="E695" s="22" t="s">
        <v>19</v>
      </c>
      <c r="F695" s="22" t="s">
        <v>41</v>
      </c>
      <c r="G695" s="22" t="s">
        <v>26</v>
      </c>
      <c r="H695" s="22">
        <v>1</v>
      </c>
      <c r="I695" s="22">
        <v>0</v>
      </c>
      <c r="J695" s="22">
        <v>0</v>
      </c>
      <c r="K695" s="22">
        <v>0</v>
      </c>
      <c r="L695" s="22">
        <v>0</v>
      </c>
      <c r="M695" s="22">
        <v>0</v>
      </c>
      <c r="N695" s="22">
        <v>0</v>
      </c>
      <c r="O695" s="22"/>
      <c r="P695" s="22"/>
      <c r="Q695" s="22" t="str">
        <f t="shared" si="30"/>
        <v>Normal</v>
      </c>
      <c r="R695" s="26" t="str">
        <f t="shared" si="31"/>
        <v>USR-10069445743TreatmentNorthDesktopSocialFree1000000</v>
      </c>
      <c r="S695" s="22" t="str">
        <f t="shared" si="32"/>
        <v>OK</v>
      </c>
    </row>
    <row r="696" spans="1:19" ht="41.4">
      <c r="A696" s="22" t="s">
        <v>727</v>
      </c>
      <c r="B696" s="25">
        <v>45678</v>
      </c>
      <c r="C696" s="22" t="s">
        <v>723</v>
      </c>
      <c r="D696" s="22" t="s">
        <v>32</v>
      </c>
      <c r="E696" s="22" t="s">
        <v>24</v>
      </c>
      <c r="F696" s="22" t="s">
        <v>29</v>
      </c>
      <c r="G696" s="22" t="s">
        <v>26</v>
      </c>
      <c r="H696" s="22">
        <v>0</v>
      </c>
      <c r="I696" s="22">
        <v>0</v>
      </c>
      <c r="J696" s="22">
        <v>0</v>
      </c>
      <c r="K696" s="22">
        <v>0</v>
      </c>
      <c r="L696" s="22">
        <v>0</v>
      </c>
      <c r="M696" s="22">
        <v>0</v>
      </c>
      <c r="N696" s="22">
        <v>0</v>
      </c>
      <c r="O696" s="22"/>
      <c r="P696" s="22">
        <v>34.4</v>
      </c>
      <c r="Q696" s="22" t="str">
        <f t="shared" si="30"/>
        <v>Normal</v>
      </c>
      <c r="R696" s="26" t="str">
        <f t="shared" si="31"/>
        <v>USR-10069545678TreatmentSouthMobilePaid SearchFree000000034.4</v>
      </c>
      <c r="S696" s="22" t="str">
        <f t="shared" si="32"/>
        <v>OK</v>
      </c>
    </row>
    <row r="697" spans="1:19" ht="41.4">
      <c r="A697" s="22" t="s">
        <v>728</v>
      </c>
      <c r="B697" s="25">
        <v>45735</v>
      </c>
      <c r="C697" s="22" t="s">
        <v>723</v>
      </c>
      <c r="D697" s="22" t="s">
        <v>28</v>
      </c>
      <c r="E697" s="22" t="s">
        <v>19</v>
      </c>
      <c r="F697" s="22" t="s">
        <v>20</v>
      </c>
      <c r="G697" s="22" t="s">
        <v>26</v>
      </c>
      <c r="H697" s="22">
        <v>1</v>
      </c>
      <c r="I697" s="22">
        <v>0</v>
      </c>
      <c r="J697" s="22">
        <v>0</v>
      </c>
      <c r="K697" s="22">
        <v>0</v>
      </c>
      <c r="L697" s="22">
        <v>0</v>
      </c>
      <c r="M697" s="22">
        <v>0</v>
      </c>
      <c r="N697" s="22">
        <v>0</v>
      </c>
      <c r="O697" s="22"/>
      <c r="P697" s="22">
        <v>45.2</v>
      </c>
      <c r="Q697" s="22" t="str">
        <f t="shared" si="30"/>
        <v>Normal</v>
      </c>
      <c r="R697" s="26" t="str">
        <f t="shared" si="31"/>
        <v>USR-10069645735TreatmentEastDesktopEmailFree100000045.2</v>
      </c>
      <c r="S697" s="22" t="str">
        <f t="shared" si="32"/>
        <v>OK</v>
      </c>
    </row>
    <row r="698" spans="1:19" ht="41.4">
      <c r="A698" s="22" t="s">
        <v>729</v>
      </c>
      <c r="B698" s="25">
        <v>45804</v>
      </c>
      <c r="C698" s="22" t="s">
        <v>723</v>
      </c>
      <c r="D698" s="22" t="s">
        <v>18</v>
      </c>
      <c r="E698" s="22" t="s">
        <v>24</v>
      </c>
      <c r="F698" s="22" t="s">
        <v>25</v>
      </c>
      <c r="G698" s="22" t="s">
        <v>21</v>
      </c>
      <c r="H698" s="22">
        <v>1</v>
      </c>
      <c r="I698" s="22">
        <v>0</v>
      </c>
      <c r="J698" s="22">
        <v>0</v>
      </c>
      <c r="K698" s="22">
        <v>0</v>
      </c>
      <c r="L698" s="22">
        <v>0</v>
      </c>
      <c r="M698" s="22">
        <v>0</v>
      </c>
      <c r="N698" s="22">
        <v>0</v>
      </c>
      <c r="O698" s="22"/>
      <c r="P698" s="22">
        <v>71.599999999999994</v>
      </c>
      <c r="Q698" s="22" t="str">
        <f t="shared" si="30"/>
        <v>Normal</v>
      </c>
      <c r="R698" s="26" t="str">
        <f t="shared" si="31"/>
        <v>USR-10069745804TreatmentNorthMobileOrganicBasic100000071.6</v>
      </c>
      <c r="S698" s="22" t="str">
        <f t="shared" si="32"/>
        <v>OK</v>
      </c>
    </row>
    <row r="699" spans="1:19" ht="41.4">
      <c r="A699" s="22" t="s">
        <v>730</v>
      </c>
      <c r="B699" s="25">
        <v>45658</v>
      </c>
      <c r="C699" s="22" t="s">
        <v>723</v>
      </c>
      <c r="D699" s="22" t="s">
        <v>18</v>
      </c>
      <c r="E699" s="22" t="s">
        <v>24</v>
      </c>
      <c r="F699" s="22" t="s">
        <v>41</v>
      </c>
      <c r="G699" s="22" t="s">
        <v>26</v>
      </c>
      <c r="H699" s="22">
        <v>1</v>
      </c>
      <c r="I699" s="22">
        <v>1</v>
      </c>
      <c r="J699" s="22">
        <v>1</v>
      </c>
      <c r="K699" s="22">
        <v>0</v>
      </c>
      <c r="L699" s="22">
        <v>0</v>
      </c>
      <c r="M699" s="22">
        <v>0</v>
      </c>
      <c r="N699" s="22">
        <v>0</v>
      </c>
      <c r="O699" s="22"/>
      <c r="P699" s="22">
        <v>69.099999999999994</v>
      </c>
      <c r="Q699" s="22" t="str">
        <f t="shared" si="30"/>
        <v>Normal</v>
      </c>
      <c r="R699" s="26" t="str">
        <f t="shared" si="31"/>
        <v>USR-10069845658TreatmentNorthMobileSocialFree111000069.1</v>
      </c>
      <c r="S699" s="22" t="str">
        <f t="shared" si="32"/>
        <v>OK</v>
      </c>
    </row>
    <row r="700" spans="1:19" ht="41.4">
      <c r="A700" s="22" t="s">
        <v>731</v>
      </c>
      <c r="B700" s="25">
        <v>45745</v>
      </c>
      <c r="C700" s="22" t="s">
        <v>723</v>
      </c>
      <c r="D700" s="22" t="s">
        <v>23</v>
      </c>
      <c r="E700" s="22" t="s">
        <v>19</v>
      </c>
      <c r="F700" s="22" t="s">
        <v>29</v>
      </c>
      <c r="G700" s="22" t="s">
        <v>30</v>
      </c>
      <c r="H700" s="22">
        <v>1</v>
      </c>
      <c r="I700" s="22">
        <v>0</v>
      </c>
      <c r="J700" s="22">
        <v>0</v>
      </c>
      <c r="K700" s="22">
        <v>0</v>
      </c>
      <c r="L700" s="22">
        <v>0</v>
      </c>
      <c r="M700" s="22">
        <v>1</v>
      </c>
      <c r="N700" s="22">
        <v>0</v>
      </c>
      <c r="O700" s="22"/>
      <c r="P700" s="22">
        <v>37.700000000000003</v>
      </c>
      <c r="Q700" s="22" t="str">
        <f t="shared" si="30"/>
        <v>Normal</v>
      </c>
      <c r="R700" s="26" t="str">
        <f t="shared" si="31"/>
        <v>USR-10069945745TreatmentWestDesktopPaid SearchPremium100001037.7</v>
      </c>
      <c r="S700" s="22" t="str">
        <f t="shared" si="32"/>
        <v>OK</v>
      </c>
    </row>
    <row r="701" spans="1:19" ht="41.4">
      <c r="A701" s="22" t="s">
        <v>732</v>
      </c>
      <c r="B701" s="25">
        <v>45733</v>
      </c>
      <c r="C701" s="22" t="s">
        <v>723</v>
      </c>
      <c r="D701" s="22" t="s">
        <v>23</v>
      </c>
      <c r="E701" s="22" t="s">
        <v>19</v>
      </c>
      <c r="F701" s="22" t="s">
        <v>25</v>
      </c>
      <c r="G701" s="22" t="s">
        <v>21</v>
      </c>
      <c r="H701" s="22">
        <v>1</v>
      </c>
      <c r="I701" s="22">
        <v>0</v>
      </c>
      <c r="J701" s="22">
        <v>0</v>
      </c>
      <c r="K701" s="22">
        <v>0</v>
      </c>
      <c r="L701" s="22">
        <v>0</v>
      </c>
      <c r="M701" s="22">
        <v>1</v>
      </c>
      <c r="N701" s="22">
        <v>0</v>
      </c>
      <c r="O701" s="22"/>
      <c r="P701" s="22">
        <v>60.8</v>
      </c>
      <c r="Q701" s="22" t="str">
        <f t="shared" si="30"/>
        <v>Normal</v>
      </c>
      <c r="R701" s="26" t="str">
        <f t="shared" si="31"/>
        <v>USR-10070045733TreatmentWestDesktopOrganicBasic100001060.8</v>
      </c>
      <c r="S701" s="22" t="str">
        <f t="shared" si="32"/>
        <v>OK</v>
      </c>
    </row>
    <row r="702" spans="1:19" ht="41.4">
      <c r="A702" s="22" t="s">
        <v>733</v>
      </c>
      <c r="B702" s="25">
        <v>45782</v>
      </c>
      <c r="C702" s="22" t="s">
        <v>723</v>
      </c>
      <c r="D702" s="22" t="s">
        <v>18</v>
      </c>
      <c r="E702" s="22" t="s">
        <v>24</v>
      </c>
      <c r="F702" s="22" t="s">
        <v>25</v>
      </c>
      <c r="G702" s="22" t="s">
        <v>26</v>
      </c>
      <c r="H702" s="22">
        <v>1</v>
      </c>
      <c r="I702" s="22">
        <v>1</v>
      </c>
      <c r="J702" s="22">
        <v>1</v>
      </c>
      <c r="K702" s="22">
        <v>1</v>
      </c>
      <c r="L702" s="22">
        <v>444.13</v>
      </c>
      <c r="M702" s="22">
        <v>0</v>
      </c>
      <c r="N702" s="22">
        <v>0</v>
      </c>
      <c r="O702" s="22">
        <v>10</v>
      </c>
      <c r="P702" s="22">
        <v>80.7</v>
      </c>
      <c r="Q702" s="22" t="str">
        <f t="shared" si="30"/>
        <v>Normal</v>
      </c>
      <c r="R702" s="26" t="str">
        <f t="shared" si="31"/>
        <v>USR-10070145782TreatmentNorthMobileOrganicFree1111444.13001080.7</v>
      </c>
      <c r="S702" s="22" t="str">
        <f t="shared" si="32"/>
        <v>OK</v>
      </c>
    </row>
    <row r="703" spans="1:19" ht="41.4">
      <c r="A703" s="22" t="s">
        <v>734</v>
      </c>
      <c r="B703" s="25">
        <v>45781</v>
      </c>
      <c r="C703" s="22" t="s">
        <v>723</v>
      </c>
      <c r="D703" s="22" t="s">
        <v>32</v>
      </c>
      <c r="E703" s="22" t="s">
        <v>24</v>
      </c>
      <c r="F703" s="22" t="s">
        <v>41</v>
      </c>
      <c r="G703" s="22" t="s">
        <v>26</v>
      </c>
      <c r="H703" s="22">
        <v>1</v>
      </c>
      <c r="I703" s="22">
        <v>0</v>
      </c>
      <c r="J703" s="22">
        <v>0</v>
      </c>
      <c r="K703" s="22">
        <v>0</v>
      </c>
      <c r="L703" s="22">
        <v>0</v>
      </c>
      <c r="M703" s="22">
        <v>0</v>
      </c>
      <c r="N703" s="22">
        <v>0</v>
      </c>
      <c r="O703" s="22"/>
      <c r="P703" s="22">
        <v>69.2</v>
      </c>
      <c r="Q703" s="22" t="str">
        <f t="shared" si="30"/>
        <v>Normal</v>
      </c>
      <c r="R703" s="26" t="str">
        <f t="shared" si="31"/>
        <v>USR-10070245781TreatmentSouthMobileSocialFree100000069.2</v>
      </c>
      <c r="S703" s="22" t="str">
        <f t="shared" si="32"/>
        <v>OK</v>
      </c>
    </row>
    <row r="704" spans="1:19" ht="41.4">
      <c r="A704" s="22" t="s">
        <v>735</v>
      </c>
      <c r="B704" s="25">
        <v>45741</v>
      </c>
      <c r="C704" s="22" t="s">
        <v>723</v>
      </c>
      <c r="D704" s="22" t="s">
        <v>18</v>
      </c>
      <c r="E704" s="22" t="s">
        <v>24</v>
      </c>
      <c r="F704" s="22" t="s">
        <v>41</v>
      </c>
      <c r="G704" s="22" t="s">
        <v>30</v>
      </c>
      <c r="H704" s="22">
        <v>0</v>
      </c>
      <c r="I704" s="22">
        <v>0</v>
      </c>
      <c r="J704" s="22">
        <v>0</v>
      </c>
      <c r="K704" s="22">
        <v>0</v>
      </c>
      <c r="L704" s="22">
        <v>0</v>
      </c>
      <c r="M704" s="22">
        <v>3</v>
      </c>
      <c r="N704" s="22">
        <v>0</v>
      </c>
      <c r="O704" s="22"/>
      <c r="P704" s="22">
        <v>55</v>
      </c>
      <c r="Q704" s="22" t="str">
        <f t="shared" si="30"/>
        <v>Normal</v>
      </c>
      <c r="R704" s="26" t="str">
        <f t="shared" si="31"/>
        <v>USR-10070345741TreatmentNorthMobileSocialPremium000003055</v>
      </c>
      <c r="S704" s="22" t="str">
        <f t="shared" si="32"/>
        <v>OK</v>
      </c>
    </row>
    <row r="705" spans="1:19" ht="41.4">
      <c r="A705" s="22" t="s">
        <v>736</v>
      </c>
      <c r="B705" s="25">
        <v>45764</v>
      </c>
      <c r="C705" s="22" t="s">
        <v>723</v>
      </c>
      <c r="D705" s="22" t="s">
        <v>23</v>
      </c>
      <c r="E705" s="22" t="s">
        <v>24</v>
      </c>
      <c r="F705" s="22" t="s">
        <v>20</v>
      </c>
      <c r="G705" s="22" t="s">
        <v>26</v>
      </c>
      <c r="H705" s="22">
        <v>0</v>
      </c>
      <c r="I705" s="22">
        <v>0</v>
      </c>
      <c r="J705" s="22">
        <v>0</v>
      </c>
      <c r="K705" s="22">
        <v>0</v>
      </c>
      <c r="L705" s="22">
        <v>0</v>
      </c>
      <c r="M705" s="22">
        <v>1</v>
      </c>
      <c r="N705" s="22">
        <v>0</v>
      </c>
      <c r="O705" s="22"/>
      <c r="P705" s="22">
        <v>73.599999999999994</v>
      </c>
      <c r="Q705" s="22" t="str">
        <f t="shared" si="30"/>
        <v>Normal</v>
      </c>
      <c r="R705" s="26" t="str">
        <f t="shared" si="31"/>
        <v>USR-10070445764TreatmentWestMobileEmailFree000001073.6</v>
      </c>
      <c r="S705" s="22" t="str">
        <f t="shared" si="32"/>
        <v>OK</v>
      </c>
    </row>
    <row r="706" spans="1:19" ht="41.4">
      <c r="A706" s="22" t="s">
        <v>737</v>
      </c>
      <c r="B706" s="25">
        <v>45800</v>
      </c>
      <c r="C706" s="22" t="s">
        <v>723</v>
      </c>
      <c r="D706" s="22" t="s">
        <v>32</v>
      </c>
      <c r="E706" s="22" t="s">
        <v>24</v>
      </c>
      <c r="F706" s="22" t="s">
        <v>39</v>
      </c>
      <c r="G706" s="22" t="s">
        <v>21</v>
      </c>
      <c r="H706" s="22">
        <v>1</v>
      </c>
      <c r="I706" s="22">
        <v>1</v>
      </c>
      <c r="J706" s="22">
        <v>1</v>
      </c>
      <c r="K706" s="22">
        <v>0</v>
      </c>
      <c r="L706" s="22">
        <v>0</v>
      </c>
      <c r="M706" s="22">
        <v>1</v>
      </c>
      <c r="N706" s="22">
        <v>0</v>
      </c>
      <c r="O706" s="22"/>
      <c r="P706" s="22">
        <v>47.3</v>
      </c>
      <c r="Q706" s="22" t="str">
        <f t="shared" si="30"/>
        <v>Normal</v>
      </c>
      <c r="R706" s="26" t="str">
        <f t="shared" si="31"/>
        <v>USR-10070545800TreatmentSouthMobileReferralBasic111001047.3</v>
      </c>
      <c r="S706" s="22" t="str">
        <f t="shared" si="32"/>
        <v>OK</v>
      </c>
    </row>
    <row r="707" spans="1:19" ht="41.4">
      <c r="A707" s="22" t="s">
        <v>738</v>
      </c>
      <c r="B707" s="25">
        <v>45670</v>
      </c>
      <c r="C707" s="22" t="s">
        <v>723</v>
      </c>
      <c r="D707" s="22" t="s">
        <v>18</v>
      </c>
      <c r="E707" s="22" t="s">
        <v>24</v>
      </c>
      <c r="F707" s="22" t="s">
        <v>25</v>
      </c>
      <c r="G707" s="22" t="s">
        <v>21</v>
      </c>
      <c r="H707" s="22">
        <v>0</v>
      </c>
      <c r="I707" s="22">
        <v>0</v>
      </c>
      <c r="J707" s="22">
        <v>0</v>
      </c>
      <c r="K707" s="22">
        <v>0</v>
      </c>
      <c r="L707" s="22">
        <v>0</v>
      </c>
      <c r="M707" s="22">
        <v>0</v>
      </c>
      <c r="N707" s="22">
        <v>0</v>
      </c>
      <c r="O707" s="22"/>
      <c r="P707" s="22">
        <v>43.6</v>
      </c>
      <c r="Q707" s="22" t="str">
        <f t="shared" ref="Q707:Q770" si="33">IF(OR(L707&lt;$V$40,L707&gt;$V$41),"Outlier","Normal")</f>
        <v>Normal</v>
      </c>
      <c r="R707" s="26" t="str">
        <f t="shared" ref="R707:R770" si="34">A707&amp;B707&amp;C707&amp;D707&amp;E707&amp;F707&amp;G707&amp;H707&amp;I707&amp;J707&amp;K707&amp;L707&amp;M707&amp;N707&amp;O707&amp;P707</f>
        <v>USR-10070645670TreatmentNorthMobileOrganicBasic000000043.6</v>
      </c>
      <c r="S707" s="22" t="str">
        <f t="shared" ref="S707:S770" si="35">IF(COUNTIF($R$2:$R$1409,R707)=1,"OK",IF(COUNTIF($R$2:$R$1409,R707)&gt;1,"Exact Duplicate","Review Required"))</f>
        <v>OK</v>
      </c>
    </row>
    <row r="708" spans="1:19" ht="41.4">
      <c r="A708" s="22" t="s">
        <v>739</v>
      </c>
      <c r="B708" s="25">
        <v>45686</v>
      </c>
      <c r="C708" s="22" t="s">
        <v>723</v>
      </c>
      <c r="D708" s="22" t="s">
        <v>18</v>
      </c>
      <c r="E708" s="22" t="s">
        <v>19</v>
      </c>
      <c r="F708" s="22" t="s">
        <v>25</v>
      </c>
      <c r="G708" s="22" t="s">
        <v>21</v>
      </c>
      <c r="H708" s="22">
        <v>1</v>
      </c>
      <c r="I708" s="22">
        <v>0</v>
      </c>
      <c r="J708" s="22">
        <v>0</v>
      </c>
      <c r="K708" s="22">
        <v>0</v>
      </c>
      <c r="L708" s="22">
        <v>0</v>
      </c>
      <c r="M708" s="22">
        <v>0</v>
      </c>
      <c r="N708" s="22">
        <v>0</v>
      </c>
      <c r="O708" s="22"/>
      <c r="P708" s="22"/>
      <c r="Q708" s="22" t="str">
        <f t="shared" si="33"/>
        <v>Normal</v>
      </c>
      <c r="R708" s="26" t="str">
        <f t="shared" si="34"/>
        <v>USR-10070745686TreatmentNorthDesktopOrganicBasic1000000</v>
      </c>
      <c r="S708" s="22" t="str">
        <f t="shared" si="35"/>
        <v>OK</v>
      </c>
    </row>
    <row r="709" spans="1:19" ht="41.4">
      <c r="A709" s="22" t="s">
        <v>740</v>
      </c>
      <c r="B709" s="25">
        <v>45788</v>
      </c>
      <c r="C709" s="22" t="s">
        <v>723</v>
      </c>
      <c r="D709" s="22" t="s">
        <v>32</v>
      </c>
      <c r="E709" s="22" t="s">
        <v>24</v>
      </c>
      <c r="F709" s="22" t="s">
        <v>20</v>
      </c>
      <c r="G709" s="22" t="s">
        <v>26</v>
      </c>
      <c r="H709" s="22">
        <v>0</v>
      </c>
      <c r="I709" s="22">
        <v>0</v>
      </c>
      <c r="J709" s="22">
        <v>0</v>
      </c>
      <c r="K709" s="22">
        <v>0</v>
      </c>
      <c r="L709" s="22">
        <v>0</v>
      </c>
      <c r="M709" s="22">
        <v>0</v>
      </c>
      <c r="N709" s="22">
        <v>0</v>
      </c>
      <c r="O709" s="22"/>
      <c r="P709" s="22">
        <v>55.2</v>
      </c>
      <c r="Q709" s="22" t="str">
        <f t="shared" si="33"/>
        <v>Normal</v>
      </c>
      <c r="R709" s="26" t="str">
        <f t="shared" si="34"/>
        <v>USR-10070845788TreatmentSouthMobileEmailFree000000055.2</v>
      </c>
      <c r="S709" s="22" t="str">
        <f t="shared" si="35"/>
        <v>OK</v>
      </c>
    </row>
    <row r="710" spans="1:19" ht="41.4">
      <c r="A710" s="22" t="s">
        <v>741</v>
      </c>
      <c r="B710" s="25">
        <v>45769</v>
      </c>
      <c r="C710" s="22" t="s">
        <v>723</v>
      </c>
      <c r="D710" s="22" t="s">
        <v>32</v>
      </c>
      <c r="E710" s="22" t="s">
        <v>24</v>
      </c>
      <c r="F710" s="22" t="s">
        <v>25</v>
      </c>
      <c r="G710" s="22" t="s">
        <v>21</v>
      </c>
      <c r="H710" s="22">
        <v>1</v>
      </c>
      <c r="I710" s="22">
        <v>0</v>
      </c>
      <c r="J710" s="22">
        <v>0</v>
      </c>
      <c r="K710" s="22">
        <v>0</v>
      </c>
      <c r="L710" s="22">
        <v>0</v>
      </c>
      <c r="M710" s="22">
        <v>0</v>
      </c>
      <c r="N710" s="22">
        <v>0</v>
      </c>
      <c r="O710" s="22"/>
      <c r="P710" s="22">
        <v>49.4</v>
      </c>
      <c r="Q710" s="22" t="str">
        <f t="shared" si="33"/>
        <v>Normal</v>
      </c>
      <c r="R710" s="26" t="str">
        <f t="shared" si="34"/>
        <v>USR-10070945769TreatmentSouthMobileOrganicBasic100000049.4</v>
      </c>
      <c r="S710" s="22" t="str">
        <f t="shared" si="35"/>
        <v>OK</v>
      </c>
    </row>
    <row r="711" spans="1:19" ht="41.4">
      <c r="A711" s="22" t="s">
        <v>742</v>
      </c>
      <c r="B711" s="25">
        <v>45719</v>
      </c>
      <c r="C711" s="22" t="s">
        <v>723</v>
      </c>
      <c r="D711" s="22" t="s">
        <v>32</v>
      </c>
      <c r="E711" s="22" t="s">
        <v>24</v>
      </c>
      <c r="F711" s="22" t="s">
        <v>41</v>
      </c>
      <c r="G711" s="22" t="s">
        <v>26</v>
      </c>
      <c r="H711" s="22">
        <v>1</v>
      </c>
      <c r="I711" s="22">
        <v>1</v>
      </c>
      <c r="J711" s="22">
        <v>1</v>
      </c>
      <c r="K711" s="22">
        <v>0</v>
      </c>
      <c r="L711" s="22">
        <v>0</v>
      </c>
      <c r="M711" s="22">
        <v>1</v>
      </c>
      <c r="N711" s="22">
        <v>0</v>
      </c>
      <c r="O711" s="22"/>
      <c r="P711" s="22">
        <v>60.1</v>
      </c>
      <c r="Q711" s="22" t="str">
        <f t="shared" si="33"/>
        <v>Normal</v>
      </c>
      <c r="R711" s="26" t="str">
        <f t="shared" si="34"/>
        <v>USR-10071045719TreatmentSouthMobileSocialFree111001060.1</v>
      </c>
      <c r="S711" s="22" t="str">
        <f t="shared" si="35"/>
        <v>OK</v>
      </c>
    </row>
    <row r="712" spans="1:19" ht="41.4">
      <c r="A712" s="22" t="s">
        <v>743</v>
      </c>
      <c r="B712" s="25">
        <v>45734</v>
      </c>
      <c r="C712" s="22" t="s">
        <v>723</v>
      </c>
      <c r="D712" s="22" t="s">
        <v>18</v>
      </c>
      <c r="E712" s="22" t="s">
        <v>24</v>
      </c>
      <c r="F712" s="22" t="s">
        <v>39</v>
      </c>
      <c r="G712" s="22" t="s">
        <v>26</v>
      </c>
      <c r="H712" s="22">
        <v>1</v>
      </c>
      <c r="I712" s="22">
        <v>0</v>
      </c>
      <c r="J712" s="22">
        <v>0</v>
      </c>
      <c r="K712" s="22">
        <v>0</v>
      </c>
      <c r="L712" s="22">
        <v>0</v>
      </c>
      <c r="M712" s="22">
        <v>0</v>
      </c>
      <c r="N712" s="22">
        <v>0</v>
      </c>
      <c r="O712" s="22"/>
      <c r="P712" s="22">
        <v>55.9</v>
      </c>
      <c r="Q712" s="22" t="str">
        <f t="shared" si="33"/>
        <v>Normal</v>
      </c>
      <c r="R712" s="26" t="str">
        <f t="shared" si="34"/>
        <v>USR-10071145734TreatmentNorthMobileReferralFree100000055.9</v>
      </c>
      <c r="S712" s="22" t="str">
        <f t="shared" si="35"/>
        <v>OK</v>
      </c>
    </row>
    <row r="713" spans="1:19" ht="41.4">
      <c r="A713" s="22" t="s">
        <v>744</v>
      </c>
      <c r="B713" s="25">
        <v>45752</v>
      </c>
      <c r="C713" s="22" t="s">
        <v>723</v>
      </c>
      <c r="D713" s="22" t="s">
        <v>18</v>
      </c>
      <c r="E713" s="22" t="s">
        <v>24</v>
      </c>
      <c r="F713" s="22" t="s">
        <v>25</v>
      </c>
      <c r="G713" s="22" t="s">
        <v>21</v>
      </c>
      <c r="H713" s="22">
        <v>1</v>
      </c>
      <c r="I713" s="22">
        <v>0</v>
      </c>
      <c r="J713" s="22">
        <v>0</v>
      </c>
      <c r="K713" s="22">
        <v>0</v>
      </c>
      <c r="L713" s="22">
        <v>0</v>
      </c>
      <c r="M713" s="22">
        <v>0</v>
      </c>
      <c r="N713" s="22">
        <v>0</v>
      </c>
      <c r="O713" s="22"/>
      <c r="P713" s="22">
        <v>51.5</v>
      </c>
      <c r="Q713" s="22" t="str">
        <f t="shared" si="33"/>
        <v>Normal</v>
      </c>
      <c r="R713" s="26" t="str">
        <f t="shared" si="34"/>
        <v>USR-10071245752TreatmentNorthMobileOrganicBasic100000051.5</v>
      </c>
      <c r="S713" s="22" t="str">
        <f t="shared" si="35"/>
        <v>OK</v>
      </c>
    </row>
    <row r="714" spans="1:19" ht="41.4">
      <c r="A714" s="22" t="s">
        <v>745</v>
      </c>
      <c r="B714" s="25">
        <v>45763</v>
      </c>
      <c r="C714" s="22" t="s">
        <v>723</v>
      </c>
      <c r="D714" s="22" t="s">
        <v>28</v>
      </c>
      <c r="E714" s="22" t="s">
        <v>24</v>
      </c>
      <c r="F714" s="22" t="s">
        <v>25</v>
      </c>
      <c r="G714" s="22" t="s">
        <v>26</v>
      </c>
      <c r="H714" s="22">
        <v>1</v>
      </c>
      <c r="I714" s="22">
        <v>1</v>
      </c>
      <c r="J714" s="22">
        <v>1</v>
      </c>
      <c r="K714" s="22">
        <v>1</v>
      </c>
      <c r="L714" s="22">
        <v>516.66999999999996</v>
      </c>
      <c r="M714" s="22">
        <v>0</v>
      </c>
      <c r="N714" s="22">
        <v>0</v>
      </c>
      <c r="O714" s="22">
        <v>11</v>
      </c>
      <c r="P714" s="22">
        <v>57.9</v>
      </c>
      <c r="Q714" s="22" t="str">
        <f t="shared" si="33"/>
        <v>Normal</v>
      </c>
      <c r="R714" s="26" t="str">
        <f t="shared" si="34"/>
        <v>USR-10071345763TreatmentEastMobileOrganicFree1111516.67001157.9</v>
      </c>
      <c r="S714" s="22" t="str">
        <f t="shared" si="35"/>
        <v>OK</v>
      </c>
    </row>
    <row r="715" spans="1:19" ht="41.4">
      <c r="A715" s="22" t="s">
        <v>746</v>
      </c>
      <c r="B715" s="25">
        <v>45767</v>
      </c>
      <c r="C715" s="22" t="s">
        <v>723</v>
      </c>
      <c r="D715" s="22" t="s">
        <v>32</v>
      </c>
      <c r="E715" s="22" t="s">
        <v>24</v>
      </c>
      <c r="F715" s="22" t="s">
        <v>39</v>
      </c>
      <c r="G715" s="22" t="s">
        <v>26</v>
      </c>
      <c r="H715" s="22">
        <v>1</v>
      </c>
      <c r="I715" s="22">
        <v>1</v>
      </c>
      <c r="J715" s="22">
        <v>1</v>
      </c>
      <c r="K715" s="22">
        <v>1</v>
      </c>
      <c r="L715" s="22">
        <v>277.18</v>
      </c>
      <c r="M715" s="22">
        <v>2</v>
      </c>
      <c r="N715" s="22">
        <v>0</v>
      </c>
      <c r="O715" s="22">
        <v>8</v>
      </c>
      <c r="P715" s="22">
        <v>59.2</v>
      </c>
      <c r="Q715" s="22" t="str">
        <f t="shared" si="33"/>
        <v>Normal</v>
      </c>
      <c r="R715" s="26" t="str">
        <f t="shared" si="34"/>
        <v>USR-10071445767TreatmentSouthMobileReferralFree1111277.1820859.2</v>
      </c>
      <c r="S715" s="22" t="str">
        <f t="shared" si="35"/>
        <v>OK</v>
      </c>
    </row>
    <row r="716" spans="1:19" ht="41.4">
      <c r="A716" s="22" t="s">
        <v>747</v>
      </c>
      <c r="B716" s="25">
        <v>45703</v>
      </c>
      <c r="C716" s="22" t="s">
        <v>723</v>
      </c>
      <c r="D716" s="22" t="s">
        <v>32</v>
      </c>
      <c r="E716" s="22" t="s">
        <v>24</v>
      </c>
      <c r="F716" s="22" t="s">
        <v>25</v>
      </c>
      <c r="G716" s="22" t="s">
        <v>26</v>
      </c>
      <c r="H716" s="22">
        <v>0</v>
      </c>
      <c r="I716" s="22">
        <v>0</v>
      </c>
      <c r="J716" s="22">
        <v>0</v>
      </c>
      <c r="K716" s="22">
        <v>0</v>
      </c>
      <c r="L716" s="22">
        <v>0</v>
      </c>
      <c r="M716" s="22">
        <v>0</v>
      </c>
      <c r="N716" s="22">
        <v>0</v>
      </c>
      <c r="O716" s="22"/>
      <c r="P716" s="22">
        <v>64.2</v>
      </c>
      <c r="Q716" s="22" t="str">
        <f t="shared" si="33"/>
        <v>Normal</v>
      </c>
      <c r="R716" s="26" t="str">
        <f t="shared" si="34"/>
        <v>USR-10071545703TreatmentSouthMobileOrganicFree000000064.2</v>
      </c>
      <c r="S716" s="22" t="str">
        <f t="shared" si="35"/>
        <v>OK</v>
      </c>
    </row>
    <row r="717" spans="1:19" ht="41.4">
      <c r="A717" s="22" t="s">
        <v>748</v>
      </c>
      <c r="B717" s="25">
        <v>45678</v>
      </c>
      <c r="C717" s="22" t="s">
        <v>723</v>
      </c>
      <c r="D717" s="22" t="s">
        <v>32</v>
      </c>
      <c r="E717" s="22" t="s">
        <v>24</v>
      </c>
      <c r="F717" s="22" t="s">
        <v>25</v>
      </c>
      <c r="G717" s="22" t="s">
        <v>26</v>
      </c>
      <c r="H717" s="22">
        <v>1</v>
      </c>
      <c r="I717" s="22">
        <v>0</v>
      </c>
      <c r="J717" s="22">
        <v>0</v>
      </c>
      <c r="K717" s="22">
        <v>0</v>
      </c>
      <c r="L717" s="22">
        <v>0</v>
      </c>
      <c r="M717" s="22">
        <v>0</v>
      </c>
      <c r="N717" s="22">
        <v>0</v>
      </c>
      <c r="O717" s="22"/>
      <c r="P717" s="22">
        <v>68.8</v>
      </c>
      <c r="Q717" s="22" t="str">
        <f t="shared" si="33"/>
        <v>Normal</v>
      </c>
      <c r="R717" s="26" t="str">
        <f t="shared" si="34"/>
        <v>USR-10071645678TreatmentSouthMobileOrganicFree100000068.8</v>
      </c>
      <c r="S717" s="22" t="str">
        <f t="shared" si="35"/>
        <v>OK</v>
      </c>
    </row>
    <row r="718" spans="1:19" ht="41.4">
      <c r="A718" s="22" t="s">
        <v>749</v>
      </c>
      <c r="B718" s="25">
        <v>45800</v>
      </c>
      <c r="C718" s="22" t="s">
        <v>723</v>
      </c>
      <c r="D718" s="22" t="s">
        <v>18</v>
      </c>
      <c r="E718" s="22" t="s">
        <v>24</v>
      </c>
      <c r="F718" s="22" t="s">
        <v>29</v>
      </c>
      <c r="G718" s="22" t="s">
        <v>30</v>
      </c>
      <c r="H718" s="22">
        <v>1</v>
      </c>
      <c r="I718" s="22">
        <v>1</v>
      </c>
      <c r="J718" s="22">
        <v>1</v>
      </c>
      <c r="K718" s="22">
        <v>0</v>
      </c>
      <c r="L718" s="22">
        <v>0</v>
      </c>
      <c r="M718" s="22">
        <v>0</v>
      </c>
      <c r="N718" s="22">
        <v>0</v>
      </c>
      <c r="O718" s="22"/>
      <c r="P718" s="22">
        <v>77.900000000000006</v>
      </c>
      <c r="Q718" s="22" t="str">
        <f t="shared" si="33"/>
        <v>Normal</v>
      </c>
      <c r="R718" s="26" t="str">
        <f t="shared" si="34"/>
        <v>USR-10071745800TreatmentNorthMobilePaid SearchPremium111000077.9</v>
      </c>
      <c r="S718" s="22" t="str">
        <f t="shared" si="35"/>
        <v>OK</v>
      </c>
    </row>
    <row r="719" spans="1:19" ht="41.4">
      <c r="A719" s="22" t="s">
        <v>750</v>
      </c>
      <c r="B719" s="25">
        <v>45679</v>
      </c>
      <c r="C719" s="22" t="s">
        <v>723</v>
      </c>
      <c r="D719" s="22" t="s">
        <v>23</v>
      </c>
      <c r="E719" s="22" t="s">
        <v>24</v>
      </c>
      <c r="F719" s="22" t="s">
        <v>29</v>
      </c>
      <c r="G719" s="22" t="s">
        <v>21</v>
      </c>
      <c r="H719" s="22">
        <v>0</v>
      </c>
      <c r="I719" s="22">
        <v>0</v>
      </c>
      <c r="J719" s="22">
        <v>0</v>
      </c>
      <c r="K719" s="22">
        <v>0</v>
      </c>
      <c r="L719" s="22">
        <v>0</v>
      </c>
      <c r="M719" s="22">
        <v>0</v>
      </c>
      <c r="N719" s="22">
        <v>0</v>
      </c>
      <c r="O719" s="22"/>
      <c r="P719" s="22">
        <v>92.1</v>
      </c>
      <c r="Q719" s="22" t="str">
        <f t="shared" si="33"/>
        <v>Normal</v>
      </c>
      <c r="R719" s="26" t="str">
        <f t="shared" si="34"/>
        <v>USR-10071845679TreatmentWestMobilePaid SearchBasic000000092.1</v>
      </c>
      <c r="S719" s="22" t="str">
        <f t="shared" si="35"/>
        <v>OK</v>
      </c>
    </row>
    <row r="720" spans="1:19" ht="41.4">
      <c r="A720" s="22" t="s">
        <v>751</v>
      </c>
      <c r="B720" s="25">
        <v>45771</v>
      </c>
      <c r="C720" s="22" t="s">
        <v>723</v>
      </c>
      <c r="D720" s="22" t="s">
        <v>23</v>
      </c>
      <c r="E720" s="22" t="s">
        <v>24</v>
      </c>
      <c r="F720" s="22" t="s">
        <v>29</v>
      </c>
      <c r="G720" s="22" t="s">
        <v>30</v>
      </c>
      <c r="H720" s="22">
        <v>0</v>
      </c>
      <c r="I720" s="22">
        <v>0</v>
      </c>
      <c r="J720" s="22">
        <v>0</v>
      </c>
      <c r="K720" s="22">
        <v>0</v>
      </c>
      <c r="L720" s="22">
        <v>0</v>
      </c>
      <c r="M720" s="22">
        <v>0</v>
      </c>
      <c r="N720" s="22">
        <v>0</v>
      </c>
      <c r="O720" s="22"/>
      <c r="P720" s="22">
        <v>63.6</v>
      </c>
      <c r="Q720" s="22" t="str">
        <f t="shared" si="33"/>
        <v>Normal</v>
      </c>
      <c r="R720" s="26" t="str">
        <f t="shared" si="34"/>
        <v>USR-10071945771TreatmentWestMobilePaid SearchPremium000000063.6</v>
      </c>
      <c r="S720" s="22" t="str">
        <f t="shared" si="35"/>
        <v>OK</v>
      </c>
    </row>
    <row r="721" spans="1:19" ht="41.4">
      <c r="A721" s="22" t="s">
        <v>752</v>
      </c>
      <c r="B721" s="25">
        <v>45674</v>
      </c>
      <c r="C721" s="22" t="s">
        <v>723</v>
      </c>
      <c r="D721" s="22" t="s">
        <v>23</v>
      </c>
      <c r="E721" s="22" t="s">
        <v>19</v>
      </c>
      <c r="F721" s="22" t="s">
        <v>20</v>
      </c>
      <c r="G721" s="22" t="s">
        <v>26</v>
      </c>
      <c r="H721" s="22">
        <v>0</v>
      </c>
      <c r="I721" s="22">
        <v>0</v>
      </c>
      <c r="J721" s="22">
        <v>0</v>
      </c>
      <c r="K721" s="22">
        <v>0</v>
      </c>
      <c r="L721" s="22">
        <v>0</v>
      </c>
      <c r="M721" s="22">
        <v>2</v>
      </c>
      <c r="N721" s="22">
        <v>0</v>
      </c>
      <c r="O721" s="22"/>
      <c r="P721" s="22">
        <v>61.6</v>
      </c>
      <c r="Q721" s="22" t="str">
        <f t="shared" si="33"/>
        <v>Normal</v>
      </c>
      <c r="R721" s="26" t="str">
        <f t="shared" si="34"/>
        <v>USR-10072045674TreatmentWestDesktopEmailFree000002061.6</v>
      </c>
      <c r="S721" s="22" t="str">
        <f t="shared" si="35"/>
        <v>OK</v>
      </c>
    </row>
    <row r="722" spans="1:19" ht="41.4">
      <c r="A722" s="22" t="s">
        <v>753</v>
      </c>
      <c r="B722" s="25">
        <v>45679</v>
      </c>
      <c r="C722" s="22" t="s">
        <v>723</v>
      </c>
      <c r="D722" s="22" t="s">
        <v>28</v>
      </c>
      <c r="E722" s="22" t="s">
        <v>24</v>
      </c>
      <c r="F722" s="22" t="s">
        <v>39</v>
      </c>
      <c r="G722" s="22" t="s">
        <v>21</v>
      </c>
      <c r="H722" s="22">
        <v>1</v>
      </c>
      <c r="I722" s="22">
        <v>1</v>
      </c>
      <c r="J722" s="22">
        <v>0</v>
      </c>
      <c r="K722" s="22">
        <v>0</v>
      </c>
      <c r="L722" s="22">
        <v>0</v>
      </c>
      <c r="M722" s="22">
        <v>0</v>
      </c>
      <c r="N722" s="22">
        <v>0</v>
      </c>
      <c r="O722" s="22"/>
      <c r="P722" s="22">
        <v>82.3</v>
      </c>
      <c r="Q722" s="22" t="str">
        <f t="shared" si="33"/>
        <v>Normal</v>
      </c>
      <c r="R722" s="26" t="str">
        <f t="shared" si="34"/>
        <v>USR-10072145679TreatmentEastMobileReferralBasic110000082.3</v>
      </c>
      <c r="S722" s="22" t="str">
        <f t="shared" si="35"/>
        <v>OK</v>
      </c>
    </row>
    <row r="723" spans="1:19" ht="41.4">
      <c r="A723" s="22" t="s">
        <v>754</v>
      </c>
      <c r="B723" s="25">
        <v>45781</v>
      </c>
      <c r="C723" s="22" t="s">
        <v>723</v>
      </c>
      <c r="D723" s="22" t="s">
        <v>28</v>
      </c>
      <c r="E723" s="22" t="s">
        <v>19</v>
      </c>
      <c r="F723" s="22" t="s">
        <v>29</v>
      </c>
      <c r="G723" s="22" t="s">
        <v>26</v>
      </c>
      <c r="H723" s="22">
        <v>1</v>
      </c>
      <c r="I723" s="22">
        <v>0</v>
      </c>
      <c r="J723" s="22">
        <v>0</v>
      </c>
      <c r="K723" s="22">
        <v>0</v>
      </c>
      <c r="L723" s="22">
        <v>0</v>
      </c>
      <c r="M723" s="22">
        <v>0</v>
      </c>
      <c r="N723" s="22">
        <v>0</v>
      </c>
      <c r="O723" s="22"/>
      <c r="P723" s="22">
        <v>79.3</v>
      </c>
      <c r="Q723" s="22" t="str">
        <f t="shared" si="33"/>
        <v>Normal</v>
      </c>
      <c r="R723" s="26" t="str">
        <f t="shared" si="34"/>
        <v>USR-10072245781TreatmentEastDesktopPaid SearchFree100000079.3</v>
      </c>
      <c r="S723" s="22" t="str">
        <f t="shared" si="35"/>
        <v>OK</v>
      </c>
    </row>
    <row r="724" spans="1:19" ht="41.4">
      <c r="A724" s="22" t="s">
        <v>755</v>
      </c>
      <c r="B724" s="25">
        <v>45729</v>
      </c>
      <c r="C724" s="22" t="s">
        <v>723</v>
      </c>
      <c r="D724" s="22" t="s">
        <v>32</v>
      </c>
      <c r="E724" s="22" t="s">
        <v>24</v>
      </c>
      <c r="F724" s="22"/>
      <c r="G724" s="22" t="s">
        <v>26</v>
      </c>
      <c r="H724" s="22">
        <v>0</v>
      </c>
      <c r="I724" s="22">
        <v>0</v>
      </c>
      <c r="J724" s="22">
        <v>0</v>
      </c>
      <c r="K724" s="22">
        <v>0</v>
      </c>
      <c r="L724" s="22">
        <v>0</v>
      </c>
      <c r="M724" s="22">
        <v>0</v>
      </c>
      <c r="N724" s="22">
        <v>0</v>
      </c>
      <c r="O724" s="22"/>
      <c r="P724" s="22">
        <v>57.7</v>
      </c>
      <c r="Q724" s="22" t="str">
        <f t="shared" si="33"/>
        <v>Normal</v>
      </c>
      <c r="R724" s="26" t="str">
        <f t="shared" si="34"/>
        <v>USR-10072345729TreatmentSouthMobileFree000000057.7</v>
      </c>
      <c r="S724" s="22" t="str">
        <f t="shared" si="35"/>
        <v>OK</v>
      </c>
    </row>
    <row r="725" spans="1:19" ht="41.4">
      <c r="A725" s="22" t="s">
        <v>756</v>
      </c>
      <c r="B725" s="25">
        <v>45659</v>
      </c>
      <c r="C725" s="22" t="s">
        <v>723</v>
      </c>
      <c r="D725" s="22" t="s">
        <v>18</v>
      </c>
      <c r="E725" s="22" t="s">
        <v>24</v>
      </c>
      <c r="F725" s="22" t="s">
        <v>25</v>
      </c>
      <c r="G725" s="22" t="s">
        <v>21</v>
      </c>
      <c r="H725" s="22">
        <v>1</v>
      </c>
      <c r="I725" s="22">
        <v>0</v>
      </c>
      <c r="J725" s="22">
        <v>0</v>
      </c>
      <c r="K725" s="22">
        <v>0</v>
      </c>
      <c r="L725" s="22">
        <v>0</v>
      </c>
      <c r="M725" s="22">
        <v>0</v>
      </c>
      <c r="N725" s="22">
        <v>0</v>
      </c>
      <c r="O725" s="22"/>
      <c r="P725" s="22">
        <v>63.1</v>
      </c>
      <c r="Q725" s="22" t="str">
        <f t="shared" si="33"/>
        <v>Normal</v>
      </c>
      <c r="R725" s="26" t="str">
        <f t="shared" si="34"/>
        <v>USR-10072445659TreatmentNorthMobileOrganicBasic100000063.1</v>
      </c>
      <c r="S725" s="22" t="str">
        <f t="shared" si="35"/>
        <v>OK</v>
      </c>
    </row>
    <row r="726" spans="1:19" ht="41.4">
      <c r="A726" s="22" t="s">
        <v>757</v>
      </c>
      <c r="B726" s="25">
        <v>45670</v>
      </c>
      <c r="C726" s="22" t="s">
        <v>723</v>
      </c>
      <c r="D726" s="22" t="s">
        <v>28</v>
      </c>
      <c r="E726" s="22" t="s">
        <v>24</v>
      </c>
      <c r="F726" s="22" t="s">
        <v>29</v>
      </c>
      <c r="G726" s="22" t="s">
        <v>21</v>
      </c>
      <c r="H726" s="22">
        <v>0</v>
      </c>
      <c r="I726" s="22">
        <v>0</v>
      </c>
      <c r="J726" s="22">
        <v>0</v>
      </c>
      <c r="K726" s="22">
        <v>0</v>
      </c>
      <c r="L726" s="22">
        <v>0</v>
      </c>
      <c r="M726" s="22">
        <v>0</v>
      </c>
      <c r="N726" s="22">
        <v>0</v>
      </c>
      <c r="O726" s="22"/>
      <c r="P726" s="22">
        <v>72.3</v>
      </c>
      <c r="Q726" s="22" t="str">
        <f t="shared" si="33"/>
        <v>Normal</v>
      </c>
      <c r="R726" s="26" t="str">
        <f t="shared" si="34"/>
        <v>USR-10072545670TreatmentEastMobilePaid SearchBasic000000072.3</v>
      </c>
      <c r="S726" s="22" t="str">
        <f t="shared" si="35"/>
        <v>OK</v>
      </c>
    </row>
    <row r="727" spans="1:19" ht="41.4">
      <c r="A727" s="22" t="s">
        <v>758</v>
      </c>
      <c r="B727" s="25">
        <v>45697</v>
      </c>
      <c r="C727" s="22" t="s">
        <v>723</v>
      </c>
      <c r="D727" s="22" t="s">
        <v>28</v>
      </c>
      <c r="E727" s="22" t="s">
        <v>24</v>
      </c>
      <c r="F727" s="22" t="s">
        <v>41</v>
      </c>
      <c r="G727" s="22" t="s">
        <v>26</v>
      </c>
      <c r="H727" s="22">
        <v>1</v>
      </c>
      <c r="I727" s="22">
        <v>1</v>
      </c>
      <c r="J727" s="22">
        <v>1</v>
      </c>
      <c r="K727" s="22">
        <v>0</v>
      </c>
      <c r="L727" s="22">
        <v>0</v>
      </c>
      <c r="M727" s="22">
        <v>0</v>
      </c>
      <c r="N727" s="22">
        <v>0</v>
      </c>
      <c r="O727" s="22"/>
      <c r="P727" s="22">
        <v>78</v>
      </c>
      <c r="Q727" s="22" t="str">
        <f t="shared" si="33"/>
        <v>Normal</v>
      </c>
      <c r="R727" s="26" t="str">
        <f t="shared" si="34"/>
        <v>USR-10072645697TreatmentEastMobileSocialFree111000078</v>
      </c>
      <c r="S727" s="22" t="str">
        <f t="shared" si="35"/>
        <v>OK</v>
      </c>
    </row>
    <row r="728" spans="1:19" ht="41.4">
      <c r="A728" s="22" t="s">
        <v>759</v>
      </c>
      <c r="B728" s="25">
        <v>45756</v>
      </c>
      <c r="C728" s="22" t="s">
        <v>723</v>
      </c>
      <c r="D728" s="22" t="s">
        <v>28</v>
      </c>
      <c r="E728" s="22" t="s">
        <v>19</v>
      </c>
      <c r="F728" s="22" t="s">
        <v>41</v>
      </c>
      <c r="G728" s="22" t="s">
        <v>26</v>
      </c>
      <c r="H728" s="22">
        <v>1</v>
      </c>
      <c r="I728" s="22">
        <v>1</v>
      </c>
      <c r="J728" s="22">
        <v>0</v>
      </c>
      <c r="K728" s="22">
        <v>0</v>
      </c>
      <c r="L728" s="22">
        <v>0</v>
      </c>
      <c r="M728" s="22">
        <v>2</v>
      </c>
      <c r="N728" s="22">
        <v>0</v>
      </c>
      <c r="O728" s="22"/>
      <c r="P728" s="22">
        <v>59.1</v>
      </c>
      <c r="Q728" s="22" t="str">
        <f t="shared" si="33"/>
        <v>Normal</v>
      </c>
      <c r="R728" s="26" t="str">
        <f t="shared" si="34"/>
        <v>USR-10072745756TreatmentEastDesktopSocialFree110002059.1</v>
      </c>
      <c r="S728" s="22" t="str">
        <f t="shared" si="35"/>
        <v>OK</v>
      </c>
    </row>
    <row r="729" spans="1:19" ht="55.2">
      <c r="A729" s="22" t="s">
        <v>760</v>
      </c>
      <c r="B729" s="25">
        <v>45659</v>
      </c>
      <c r="C729" s="22" t="s">
        <v>723</v>
      </c>
      <c r="D729" s="22" t="s">
        <v>32</v>
      </c>
      <c r="E729" s="22" t="s">
        <v>24</v>
      </c>
      <c r="F729" s="22" t="s">
        <v>29</v>
      </c>
      <c r="G729" s="22" t="s">
        <v>26</v>
      </c>
      <c r="H729" s="22">
        <v>1</v>
      </c>
      <c r="I729" s="22">
        <v>1</v>
      </c>
      <c r="J729" s="22">
        <v>1</v>
      </c>
      <c r="K729" s="22">
        <v>1</v>
      </c>
      <c r="L729" s="22">
        <v>604.09</v>
      </c>
      <c r="M729" s="22">
        <v>0</v>
      </c>
      <c r="N729" s="22">
        <v>0</v>
      </c>
      <c r="O729" s="22">
        <v>7</v>
      </c>
      <c r="P729" s="22">
        <v>47.1</v>
      </c>
      <c r="Q729" s="22" t="str">
        <f t="shared" si="33"/>
        <v>Normal</v>
      </c>
      <c r="R729" s="26" t="str">
        <f t="shared" si="34"/>
        <v>USR-10072845659TreatmentSouthMobilePaid SearchFree1111604.0900747.1</v>
      </c>
      <c r="S729" s="22" t="str">
        <f t="shared" si="35"/>
        <v>OK</v>
      </c>
    </row>
    <row r="730" spans="1:19" ht="41.4">
      <c r="A730" s="22" t="s">
        <v>761</v>
      </c>
      <c r="B730" s="25">
        <v>45692</v>
      </c>
      <c r="C730" s="22" t="s">
        <v>723</v>
      </c>
      <c r="D730" s="22" t="s">
        <v>32</v>
      </c>
      <c r="E730" s="22" t="s">
        <v>24</v>
      </c>
      <c r="F730" s="22"/>
      <c r="G730" s="22" t="s">
        <v>30</v>
      </c>
      <c r="H730" s="22">
        <v>1</v>
      </c>
      <c r="I730" s="22">
        <v>0</v>
      </c>
      <c r="J730" s="22">
        <v>0</v>
      </c>
      <c r="K730" s="22">
        <v>0</v>
      </c>
      <c r="L730" s="22">
        <v>0</v>
      </c>
      <c r="M730" s="22">
        <v>0</v>
      </c>
      <c r="N730" s="22">
        <v>0</v>
      </c>
      <c r="O730" s="22"/>
      <c r="P730" s="22">
        <v>64.900000000000006</v>
      </c>
      <c r="Q730" s="22" t="str">
        <f t="shared" si="33"/>
        <v>Normal</v>
      </c>
      <c r="R730" s="26" t="str">
        <f t="shared" si="34"/>
        <v>USR-10072945692TreatmentSouthMobilePremium100000064.9</v>
      </c>
      <c r="S730" s="22" t="str">
        <f t="shared" si="35"/>
        <v>OK</v>
      </c>
    </row>
    <row r="731" spans="1:19" ht="41.4">
      <c r="A731" s="22" t="s">
        <v>762</v>
      </c>
      <c r="B731" s="25">
        <v>45707</v>
      </c>
      <c r="C731" s="22" t="s">
        <v>723</v>
      </c>
      <c r="D731" s="22" t="s">
        <v>32</v>
      </c>
      <c r="E731" s="22" t="s">
        <v>34</v>
      </c>
      <c r="F731" s="22" t="s">
        <v>29</v>
      </c>
      <c r="G731" s="22" t="s">
        <v>26</v>
      </c>
      <c r="H731" s="22">
        <v>0</v>
      </c>
      <c r="I731" s="22">
        <v>0</v>
      </c>
      <c r="J731" s="22">
        <v>0</v>
      </c>
      <c r="K731" s="22">
        <v>0</v>
      </c>
      <c r="L731" s="22">
        <v>0</v>
      </c>
      <c r="M731" s="22">
        <v>0</v>
      </c>
      <c r="N731" s="22">
        <v>0</v>
      </c>
      <c r="O731" s="22"/>
      <c r="P731" s="22">
        <v>67.3</v>
      </c>
      <c r="Q731" s="22" t="str">
        <f t="shared" si="33"/>
        <v>Normal</v>
      </c>
      <c r="R731" s="26" t="str">
        <f t="shared" si="34"/>
        <v>USR-10073045707TreatmentSouthTabletPaid SearchFree000000067.3</v>
      </c>
      <c r="S731" s="22" t="str">
        <f t="shared" si="35"/>
        <v>OK</v>
      </c>
    </row>
    <row r="732" spans="1:19" ht="41.4">
      <c r="A732" s="22" t="s">
        <v>763</v>
      </c>
      <c r="B732" s="25">
        <v>45748</v>
      </c>
      <c r="C732" s="22" t="s">
        <v>723</v>
      </c>
      <c r="D732" s="22" t="s">
        <v>28</v>
      </c>
      <c r="E732" s="22" t="s">
        <v>24</v>
      </c>
      <c r="F732" s="22" t="s">
        <v>29</v>
      </c>
      <c r="G732" s="22" t="s">
        <v>21</v>
      </c>
      <c r="H732" s="22">
        <v>1</v>
      </c>
      <c r="I732" s="22">
        <v>0</v>
      </c>
      <c r="J732" s="22">
        <v>0</v>
      </c>
      <c r="K732" s="22">
        <v>0</v>
      </c>
      <c r="L732" s="22">
        <v>0</v>
      </c>
      <c r="M732" s="22">
        <v>2</v>
      </c>
      <c r="N732" s="22">
        <v>0</v>
      </c>
      <c r="O732" s="22"/>
      <c r="P732" s="22">
        <v>52.9</v>
      </c>
      <c r="Q732" s="22" t="str">
        <f t="shared" si="33"/>
        <v>Normal</v>
      </c>
      <c r="R732" s="26" t="str">
        <f t="shared" si="34"/>
        <v>USR-10073145748TreatmentEastMobilePaid SearchBasic100002052.9</v>
      </c>
      <c r="S732" s="22" t="str">
        <f t="shared" si="35"/>
        <v>OK</v>
      </c>
    </row>
    <row r="733" spans="1:19" ht="41.4">
      <c r="A733" s="22" t="s">
        <v>764</v>
      </c>
      <c r="B733" s="25">
        <v>45686</v>
      </c>
      <c r="C733" s="22" t="s">
        <v>723</v>
      </c>
      <c r="D733" s="22" t="s">
        <v>18</v>
      </c>
      <c r="E733" s="22" t="s">
        <v>24</v>
      </c>
      <c r="F733" s="22" t="s">
        <v>39</v>
      </c>
      <c r="G733" s="22" t="s">
        <v>26</v>
      </c>
      <c r="H733" s="22">
        <v>1</v>
      </c>
      <c r="I733" s="22">
        <v>1</v>
      </c>
      <c r="J733" s="22">
        <v>1</v>
      </c>
      <c r="K733" s="22">
        <v>1</v>
      </c>
      <c r="L733" s="22">
        <v>442.37</v>
      </c>
      <c r="M733" s="22">
        <v>1</v>
      </c>
      <c r="N733" s="22">
        <v>0</v>
      </c>
      <c r="O733" s="22">
        <v>4</v>
      </c>
      <c r="P733" s="22">
        <v>69.900000000000006</v>
      </c>
      <c r="Q733" s="22" t="str">
        <f t="shared" si="33"/>
        <v>Normal</v>
      </c>
      <c r="R733" s="26" t="str">
        <f t="shared" si="34"/>
        <v>USR-10073245686TreatmentNorthMobileReferralFree1111442.3710469.9</v>
      </c>
      <c r="S733" s="22" t="str">
        <f t="shared" si="35"/>
        <v>OK</v>
      </c>
    </row>
    <row r="734" spans="1:19" ht="41.4">
      <c r="A734" s="22" t="s">
        <v>765</v>
      </c>
      <c r="B734" s="25">
        <v>45795</v>
      </c>
      <c r="C734" s="22" t="s">
        <v>723</v>
      </c>
      <c r="D734" s="22" t="s">
        <v>18</v>
      </c>
      <c r="E734" s="22" t="s">
        <v>24</v>
      </c>
      <c r="F734" s="22" t="s">
        <v>39</v>
      </c>
      <c r="G734" s="22" t="s">
        <v>21</v>
      </c>
      <c r="H734" s="22">
        <v>1</v>
      </c>
      <c r="I734" s="22">
        <v>1</v>
      </c>
      <c r="J734" s="22">
        <v>1</v>
      </c>
      <c r="K734" s="22">
        <v>0</v>
      </c>
      <c r="L734" s="22">
        <v>0</v>
      </c>
      <c r="M734" s="22">
        <v>0</v>
      </c>
      <c r="N734" s="22">
        <v>0</v>
      </c>
      <c r="O734" s="22"/>
      <c r="P734" s="22">
        <v>78.900000000000006</v>
      </c>
      <c r="Q734" s="22" t="str">
        <f t="shared" si="33"/>
        <v>Normal</v>
      </c>
      <c r="R734" s="26" t="str">
        <f t="shared" si="34"/>
        <v>USR-10073345795TreatmentNorthMobileReferralBasic111000078.9</v>
      </c>
      <c r="S734" s="22" t="str">
        <f t="shared" si="35"/>
        <v>OK</v>
      </c>
    </row>
    <row r="735" spans="1:19" ht="41.4">
      <c r="A735" s="22" t="s">
        <v>766</v>
      </c>
      <c r="B735" s="25">
        <v>45762</v>
      </c>
      <c r="C735" s="22" t="s">
        <v>723</v>
      </c>
      <c r="D735" s="22" t="s">
        <v>28</v>
      </c>
      <c r="E735" s="22" t="s">
        <v>19</v>
      </c>
      <c r="F735" s="22" t="s">
        <v>41</v>
      </c>
      <c r="G735" s="22" t="s">
        <v>30</v>
      </c>
      <c r="H735" s="22">
        <v>1</v>
      </c>
      <c r="I735" s="22">
        <v>1</v>
      </c>
      <c r="J735" s="22">
        <v>0</v>
      </c>
      <c r="K735" s="22">
        <v>0</v>
      </c>
      <c r="L735" s="22">
        <v>0</v>
      </c>
      <c r="M735" s="22">
        <v>0</v>
      </c>
      <c r="N735" s="22">
        <v>0</v>
      </c>
      <c r="O735" s="22"/>
      <c r="P735" s="22">
        <v>83.3</v>
      </c>
      <c r="Q735" s="22" t="str">
        <f t="shared" si="33"/>
        <v>Normal</v>
      </c>
      <c r="R735" s="26" t="str">
        <f t="shared" si="34"/>
        <v>USR-10073445762TreatmentEastDesktopSocialPremium110000083.3</v>
      </c>
      <c r="S735" s="22" t="str">
        <f t="shared" si="35"/>
        <v>OK</v>
      </c>
    </row>
    <row r="736" spans="1:19" ht="41.4">
      <c r="A736" s="22" t="s">
        <v>767</v>
      </c>
      <c r="B736" s="25">
        <v>45744</v>
      </c>
      <c r="C736" s="22" t="s">
        <v>723</v>
      </c>
      <c r="D736" s="22" t="s">
        <v>28</v>
      </c>
      <c r="E736" s="22" t="s">
        <v>19</v>
      </c>
      <c r="F736" s="22" t="s">
        <v>20</v>
      </c>
      <c r="G736" s="22" t="s">
        <v>26</v>
      </c>
      <c r="H736" s="22">
        <v>1</v>
      </c>
      <c r="I736" s="22">
        <v>0</v>
      </c>
      <c r="J736" s="22">
        <v>0</v>
      </c>
      <c r="K736" s="22">
        <v>0</v>
      </c>
      <c r="L736" s="22">
        <v>0</v>
      </c>
      <c r="M736" s="22">
        <v>1</v>
      </c>
      <c r="N736" s="22">
        <v>0</v>
      </c>
      <c r="O736" s="22"/>
      <c r="P736" s="22">
        <v>24.5</v>
      </c>
      <c r="Q736" s="22" t="str">
        <f t="shared" si="33"/>
        <v>Normal</v>
      </c>
      <c r="R736" s="26" t="str">
        <f t="shared" si="34"/>
        <v>USR-10073545744TreatmentEastDesktopEmailFree100001024.5</v>
      </c>
      <c r="S736" s="22" t="str">
        <f t="shared" si="35"/>
        <v>OK</v>
      </c>
    </row>
    <row r="737" spans="1:19" ht="41.4">
      <c r="A737" s="22" t="s">
        <v>768</v>
      </c>
      <c r="B737" s="25">
        <v>45748</v>
      </c>
      <c r="C737" s="22" t="s">
        <v>723</v>
      </c>
      <c r="D737" s="22" t="s">
        <v>23</v>
      </c>
      <c r="E737" s="22" t="s">
        <v>24</v>
      </c>
      <c r="F737" s="22" t="s">
        <v>29</v>
      </c>
      <c r="G737" s="22" t="s">
        <v>21</v>
      </c>
      <c r="H737" s="22">
        <v>1</v>
      </c>
      <c r="I737" s="22">
        <v>1</v>
      </c>
      <c r="J737" s="22">
        <v>0</v>
      </c>
      <c r="K737" s="22">
        <v>0</v>
      </c>
      <c r="L737" s="22">
        <v>0</v>
      </c>
      <c r="M737" s="22">
        <v>1</v>
      </c>
      <c r="N737" s="22">
        <v>0</v>
      </c>
      <c r="O737" s="22"/>
      <c r="P737" s="22">
        <v>56.9</v>
      </c>
      <c r="Q737" s="22" t="str">
        <f t="shared" si="33"/>
        <v>Normal</v>
      </c>
      <c r="R737" s="26" t="str">
        <f t="shared" si="34"/>
        <v>USR-10073645748TreatmentWestMobilePaid SearchBasic110001056.9</v>
      </c>
      <c r="S737" s="22" t="str">
        <f t="shared" si="35"/>
        <v>OK</v>
      </c>
    </row>
    <row r="738" spans="1:19" ht="41.4">
      <c r="A738" s="22" t="s">
        <v>769</v>
      </c>
      <c r="B738" s="25">
        <v>45699</v>
      </c>
      <c r="C738" s="22" t="s">
        <v>723</v>
      </c>
      <c r="D738" s="22" t="s">
        <v>23</v>
      </c>
      <c r="E738" s="22" t="s">
        <v>24</v>
      </c>
      <c r="F738" s="22" t="s">
        <v>41</v>
      </c>
      <c r="G738" s="22" t="s">
        <v>21</v>
      </c>
      <c r="H738" s="22">
        <v>1</v>
      </c>
      <c r="I738" s="22">
        <v>0</v>
      </c>
      <c r="J738" s="22">
        <v>0</v>
      </c>
      <c r="K738" s="22">
        <v>0</v>
      </c>
      <c r="L738" s="22">
        <v>0</v>
      </c>
      <c r="M738" s="22">
        <v>0</v>
      </c>
      <c r="N738" s="22">
        <v>0</v>
      </c>
      <c r="O738" s="22"/>
      <c r="P738" s="22">
        <v>69.900000000000006</v>
      </c>
      <c r="Q738" s="22" t="str">
        <f t="shared" si="33"/>
        <v>Normal</v>
      </c>
      <c r="R738" s="26" t="str">
        <f t="shared" si="34"/>
        <v>USR-10073745699TreatmentWestMobileSocialBasic100000069.9</v>
      </c>
      <c r="S738" s="22" t="str">
        <f t="shared" si="35"/>
        <v>OK</v>
      </c>
    </row>
    <row r="739" spans="1:19" ht="41.4">
      <c r="A739" s="22" t="s">
        <v>770</v>
      </c>
      <c r="B739" s="25">
        <v>45720</v>
      </c>
      <c r="C739" s="22" t="s">
        <v>723</v>
      </c>
      <c r="D739" s="22" t="s">
        <v>32</v>
      </c>
      <c r="E739" s="22" t="s">
        <v>24</v>
      </c>
      <c r="F739" s="22" t="s">
        <v>25</v>
      </c>
      <c r="G739" s="22" t="s">
        <v>26</v>
      </c>
      <c r="H739" s="22">
        <v>1</v>
      </c>
      <c r="I739" s="22">
        <v>1</v>
      </c>
      <c r="J739" s="22">
        <v>1</v>
      </c>
      <c r="K739" s="22">
        <v>0</v>
      </c>
      <c r="L739" s="22">
        <v>0</v>
      </c>
      <c r="M739" s="22">
        <v>0</v>
      </c>
      <c r="N739" s="22">
        <v>0</v>
      </c>
      <c r="O739" s="22"/>
      <c r="P739" s="22">
        <v>81.5</v>
      </c>
      <c r="Q739" s="22" t="str">
        <f t="shared" si="33"/>
        <v>Normal</v>
      </c>
      <c r="R739" s="26" t="str">
        <f t="shared" si="34"/>
        <v>USR-10073845720TreatmentSouthMobileOrganicFree111000081.5</v>
      </c>
      <c r="S739" s="22" t="str">
        <f t="shared" si="35"/>
        <v>OK</v>
      </c>
    </row>
    <row r="740" spans="1:19" ht="41.4">
      <c r="A740" s="22" t="s">
        <v>771</v>
      </c>
      <c r="B740" s="25">
        <v>45678</v>
      </c>
      <c r="C740" s="22" t="s">
        <v>723</v>
      </c>
      <c r="D740" s="22" t="s">
        <v>18</v>
      </c>
      <c r="E740" s="22" t="s">
        <v>34</v>
      </c>
      <c r="F740" s="22" t="s">
        <v>41</v>
      </c>
      <c r="G740" s="22" t="s">
        <v>21</v>
      </c>
      <c r="H740" s="22">
        <v>0</v>
      </c>
      <c r="I740" s="22">
        <v>0</v>
      </c>
      <c r="J740" s="22">
        <v>0</v>
      </c>
      <c r="K740" s="22">
        <v>0</v>
      </c>
      <c r="L740" s="22">
        <v>0</v>
      </c>
      <c r="M740" s="22">
        <v>2</v>
      </c>
      <c r="N740" s="22">
        <v>0</v>
      </c>
      <c r="O740" s="22"/>
      <c r="P740" s="22">
        <v>37.9</v>
      </c>
      <c r="Q740" s="22" t="str">
        <f t="shared" si="33"/>
        <v>Normal</v>
      </c>
      <c r="R740" s="26" t="str">
        <f t="shared" si="34"/>
        <v>USR-10073945678TreatmentNorthTabletSocialBasic000002037.9</v>
      </c>
      <c r="S740" s="22" t="str">
        <f t="shared" si="35"/>
        <v>OK</v>
      </c>
    </row>
    <row r="741" spans="1:19" ht="41.4">
      <c r="A741" s="22" t="s">
        <v>772</v>
      </c>
      <c r="B741" s="25">
        <v>45702</v>
      </c>
      <c r="C741" s="22" t="s">
        <v>723</v>
      </c>
      <c r="D741" s="22" t="s">
        <v>18</v>
      </c>
      <c r="E741" s="22" t="s">
        <v>24</v>
      </c>
      <c r="F741" s="22" t="s">
        <v>39</v>
      </c>
      <c r="G741" s="22" t="s">
        <v>26</v>
      </c>
      <c r="H741" s="22">
        <v>0</v>
      </c>
      <c r="I741" s="22">
        <v>0</v>
      </c>
      <c r="J741" s="22">
        <v>0</v>
      </c>
      <c r="K741" s="22">
        <v>0</v>
      </c>
      <c r="L741" s="22">
        <v>0</v>
      </c>
      <c r="M741" s="22">
        <v>1</v>
      </c>
      <c r="N741" s="22">
        <v>0</v>
      </c>
      <c r="O741" s="22"/>
      <c r="P741" s="22">
        <v>61.7</v>
      </c>
      <c r="Q741" s="22" t="str">
        <f t="shared" si="33"/>
        <v>Normal</v>
      </c>
      <c r="R741" s="26" t="str">
        <f t="shared" si="34"/>
        <v>USR-10074045702TreatmentNorthMobileReferralFree000001061.7</v>
      </c>
      <c r="S741" s="22" t="str">
        <f t="shared" si="35"/>
        <v>OK</v>
      </c>
    </row>
    <row r="742" spans="1:19" ht="41.4">
      <c r="A742" s="22" t="s">
        <v>773</v>
      </c>
      <c r="B742" s="25">
        <v>45746</v>
      </c>
      <c r="C742" s="22" t="s">
        <v>723</v>
      </c>
      <c r="D742" s="22" t="s">
        <v>18</v>
      </c>
      <c r="E742" s="22" t="s">
        <v>19</v>
      </c>
      <c r="F742" s="22"/>
      <c r="G742" s="22" t="s">
        <v>30</v>
      </c>
      <c r="H742" s="22">
        <v>1</v>
      </c>
      <c r="I742" s="22">
        <v>0</v>
      </c>
      <c r="J742" s="22">
        <v>0</v>
      </c>
      <c r="K742" s="22">
        <v>0</v>
      </c>
      <c r="L742" s="22">
        <v>0</v>
      </c>
      <c r="M742" s="22">
        <v>2</v>
      </c>
      <c r="N742" s="22">
        <v>0</v>
      </c>
      <c r="O742" s="22"/>
      <c r="P742" s="22">
        <v>53.2</v>
      </c>
      <c r="Q742" s="22" t="str">
        <f t="shared" si="33"/>
        <v>Normal</v>
      </c>
      <c r="R742" s="26" t="str">
        <f t="shared" si="34"/>
        <v>USR-10074145746TreatmentNorthDesktopPremium100002053.2</v>
      </c>
      <c r="S742" s="22" t="str">
        <f t="shared" si="35"/>
        <v>OK</v>
      </c>
    </row>
    <row r="743" spans="1:19" ht="41.4">
      <c r="A743" s="22" t="s">
        <v>774</v>
      </c>
      <c r="B743" s="25">
        <v>45665</v>
      </c>
      <c r="C743" s="22" t="s">
        <v>723</v>
      </c>
      <c r="D743" s="22" t="s">
        <v>18</v>
      </c>
      <c r="E743" s="22" t="s">
        <v>24</v>
      </c>
      <c r="F743" s="22" t="s">
        <v>39</v>
      </c>
      <c r="G743" s="22" t="s">
        <v>26</v>
      </c>
      <c r="H743" s="22">
        <v>0</v>
      </c>
      <c r="I743" s="22">
        <v>0</v>
      </c>
      <c r="J743" s="22">
        <v>0</v>
      </c>
      <c r="K743" s="22">
        <v>0</v>
      </c>
      <c r="L743" s="22">
        <v>0</v>
      </c>
      <c r="M743" s="22">
        <v>0</v>
      </c>
      <c r="N743" s="22">
        <v>0</v>
      </c>
      <c r="O743" s="22"/>
      <c r="P743" s="22">
        <v>61.9</v>
      </c>
      <c r="Q743" s="22" t="str">
        <f t="shared" si="33"/>
        <v>Normal</v>
      </c>
      <c r="R743" s="26" t="str">
        <f t="shared" si="34"/>
        <v>USR-10074245665TreatmentNorthMobileReferralFree000000061.9</v>
      </c>
      <c r="S743" s="22" t="str">
        <f t="shared" si="35"/>
        <v>OK</v>
      </c>
    </row>
    <row r="744" spans="1:19" ht="41.4">
      <c r="A744" s="22" t="s">
        <v>775</v>
      </c>
      <c r="B744" s="25">
        <v>45695</v>
      </c>
      <c r="C744" s="22" t="s">
        <v>723</v>
      </c>
      <c r="D744" s="22" t="s">
        <v>18</v>
      </c>
      <c r="E744" s="22" t="s">
        <v>24</v>
      </c>
      <c r="F744" s="22" t="s">
        <v>41</v>
      </c>
      <c r="G744" s="22" t="s">
        <v>26</v>
      </c>
      <c r="H744" s="22">
        <v>1</v>
      </c>
      <c r="I744" s="22">
        <v>1</v>
      </c>
      <c r="J744" s="22">
        <v>1</v>
      </c>
      <c r="K744" s="22">
        <v>0</v>
      </c>
      <c r="L744" s="22">
        <v>0</v>
      </c>
      <c r="M744" s="22">
        <v>0</v>
      </c>
      <c r="N744" s="22">
        <v>0</v>
      </c>
      <c r="O744" s="22"/>
      <c r="P744" s="22">
        <v>68.900000000000006</v>
      </c>
      <c r="Q744" s="22" t="str">
        <f t="shared" si="33"/>
        <v>Normal</v>
      </c>
      <c r="R744" s="26" t="str">
        <f t="shared" si="34"/>
        <v>USR-10074345695TreatmentNorthMobileSocialFree111000068.9</v>
      </c>
      <c r="S744" s="22" t="str">
        <f t="shared" si="35"/>
        <v>OK</v>
      </c>
    </row>
    <row r="745" spans="1:19" ht="41.4">
      <c r="A745" s="22" t="s">
        <v>776</v>
      </c>
      <c r="B745" s="25">
        <v>45689</v>
      </c>
      <c r="C745" s="22" t="s">
        <v>723</v>
      </c>
      <c r="D745" s="22" t="s">
        <v>18</v>
      </c>
      <c r="E745" s="22" t="s">
        <v>34</v>
      </c>
      <c r="F745" s="22" t="s">
        <v>29</v>
      </c>
      <c r="G745" s="22" t="s">
        <v>21</v>
      </c>
      <c r="H745" s="22">
        <v>0</v>
      </c>
      <c r="I745" s="22">
        <v>0</v>
      </c>
      <c r="J745" s="22">
        <v>0</v>
      </c>
      <c r="K745" s="22">
        <v>0</v>
      </c>
      <c r="L745" s="22">
        <v>0</v>
      </c>
      <c r="M745" s="22">
        <v>0</v>
      </c>
      <c r="N745" s="22">
        <v>0</v>
      </c>
      <c r="O745" s="22"/>
      <c r="P745" s="22">
        <v>66.3</v>
      </c>
      <c r="Q745" s="22" t="str">
        <f t="shared" si="33"/>
        <v>Normal</v>
      </c>
      <c r="R745" s="26" t="str">
        <f t="shared" si="34"/>
        <v>USR-10074445689TreatmentNorthTabletPaid SearchBasic000000066.3</v>
      </c>
      <c r="S745" s="22" t="str">
        <f t="shared" si="35"/>
        <v>OK</v>
      </c>
    </row>
    <row r="746" spans="1:19" ht="41.4">
      <c r="A746" s="22" t="s">
        <v>777</v>
      </c>
      <c r="B746" s="25">
        <v>45661</v>
      </c>
      <c r="C746" s="22" t="s">
        <v>723</v>
      </c>
      <c r="D746" s="22" t="s">
        <v>28</v>
      </c>
      <c r="E746" s="22" t="s">
        <v>24</v>
      </c>
      <c r="F746" s="22" t="s">
        <v>20</v>
      </c>
      <c r="G746" s="22" t="s">
        <v>26</v>
      </c>
      <c r="H746" s="22">
        <v>1</v>
      </c>
      <c r="I746" s="22">
        <v>1</v>
      </c>
      <c r="J746" s="22">
        <v>1</v>
      </c>
      <c r="K746" s="22">
        <v>0</v>
      </c>
      <c r="L746" s="22">
        <v>0</v>
      </c>
      <c r="M746" s="22">
        <v>0</v>
      </c>
      <c r="N746" s="22">
        <v>0</v>
      </c>
      <c r="O746" s="22"/>
      <c r="P746" s="22">
        <v>54.6</v>
      </c>
      <c r="Q746" s="22" t="str">
        <f t="shared" si="33"/>
        <v>Normal</v>
      </c>
      <c r="R746" s="26" t="str">
        <f t="shared" si="34"/>
        <v>USR-10074545661TreatmentEastMobileEmailFree111000054.6</v>
      </c>
      <c r="S746" s="22" t="str">
        <f t="shared" si="35"/>
        <v>OK</v>
      </c>
    </row>
    <row r="747" spans="1:19" ht="41.4">
      <c r="A747" s="22" t="s">
        <v>778</v>
      </c>
      <c r="B747" s="25">
        <v>45793</v>
      </c>
      <c r="C747" s="22" t="s">
        <v>723</v>
      </c>
      <c r="D747" s="22" t="s">
        <v>32</v>
      </c>
      <c r="E747" s="22" t="s">
        <v>19</v>
      </c>
      <c r="F747" s="22" t="s">
        <v>39</v>
      </c>
      <c r="G747" s="22" t="s">
        <v>26</v>
      </c>
      <c r="H747" s="22">
        <v>0</v>
      </c>
      <c r="I747" s="22">
        <v>0</v>
      </c>
      <c r="J747" s="22">
        <v>0</v>
      </c>
      <c r="K747" s="22">
        <v>0</v>
      </c>
      <c r="L747" s="22">
        <v>0</v>
      </c>
      <c r="M747" s="22">
        <v>0</v>
      </c>
      <c r="N747" s="22">
        <v>0</v>
      </c>
      <c r="O747" s="22"/>
      <c r="P747" s="22">
        <v>53.8</v>
      </c>
      <c r="Q747" s="22" t="str">
        <f t="shared" si="33"/>
        <v>Normal</v>
      </c>
      <c r="R747" s="26" t="str">
        <f t="shared" si="34"/>
        <v>USR-10074645793TreatmentSouthDesktopReferralFree000000053.8</v>
      </c>
      <c r="S747" s="22" t="str">
        <f t="shared" si="35"/>
        <v>OK</v>
      </c>
    </row>
    <row r="748" spans="1:19" ht="41.4">
      <c r="A748" s="22" t="s">
        <v>779</v>
      </c>
      <c r="B748" s="25">
        <v>45716</v>
      </c>
      <c r="C748" s="22" t="s">
        <v>723</v>
      </c>
      <c r="D748" s="22" t="s">
        <v>23</v>
      </c>
      <c r="E748" s="22" t="s">
        <v>24</v>
      </c>
      <c r="F748" s="22" t="s">
        <v>39</v>
      </c>
      <c r="G748" s="22" t="s">
        <v>26</v>
      </c>
      <c r="H748" s="22">
        <v>1</v>
      </c>
      <c r="I748" s="22">
        <v>0</v>
      </c>
      <c r="J748" s="22">
        <v>0</v>
      </c>
      <c r="K748" s="22">
        <v>0</v>
      </c>
      <c r="L748" s="22">
        <v>0</v>
      </c>
      <c r="M748" s="22">
        <v>0</v>
      </c>
      <c r="N748" s="22">
        <v>0</v>
      </c>
      <c r="O748" s="22"/>
      <c r="P748" s="22">
        <v>59.5</v>
      </c>
      <c r="Q748" s="22" t="str">
        <f t="shared" si="33"/>
        <v>Normal</v>
      </c>
      <c r="R748" s="26" t="str">
        <f t="shared" si="34"/>
        <v>USR-10074745716TreatmentWestMobileReferralFree100000059.5</v>
      </c>
      <c r="S748" s="22" t="str">
        <f t="shared" si="35"/>
        <v>OK</v>
      </c>
    </row>
    <row r="749" spans="1:19" ht="41.4">
      <c r="A749" s="22" t="s">
        <v>780</v>
      </c>
      <c r="B749" s="25">
        <v>45759</v>
      </c>
      <c r="C749" s="22" t="s">
        <v>723</v>
      </c>
      <c r="D749" s="22" t="s">
        <v>18</v>
      </c>
      <c r="E749" s="22" t="s">
        <v>24</v>
      </c>
      <c r="F749" s="22" t="s">
        <v>39</v>
      </c>
      <c r="G749" s="22" t="s">
        <v>26</v>
      </c>
      <c r="H749" s="22">
        <v>1</v>
      </c>
      <c r="I749" s="22">
        <v>0</v>
      </c>
      <c r="J749" s="22">
        <v>0</v>
      </c>
      <c r="K749" s="22">
        <v>0</v>
      </c>
      <c r="L749" s="22">
        <v>0</v>
      </c>
      <c r="M749" s="22">
        <v>0</v>
      </c>
      <c r="N749" s="22">
        <v>0</v>
      </c>
      <c r="O749" s="22"/>
      <c r="P749" s="22">
        <v>52.6</v>
      </c>
      <c r="Q749" s="22" t="str">
        <f t="shared" si="33"/>
        <v>Normal</v>
      </c>
      <c r="R749" s="26" t="str">
        <f t="shared" si="34"/>
        <v>USR-10074845759TreatmentNorthMobileReferralFree100000052.6</v>
      </c>
      <c r="S749" s="22" t="str">
        <f t="shared" si="35"/>
        <v>OK</v>
      </c>
    </row>
    <row r="750" spans="1:19" ht="41.4">
      <c r="A750" s="22" t="s">
        <v>781</v>
      </c>
      <c r="B750" s="25">
        <v>45739</v>
      </c>
      <c r="C750" s="22" t="s">
        <v>723</v>
      </c>
      <c r="D750" s="22" t="s">
        <v>32</v>
      </c>
      <c r="E750" s="22" t="s">
        <v>19</v>
      </c>
      <c r="F750" s="22" t="s">
        <v>25</v>
      </c>
      <c r="G750" s="22" t="s">
        <v>26</v>
      </c>
      <c r="H750" s="22">
        <v>0</v>
      </c>
      <c r="I750" s="22">
        <v>0</v>
      </c>
      <c r="J750" s="22">
        <v>0</v>
      </c>
      <c r="K750" s="22">
        <v>0</v>
      </c>
      <c r="L750" s="22">
        <v>0</v>
      </c>
      <c r="M750" s="22">
        <v>0</v>
      </c>
      <c r="N750" s="22">
        <v>0</v>
      </c>
      <c r="O750" s="22"/>
      <c r="P750" s="22">
        <v>49</v>
      </c>
      <c r="Q750" s="22" t="str">
        <f t="shared" si="33"/>
        <v>Normal</v>
      </c>
      <c r="R750" s="26" t="str">
        <f t="shared" si="34"/>
        <v>USR-10074945739TreatmentSouthDesktopOrganicFree000000049</v>
      </c>
      <c r="S750" s="22" t="str">
        <f t="shared" si="35"/>
        <v>OK</v>
      </c>
    </row>
    <row r="751" spans="1:19" ht="41.4">
      <c r="A751" s="22" t="s">
        <v>782</v>
      </c>
      <c r="B751" s="25">
        <v>45806</v>
      </c>
      <c r="C751" s="22" t="s">
        <v>723</v>
      </c>
      <c r="D751" s="22" t="s">
        <v>18</v>
      </c>
      <c r="E751" s="22" t="s">
        <v>34</v>
      </c>
      <c r="F751" s="22" t="s">
        <v>25</v>
      </c>
      <c r="G751" s="22" t="s">
        <v>26</v>
      </c>
      <c r="H751" s="22">
        <v>1</v>
      </c>
      <c r="I751" s="22">
        <v>0</v>
      </c>
      <c r="J751" s="22">
        <v>0</v>
      </c>
      <c r="K751" s="22">
        <v>0</v>
      </c>
      <c r="L751" s="22">
        <v>0</v>
      </c>
      <c r="M751" s="22">
        <v>0</v>
      </c>
      <c r="N751" s="22">
        <v>0</v>
      </c>
      <c r="O751" s="22"/>
      <c r="P751" s="22">
        <v>59.3</v>
      </c>
      <c r="Q751" s="22" t="str">
        <f t="shared" si="33"/>
        <v>Normal</v>
      </c>
      <c r="R751" s="26" t="str">
        <f t="shared" si="34"/>
        <v>USR-10075045806TreatmentNorthTabletOrganicFree100000059.3</v>
      </c>
      <c r="S751" s="22" t="str">
        <f t="shared" si="35"/>
        <v>OK</v>
      </c>
    </row>
    <row r="752" spans="1:19" ht="41.4">
      <c r="A752" s="22" t="s">
        <v>783</v>
      </c>
      <c r="B752" s="25">
        <v>45798</v>
      </c>
      <c r="C752" s="22" t="s">
        <v>723</v>
      </c>
      <c r="D752" s="22" t="s">
        <v>32</v>
      </c>
      <c r="E752" s="22" t="s">
        <v>19</v>
      </c>
      <c r="F752" s="22" t="s">
        <v>25</v>
      </c>
      <c r="G752" s="22" t="s">
        <v>21</v>
      </c>
      <c r="H752" s="22">
        <v>0</v>
      </c>
      <c r="I752" s="22">
        <v>0</v>
      </c>
      <c r="J752" s="22">
        <v>0</v>
      </c>
      <c r="K752" s="22">
        <v>0</v>
      </c>
      <c r="L752" s="22">
        <v>0</v>
      </c>
      <c r="M752" s="22">
        <v>0</v>
      </c>
      <c r="N752" s="22">
        <v>0</v>
      </c>
      <c r="O752" s="22"/>
      <c r="P752" s="22">
        <v>67.2</v>
      </c>
      <c r="Q752" s="22" t="str">
        <f t="shared" si="33"/>
        <v>Normal</v>
      </c>
      <c r="R752" s="26" t="str">
        <f t="shared" si="34"/>
        <v>USR-10075145798TreatmentSouthDesktopOrganicBasic000000067.2</v>
      </c>
      <c r="S752" s="22" t="str">
        <f t="shared" si="35"/>
        <v>OK</v>
      </c>
    </row>
    <row r="753" spans="1:19" ht="41.4">
      <c r="A753" s="22" t="s">
        <v>784</v>
      </c>
      <c r="B753" s="25">
        <v>45662</v>
      </c>
      <c r="C753" s="22" t="s">
        <v>723</v>
      </c>
      <c r="D753" s="22" t="s">
        <v>32</v>
      </c>
      <c r="E753" s="22" t="s">
        <v>24</v>
      </c>
      <c r="F753" s="22" t="s">
        <v>39</v>
      </c>
      <c r="G753" s="22" t="s">
        <v>30</v>
      </c>
      <c r="H753" s="22">
        <v>0</v>
      </c>
      <c r="I753" s="22">
        <v>0</v>
      </c>
      <c r="J753" s="22">
        <v>0</v>
      </c>
      <c r="K753" s="22">
        <v>0</v>
      </c>
      <c r="L753" s="22">
        <v>0</v>
      </c>
      <c r="M753" s="22">
        <v>0</v>
      </c>
      <c r="N753" s="22">
        <v>0</v>
      </c>
      <c r="O753" s="22"/>
      <c r="P753" s="22">
        <v>73.5</v>
      </c>
      <c r="Q753" s="22" t="str">
        <f t="shared" si="33"/>
        <v>Normal</v>
      </c>
      <c r="R753" s="26" t="str">
        <f t="shared" si="34"/>
        <v>USR-10075245662TreatmentSouthMobileReferralPremium000000073.5</v>
      </c>
      <c r="S753" s="22" t="str">
        <f t="shared" si="35"/>
        <v>OK</v>
      </c>
    </row>
    <row r="754" spans="1:19" ht="41.4">
      <c r="A754" s="22" t="s">
        <v>785</v>
      </c>
      <c r="B754" s="25">
        <v>45735</v>
      </c>
      <c r="C754" s="22" t="s">
        <v>723</v>
      </c>
      <c r="D754" s="22" t="s">
        <v>28</v>
      </c>
      <c r="E754" s="22" t="s">
        <v>34</v>
      </c>
      <c r="F754" s="22" t="s">
        <v>25</v>
      </c>
      <c r="G754" s="22" t="s">
        <v>26</v>
      </c>
      <c r="H754" s="22">
        <v>1</v>
      </c>
      <c r="I754" s="22">
        <v>0</v>
      </c>
      <c r="J754" s="22">
        <v>0</v>
      </c>
      <c r="K754" s="22">
        <v>0</v>
      </c>
      <c r="L754" s="22">
        <v>0</v>
      </c>
      <c r="M754" s="22">
        <v>0</v>
      </c>
      <c r="N754" s="22">
        <v>0</v>
      </c>
      <c r="O754" s="22"/>
      <c r="P754" s="22">
        <v>61.2</v>
      </c>
      <c r="Q754" s="22" t="str">
        <f t="shared" si="33"/>
        <v>Normal</v>
      </c>
      <c r="R754" s="26" t="str">
        <f t="shared" si="34"/>
        <v>USR-10075345735TreatmentEastTabletOrganicFree100000061.2</v>
      </c>
      <c r="S754" s="22" t="str">
        <f t="shared" si="35"/>
        <v>OK</v>
      </c>
    </row>
    <row r="755" spans="1:19" ht="41.4">
      <c r="A755" s="22" t="s">
        <v>786</v>
      </c>
      <c r="B755" s="25">
        <v>45771</v>
      </c>
      <c r="C755" s="22" t="s">
        <v>723</v>
      </c>
      <c r="D755" s="22" t="s">
        <v>28</v>
      </c>
      <c r="E755" s="22" t="s">
        <v>24</v>
      </c>
      <c r="F755" s="22" t="s">
        <v>25</v>
      </c>
      <c r="G755" s="22" t="s">
        <v>26</v>
      </c>
      <c r="H755" s="22">
        <v>1</v>
      </c>
      <c r="I755" s="22">
        <v>0</v>
      </c>
      <c r="J755" s="22">
        <v>0</v>
      </c>
      <c r="K755" s="22">
        <v>0</v>
      </c>
      <c r="L755" s="22">
        <v>0</v>
      </c>
      <c r="M755" s="22">
        <v>1</v>
      </c>
      <c r="N755" s="22">
        <v>0</v>
      </c>
      <c r="O755" s="22"/>
      <c r="P755" s="22">
        <v>56.4</v>
      </c>
      <c r="Q755" s="22" t="str">
        <f t="shared" si="33"/>
        <v>Normal</v>
      </c>
      <c r="R755" s="26" t="str">
        <f t="shared" si="34"/>
        <v>USR-10075445771TreatmentEastMobileOrganicFree100001056.4</v>
      </c>
      <c r="S755" s="22" t="str">
        <f t="shared" si="35"/>
        <v>OK</v>
      </c>
    </row>
    <row r="756" spans="1:19" ht="41.4">
      <c r="A756" s="22" t="s">
        <v>787</v>
      </c>
      <c r="B756" s="25">
        <v>45726</v>
      </c>
      <c r="C756" s="22" t="s">
        <v>723</v>
      </c>
      <c r="D756" s="22" t="s">
        <v>18</v>
      </c>
      <c r="E756" s="22" t="s">
        <v>34</v>
      </c>
      <c r="F756" s="22" t="s">
        <v>25</v>
      </c>
      <c r="G756" s="22" t="s">
        <v>26</v>
      </c>
      <c r="H756" s="22">
        <v>0</v>
      </c>
      <c r="I756" s="22">
        <v>0</v>
      </c>
      <c r="J756" s="22">
        <v>0</v>
      </c>
      <c r="K756" s="22">
        <v>0</v>
      </c>
      <c r="L756" s="22">
        <v>0</v>
      </c>
      <c r="M756" s="22">
        <v>3</v>
      </c>
      <c r="N756" s="22">
        <v>0</v>
      </c>
      <c r="O756" s="22"/>
      <c r="P756" s="22">
        <v>72.599999999999994</v>
      </c>
      <c r="Q756" s="22" t="str">
        <f t="shared" si="33"/>
        <v>Normal</v>
      </c>
      <c r="R756" s="26" t="str">
        <f t="shared" si="34"/>
        <v>USR-10075545726TreatmentNorthTabletOrganicFree000003072.6</v>
      </c>
      <c r="S756" s="22" t="str">
        <f t="shared" si="35"/>
        <v>OK</v>
      </c>
    </row>
    <row r="757" spans="1:19" ht="41.4">
      <c r="A757" s="22" t="s">
        <v>788</v>
      </c>
      <c r="B757" s="25">
        <v>45710</v>
      </c>
      <c r="C757" s="22" t="s">
        <v>723</v>
      </c>
      <c r="D757" s="22" t="s">
        <v>32</v>
      </c>
      <c r="E757" s="22" t="s">
        <v>34</v>
      </c>
      <c r="F757" s="22" t="s">
        <v>39</v>
      </c>
      <c r="G757" s="22" t="s">
        <v>21</v>
      </c>
      <c r="H757" s="22">
        <v>1</v>
      </c>
      <c r="I757" s="22">
        <v>0</v>
      </c>
      <c r="J757" s="22">
        <v>0</v>
      </c>
      <c r="K757" s="22">
        <v>0</v>
      </c>
      <c r="L757" s="22">
        <v>0</v>
      </c>
      <c r="M757" s="22">
        <v>0</v>
      </c>
      <c r="N757" s="22">
        <v>0</v>
      </c>
      <c r="O757" s="22"/>
      <c r="P757" s="22">
        <v>61.7</v>
      </c>
      <c r="Q757" s="22" t="str">
        <f t="shared" si="33"/>
        <v>Normal</v>
      </c>
      <c r="R757" s="26" t="str">
        <f t="shared" si="34"/>
        <v>USR-10075645710TreatmentSouthTabletReferralBasic100000061.7</v>
      </c>
      <c r="S757" s="22" t="str">
        <f t="shared" si="35"/>
        <v>OK</v>
      </c>
    </row>
    <row r="758" spans="1:19" ht="41.4">
      <c r="A758" s="22" t="s">
        <v>789</v>
      </c>
      <c r="B758" s="25">
        <v>45794</v>
      </c>
      <c r="C758" s="22" t="s">
        <v>723</v>
      </c>
      <c r="D758" s="22" t="s">
        <v>28</v>
      </c>
      <c r="E758" s="22" t="s">
        <v>24</v>
      </c>
      <c r="F758" s="22" t="s">
        <v>41</v>
      </c>
      <c r="G758" s="22" t="s">
        <v>26</v>
      </c>
      <c r="H758" s="22">
        <v>0</v>
      </c>
      <c r="I758" s="22">
        <v>0</v>
      </c>
      <c r="J758" s="22">
        <v>0</v>
      </c>
      <c r="K758" s="22">
        <v>0</v>
      </c>
      <c r="L758" s="22">
        <v>0</v>
      </c>
      <c r="M758" s="22">
        <v>1</v>
      </c>
      <c r="N758" s="22">
        <v>0</v>
      </c>
      <c r="O758" s="22"/>
      <c r="P758" s="22">
        <v>66.900000000000006</v>
      </c>
      <c r="Q758" s="22" t="str">
        <f t="shared" si="33"/>
        <v>Normal</v>
      </c>
      <c r="R758" s="26" t="str">
        <f t="shared" si="34"/>
        <v>USR-10075745794TreatmentEastMobileSocialFree000001066.9</v>
      </c>
      <c r="S758" s="22" t="str">
        <f t="shared" si="35"/>
        <v>OK</v>
      </c>
    </row>
    <row r="759" spans="1:19" ht="55.2">
      <c r="A759" s="22" t="s">
        <v>790</v>
      </c>
      <c r="B759" s="25">
        <v>45786</v>
      </c>
      <c r="C759" s="22" t="s">
        <v>723</v>
      </c>
      <c r="D759" s="22" t="s">
        <v>28</v>
      </c>
      <c r="E759" s="22" t="s">
        <v>34</v>
      </c>
      <c r="F759" s="22" t="s">
        <v>39</v>
      </c>
      <c r="G759" s="22" t="s">
        <v>30</v>
      </c>
      <c r="H759" s="22">
        <v>1</v>
      </c>
      <c r="I759" s="22">
        <v>1</v>
      </c>
      <c r="J759" s="22">
        <v>1</v>
      </c>
      <c r="K759" s="22">
        <v>1</v>
      </c>
      <c r="L759" s="22">
        <v>1506.24</v>
      </c>
      <c r="M759" s="22">
        <v>1</v>
      </c>
      <c r="N759" s="22">
        <v>0</v>
      </c>
      <c r="O759" s="22">
        <v>7</v>
      </c>
      <c r="P759" s="22">
        <v>64.900000000000006</v>
      </c>
      <c r="Q759" s="22" t="str">
        <f t="shared" si="33"/>
        <v>Normal</v>
      </c>
      <c r="R759" s="26" t="str">
        <f t="shared" si="34"/>
        <v>USR-10075845786TreatmentEastTabletReferralPremium11111506.2410764.9</v>
      </c>
      <c r="S759" s="22" t="str">
        <f t="shared" si="35"/>
        <v>OK</v>
      </c>
    </row>
    <row r="760" spans="1:19" ht="41.4">
      <c r="A760" s="22" t="s">
        <v>791</v>
      </c>
      <c r="B760" s="25">
        <v>45773</v>
      </c>
      <c r="C760" s="22" t="s">
        <v>723</v>
      </c>
      <c r="D760" s="22" t="s">
        <v>28</v>
      </c>
      <c r="E760" s="22" t="s">
        <v>34</v>
      </c>
      <c r="F760" s="22" t="s">
        <v>25</v>
      </c>
      <c r="G760" s="22" t="s">
        <v>30</v>
      </c>
      <c r="H760" s="22">
        <v>1</v>
      </c>
      <c r="I760" s="22">
        <v>0</v>
      </c>
      <c r="J760" s="22">
        <v>0</v>
      </c>
      <c r="K760" s="22">
        <v>0</v>
      </c>
      <c r="L760" s="22">
        <v>0</v>
      </c>
      <c r="M760" s="22">
        <v>0</v>
      </c>
      <c r="N760" s="22">
        <v>0</v>
      </c>
      <c r="O760" s="22"/>
      <c r="P760" s="22">
        <v>57.5</v>
      </c>
      <c r="Q760" s="22" t="str">
        <f t="shared" si="33"/>
        <v>Normal</v>
      </c>
      <c r="R760" s="26" t="str">
        <f t="shared" si="34"/>
        <v>USR-10075945773TreatmentEastTabletOrganicPremium100000057.5</v>
      </c>
      <c r="S760" s="22" t="str">
        <f t="shared" si="35"/>
        <v>OK</v>
      </c>
    </row>
    <row r="761" spans="1:19" ht="41.4">
      <c r="A761" s="22" t="s">
        <v>792</v>
      </c>
      <c r="B761" s="25">
        <v>45731</v>
      </c>
      <c r="C761" s="22" t="s">
        <v>723</v>
      </c>
      <c r="D761" s="22" t="s">
        <v>23</v>
      </c>
      <c r="E761" s="22" t="s">
        <v>19</v>
      </c>
      <c r="F761" s="22" t="s">
        <v>41</v>
      </c>
      <c r="G761" s="22" t="s">
        <v>26</v>
      </c>
      <c r="H761" s="22">
        <v>1</v>
      </c>
      <c r="I761" s="22">
        <v>1</v>
      </c>
      <c r="J761" s="22">
        <v>1</v>
      </c>
      <c r="K761" s="22">
        <v>0</v>
      </c>
      <c r="L761" s="22">
        <v>0</v>
      </c>
      <c r="M761" s="22">
        <v>0</v>
      </c>
      <c r="N761" s="22">
        <v>0</v>
      </c>
      <c r="O761" s="22"/>
      <c r="P761" s="22">
        <v>76.3</v>
      </c>
      <c r="Q761" s="22" t="str">
        <f t="shared" si="33"/>
        <v>Normal</v>
      </c>
      <c r="R761" s="26" t="str">
        <f t="shared" si="34"/>
        <v>USR-10076045731TreatmentWestDesktopSocialFree111000076.3</v>
      </c>
      <c r="S761" s="22" t="str">
        <f t="shared" si="35"/>
        <v>OK</v>
      </c>
    </row>
    <row r="762" spans="1:19" ht="41.4">
      <c r="A762" s="22" t="s">
        <v>793</v>
      </c>
      <c r="B762" s="25">
        <v>45750</v>
      </c>
      <c r="C762" s="22" t="s">
        <v>723</v>
      </c>
      <c r="D762" s="22" t="s">
        <v>18</v>
      </c>
      <c r="E762" s="22" t="s">
        <v>24</v>
      </c>
      <c r="F762" s="22" t="s">
        <v>29</v>
      </c>
      <c r="G762" s="22" t="s">
        <v>26</v>
      </c>
      <c r="H762" s="22">
        <v>0</v>
      </c>
      <c r="I762" s="22">
        <v>0</v>
      </c>
      <c r="J762" s="22">
        <v>0</v>
      </c>
      <c r="K762" s="22">
        <v>0</v>
      </c>
      <c r="L762" s="22">
        <v>0</v>
      </c>
      <c r="M762" s="22">
        <v>0</v>
      </c>
      <c r="N762" s="22">
        <v>0</v>
      </c>
      <c r="O762" s="22"/>
      <c r="P762" s="22">
        <v>47.5</v>
      </c>
      <c r="Q762" s="22" t="str">
        <f t="shared" si="33"/>
        <v>Normal</v>
      </c>
      <c r="R762" s="26" t="str">
        <f t="shared" si="34"/>
        <v>USR-10076145750TreatmentNorthMobilePaid SearchFree000000047.5</v>
      </c>
      <c r="S762" s="22" t="str">
        <f t="shared" si="35"/>
        <v>OK</v>
      </c>
    </row>
    <row r="763" spans="1:19" ht="41.4">
      <c r="A763" s="22" t="s">
        <v>794</v>
      </c>
      <c r="B763" s="25">
        <v>45742</v>
      </c>
      <c r="C763" s="22" t="s">
        <v>723</v>
      </c>
      <c r="D763" s="22" t="s">
        <v>32</v>
      </c>
      <c r="E763" s="22" t="s">
        <v>24</v>
      </c>
      <c r="F763" s="22" t="s">
        <v>29</v>
      </c>
      <c r="G763" s="22" t="s">
        <v>26</v>
      </c>
      <c r="H763" s="22">
        <v>0</v>
      </c>
      <c r="I763" s="22">
        <v>0</v>
      </c>
      <c r="J763" s="22">
        <v>0</v>
      </c>
      <c r="K763" s="22">
        <v>0</v>
      </c>
      <c r="L763" s="22">
        <v>0</v>
      </c>
      <c r="M763" s="22">
        <v>0</v>
      </c>
      <c r="N763" s="22">
        <v>0</v>
      </c>
      <c r="O763" s="22"/>
      <c r="P763" s="22"/>
      <c r="Q763" s="22" t="str">
        <f t="shared" si="33"/>
        <v>Normal</v>
      </c>
      <c r="R763" s="26" t="str">
        <f t="shared" si="34"/>
        <v>USR-10076245742TreatmentSouthMobilePaid SearchFree0000000</v>
      </c>
      <c r="S763" s="22" t="str">
        <f t="shared" si="35"/>
        <v>OK</v>
      </c>
    </row>
    <row r="764" spans="1:19" ht="41.4">
      <c r="A764" s="22" t="s">
        <v>795</v>
      </c>
      <c r="B764" s="25">
        <v>45693</v>
      </c>
      <c r="C764" s="22" t="s">
        <v>723</v>
      </c>
      <c r="D764" s="22" t="s">
        <v>23</v>
      </c>
      <c r="E764" s="22" t="s">
        <v>19</v>
      </c>
      <c r="F764" s="22" t="s">
        <v>25</v>
      </c>
      <c r="G764" s="22" t="s">
        <v>21</v>
      </c>
      <c r="H764" s="22">
        <v>1</v>
      </c>
      <c r="I764" s="22">
        <v>1</v>
      </c>
      <c r="J764" s="22">
        <v>0</v>
      </c>
      <c r="K764" s="22">
        <v>0</v>
      </c>
      <c r="L764" s="22">
        <v>0</v>
      </c>
      <c r="M764" s="22">
        <v>2</v>
      </c>
      <c r="N764" s="22">
        <v>0</v>
      </c>
      <c r="O764" s="22"/>
      <c r="P764" s="22">
        <v>71.599999999999994</v>
      </c>
      <c r="Q764" s="22" t="str">
        <f t="shared" si="33"/>
        <v>Normal</v>
      </c>
      <c r="R764" s="26" t="str">
        <f t="shared" si="34"/>
        <v>USR-10076345693TreatmentWestDesktopOrganicBasic110002071.6</v>
      </c>
      <c r="S764" s="22" t="str">
        <f t="shared" si="35"/>
        <v>OK</v>
      </c>
    </row>
    <row r="765" spans="1:19" ht="41.4">
      <c r="A765" s="22" t="s">
        <v>796</v>
      </c>
      <c r="B765" s="25">
        <v>45785</v>
      </c>
      <c r="C765" s="22" t="s">
        <v>723</v>
      </c>
      <c r="D765" s="22" t="s">
        <v>32</v>
      </c>
      <c r="E765" s="22" t="s">
        <v>24</v>
      </c>
      <c r="F765" s="22" t="s">
        <v>41</v>
      </c>
      <c r="G765" s="22" t="s">
        <v>21</v>
      </c>
      <c r="H765" s="22">
        <v>1</v>
      </c>
      <c r="I765" s="22">
        <v>1</v>
      </c>
      <c r="J765" s="22">
        <v>0</v>
      </c>
      <c r="K765" s="22">
        <v>0</v>
      </c>
      <c r="L765" s="22">
        <v>0</v>
      </c>
      <c r="M765" s="22">
        <v>0</v>
      </c>
      <c r="N765" s="22">
        <v>0</v>
      </c>
      <c r="O765" s="22"/>
      <c r="P765" s="22">
        <v>55.8</v>
      </c>
      <c r="Q765" s="22" t="str">
        <f t="shared" si="33"/>
        <v>Normal</v>
      </c>
      <c r="R765" s="26" t="str">
        <f t="shared" si="34"/>
        <v>USR-10076445785TreatmentSouthMobileSocialBasic110000055.8</v>
      </c>
      <c r="S765" s="22" t="str">
        <f t="shared" si="35"/>
        <v>OK</v>
      </c>
    </row>
    <row r="766" spans="1:19" ht="41.4">
      <c r="A766" s="22" t="s">
        <v>797</v>
      </c>
      <c r="B766" s="25">
        <v>45741</v>
      </c>
      <c r="C766" s="22" t="s">
        <v>723</v>
      </c>
      <c r="D766" s="22" t="s">
        <v>32</v>
      </c>
      <c r="E766" s="22" t="s">
        <v>19</v>
      </c>
      <c r="F766" s="22" t="s">
        <v>25</v>
      </c>
      <c r="G766" s="22" t="s">
        <v>21</v>
      </c>
      <c r="H766" s="22">
        <v>0</v>
      </c>
      <c r="I766" s="22">
        <v>0</v>
      </c>
      <c r="J766" s="22">
        <v>0</v>
      </c>
      <c r="K766" s="22">
        <v>0</v>
      </c>
      <c r="L766" s="22">
        <v>0</v>
      </c>
      <c r="M766" s="22">
        <v>1</v>
      </c>
      <c r="N766" s="22">
        <v>0</v>
      </c>
      <c r="O766" s="22"/>
      <c r="P766" s="22">
        <v>60.1</v>
      </c>
      <c r="Q766" s="22" t="str">
        <f t="shared" si="33"/>
        <v>Normal</v>
      </c>
      <c r="R766" s="26" t="str">
        <f t="shared" si="34"/>
        <v>USR-10076545741TreatmentSouthDesktopOrganicBasic000001060.1</v>
      </c>
      <c r="S766" s="22" t="str">
        <f t="shared" si="35"/>
        <v>OK</v>
      </c>
    </row>
    <row r="767" spans="1:19" ht="41.4">
      <c r="A767" s="22" t="s">
        <v>798</v>
      </c>
      <c r="B767" s="25">
        <v>45671</v>
      </c>
      <c r="C767" s="22" t="s">
        <v>723</v>
      </c>
      <c r="D767" s="22" t="s">
        <v>23</v>
      </c>
      <c r="E767" s="22"/>
      <c r="F767" s="22" t="s">
        <v>20</v>
      </c>
      <c r="G767" s="22" t="s">
        <v>21</v>
      </c>
      <c r="H767" s="22">
        <v>1</v>
      </c>
      <c r="I767" s="22">
        <v>1</v>
      </c>
      <c r="J767" s="22">
        <v>1</v>
      </c>
      <c r="K767" s="22">
        <v>0</v>
      </c>
      <c r="L767" s="22">
        <v>0</v>
      </c>
      <c r="M767" s="22">
        <v>1</v>
      </c>
      <c r="N767" s="22">
        <v>0</v>
      </c>
      <c r="O767" s="22"/>
      <c r="P767" s="22">
        <v>59.3</v>
      </c>
      <c r="Q767" s="22" t="str">
        <f t="shared" si="33"/>
        <v>Normal</v>
      </c>
      <c r="R767" s="26" t="str">
        <f t="shared" si="34"/>
        <v>USR-10076645671TreatmentWestEmailBasic111001059.3</v>
      </c>
      <c r="S767" s="22" t="str">
        <f t="shared" si="35"/>
        <v>OK</v>
      </c>
    </row>
    <row r="768" spans="1:19" ht="41.4">
      <c r="A768" s="22" t="s">
        <v>799</v>
      </c>
      <c r="B768" s="25">
        <v>45742</v>
      </c>
      <c r="C768" s="22" t="s">
        <v>723</v>
      </c>
      <c r="D768" s="22" t="s">
        <v>18</v>
      </c>
      <c r="E768" s="22" t="s">
        <v>24</v>
      </c>
      <c r="F768" s="22" t="s">
        <v>25</v>
      </c>
      <c r="G768" s="22" t="s">
        <v>26</v>
      </c>
      <c r="H768" s="22">
        <v>1</v>
      </c>
      <c r="I768" s="22">
        <v>1</v>
      </c>
      <c r="J768" s="22">
        <v>0</v>
      </c>
      <c r="K768" s="22">
        <v>0</v>
      </c>
      <c r="L768" s="22">
        <v>0</v>
      </c>
      <c r="M768" s="22">
        <v>2</v>
      </c>
      <c r="N768" s="22">
        <v>0</v>
      </c>
      <c r="O768" s="22"/>
      <c r="P768" s="22">
        <v>49.3</v>
      </c>
      <c r="Q768" s="22" t="str">
        <f t="shared" si="33"/>
        <v>Normal</v>
      </c>
      <c r="R768" s="26" t="str">
        <f t="shared" si="34"/>
        <v>USR-10076745742TreatmentNorthMobileOrganicFree110002049.3</v>
      </c>
      <c r="S768" s="22" t="str">
        <f t="shared" si="35"/>
        <v>OK</v>
      </c>
    </row>
    <row r="769" spans="1:19" ht="41.4">
      <c r="A769" s="22" t="s">
        <v>800</v>
      </c>
      <c r="B769" s="25">
        <v>45673</v>
      </c>
      <c r="C769" s="22" t="s">
        <v>723</v>
      </c>
      <c r="D769" s="22" t="s">
        <v>28</v>
      </c>
      <c r="E769" s="22" t="s">
        <v>24</v>
      </c>
      <c r="F769" s="22" t="s">
        <v>39</v>
      </c>
      <c r="G769" s="22" t="s">
        <v>26</v>
      </c>
      <c r="H769" s="22">
        <v>1</v>
      </c>
      <c r="I769" s="22">
        <v>0</v>
      </c>
      <c r="J769" s="22">
        <v>0</v>
      </c>
      <c r="K769" s="22">
        <v>0</v>
      </c>
      <c r="L769" s="22">
        <v>0</v>
      </c>
      <c r="M769" s="22">
        <v>0</v>
      </c>
      <c r="N769" s="22">
        <v>0</v>
      </c>
      <c r="O769" s="22"/>
      <c r="P769" s="22">
        <v>75</v>
      </c>
      <c r="Q769" s="22" t="str">
        <f t="shared" si="33"/>
        <v>Normal</v>
      </c>
      <c r="R769" s="26" t="str">
        <f t="shared" si="34"/>
        <v>USR-10076845673TreatmentEastMobileReferralFree100000075</v>
      </c>
      <c r="S769" s="22" t="str">
        <f t="shared" si="35"/>
        <v>OK</v>
      </c>
    </row>
    <row r="770" spans="1:19" ht="41.4">
      <c r="A770" s="22" t="s">
        <v>801</v>
      </c>
      <c r="B770" s="25">
        <v>45661</v>
      </c>
      <c r="C770" s="22" t="s">
        <v>723</v>
      </c>
      <c r="D770" s="22" t="s">
        <v>28</v>
      </c>
      <c r="E770" s="22" t="s">
        <v>24</v>
      </c>
      <c r="F770" s="22" t="s">
        <v>41</v>
      </c>
      <c r="G770" s="22" t="s">
        <v>26</v>
      </c>
      <c r="H770" s="22">
        <v>1</v>
      </c>
      <c r="I770" s="22">
        <v>0</v>
      </c>
      <c r="J770" s="22">
        <v>0</v>
      </c>
      <c r="K770" s="22">
        <v>0</v>
      </c>
      <c r="L770" s="22">
        <v>0</v>
      </c>
      <c r="M770" s="22">
        <v>0</v>
      </c>
      <c r="N770" s="22">
        <v>0</v>
      </c>
      <c r="O770" s="22"/>
      <c r="P770" s="22">
        <v>70.2</v>
      </c>
      <c r="Q770" s="22" t="str">
        <f t="shared" si="33"/>
        <v>Normal</v>
      </c>
      <c r="R770" s="26" t="str">
        <f t="shared" si="34"/>
        <v>USR-10076945661TreatmentEastMobileSocialFree100000070.2</v>
      </c>
      <c r="S770" s="22" t="str">
        <f t="shared" si="35"/>
        <v>OK</v>
      </c>
    </row>
    <row r="771" spans="1:19" ht="41.4">
      <c r="A771" s="22" t="s">
        <v>802</v>
      </c>
      <c r="B771" s="25">
        <v>45697</v>
      </c>
      <c r="C771" s="22" t="s">
        <v>723</v>
      </c>
      <c r="D771" s="22" t="s">
        <v>32</v>
      </c>
      <c r="E771" s="22" t="s">
        <v>19</v>
      </c>
      <c r="F771" s="22" t="s">
        <v>25</v>
      </c>
      <c r="G771" s="22" t="s">
        <v>30</v>
      </c>
      <c r="H771" s="22">
        <v>1</v>
      </c>
      <c r="I771" s="22">
        <v>1</v>
      </c>
      <c r="J771" s="22">
        <v>1</v>
      </c>
      <c r="K771" s="22">
        <v>0</v>
      </c>
      <c r="L771" s="22">
        <v>0</v>
      </c>
      <c r="M771" s="22">
        <v>0</v>
      </c>
      <c r="N771" s="22">
        <v>0</v>
      </c>
      <c r="O771" s="22"/>
      <c r="P771" s="22">
        <v>56.6</v>
      </c>
      <c r="Q771" s="22" t="str">
        <f t="shared" ref="Q771:Q834" si="36">IF(OR(L771&lt;$V$40,L771&gt;$V$41),"Outlier","Normal")</f>
        <v>Normal</v>
      </c>
      <c r="R771" s="26" t="str">
        <f t="shared" ref="R771:R834" si="37">A771&amp;B771&amp;C771&amp;D771&amp;E771&amp;F771&amp;G771&amp;H771&amp;I771&amp;J771&amp;K771&amp;L771&amp;M771&amp;N771&amp;O771&amp;P771</f>
        <v>USR-10077045697TreatmentSouthDesktopOrganicPremium111000056.6</v>
      </c>
      <c r="S771" s="22" t="str">
        <f t="shared" ref="S771:S834" si="38">IF(COUNTIF($R$2:$R$1409,R771)=1,"OK",IF(COUNTIF($R$2:$R$1409,R771)&gt;1,"Exact Duplicate","Review Required"))</f>
        <v>OK</v>
      </c>
    </row>
    <row r="772" spans="1:19" ht="41.4">
      <c r="A772" s="22" t="s">
        <v>803</v>
      </c>
      <c r="B772" s="25">
        <v>45721</v>
      </c>
      <c r="C772" s="22" t="s">
        <v>723</v>
      </c>
      <c r="D772" s="22" t="s">
        <v>28</v>
      </c>
      <c r="E772" s="22" t="s">
        <v>19</v>
      </c>
      <c r="F772" s="22" t="s">
        <v>25</v>
      </c>
      <c r="G772" s="22" t="s">
        <v>26</v>
      </c>
      <c r="H772" s="22">
        <v>1</v>
      </c>
      <c r="I772" s="22">
        <v>0</v>
      </c>
      <c r="J772" s="22">
        <v>0</v>
      </c>
      <c r="K772" s="22">
        <v>0</v>
      </c>
      <c r="L772" s="22">
        <v>0</v>
      </c>
      <c r="M772" s="22">
        <v>0</v>
      </c>
      <c r="N772" s="22">
        <v>0</v>
      </c>
      <c r="O772" s="22"/>
      <c r="P772" s="22">
        <v>65.400000000000006</v>
      </c>
      <c r="Q772" s="22" t="str">
        <f t="shared" si="36"/>
        <v>Normal</v>
      </c>
      <c r="R772" s="26" t="str">
        <f t="shared" si="37"/>
        <v>USR-10077145721TreatmentEastDesktopOrganicFree100000065.4</v>
      </c>
      <c r="S772" s="22" t="str">
        <f t="shared" si="38"/>
        <v>OK</v>
      </c>
    </row>
    <row r="773" spans="1:19" ht="41.4">
      <c r="A773" s="22" t="s">
        <v>804</v>
      </c>
      <c r="B773" s="25">
        <v>45726</v>
      </c>
      <c r="C773" s="22" t="s">
        <v>723</v>
      </c>
      <c r="D773" s="22" t="s">
        <v>28</v>
      </c>
      <c r="E773" s="22" t="s">
        <v>24</v>
      </c>
      <c r="F773" s="22" t="s">
        <v>39</v>
      </c>
      <c r="G773" s="22" t="s">
        <v>21</v>
      </c>
      <c r="H773" s="22">
        <v>1</v>
      </c>
      <c r="I773" s="22">
        <v>0</v>
      </c>
      <c r="J773" s="22">
        <v>0</v>
      </c>
      <c r="K773" s="22">
        <v>0</v>
      </c>
      <c r="L773" s="22">
        <v>0</v>
      </c>
      <c r="M773" s="22">
        <v>0</v>
      </c>
      <c r="N773" s="22">
        <v>0</v>
      </c>
      <c r="O773" s="22"/>
      <c r="P773" s="22">
        <v>47.6</v>
      </c>
      <c r="Q773" s="22" t="str">
        <f t="shared" si="36"/>
        <v>Normal</v>
      </c>
      <c r="R773" s="26" t="str">
        <f t="shared" si="37"/>
        <v>USR-10077245726TreatmentEastMobileReferralBasic100000047.6</v>
      </c>
      <c r="S773" s="22" t="str">
        <f t="shared" si="38"/>
        <v>OK</v>
      </c>
    </row>
    <row r="774" spans="1:19" ht="41.4">
      <c r="A774" s="22" t="s">
        <v>805</v>
      </c>
      <c r="B774" s="25">
        <v>45715</v>
      </c>
      <c r="C774" s="22" t="s">
        <v>723</v>
      </c>
      <c r="D774" s="22" t="s">
        <v>28</v>
      </c>
      <c r="E774" s="22" t="s">
        <v>19</v>
      </c>
      <c r="F774" s="22" t="s">
        <v>29</v>
      </c>
      <c r="G774" s="22" t="s">
        <v>26</v>
      </c>
      <c r="H774" s="22">
        <v>1</v>
      </c>
      <c r="I774" s="22">
        <v>0</v>
      </c>
      <c r="J774" s="22">
        <v>0</v>
      </c>
      <c r="K774" s="22">
        <v>0</v>
      </c>
      <c r="L774" s="22">
        <v>0</v>
      </c>
      <c r="M774" s="22">
        <v>0</v>
      </c>
      <c r="N774" s="22">
        <v>0</v>
      </c>
      <c r="O774" s="22"/>
      <c r="P774" s="22">
        <v>56.7</v>
      </c>
      <c r="Q774" s="22" t="str">
        <f t="shared" si="36"/>
        <v>Normal</v>
      </c>
      <c r="R774" s="26" t="str">
        <f t="shared" si="37"/>
        <v>USR-10077345715TreatmentEastDesktopPaid SearchFree100000056.7</v>
      </c>
      <c r="S774" s="22" t="str">
        <f t="shared" si="38"/>
        <v>OK</v>
      </c>
    </row>
    <row r="775" spans="1:19" ht="41.4">
      <c r="A775" s="22" t="s">
        <v>806</v>
      </c>
      <c r="B775" s="25">
        <v>45726</v>
      </c>
      <c r="C775" s="22" t="s">
        <v>723</v>
      </c>
      <c r="D775" s="22" t="s">
        <v>18</v>
      </c>
      <c r="E775" s="22" t="s">
        <v>19</v>
      </c>
      <c r="F775" s="22" t="s">
        <v>39</v>
      </c>
      <c r="G775" s="22" t="s">
        <v>21</v>
      </c>
      <c r="H775" s="22">
        <v>1</v>
      </c>
      <c r="I775" s="22">
        <v>1</v>
      </c>
      <c r="J775" s="22">
        <v>0</v>
      </c>
      <c r="K775" s="22">
        <v>0</v>
      </c>
      <c r="L775" s="22">
        <v>0</v>
      </c>
      <c r="M775" s="22">
        <v>0</v>
      </c>
      <c r="N775" s="22">
        <v>0</v>
      </c>
      <c r="O775" s="22"/>
      <c r="P775" s="22">
        <v>71.400000000000006</v>
      </c>
      <c r="Q775" s="22" t="str">
        <f t="shared" si="36"/>
        <v>Normal</v>
      </c>
      <c r="R775" s="26" t="str">
        <f t="shared" si="37"/>
        <v>USR-10077445726TreatmentNorthDesktopReferralBasic110000071.4</v>
      </c>
      <c r="S775" s="22" t="str">
        <f t="shared" si="38"/>
        <v>OK</v>
      </c>
    </row>
    <row r="776" spans="1:19" ht="41.4">
      <c r="A776" s="22" t="s">
        <v>807</v>
      </c>
      <c r="B776" s="25">
        <v>45770</v>
      </c>
      <c r="C776" s="22" t="s">
        <v>723</v>
      </c>
      <c r="D776" s="22" t="s">
        <v>23</v>
      </c>
      <c r="E776" s="22" t="s">
        <v>24</v>
      </c>
      <c r="F776" s="22" t="s">
        <v>41</v>
      </c>
      <c r="G776" s="22" t="s">
        <v>26</v>
      </c>
      <c r="H776" s="22">
        <v>0</v>
      </c>
      <c r="I776" s="22">
        <v>0</v>
      </c>
      <c r="J776" s="22">
        <v>0</v>
      </c>
      <c r="K776" s="22">
        <v>0</v>
      </c>
      <c r="L776" s="22">
        <v>0</v>
      </c>
      <c r="M776" s="22">
        <v>2</v>
      </c>
      <c r="N776" s="22">
        <v>0</v>
      </c>
      <c r="O776" s="22"/>
      <c r="P776" s="22">
        <v>60.5</v>
      </c>
      <c r="Q776" s="22" t="str">
        <f t="shared" si="36"/>
        <v>Normal</v>
      </c>
      <c r="R776" s="26" t="str">
        <f t="shared" si="37"/>
        <v>USR-10077545770TreatmentWestMobileSocialFree000002060.5</v>
      </c>
      <c r="S776" s="22" t="str">
        <f t="shared" si="38"/>
        <v>OK</v>
      </c>
    </row>
    <row r="777" spans="1:19" ht="41.4">
      <c r="A777" s="22" t="s">
        <v>808</v>
      </c>
      <c r="B777" s="25">
        <v>45759</v>
      </c>
      <c r="C777" s="22" t="s">
        <v>723</v>
      </c>
      <c r="D777" s="22" t="s">
        <v>18</v>
      </c>
      <c r="E777" s="22" t="s">
        <v>19</v>
      </c>
      <c r="F777" s="22" t="s">
        <v>29</v>
      </c>
      <c r="G777" s="22" t="s">
        <v>26</v>
      </c>
      <c r="H777" s="22">
        <v>1</v>
      </c>
      <c r="I777" s="22">
        <v>0</v>
      </c>
      <c r="J777" s="22">
        <v>0</v>
      </c>
      <c r="K777" s="22">
        <v>0</v>
      </c>
      <c r="L777" s="22">
        <v>0</v>
      </c>
      <c r="M777" s="22">
        <v>0</v>
      </c>
      <c r="N777" s="22">
        <v>0</v>
      </c>
      <c r="O777" s="22"/>
      <c r="P777" s="22">
        <v>46.7</v>
      </c>
      <c r="Q777" s="22" t="str">
        <f t="shared" si="36"/>
        <v>Normal</v>
      </c>
      <c r="R777" s="26" t="str">
        <f t="shared" si="37"/>
        <v>USR-10077645759TreatmentNorthDesktopPaid SearchFree100000046.7</v>
      </c>
      <c r="S777" s="22" t="str">
        <f t="shared" si="38"/>
        <v>OK</v>
      </c>
    </row>
    <row r="778" spans="1:19" ht="41.4">
      <c r="A778" s="22" t="s">
        <v>809</v>
      </c>
      <c r="B778" s="25">
        <v>45683</v>
      </c>
      <c r="C778" s="22" t="s">
        <v>723</v>
      </c>
      <c r="D778" s="22" t="s">
        <v>28</v>
      </c>
      <c r="E778" s="22" t="s">
        <v>19</v>
      </c>
      <c r="F778" s="22" t="s">
        <v>39</v>
      </c>
      <c r="G778" s="22" t="s">
        <v>26</v>
      </c>
      <c r="H778" s="22">
        <v>0</v>
      </c>
      <c r="I778" s="22">
        <v>0</v>
      </c>
      <c r="J778" s="22">
        <v>0</v>
      </c>
      <c r="K778" s="22">
        <v>0</v>
      </c>
      <c r="L778" s="22">
        <v>0</v>
      </c>
      <c r="M778" s="22">
        <v>0</v>
      </c>
      <c r="N778" s="22">
        <v>0</v>
      </c>
      <c r="O778" s="22"/>
      <c r="P778" s="22">
        <v>61</v>
      </c>
      <c r="Q778" s="22" t="str">
        <f t="shared" si="36"/>
        <v>Normal</v>
      </c>
      <c r="R778" s="26" t="str">
        <f t="shared" si="37"/>
        <v>USR-10077745683TreatmentEastDesktopReferralFree000000061</v>
      </c>
      <c r="S778" s="22" t="str">
        <f t="shared" si="38"/>
        <v>OK</v>
      </c>
    </row>
    <row r="779" spans="1:19" ht="41.4">
      <c r="A779" s="22" t="s">
        <v>810</v>
      </c>
      <c r="B779" s="25">
        <v>45801</v>
      </c>
      <c r="C779" s="22" t="s">
        <v>723</v>
      </c>
      <c r="D779" s="22" t="s">
        <v>23</v>
      </c>
      <c r="E779" s="22" t="s">
        <v>34</v>
      </c>
      <c r="F779" s="22" t="s">
        <v>29</v>
      </c>
      <c r="G779" s="22" t="s">
        <v>26</v>
      </c>
      <c r="H779" s="22">
        <v>0</v>
      </c>
      <c r="I779" s="22">
        <v>0</v>
      </c>
      <c r="J779" s="22">
        <v>0</v>
      </c>
      <c r="K779" s="22">
        <v>0</v>
      </c>
      <c r="L779" s="22">
        <v>0</v>
      </c>
      <c r="M779" s="22">
        <v>0</v>
      </c>
      <c r="N779" s="22">
        <v>0</v>
      </c>
      <c r="O779" s="22"/>
      <c r="P779" s="22">
        <v>60.9</v>
      </c>
      <c r="Q779" s="22" t="str">
        <f t="shared" si="36"/>
        <v>Normal</v>
      </c>
      <c r="R779" s="26" t="str">
        <f t="shared" si="37"/>
        <v>USR-10077845801TreatmentWestTabletPaid SearchFree000000060.9</v>
      </c>
      <c r="S779" s="22" t="str">
        <f t="shared" si="38"/>
        <v>OK</v>
      </c>
    </row>
    <row r="780" spans="1:19" ht="41.4">
      <c r="A780" s="22" t="s">
        <v>811</v>
      </c>
      <c r="B780" s="25">
        <v>45665</v>
      </c>
      <c r="C780" s="22" t="s">
        <v>723</v>
      </c>
      <c r="D780" s="22" t="s">
        <v>32</v>
      </c>
      <c r="E780" s="22" t="s">
        <v>24</v>
      </c>
      <c r="F780" s="22" t="s">
        <v>25</v>
      </c>
      <c r="G780" s="22" t="s">
        <v>26</v>
      </c>
      <c r="H780" s="22">
        <v>1</v>
      </c>
      <c r="I780" s="22">
        <v>0</v>
      </c>
      <c r="J780" s="22">
        <v>0</v>
      </c>
      <c r="K780" s="22">
        <v>0</v>
      </c>
      <c r="L780" s="22">
        <v>0</v>
      </c>
      <c r="M780" s="22">
        <v>0</v>
      </c>
      <c r="N780" s="22">
        <v>0</v>
      </c>
      <c r="O780" s="22"/>
      <c r="P780" s="22">
        <v>67.099999999999994</v>
      </c>
      <c r="Q780" s="22" t="str">
        <f t="shared" si="36"/>
        <v>Normal</v>
      </c>
      <c r="R780" s="26" t="str">
        <f t="shared" si="37"/>
        <v>USR-10077945665TreatmentSouthMobileOrganicFree100000067.1</v>
      </c>
      <c r="S780" s="22" t="str">
        <f t="shared" si="38"/>
        <v>OK</v>
      </c>
    </row>
    <row r="781" spans="1:19" ht="41.4">
      <c r="A781" s="22" t="s">
        <v>812</v>
      </c>
      <c r="B781" s="25">
        <v>45762</v>
      </c>
      <c r="C781" s="22" t="s">
        <v>723</v>
      </c>
      <c r="D781" s="22" t="s">
        <v>18</v>
      </c>
      <c r="E781" s="22" t="s">
        <v>24</v>
      </c>
      <c r="F781" s="22" t="s">
        <v>39</v>
      </c>
      <c r="G781" s="22" t="s">
        <v>26</v>
      </c>
      <c r="H781" s="22">
        <v>1</v>
      </c>
      <c r="I781" s="22">
        <v>1</v>
      </c>
      <c r="J781" s="22">
        <v>0</v>
      </c>
      <c r="K781" s="22">
        <v>0</v>
      </c>
      <c r="L781" s="22">
        <v>0</v>
      </c>
      <c r="M781" s="22">
        <v>0</v>
      </c>
      <c r="N781" s="22">
        <v>0</v>
      </c>
      <c r="O781" s="22"/>
      <c r="P781" s="22">
        <v>59.6</v>
      </c>
      <c r="Q781" s="22" t="str">
        <f t="shared" si="36"/>
        <v>Normal</v>
      </c>
      <c r="R781" s="26" t="str">
        <f t="shared" si="37"/>
        <v>USR-10078045762TreatmentNorthMobileReferralFree110000059.6</v>
      </c>
      <c r="S781" s="22" t="str">
        <f t="shared" si="38"/>
        <v>OK</v>
      </c>
    </row>
    <row r="782" spans="1:19" ht="41.4">
      <c r="A782" s="22" t="s">
        <v>813</v>
      </c>
      <c r="B782" s="25">
        <v>45672</v>
      </c>
      <c r="C782" s="22" t="s">
        <v>723</v>
      </c>
      <c r="D782" s="22" t="s">
        <v>32</v>
      </c>
      <c r="E782" s="22" t="s">
        <v>19</v>
      </c>
      <c r="F782" s="22" t="s">
        <v>29</v>
      </c>
      <c r="G782" s="22" t="s">
        <v>26</v>
      </c>
      <c r="H782" s="22">
        <v>1</v>
      </c>
      <c r="I782" s="22">
        <v>0</v>
      </c>
      <c r="J782" s="22">
        <v>0</v>
      </c>
      <c r="K782" s="22">
        <v>0</v>
      </c>
      <c r="L782" s="22">
        <v>0</v>
      </c>
      <c r="M782" s="22">
        <v>0</v>
      </c>
      <c r="N782" s="22">
        <v>0</v>
      </c>
      <c r="O782" s="22"/>
      <c r="P782" s="22">
        <v>83.8</v>
      </c>
      <c r="Q782" s="22" t="str">
        <f t="shared" si="36"/>
        <v>Normal</v>
      </c>
      <c r="R782" s="26" t="str">
        <f t="shared" si="37"/>
        <v>USR-10078145672TreatmentSouthDesktopPaid SearchFree100000083.8</v>
      </c>
      <c r="S782" s="22" t="str">
        <f t="shared" si="38"/>
        <v>OK</v>
      </c>
    </row>
    <row r="783" spans="1:19" ht="41.4">
      <c r="A783" s="22" t="s">
        <v>814</v>
      </c>
      <c r="B783" s="25">
        <v>45716</v>
      </c>
      <c r="C783" s="22" t="s">
        <v>723</v>
      </c>
      <c r="D783" s="22" t="s">
        <v>18</v>
      </c>
      <c r="E783" s="22" t="s">
        <v>24</v>
      </c>
      <c r="F783" s="22" t="s">
        <v>25</v>
      </c>
      <c r="G783" s="22" t="s">
        <v>21</v>
      </c>
      <c r="H783" s="22">
        <v>1</v>
      </c>
      <c r="I783" s="22">
        <v>1</v>
      </c>
      <c r="J783" s="22">
        <v>1</v>
      </c>
      <c r="K783" s="22">
        <v>0</v>
      </c>
      <c r="L783" s="22">
        <v>0</v>
      </c>
      <c r="M783" s="22">
        <v>0</v>
      </c>
      <c r="N783" s="22">
        <v>0</v>
      </c>
      <c r="O783" s="22"/>
      <c r="P783" s="22">
        <v>70.8</v>
      </c>
      <c r="Q783" s="22" t="str">
        <f t="shared" si="36"/>
        <v>Normal</v>
      </c>
      <c r="R783" s="26" t="str">
        <f t="shared" si="37"/>
        <v>USR-10078245716TreatmentNorthMobileOrganicBasic111000070.8</v>
      </c>
      <c r="S783" s="22" t="str">
        <f t="shared" si="38"/>
        <v>OK</v>
      </c>
    </row>
    <row r="784" spans="1:19" ht="41.4">
      <c r="A784" s="22" t="s">
        <v>815</v>
      </c>
      <c r="B784" s="25">
        <v>45658</v>
      </c>
      <c r="C784" s="22" t="s">
        <v>723</v>
      </c>
      <c r="D784" s="22" t="s">
        <v>18</v>
      </c>
      <c r="E784" s="22" t="s">
        <v>34</v>
      </c>
      <c r="F784" s="22" t="s">
        <v>25</v>
      </c>
      <c r="G784" s="22" t="s">
        <v>21</v>
      </c>
      <c r="H784" s="22">
        <v>0</v>
      </c>
      <c r="I784" s="22">
        <v>0</v>
      </c>
      <c r="J784" s="22">
        <v>0</v>
      </c>
      <c r="K784" s="22">
        <v>0</v>
      </c>
      <c r="L784" s="22">
        <v>0</v>
      </c>
      <c r="M784" s="22">
        <v>0</v>
      </c>
      <c r="N784" s="22">
        <v>0</v>
      </c>
      <c r="O784" s="22"/>
      <c r="P784" s="22">
        <v>65.900000000000006</v>
      </c>
      <c r="Q784" s="22" t="str">
        <f t="shared" si="36"/>
        <v>Normal</v>
      </c>
      <c r="R784" s="26" t="str">
        <f t="shared" si="37"/>
        <v>USR-10078345658TreatmentNorthTabletOrganicBasic000000065.9</v>
      </c>
      <c r="S784" s="22" t="str">
        <f t="shared" si="38"/>
        <v>OK</v>
      </c>
    </row>
    <row r="785" spans="1:19" ht="41.4">
      <c r="A785" s="22" t="s">
        <v>816</v>
      </c>
      <c r="B785" s="25">
        <v>45764</v>
      </c>
      <c r="C785" s="22" t="s">
        <v>723</v>
      </c>
      <c r="D785" s="22" t="s">
        <v>23</v>
      </c>
      <c r="E785" s="22" t="s">
        <v>24</v>
      </c>
      <c r="F785" s="22" t="s">
        <v>39</v>
      </c>
      <c r="G785" s="22" t="s">
        <v>26</v>
      </c>
      <c r="H785" s="22">
        <v>1</v>
      </c>
      <c r="I785" s="22">
        <v>0</v>
      </c>
      <c r="J785" s="22">
        <v>0</v>
      </c>
      <c r="K785" s="22">
        <v>0</v>
      </c>
      <c r="L785" s="22">
        <v>0</v>
      </c>
      <c r="M785" s="22">
        <v>0</v>
      </c>
      <c r="N785" s="22">
        <v>0</v>
      </c>
      <c r="O785" s="22"/>
      <c r="P785" s="22">
        <v>58</v>
      </c>
      <c r="Q785" s="22" t="str">
        <f t="shared" si="36"/>
        <v>Normal</v>
      </c>
      <c r="R785" s="26" t="str">
        <f t="shared" si="37"/>
        <v>USR-10078445764TreatmentWestMobileReferralFree100000058</v>
      </c>
      <c r="S785" s="22" t="str">
        <f t="shared" si="38"/>
        <v>OK</v>
      </c>
    </row>
    <row r="786" spans="1:19" ht="41.4">
      <c r="A786" s="22" t="s">
        <v>817</v>
      </c>
      <c r="B786" s="25">
        <v>45707</v>
      </c>
      <c r="C786" s="22" t="s">
        <v>723</v>
      </c>
      <c r="D786" s="22" t="s">
        <v>18</v>
      </c>
      <c r="E786" s="22" t="s">
        <v>24</v>
      </c>
      <c r="F786" s="22" t="s">
        <v>20</v>
      </c>
      <c r="G786" s="22" t="s">
        <v>21</v>
      </c>
      <c r="H786" s="22">
        <v>1</v>
      </c>
      <c r="I786" s="22">
        <v>1</v>
      </c>
      <c r="J786" s="22">
        <v>0</v>
      </c>
      <c r="K786" s="22">
        <v>0</v>
      </c>
      <c r="L786" s="22">
        <v>0</v>
      </c>
      <c r="M786" s="22">
        <v>0</v>
      </c>
      <c r="N786" s="22">
        <v>0</v>
      </c>
      <c r="O786" s="22"/>
      <c r="P786" s="22">
        <v>80.3</v>
      </c>
      <c r="Q786" s="22" t="str">
        <f t="shared" si="36"/>
        <v>Normal</v>
      </c>
      <c r="R786" s="26" t="str">
        <f t="shared" si="37"/>
        <v>USR-10078545707TreatmentNorthMobileEmailBasic110000080.3</v>
      </c>
      <c r="S786" s="22" t="str">
        <f t="shared" si="38"/>
        <v>OK</v>
      </c>
    </row>
    <row r="787" spans="1:19" ht="41.4">
      <c r="A787" s="22" t="s">
        <v>818</v>
      </c>
      <c r="B787" s="25">
        <v>45730</v>
      </c>
      <c r="C787" s="22" t="s">
        <v>723</v>
      </c>
      <c r="D787" s="22" t="s">
        <v>18</v>
      </c>
      <c r="E787" s="22" t="s">
        <v>19</v>
      </c>
      <c r="F787" s="22" t="s">
        <v>25</v>
      </c>
      <c r="G787" s="22" t="s">
        <v>26</v>
      </c>
      <c r="H787" s="22">
        <v>1</v>
      </c>
      <c r="I787" s="22">
        <v>0</v>
      </c>
      <c r="J787" s="22">
        <v>0</v>
      </c>
      <c r="K787" s="22">
        <v>0</v>
      </c>
      <c r="L787" s="22">
        <v>0</v>
      </c>
      <c r="M787" s="22">
        <v>0</v>
      </c>
      <c r="N787" s="22">
        <v>0</v>
      </c>
      <c r="O787" s="22"/>
      <c r="P787" s="22">
        <v>55.7</v>
      </c>
      <c r="Q787" s="22" t="str">
        <f t="shared" si="36"/>
        <v>Normal</v>
      </c>
      <c r="R787" s="26" t="str">
        <f t="shared" si="37"/>
        <v>USR-10078645730TreatmentNorthDesktopOrganicFree100000055.7</v>
      </c>
      <c r="S787" s="22" t="str">
        <f t="shared" si="38"/>
        <v>OK</v>
      </c>
    </row>
    <row r="788" spans="1:19" ht="41.4">
      <c r="A788" s="22" t="s">
        <v>819</v>
      </c>
      <c r="B788" s="25">
        <v>45768</v>
      </c>
      <c r="C788" s="22" t="s">
        <v>723</v>
      </c>
      <c r="D788" s="22" t="s">
        <v>18</v>
      </c>
      <c r="E788" s="22" t="s">
        <v>24</v>
      </c>
      <c r="F788" s="22" t="s">
        <v>25</v>
      </c>
      <c r="G788" s="22" t="s">
        <v>26</v>
      </c>
      <c r="H788" s="22">
        <v>1</v>
      </c>
      <c r="I788" s="22">
        <v>1</v>
      </c>
      <c r="J788" s="22">
        <v>0</v>
      </c>
      <c r="K788" s="22">
        <v>0</v>
      </c>
      <c r="L788" s="22">
        <v>0</v>
      </c>
      <c r="M788" s="22">
        <v>0</v>
      </c>
      <c r="N788" s="22">
        <v>0</v>
      </c>
      <c r="O788" s="22"/>
      <c r="P788" s="22">
        <v>84.9</v>
      </c>
      <c r="Q788" s="22" t="str">
        <f t="shared" si="36"/>
        <v>Normal</v>
      </c>
      <c r="R788" s="26" t="str">
        <f t="shared" si="37"/>
        <v>USR-10078745768TreatmentNorthMobileOrganicFree110000084.9</v>
      </c>
      <c r="S788" s="22" t="str">
        <f t="shared" si="38"/>
        <v>OK</v>
      </c>
    </row>
    <row r="789" spans="1:19" ht="41.4">
      <c r="A789" s="22" t="s">
        <v>820</v>
      </c>
      <c r="B789" s="25">
        <v>45702</v>
      </c>
      <c r="C789" s="22" t="s">
        <v>723</v>
      </c>
      <c r="D789" s="22" t="s">
        <v>18</v>
      </c>
      <c r="E789" s="22" t="s">
        <v>24</v>
      </c>
      <c r="F789" s="22" t="s">
        <v>25</v>
      </c>
      <c r="G789" s="22" t="s">
        <v>26</v>
      </c>
      <c r="H789" s="22">
        <v>1</v>
      </c>
      <c r="I789" s="22">
        <v>0</v>
      </c>
      <c r="J789" s="22">
        <v>0</v>
      </c>
      <c r="K789" s="22">
        <v>0</v>
      </c>
      <c r="L789" s="22">
        <v>0</v>
      </c>
      <c r="M789" s="22">
        <v>0</v>
      </c>
      <c r="N789" s="22">
        <v>0</v>
      </c>
      <c r="O789" s="22"/>
      <c r="P789" s="22">
        <v>63.3</v>
      </c>
      <c r="Q789" s="22" t="str">
        <f t="shared" si="36"/>
        <v>Normal</v>
      </c>
      <c r="R789" s="26" t="str">
        <f t="shared" si="37"/>
        <v>USR-10078845702TreatmentNorthMobileOrganicFree100000063.3</v>
      </c>
      <c r="S789" s="22" t="str">
        <f t="shared" si="38"/>
        <v>OK</v>
      </c>
    </row>
    <row r="790" spans="1:19" ht="41.4">
      <c r="A790" s="22" t="s">
        <v>821</v>
      </c>
      <c r="B790" s="25">
        <v>45807</v>
      </c>
      <c r="C790" s="22" t="s">
        <v>723</v>
      </c>
      <c r="D790" s="22" t="s">
        <v>23</v>
      </c>
      <c r="E790" s="22" t="s">
        <v>24</v>
      </c>
      <c r="F790" s="22" t="s">
        <v>25</v>
      </c>
      <c r="G790" s="22" t="s">
        <v>26</v>
      </c>
      <c r="H790" s="22">
        <v>0</v>
      </c>
      <c r="I790" s="22">
        <v>0</v>
      </c>
      <c r="J790" s="22">
        <v>0</v>
      </c>
      <c r="K790" s="22">
        <v>0</v>
      </c>
      <c r="L790" s="22">
        <v>0</v>
      </c>
      <c r="M790" s="22">
        <v>0</v>
      </c>
      <c r="N790" s="22">
        <v>0</v>
      </c>
      <c r="O790" s="22"/>
      <c r="P790" s="22">
        <v>53.1</v>
      </c>
      <c r="Q790" s="22" t="str">
        <f t="shared" si="36"/>
        <v>Normal</v>
      </c>
      <c r="R790" s="26" t="str">
        <f t="shared" si="37"/>
        <v>USR-10078945807TreatmentWestMobileOrganicFree000000053.1</v>
      </c>
      <c r="S790" s="22" t="str">
        <f t="shared" si="38"/>
        <v>OK</v>
      </c>
    </row>
    <row r="791" spans="1:19" ht="41.4">
      <c r="A791" s="22" t="s">
        <v>822</v>
      </c>
      <c r="B791" s="25">
        <v>45677</v>
      </c>
      <c r="C791" s="22" t="s">
        <v>723</v>
      </c>
      <c r="D791" s="22" t="s">
        <v>23</v>
      </c>
      <c r="E791" s="22" t="s">
        <v>24</v>
      </c>
      <c r="F791" s="22" t="s">
        <v>25</v>
      </c>
      <c r="G791" s="22" t="s">
        <v>26</v>
      </c>
      <c r="H791" s="22">
        <v>0</v>
      </c>
      <c r="I791" s="22">
        <v>0</v>
      </c>
      <c r="J791" s="22">
        <v>0</v>
      </c>
      <c r="K791" s="22">
        <v>0</v>
      </c>
      <c r="L791" s="22">
        <v>0</v>
      </c>
      <c r="M791" s="22">
        <v>0</v>
      </c>
      <c r="N791" s="22">
        <v>0</v>
      </c>
      <c r="O791" s="22"/>
      <c r="P791" s="22">
        <v>66</v>
      </c>
      <c r="Q791" s="22" t="str">
        <f t="shared" si="36"/>
        <v>Normal</v>
      </c>
      <c r="R791" s="26" t="str">
        <f t="shared" si="37"/>
        <v>USR-10079045677TreatmentWestMobileOrganicFree000000066</v>
      </c>
      <c r="S791" s="22" t="str">
        <f t="shared" si="38"/>
        <v>OK</v>
      </c>
    </row>
    <row r="792" spans="1:19" ht="41.4">
      <c r="A792" s="22" t="s">
        <v>823</v>
      </c>
      <c r="B792" s="25">
        <v>45733</v>
      </c>
      <c r="C792" s="22" t="s">
        <v>723</v>
      </c>
      <c r="D792" s="22" t="s">
        <v>23</v>
      </c>
      <c r="E792" s="22" t="s">
        <v>24</v>
      </c>
      <c r="F792" s="22" t="s">
        <v>41</v>
      </c>
      <c r="G792" s="22" t="s">
        <v>30</v>
      </c>
      <c r="H792" s="22">
        <v>0</v>
      </c>
      <c r="I792" s="22">
        <v>0</v>
      </c>
      <c r="J792" s="22">
        <v>0</v>
      </c>
      <c r="K792" s="22">
        <v>0</v>
      </c>
      <c r="L792" s="22">
        <v>0</v>
      </c>
      <c r="M792" s="22">
        <v>0</v>
      </c>
      <c r="N792" s="22">
        <v>0</v>
      </c>
      <c r="O792" s="22"/>
      <c r="P792" s="22">
        <v>54.7</v>
      </c>
      <c r="Q792" s="22" t="str">
        <f t="shared" si="36"/>
        <v>Normal</v>
      </c>
      <c r="R792" s="26" t="str">
        <f t="shared" si="37"/>
        <v>USR-10079145733TreatmentWestMobileSocialPremium000000054.7</v>
      </c>
      <c r="S792" s="22" t="str">
        <f t="shared" si="38"/>
        <v>OK</v>
      </c>
    </row>
    <row r="793" spans="1:19" ht="41.4">
      <c r="A793" s="22" t="s">
        <v>824</v>
      </c>
      <c r="B793" s="25">
        <v>45720</v>
      </c>
      <c r="C793" s="22" t="s">
        <v>723</v>
      </c>
      <c r="D793" s="22" t="s">
        <v>23</v>
      </c>
      <c r="E793" s="22" t="s">
        <v>24</v>
      </c>
      <c r="F793" s="22" t="s">
        <v>41</v>
      </c>
      <c r="G793" s="22" t="s">
        <v>26</v>
      </c>
      <c r="H793" s="22">
        <v>1</v>
      </c>
      <c r="I793" s="22">
        <v>1</v>
      </c>
      <c r="J793" s="22">
        <v>0</v>
      </c>
      <c r="K793" s="22">
        <v>0</v>
      </c>
      <c r="L793" s="22">
        <v>0</v>
      </c>
      <c r="M793" s="22">
        <v>1</v>
      </c>
      <c r="N793" s="22">
        <v>0</v>
      </c>
      <c r="O793" s="22"/>
      <c r="P793" s="22">
        <v>41.2</v>
      </c>
      <c r="Q793" s="22" t="str">
        <f t="shared" si="36"/>
        <v>Normal</v>
      </c>
      <c r="R793" s="26" t="str">
        <f t="shared" si="37"/>
        <v>USR-10079245720TreatmentWestMobileSocialFree110001041.2</v>
      </c>
      <c r="S793" s="22" t="str">
        <f t="shared" si="38"/>
        <v>OK</v>
      </c>
    </row>
    <row r="794" spans="1:19" ht="41.4">
      <c r="A794" s="22" t="s">
        <v>825</v>
      </c>
      <c r="B794" s="25">
        <v>45710</v>
      </c>
      <c r="C794" s="22" t="s">
        <v>723</v>
      </c>
      <c r="D794" s="22" t="s">
        <v>32</v>
      </c>
      <c r="E794" s="22" t="s">
        <v>24</v>
      </c>
      <c r="F794" s="22" t="s">
        <v>25</v>
      </c>
      <c r="G794" s="22" t="s">
        <v>30</v>
      </c>
      <c r="H794" s="22">
        <v>0</v>
      </c>
      <c r="I794" s="22">
        <v>0</v>
      </c>
      <c r="J794" s="22">
        <v>0</v>
      </c>
      <c r="K794" s="22">
        <v>0</v>
      </c>
      <c r="L794" s="22">
        <v>0</v>
      </c>
      <c r="M794" s="22">
        <v>0</v>
      </c>
      <c r="N794" s="22">
        <v>0</v>
      </c>
      <c r="O794" s="22"/>
      <c r="P794" s="22">
        <v>66.7</v>
      </c>
      <c r="Q794" s="22" t="str">
        <f t="shared" si="36"/>
        <v>Normal</v>
      </c>
      <c r="R794" s="26" t="str">
        <f t="shared" si="37"/>
        <v>USR-10079345710TreatmentSouthMobileOrganicPremium000000066.7</v>
      </c>
      <c r="S794" s="22" t="str">
        <f t="shared" si="38"/>
        <v>OK</v>
      </c>
    </row>
    <row r="795" spans="1:19" ht="41.4">
      <c r="A795" s="22" t="s">
        <v>826</v>
      </c>
      <c r="B795" s="25">
        <v>45779</v>
      </c>
      <c r="C795" s="22" t="s">
        <v>723</v>
      </c>
      <c r="D795" s="22" t="s">
        <v>18</v>
      </c>
      <c r="E795" s="22" t="s">
        <v>24</v>
      </c>
      <c r="F795" s="22" t="s">
        <v>29</v>
      </c>
      <c r="G795" s="22" t="s">
        <v>30</v>
      </c>
      <c r="H795" s="22">
        <v>0</v>
      </c>
      <c r="I795" s="22">
        <v>0</v>
      </c>
      <c r="J795" s="22">
        <v>0</v>
      </c>
      <c r="K795" s="22">
        <v>0</v>
      </c>
      <c r="L795" s="22">
        <v>0</v>
      </c>
      <c r="M795" s="22">
        <v>0</v>
      </c>
      <c r="N795" s="22">
        <v>0</v>
      </c>
      <c r="O795" s="22"/>
      <c r="P795" s="22">
        <v>39.4</v>
      </c>
      <c r="Q795" s="22" t="str">
        <f t="shared" si="36"/>
        <v>Normal</v>
      </c>
      <c r="R795" s="26" t="str">
        <f t="shared" si="37"/>
        <v>USR-10079445779TreatmentNorthMobilePaid SearchPremium000000039.4</v>
      </c>
      <c r="S795" s="22" t="str">
        <f t="shared" si="38"/>
        <v>OK</v>
      </c>
    </row>
    <row r="796" spans="1:19" ht="41.4">
      <c r="A796" s="22" t="s">
        <v>827</v>
      </c>
      <c r="B796" s="25">
        <v>45729</v>
      </c>
      <c r="C796" s="22" t="s">
        <v>723</v>
      </c>
      <c r="D796" s="22" t="s">
        <v>23</v>
      </c>
      <c r="E796" s="22" t="s">
        <v>19</v>
      </c>
      <c r="F796" s="22" t="s">
        <v>25</v>
      </c>
      <c r="G796" s="22" t="s">
        <v>30</v>
      </c>
      <c r="H796" s="22">
        <v>0</v>
      </c>
      <c r="I796" s="22">
        <v>0</v>
      </c>
      <c r="J796" s="22">
        <v>0</v>
      </c>
      <c r="K796" s="22">
        <v>0</v>
      </c>
      <c r="L796" s="22">
        <v>0</v>
      </c>
      <c r="M796" s="22">
        <v>3</v>
      </c>
      <c r="N796" s="22">
        <v>0</v>
      </c>
      <c r="O796" s="22"/>
      <c r="P796" s="22">
        <v>67</v>
      </c>
      <c r="Q796" s="22" t="str">
        <f t="shared" si="36"/>
        <v>Normal</v>
      </c>
      <c r="R796" s="26" t="str">
        <f t="shared" si="37"/>
        <v>USR-10079545729TreatmentWestDesktopOrganicPremium000003067</v>
      </c>
      <c r="S796" s="22" t="str">
        <f t="shared" si="38"/>
        <v>OK</v>
      </c>
    </row>
    <row r="797" spans="1:19" ht="41.4">
      <c r="A797" s="22" t="s">
        <v>828</v>
      </c>
      <c r="B797" s="25">
        <v>45808</v>
      </c>
      <c r="C797" s="22" t="s">
        <v>723</v>
      </c>
      <c r="D797" s="22" t="s">
        <v>32</v>
      </c>
      <c r="E797" s="22" t="s">
        <v>24</v>
      </c>
      <c r="F797" s="22" t="s">
        <v>25</v>
      </c>
      <c r="G797" s="22" t="s">
        <v>21</v>
      </c>
      <c r="H797" s="22">
        <v>1</v>
      </c>
      <c r="I797" s="22">
        <v>0</v>
      </c>
      <c r="J797" s="22">
        <v>0</v>
      </c>
      <c r="K797" s="22">
        <v>0</v>
      </c>
      <c r="L797" s="22">
        <v>0</v>
      </c>
      <c r="M797" s="22">
        <v>0</v>
      </c>
      <c r="N797" s="22">
        <v>0</v>
      </c>
      <c r="O797" s="22"/>
      <c r="P797" s="22">
        <v>50.4</v>
      </c>
      <c r="Q797" s="22" t="str">
        <f t="shared" si="36"/>
        <v>Normal</v>
      </c>
      <c r="R797" s="26" t="str">
        <f t="shared" si="37"/>
        <v>USR-10079645808TreatmentSouthMobileOrganicBasic100000050.4</v>
      </c>
      <c r="S797" s="22" t="str">
        <f t="shared" si="38"/>
        <v>OK</v>
      </c>
    </row>
    <row r="798" spans="1:19" ht="41.4">
      <c r="A798" s="22" t="s">
        <v>829</v>
      </c>
      <c r="B798" s="25">
        <v>45723</v>
      </c>
      <c r="C798" s="22" t="s">
        <v>723</v>
      </c>
      <c r="D798" s="22" t="s">
        <v>23</v>
      </c>
      <c r="E798" s="22" t="s">
        <v>19</v>
      </c>
      <c r="F798" s="22" t="s">
        <v>41</v>
      </c>
      <c r="G798" s="22" t="s">
        <v>26</v>
      </c>
      <c r="H798" s="22">
        <v>1</v>
      </c>
      <c r="I798" s="22">
        <v>0</v>
      </c>
      <c r="J798" s="22">
        <v>0</v>
      </c>
      <c r="K798" s="22">
        <v>0</v>
      </c>
      <c r="L798" s="22">
        <v>0</v>
      </c>
      <c r="M798" s="22">
        <v>0</v>
      </c>
      <c r="N798" s="22">
        <v>0</v>
      </c>
      <c r="O798" s="22"/>
      <c r="P798" s="22">
        <v>53.8</v>
      </c>
      <c r="Q798" s="22" t="str">
        <f t="shared" si="36"/>
        <v>Normal</v>
      </c>
      <c r="R798" s="26" t="str">
        <f t="shared" si="37"/>
        <v>USR-10079745723TreatmentWestDesktopSocialFree100000053.8</v>
      </c>
      <c r="S798" s="22" t="str">
        <f t="shared" si="38"/>
        <v>OK</v>
      </c>
    </row>
    <row r="799" spans="1:19" ht="41.4">
      <c r="A799" s="22" t="s">
        <v>830</v>
      </c>
      <c r="B799" s="25">
        <v>45710</v>
      </c>
      <c r="C799" s="22" t="s">
        <v>723</v>
      </c>
      <c r="D799" s="22" t="s">
        <v>23</v>
      </c>
      <c r="E799" s="22" t="s">
        <v>24</v>
      </c>
      <c r="F799" s="22" t="s">
        <v>29</v>
      </c>
      <c r="G799" s="22" t="s">
        <v>21</v>
      </c>
      <c r="H799" s="22">
        <v>0</v>
      </c>
      <c r="I799" s="22">
        <v>0</v>
      </c>
      <c r="J799" s="22">
        <v>0</v>
      </c>
      <c r="K799" s="22">
        <v>0</v>
      </c>
      <c r="L799" s="22">
        <v>0</v>
      </c>
      <c r="M799" s="22">
        <v>1</v>
      </c>
      <c r="N799" s="22">
        <v>0</v>
      </c>
      <c r="O799" s="22"/>
      <c r="P799" s="22">
        <v>82.7</v>
      </c>
      <c r="Q799" s="22" t="str">
        <f t="shared" si="36"/>
        <v>Normal</v>
      </c>
      <c r="R799" s="26" t="str">
        <f t="shared" si="37"/>
        <v>USR-10079845710TreatmentWestMobilePaid SearchBasic000001082.7</v>
      </c>
      <c r="S799" s="22" t="str">
        <f t="shared" si="38"/>
        <v>OK</v>
      </c>
    </row>
    <row r="800" spans="1:19" ht="41.4">
      <c r="A800" s="22" t="s">
        <v>831</v>
      </c>
      <c r="B800" s="25">
        <v>45662</v>
      </c>
      <c r="C800" s="22" t="s">
        <v>723</v>
      </c>
      <c r="D800" s="22" t="s">
        <v>23</v>
      </c>
      <c r="E800" s="22" t="s">
        <v>19</v>
      </c>
      <c r="F800" s="22" t="s">
        <v>29</v>
      </c>
      <c r="G800" s="22" t="s">
        <v>26</v>
      </c>
      <c r="H800" s="22">
        <v>1</v>
      </c>
      <c r="I800" s="22">
        <v>1</v>
      </c>
      <c r="J800" s="22">
        <v>1</v>
      </c>
      <c r="K800" s="22">
        <v>0</v>
      </c>
      <c r="L800" s="22">
        <v>0</v>
      </c>
      <c r="M800" s="22">
        <v>0</v>
      </c>
      <c r="N800" s="22">
        <v>0</v>
      </c>
      <c r="O800" s="22"/>
      <c r="P800" s="22">
        <v>63.9</v>
      </c>
      <c r="Q800" s="22" t="str">
        <f t="shared" si="36"/>
        <v>Normal</v>
      </c>
      <c r="R800" s="26" t="str">
        <f t="shared" si="37"/>
        <v>USR-10079945662TreatmentWestDesktopPaid SearchFree111000063.9</v>
      </c>
      <c r="S800" s="22" t="str">
        <f t="shared" si="38"/>
        <v>OK</v>
      </c>
    </row>
    <row r="801" spans="1:19" ht="41.4">
      <c r="A801" s="22" t="s">
        <v>832</v>
      </c>
      <c r="B801" s="25">
        <v>45678</v>
      </c>
      <c r="C801" s="22" t="s">
        <v>723</v>
      </c>
      <c r="D801" s="22" t="s">
        <v>23</v>
      </c>
      <c r="E801" s="22" t="s">
        <v>24</v>
      </c>
      <c r="F801" s="22" t="s">
        <v>39</v>
      </c>
      <c r="G801" s="22" t="s">
        <v>26</v>
      </c>
      <c r="H801" s="22">
        <v>1</v>
      </c>
      <c r="I801" s="22">
        <v>0</v>
      </c>
      <c r="J801" s="22">
        <v>0</v>
      </c>
      <c r="K801" s="22">
        <v>0</v>
      </c>
      <c r="L801" s="22">
        <v>0</v>
      </c>
      <c r="M801" s="22">
        <v>0</v>
      </c>
      <c r="N801" s="22">
        <v>0</v>
      </c>
      <c r="O801" s="22"/>
      <c r="P801" s="22">
        <v>61.9</v>
      </c>
      <c r="Q801" s="22" t="str">
        <f t="shared" si="36"/>
        <v>Normal</v>
      </c>
      <c r="R801" s="26" t="str">
        <f t="shared" si="37"/>
        <v>USR-10080045678TreatmentWestMobileReferralFree100000061.9</v>
      </c>
      <c r="S801" s="22" t="str">
        <f t="shared" si="38"/>
        <v>OK</v>
      </c>
    </row>
    <row r="802" spans="1:19" ht="41.4">
      <c r="A802" s="22" t="s">
        <v>833</v>
      </c>
      <c r="B802" s="25">
        <v>45682</v>
      </c>
      <c r="C802" s="22" t="s">
        <v>723</v>
      </c>
      <c r="D802" s="22" t="s">
        <v>18</v>
      </c>
      <c r="E802" s="22" t="s">
        <v>19</v>
      </c>
      <c r="F802" s="22" t="s">
        <v>41</v>
      </c>
      <c r="G802" s="22" t="s">
        <v>26</v>
      </c>
      <c r="H802" s="22">
        <v>1</v>
      </c>
      <c r="I802" s="22">
        <v>1</v>
      </c>
      <c r="J802" s="22">
        <v>1</v>
      </c>
      <c r="K802" s="22">
        <v>0</v>
      </c>
      <c r="L802" s="22">
        <v>0</v>
      </c>
      <c r="M802" s="22">
        <v>0</v>
      </c>
      <c r="N802" s="22">
        <v>0</v>
      </c>
      <c r="O802" s="22"/>
      <c r="P802" s="22">
        <v>75</v>
      </c>
      <c r="Q802" s="22" t="str">
        <f t="shared" si="36"/>
        <v>Normal</v>
      </c>
      <c r="R802" s="26" t="str">
        <f t="shared" si="37"/>
        <v>USR-10080145682TreatmentNorthDesktopSocialFree111000075</v>
      </c>
      <c r="S802" s="22" t="str">
        <f t="shared" si="38"/>
        <v>OK</v>
      </c>
    </row>
    <row r="803" spans="1:19" ht="41.4">
      <c r="A803" s="22" t="s">
        <v>834</v>
      </c>
      <c r="B803" s="25">
        <v>45751</v>
      </c>
      <c r="C803" s="22" t="s">
        <v>723</v>
      </c>
      <c r="D803" s="22" t="s">
        <v>23</v>
      </c>
      <c r="E803" s="22" t="s">
        <v>24</v>
      </c>
      <c r="F803" s="22" t="s">
        <v>29</v>
      </c>
      <c r="G803" s="22" t="s">
        <v>21</v>
      </c>
      <c r="H803" s="22">
        <v>1</v>
      </c>
      <c r="I803" s="22">
        <v>1</v>
      </c>
      <c r="J803" s="22">
        <v>1</v>
      </c>
      <c r="K803" s="22">
        <v>0</v>
      </c>
      <c r="L803" s="22">
        <v>0</v>
      </c>
      <c r="M803" s="22">
        <v>0</v>
      </c>
      <c r="N803" s="22">
        <v>0</v>
      </c>
      <c r="O803" s="22"/>
      <c r="P803" s="22">
        <v>43</v>
      </c>
      <c r="Q803" s="22" t="str">
        <f t="shared" si="36"/>
        <v>Normal</v>
      </c>
      <c r="R803" s="26" t="str">
        <f t="shared" si="37"/>
        <v>USR-10080245751TreatmentWestMobilePaid SearchBasic111000043</v>
      </c>
      <c r="S803" s="22" t="str">
        <f t="shared" si="38"/>
        <v>OK</v>
      </c>
    </row>
    <row r="804" spans="1:19" ht="41.4">
      <c r="A804" s="22" t="s">
        <v>835</v>
      </c>
      <c r="B804" s="25">
        <v>45741</v>
      </c>
      <c r="C804" s="22" t="s">
        <v>723</v>
      </c>
      <c r="D804" s="22" t="s">
        <v>18</v>
      </c>
      <c r="E804" s="22" t="s">
        <v>19</v>
      </c>
      <c r="F804" s="22" t="s">
        <v>41</v>
      </c>
      <c r="G804" s="22" t="s">
        <v>30</v>
      </c>
      <c r="H804" s="22">
        <v>0</v>
      </c>
      <c r="I804" s="22">
        <v>0</v>
      </c>
      <c r="J804" s="22">
        <v>0</v>
      </c>
      <c r="K804" s="22">
        <v>0</v>
      </c>
      <c r="L804" s="22">
        <v>0</v>
      </c>
      <c r="M804" s="22">
        <v>0</v>
      </c>
      <c r="N804" s="22">
        <v>0</v>
      </c>
      <c r="O804" s="22"/>
      <c r="P804" s="22">
        <v>54.3</v>
      </c>
      <c r="Q804" s="22" t="str">
        <f t="shared" si="36"/>
        <v>Normal</v>
      </c>
      <c r="R804" s="26" t="str">
        <f t="shared" si="37"/>
        <v>USR-10080345741TreatmentNorthDesktopSocialPremium000000054.3</v>
      </c>
      <c r="S804" s="22" t="str">
        <f t="shared" si="38"/>
        <v>OK</v>
      </c>
    </row>
    <row r="805" spans="1:19" ht="41.4">
      <c r="A805" s="22" t="s">
        <v>836</v>
      </c>
      <c r="B805" s="25">
        <v>45735</v>
      </c>
      <c r="C805" s="22" t="s">
        <v>723</v>
      </c>
      <c r="D805" s="22" t="s">
        <v>23</v>
      </c>
      <c r="E805" s="22" t="s">
        <v>24</v>
      </c>
      <c r="F805" s="22" t="s">
        <v>41</v>
      </c>
      <c r="G805" s="22" t="s">
        <v>26</v>
      </c>
      <c r="H805" s="22">
        <v>0</v>
      </c>
      <c r="I805" s="22">
        <v>0</v>
      </c>
      <c r="J805" s="22">
        <v>0</v>
      </c>
      <c r="K805" s="22">
        <v>0</v>
      </c>
      <c r="L805" s="22">
        <v>0</v>
      </c>
      <c r="M805" s="22">
        <v>2</v>
      </c>
      <c r="N805" s="22">
        <v>0</v>
      </c>
      <c r="O805" s="22"/>
      <c r="P805" s="22">
        <v>44.3</v>
      </c>
      <c r="Q805" s="22" t="str">
        <f t="shared" si="36"/>
        <v>Normal</v>
      </c>
      <c r="R805" s="26" t="str">
        <f t="shared" si="37"/>
        <v>USR-10080445735TreatmentWestMobileSocialFree000002044.3</v>
      </c>
      <c r="S805" s="22" t="str">
        <f t="shared" si="38"/>
        <v>OK</v>
      </c>
    </row>
    <row r="806" spans="1:19" ht="41.4">
      <c r="A806" s="22" t="s">
        <v>837</v>
      </c>
      <c r="B806" s="25">
        <v>45771</v>
      </c>
      <c r="C806" s="22" t="s">
        <v>723</v>
      </c>
      <c r="D806" s="22" t="s">
        <v>23</v>
      </c>
      <c r="E806" s="22" t="s">
        <v>19</v>
      </c>
      <c r="F806" s="22" t="s">
        <v>25</v>
      </c>
      <c r="G806" s="22" t="s">
        <v>26</v>
      </c>
      <c r="H806" s="22">
        <v>1</v>
      </c>
      <c r="I806" s="22">
        <v>1</v>
      </c>
      <c r="J806" s="22">
        <v>1</v>
      </c>
      <c r="K806" s="22">
        <v>1</v>
      </c>
      <c r="L806" s="22">
        <v>402.88</v>
      </c>
      <c r="M806" s="22">
        <v>0</v>
      </c>
      <c r="N806" s="22">
        <v>0</v>
      </c>
      <c r="O806" s="22">
        <v>12</v>
      </c>
      <c r="P806" s="22">
        <v>76</v>
      </c>
      <c r="Q806" s="22" t="str">
        <f t="shared" si="36"/>
        <v>Normal</v>
      </c>
      <c r="R806" s="26" t="str">
        <f t="shared" si="37"/>
        <v>USR-10080545771TreatmentWestDesktopOrganicFree1111402.88001276</v>
      </c>
      <c r="S806" s="22" t="str">
        <f t="shared" si="38"/>
        <v>OK</v>
      </c>
    </row>
    <row r="807" spans="1:19" ht="41.4">
      <c r="A807" s="22" t="s">
        <v>838</v>
      </c>
      <c r="B807" s="25">
        <v>45751</v>
      </c>
      <c r="C807" s="22" t="s">
        <v>723</v>
      </c>
      <c r="D807" s="22" t="s">
        <v>32</v>
      </c>
      <c r="E807" s="22" t="s">
        <v>34</v>
      </c>
      <c r="F807" s="22" t="s">
        <v>25</v>
      </c>
      <c r="G807" s="22" t="s">
        <v>26</v>
      </c>
      <c r="H807" s="22">
        <v>1</v>
      </c>
      <c r="I807" s="22">
        <v>0</v>
      </c>
      <c r="J807" s="22">
        <v>0</v>
      </c>
      <c r="K807" s="22">
        <v>0</v>
      </c>
      <c r="L807" s="22">
        <v>0</v>
      </c>
      <c r="M807" s="22">
        <v>2</v>
      </c>
      <c r="N807" s="22">
        <v>0</v>
      </c>
      <c r="O807" s="22"/>
      <c r="P807" s="22">
        <v>65.3</v>
      </c>
      <c r="Q807" s="22" t="str">
        <f t="shared" si="36"/>
        <v>Normal</v>
      </c>
      <c r="R807" s="26" t="str">
        <f t="shared" si="37"/>
        <v>USR-10080645751TreatmentSouthTabletOrganicFree100002065.3</v>
      </c>
      <c r="S807" s="22" t="str">
        <f t="shared" si="38"/>
        <v>OK</v>
      </c>
    </row>
    <row r="808" spans="1:19" ht="55.2">
      <c r="A808" s="22" t="s">
        <v>839</v>
      </c>
      <c r="B808" s="25">
        <v>45744</v>
      </c>
      <c r="C808" s="22" t="s">
        <v>723</v>
      </c>
      <c r="D808" s="22" t="s">
        <v>32</v>
      </c>
      <c r="E808" s="22" t="s">
        <v>19</v>
      </c>
      <c r="F808" s="22" t="s">
        <v>29</v>
      </c>
      <c r="G808" s="22" t="s">
        <v>30</v>
      </c>
      <c r="H808" s="22">
        <v>1</v>
      </c>
      <c r="I808" s="22">
        <v>0</v>
      </c>
      <c r="J808" s="22">
        <v>0</v>
      </c>
      <c r="K808" s="22">
        <v>0</v>
      </c>
      <c r="L808" s="22">
        <v>0</v>
      </c>
      <c r="M808" s="22">
        <v>0</v>
      </c>
      <c r="N808" s="22">
        <v>0</v>
      </c>
      <c r="O808" s="22"/>
      <c r="P808" s="22">
        <v>71.2</v>
      </c>
      <c r="Q808" s="22" t="str">
        <f t="shared" si="36"/>
        <v>Normal</v>
      </c>
      <c r="R808" s="26" t="str">
        <f t="shared" si="37"/>
        <v>USR-10080745744TreatmentSouthDesktopPaid SearchPremium100000071.2</v>
      </c>
      <c r="S808" s="22" t="str">
        <f t="shared" si="38"/>
        <v>OK</v>
      </c>
    </row>
    <row r="809" spans="1:19" ht="41.4">
      <c r="A809" s="22" t="s">
        <v>840</v>
      </c>
      <c r="B809" s="25">
        <v>45792</v>
      </c>
      <c r="C809" s="22" t="s">
        <v>723</v>
      </c>
      <c r="D809" s="22" t="s">
        <v>32</v>
      </c>
      <c r="E809" s="22" t="s">
        <v>34</v>
      </c>
      <c r="F809" s="22" t="s">
        <v>29</v>
      </c>
      <c r="G809" s="22" t="s">
        <v>26</v>
      </c>
      <c r="H809" s="22">
        <v>1</v>
      </c>
      <c r="I809" s="22">
        <v>0</v>
      </c>
      <c r="J809" s="22">
        <v>0</v>
      </c>
      <c r="K809" s="22">
        <v>0</v>
      </c>
      <c r="L809" s="22">
        <v>0</v>
      </c>
      <c r="M809" s="22">
        <v>0</v>
      </c>
      <c r="N809" s="22">
        <v>0</v>
      </c>
      <c r="O809" s="22"/>
      <c r="P809" s="22">
        <v>77.900000000000006</v>
      </c>
      <c r="Q809" s="22" t="str">
        <f t="shared" si="36"/>
        <v>Normal</v>
      </c>
      <c r="R809" s="26" t="str">
        <f t="shared" si="37"/>
        <v>USR-10080845792TreatmentSouthTabletPaid SearchFree100000077.9</v>
      </c>
      <c r="S809" s="22" t="str">
        <f t="shared" si="38"/>
        <v>OK</v>
      </c>
    </row>
    <row r="810" spans="1:19" ht="41.4">
      <c r="A810" s="22" t="s">
        <v>841</v>
      </c>
      <c r="B810" s="25">
        <v>45729</v>
      </c>
      <c r="C810" s="22" t="s">
        <v>723</v>
      </c>
      <c r="D810" s="22" t="s">
        <v>23</v>
      </c>
      <c r="E810" s="22" t="s">
        <v>24</v>
      </c>
      <c r="F810" s="22" t="s">
        <v>29</v>
      </c>
      <c r="G810" s="22" t="s">
        <v>26</v>
      </c>
      <c r="H810" s="22">
        <v>0</v>
      </c>
      <c r="I810" s="22">
        <v>0</v>
      </c>
      <c r="J810" s="22">
        <v>0</v>
      </c>
      <c r="K810" s="22">
        <v>0</v>
      </c>
      <c r="L810" s="22">
        <v>0</v>
      </c>
      <c r="M810" s="22">
        <v>0</v>
      </c>
      <c r="N810" s="22">
        <v>0</v>
      </c>
      <c r="O810" s="22"/>
      <c r="P810" s="22">
        <v>48.6</v>
      </c>
      <c r="Q810" s="22" t="str">
        <f t="shared" si="36"/>
        <v>Normal</v>
      </c>
      <c r="R810" s="26" t="str">
        <f t="shared" si="37"/>
        <v>USR-10080945729TreatmentWestMobilePaid SearchFree000000048.6</v>
      </c>
      <c r="S810" s="22" t="str">
        <f t="shared" si="38"/>
        <v>OK</v>
      </c>
    </row>
    <row r="811" spans="1:19" ht="41.4">
      <c r="A811" s="22" t="s">
        <v>842</v>
      </c>
      <c r="B811" s="25">
        <v>45742</v>
      </c>
      <c r="C811" s="22" t="s">
        <v>723</v>
      </c>
      <c r="D811" s="22" t="s">
        <v>18</v>
      </c>
      <c r="E811" s="22" t="s">
        <v>24</v>
      </c>
      <c r="F811" s="22" t="s">
        <v>41</v>
      </c>
      <c r="G811" s="22" t="s">
        <v>30</v>
      </c>
      <c r="H811" s="22">
        <v>1</v>
      </c>
      <c r="I811" s="22">
        <v>0</v>
      </c>
      <c r="J811" s="22">
        <v>0</v>
      </c>
      <c r="K811" s="22">
        <v>0</v>
      </c>
      <c r="L811" s="22">
        <v>0</v>
      </c>
      <c r="M811" s="22">
        <v>0</v>
      </c>
      <c r="N811" s="22">
        <v>0</v>
      </c>
      <c r="O811" s="22"/>
      <c r="P811" s="22">
        <v>61.9</v>
      </c>
      <c r="Q811" s="22" t="str">
        <f t="shared" si="36"/>
        <v>Normal</v>
      </c>
      <c r="R811" s="26" t="str">
        <f t="shared" si="37"/>
        <v>USR-10081045742TreatmentNorthMobileSocialPremium100000061.9</v>
      </c>
      <c r="S811" s="22" t="str">
        <f t="shared" si="38"/>
        <v>OK</v>
      </c>
    </row>
    <row r="812" spans="1:19" ht="41.4">
      <c r="A812" s="22" t="s">
        <v>843</v>
      </c>
      <c r="B812" s="25">
        <v>45666</v>
      </c>
      <c r="C812" s="22" t="s">
        <v>723</v>
      </c>
      <c r="D812" s="22" t="s">
        <v>18</v>
      </c>
      <c r="E812" s="22" t="s">
        <v>24</v>
      </c>
      <c r="F812" s="22" t="s">
        <v>41</v>
      </c>
      <c r="G812" s="22" t="s">
        <v>21</v>
      </c>
      <c r="H812" s="22">
        <v>0</v>
      </c>
      <c r="I812" s="22">
        <v>0</v>
      </c>
      <c r="J812" s="22">
        <v>0</v>
      </c>
      <c r="K812" s="22">
        <v>0</v>
      </c>
      <c r="L812" s="22">
        <v>0</v>
      </c>
      <c r="M812" s="22">
        <v>1</v>
      </c>
      <c r="N812" s="22">
        <v>0</v>
      </c>
      <c r="O812" s="22"/>
      <c r="P812" s="22">
        <v>58.7</v>
      </c>
      <c r="Q812" s="22" t="str">
        <f t="shared" si="36"/>
        <v>Normal</v>
      </c>
      <c r="R812" s="26" t="str">
        <f t="shared" si="37"/>
        <v>USR-10081145666TreatmentNorthMobileSocialBasic000001058.7</v>
      </c>
      <c r="S812" s="22" t="str">
        <f t="shared" si="38"/>
        <v>OK</v>
      </c>
    </row>
    <row r="813" spans="1:19" ht="41.4">
      <c r="A813" s="22" t="s">
        <v>844</v>
      </c>
      <c r="B813" s="25">
        <v>45783</v>
      </c>
      <c r="C813" s="22" t="s">
        <v>723</v>
      </c>
      <c r="D813" s="22" t="s">
        <v>32</v>
      </c>
      <c r="E813" s="22" t="s">
        <v>19</v>
      </c>
      <c r="F813" s="22" t="s">
        <v>29</v>
      </c>
      <c r="G813" s="22" t="s">
        <v>26</v>
      </c>
      <c r="H813" s="22">
        <v>1</v>
      </c>
      <c r="I813" s="22">
        <v>0</v>
      </c>
      <c r="J813" s="22">
        <v>0</v>
      </c>
      <c r="K813" s="22">
        <v>0</v>
      </c>
      <c r="L813" s="22">
        <v>0</v>
      </c>
      <c r="M813" s="22">
        <v>0</v>
      </c>
      <c r="N813" s="22">
        <v>0</v>
      </c>
      <c r="O813" s="22"/>
      <c r="P813" s="22">
        <v>69.599999999999994</v>
      </c>
      <c r="Q813" s="22" t="str">
        <f t="shared" si="36"/>
        <v>Normal</v>
      </c>
      <c r="R813" s="26" t="str">
        <f t="shared" si="37"/>
        <v>USR-10081245783TreatmentSouthDesktopPaid SearchFree100000069.6</v>
      </c>
      <c r="S813" s="22" t="str">
        <f t="shared" si="38"/>
        <v>OK</v>
      </c>
    </row>
    <row r="814" spans="1:19" ht="41.4">
      <c r="A814" s="22" t="s">
        <v>845</v>
      </c>
      <c r="B814" s="25">
        <v>45705</v>
      </c>
      <c r="C814" s="22" t="s">
        <v>723</v>
      </c>
      <c r="D814" s="22" t="s">
        <v>32</v>
      </c>
      <c r="E814" s="22" t="s">
        <v>24</v>
      </c>
      <c r="F814" s="22" t="s">
        <v>25</v>
      </c>
      <c r="G814" s="22" t="s">
        <v>26</v>
      </c>
      <c r="H814" s="22">
        <v>1</v>
      </c>
      <c r="I814" s="22">
        <v>0</v>
      </c>
      <c r="J814" s="22">
        <v>0</v>
      </c>
      <c r="K814" s="22">
        <v>0</v>
      </c>
      <c r="L814" s="22">
        <v>0</v>
      </c>
      <c r="M814" s="22">
        <v>0</v>
      </c>
      <c r="N814" s="22">
        <v>0</v>
      </c>
      <c r="O814" s="22"/>
      <c r="P814" s="22">
        <v>51.5</v>
      </c>
      <c r="Q814" s="22" t="str">
        <f t="shared" si="36"/>
        <v>Normal</v>
      </c>
      <c r="R814" s="26" t="str">
        <f t="shared" si="37"/>
        <v>USR-10081345705TreatmentSouthMobileOrganicFree100000051.5</v>
      </c>
      <c r="S814" s="22" t="str">
        <f t="shared" si="38"/>
        <v>OK</v>
      </c>
    </row>
    <row r="815" spans="1:19" ht="41.4">
      <c r="A815" s="22" t="s">
        <v>846</v>
      </c>
      <c r="B815" s="25">
        <v>45752</v>
      </c>
      <c r="C815" s="22" t="s">
        <v>723</v>
      </c>
      <c r="D815" s="22" t="s">
        <v>28</v>
      </c>
      <c r="E815" s="22" t="s">
        <v>24</v>
      </c>
      <c r="F815" s="22" t="s">
        <v>29</v>
      </c>
      <c r="G815" s="22" t="s">
        <v>26</v>
      </c>
      <c r="H815" s="22">
        <v>1</v>
      </c>
      <c r="I815" s="22">
        <v>1</v>
      </c>
      <c r="J815" s="22">
        <v>1</v>
      </c>
      <c r="K815" s="22">
        <v>1</v>
      </c>
      <c r="L815" s="22">
        <v>277.69</v>
      </c>
      <c r="M815" s="22">
        <v>3</v>
      </c>
      <c r="N815" s="22">
        <v>0</v>
      </c>
      <c r="O815" s="22">
        <v>8</v>
      </c>
      <c r="P815" s="22">
        <v>46</v>
      </c>
      <c r="Q815" s="22" t="str">
        <f t="shared" si="36"/>
        <v>Normal</v>
      </c>
      <c r="R815" s="26" t="str">
        <f t="shared" si="37"/>
        <v>USR-10081445752TreatmentEastMobilePaid SearchFree1111277.6930846</v>
      </c>
      <c r="S815" s="22" t="str">
        <f t="shared" si="38"/>
        <v>OK</v>
      </c>
    </row>
    <row r="816" spans="1:19" ht="41.4">
      <c r="A816" s="22" t="s">
        <v>847</v>
      </c>
      <c r="B816" s="25">
        <v>45760</v>
      </c>
      <c r="C816" s="22" t="s">
        <v>723</v>
      </c>
      <c r="D816" s="22" t="s">
        <v>23</v>
      </c>
      <c r="E816" s="22" t="s">
        <v>34</v>
      </c>
      <c r="F816" s="22" t="s">
        <v>25</v>
      </c>
      <c r="G816" s="22" t="s">
        <v>26</v>
      </c>
      <c r="H816" s="22">
        <v>1</v>
      </c>
      <c r="I816" s="22">
        <v>0</v>
      </c>
      <c r="J816" s="22">
        <v>0</v>
      </c>
      <c r="K816" s="22">
        <v>0</v>
      </c>
      <c r="L816" s="22">
        <v>0</v>
      </c>
      <c r="M816" s="22">
        <v>0</v>
      </c>
      <c r="N816" s="22">
        <v>0</v>
      </c>
      <c r="O816" s="22"/>
      <c r="P816" s="22">
        <v>81.7</v>
      </c>
      <c r="Q816" s="22" t="str">
        <f t="shared" si="36"/>
        <v>Normal</v>
      </c>
      <c r="R816" s="26" t="str">
        <f t="shared" si="37"/>
        <v>USR-10081545760TreatmentWestTabletOrganicFree100000081.7</v>
      </c>
      <c r="S816" s="22" t="str">
        <f t="shared" si="38"/>
        <v>OK</v>
      </c>
    </row>
    <row r="817" spans="1:19" ht="41.4">
      <c r="A817" s="22" t="s">
        <v>848</v>
      </c>
      <c r="B817" s="25">
        <v>45797</v>
      </c>
      <c r="C817" s="22" t="s">
        <v>723</v>
      </c>
      <c r="D817" s="22" t="s">
        <v>28</v>
      </c>
      <c r="E817" s="22" t="s">
        <v>19</v>
      </c>
      <c r="F817" s="22" t="s">
        <v>39</v>
      </c>
      <c r="G817" s="22" t="s">
        <v>26</v>
      </c>
      <c r="H817" s="22">
        <v>1</v>
      </c>
      <c r="I817" s="22">
        <v>0</v>
      </c>
      <c r="J817" s="22">
        <v>0</v>
      </c>
      <c r="K817" s="22">
        <v>0</v>
      </c>
      <c r="L817" s="22">
        <v>0</v>
      </c>
      <c r="M817" s="22">
        <v>0</v>
      </c>
      <c r="N817" s="22">
        <v>0</v>
      </c>
      <c r="O817" s="22"/>
      <c r="P817" s="22">
        <v>48.3</v>
      </c>
      <c r="Q817" s="22" t="str">
        <f t="shared" si="36"/>
        <v>Normal</v>
      </c>
      <c r="R817" s="26" t="str">
        <f t="shared" si="37"/>
        <v>USR-10081645797TreatmentEastDesktopReferralFree100000048.3</v>
      </c>
      <c r="S817" s="22" t="str">
        <f t="shared" si="38"/>
        <v>OK</v>
      </c>
    </row>
    <row r="818" spans="1:19" ht="41.4">
      <c r="A818" s="22" t="s">
        <v>849</v>
      </c>
      <c r="B818" s="25">
        <v>45747</v>
      </c>
      <c r="C818" s="22" t="s">
        <v>723</v>
      </c>
      <c r="D818" s="22" t="s">
        <v>28</v>
      </c>
      <c r="E818" s="22" t="s">
        <v>24</v>
      </c>
      <c r="F818" s="22" t="s">
        <v>20</v>
      </c>
      <c r="G818" s="22" t="s">
        <v>26</v>
      </c>
      <c r="H818" s="22">
        <v>1</v>
      </c>
      <c r="I818" s="22">
        <v>1</v>
      </c>
      <c r="J818" s="22">
        <v>0</v>
      </c>
      <c r="K818" s="22">
        <v>0</v>
      </c>
      <c r="L818" s="22">
        <v>0</v>
      </c>
      <c r="M818" s="22">
        <v>0</v>
      </c>
      <c r="N818" s="22">
        <v>0</v>
      </c>
      <c r="O818" s="22"/>
      <c r="P818" s="22">
        <v>85.6</v>
      </c>
      <c r="Q818" s="22" t="str">
        <f t="shared" si="36"/>
        <v>Normal</v>
      </c>
      <c r="R818" s="26" t="str">
        <f t="shared" si="37"/>
        <v>USR-10081745747TreatmentEastMobileEmailFree110000085.6</v>
      </c>
      <c r="S818" s="22" t="str">
        <f t="shared" si="38"/>
        <v>OK</v>
      </c>
    </row>
    <row r="819" spans="1:19" ht="41.4">
      <c r="A819" s="22" t="s">
        <v>850</v>
      </c>
      <c r="B819" s="25">
        <v>45750</v>
      </c>
      <c r="C819" s="22" t="s">
        <v>723</v>
      </c>
      <c r="D819" s="22" t="s">
        <v>23</v>
      </c>
      <c r="E819" s="22" t="s">
        <v>34</v>
      </c>
      <c r="F819" s="22" t="s">
        <v>29</v>
      </c>
      <c r="G819" s="22" t="s">
        <v>21</v>
      </c>
      <c r="H819" s="22">
        <v>1</v>
      </c>
      <c r="I819" s="22">
        <v>0</v>
      </c>
      <c r="J819" s="22">
        <v>0</v>
      </c>
      <c r="K819" s="22">
        <v>0</v>
      </c>
      <c r="L819" s="22">
        <v>0</v>
      </c>
      <c r="M819" s="22">
        <v>0</v>
      </c>
      <c r="N819" s="22">
        <v>0</v>
      </c>
      <c r="O819" s="22"/>
      <c r="P819" s="22">
        <v>53.8</v>
      </c>
      <c r="Q819" s="22" t="str">
        <f t="shared" si="36"/>
        <v>Normal</v>
      </c>
      <c r="R819" s="26" t="str">
        <f t="shared" si="37"/>
        <v>USR-10081845750TreatmentWestTabletPaid SearchBasic100000053.8</v>
      </c>
      <c r="S819" s="22" t="str">
        <f t="shared" si="38"/>
        <v>OK</v>
      </c>
    </row>
    <row r="820" spans="1:19" ht="41.4">
      <c r="A820" s="22" t="s">
        <v>851</v>
      </c>
      <c r="B820" s="25">
        <v>45692</v>
      </c>
      <c r="C820" s="22" t="s">
        <v>723</v>
      </c>
      <c r="D820" s="22" t="s">
        <v>32</v>
      </c>
      <c r="E820" s="22" t="s">
        <v>24</v>
      </c>
      <c r="F820" s="22" t="s">
        <v>25</v>
      </c>
      <c r="G820" s="22" t="s">
        <v>26</v>
      </c>
      <c r="H820" s="22">
        <v>1</v>
      </c>
      <c r="I820" s="22">
        <v>1</v>
      </c>
      <c r="J820" s="22">
        <v>1</v>
      </c>
      <c r="K820" s="22">
        <v>1</v>
      </c>
      <c r="L820" s="22">
        <v>460.83</v>
      </c>
      <c r="M820" s="22">
        <v>2</v>
      </c>
      <c r="N820" s="22">
        <v>0</v>
      </c>
      <c r="O820" s="22">
        <v>0</v>
      </c>
      <c r="P820" s="22">
        <v>69.7</v>
      </c>
      <c r="Q820" s="22" t="str">
        <f t="shared" si="36"/>
        <v>Normal</v>
      </c>
      <c r="R820" s="26" t="str">
        <f t="shared" si="37"/>
        <v>USR-10081945692TreatmentSouthMobileOrganicFree1111460.8320069.7</v>
      </c>
      <c r="S820" s="22" t="str">
        <f t="shared" si="38"/>
        <v>OK</v>
      </c>
    </row>
    <row r="821" spans="1:19" ht="41.4">
      <c r="A821" s="22" t="s">
        <v>852</v>
      </c>
      <c r="B821" s="25">
        <v>45796</v>
      </c>
      <c r="C821" s="22" t="s">
        <v>723</v>
      </c>
      <c r="D821" s="22" t="s">
        <v>28</v>
      </c>
      <c r="E821" s="22" t="s">
        <v>24</v>
      </c>
      <c r="F821" s="22" t="s">
        <v>25</v>
      </c>
      <c r="G821" s="22" t="s">
        <v>26</v>
      </c>
      <c r="H821" s="22">
        <v>1</v>
      </c>
      <c r="I821" s="22">
        <v>0</v>
      </c>
      <c r="J821" s="22">
        <v>0</v>
      </c>
      <c r="K821" s="22">
        <v>0</v>
      </c>
      <c r="L821" s="22">
        <v>0</v>
      </c>
      <c r="M821" s="22">
        <v>0</v>
      </c>
      <c r="N821" s="22">
        <v>0</v>
      </c>
      <c r="O821" s="22"/>
      <c r="P821" s="22">
        <v>74.8</v>
      </c>
      <c r="Q821" s="22" t="str">
        <f t="shared" si="36"/>
        <v>Normal</v>
      </c>
      <c r="R821" s="26" t="str">
        <f t="shared" si="37"/>
        <v>USR-10082045796TreatmentEastMobileOrganicFree100000074.8</v>
      </c>
      <c r="S821" s="22" t="str">
        <f t="shared" si="38"/>
        <v>OK</v>
      </c>
    </row>
    <row r="822" spans="1:19" ht="41.4">
      <c r="A822" s="22" t="s">
        <v>853</v>
      </c>
      <c r="B822" s="25">
        <v>45724</v>
      </c>
      <c r="C822" s="22" t="s">
        <v>723</v>
      </c>
      <c r="D822" s="22" t="s">
        <v>28</v>
      </c>
      <c r="E822" s="22" t="s">
        <v>19</v>
      </c>
      <c r="F822" s="22" t="s">
        <v>29</v>
      </c>
      <c r="G822" s="22" t="s">
        <v>21</v>
      </c>
      <c r="H822" s="22">
        <v>0</v>
      </c>
      <c r="I822" s="22">
        <v>0</v>
      </c>
      <c r="J822" s="22">
        <v>0</v>
      </c>
      <c r="K822" s="22">
        <v>0</v>
      </c>
      <c r="L822" s="22">
        <v>0</v>
      </c>
      <c r="M822" s="22">
        <v>0</v>
      </c>
      <c r="N822" s="22">
        <v>0</v>
      </c>
      <c r="O822" s="22"/>
      <c r="P822" s="22">
        <v>87.9</v>
      </c>
      <c r="Q822" s="22" t="str">
        <f t="shared" si="36"/>
        <v>Normal</v>
      </c>
      <c r="R822" s="26" t="str">
        <f t="shared" si="37"/>
        <v>USR-10082145724TreatmentEastDesktopPaid SearchBasic000000087.9</v>
      </c>
      <c r="S822" s="22" t="str">
        <f t="shared" si="38"/>
        <v>OK</v>
      </c>
    </row>
    <row r="823" spans="1:19" ht="41.4">
      <c r="A823" s="22" t="s">
        <v>854</v>
      </c>
      <c r="B823" s="25">
        <v>45787</v>
      </c>
      <c r="C823" s="22" t="s">
        <v>723</v>
      </c>
      <c r="D823" s="22" t="s">
        <v>18</v>
      </c>
      <c r="E823" s="22" t="s">
        <v>24</v>
      </c>
      <c r="F823" s="22" t="s">
        <v>41</v>
      </c>
      <c r="G823" s="22" t="s">
        <v>21</v>
      </c>
      <c r="H823" s="22">
        <v>1</v>
      </c>
      <c r="I823" s="22">
        <v>0</v>
      </c>
      <c r="J823" s="22">
        <v>0</v>
      </c>
      <c r="K823" s="22">
        <v>0</v>
      </c>
      <c r="L823" s="22">
        <v>0</v>
      </c>
      <c r="M823" s="22">
        <v>1</v>
      </c>
      <c r="N823" s="22">
        <v>0</v>
      </c>
      <c r="O823" s="22"/>
      <c r="P823" s="22">
        <v>49.1</v>
      </c>
      <c r="Q823" s="22" t="str">
        <f t="shared" si="36"/>
        <v>Normal</v>
      </c>
      <c r="R823" s="26" t="str">
        <f t="shared" si="37"/>
        <v>USR-10082245787TreatmentNorthMobileSocialBasic100001049.1</v>
      </c>
      <c r="S823" s="22" t="str">
        <f t="shared" si="38"/>
        <v>OK</v>
      </c>
    </row>
    <row r="824" spans="1:19" ht="41.4">
      <c r="A824" s="22" t="s">
        <v>855</v>
      </c>
      <c r="B824" s="25">
        <v>45659</v>
      </c>
      <c r="C824" s="22" t="s">
        <v>723</v>
      </c>
      <c r="D824" s="22" t="s">
        <v>28</v>
      </c>
      <c r="E824" s="22" t="s">
        <v>19</v>
      </c>
      <c r="F824" s="22" t="s">
        <v>41</v>
      </c>
      <c r="G824" s="22" t="s">
        <v>21</v>
      </c>
      <c r="H824" s="22">
        <v>1</v>
      </c>
      <c r="I824" s="22">
        <v>0</v>
      </c>
      <c r="J824" s="22">
        <v>0</v>
      </c>
      <c r="K824" s="22">
        <v>0</v>
      </c>
      <c r="L824" s="22">
        <v>0</v>
      </c>
      <c r="M824" s="22">
        <v>2</v>
      </c>
      <c r="N824" s="22">
        <v>0</v>
      </c>
      <c r="O824" s="22"/>
      <c r="P824" s="22">
        <v>73</v>
      </c>
      <c r="Q824" s="22" t="str">
        <f t="shared" si="36"/>
        <v>Normal</v>
      </c>
      <c r="R824" s="26" t="str">
        <f t="shared" si="37"/>
        <v>USR-10082345659TreatmentEastDesktopSocialBasic100002073</v>
      </c>
      <c r="S824" s="22" t="str">
        <f t="shared" si="38"/>
        <v>OK</v>
      </c>
    </row>
    <row r="825" spans="1:19" ht="41.4">
      <c r="A825" s="22" t="s">
        <v>856</v>
      </c>
      <c r="B825" s="25">
        <v>45674</v>
      </c>
      <c r="C825" s="22" t="s">
        <v>723</v>
      </c>
      <c r="D825" s="22" t="s">
        <v>23</v>
      </c>
      <c r="E825" s="22" t="s">
        <v>24</v>
      </c>
      <c r="F825" s="22" t="s">
        <v>25</v>
      </c>
      <c r="G825" s="22" t="s">
        <v>21</v>
      </c>
      <c r="H825" s="22">
        <v>0</v>
      </c>
      <c r="I825" s="22">
        <v>0</v>
      </c>
      <c r="J825" s="22">
        <v>0</v>
      </c>
      <c r="K825" s="22">
        <v>0</v>
      </c>
      <c r="L825" s="22">
        <v>0</v>
      </c>
      <c r="M825" s="22">
        <v>0</v>
      </c>
      <c r="N825" s="22">
        <v>0</v>
      </c>
      <c r="O825" s="22"/>
      <c r="P825" s="22">
        <v>79.5</v>
      </c>
      <c r="Q825" s="22" t="str">
        <f t="shared" si="36"/>
        <v>Normal</v>
      </c>
      <c r="R825" s="26" t="str">
        <f t="shared" si="37"/>
        <v>USR-10082445674TreatmentWestMobileOrganicBasic000000079.5</v>
      </c>
      <c r="S825" s="22" t="str">
        <f t="shared" si="38"/>
        <v>OK</v>
      </c>
    </row>
    <row r="826" spans="1:19" ht="41.4">
      <c r="A826" s="22" t="s">
        <v>857</v>
      </c>
      <c r="B826" s="25">
        <v>45798</v>
      </c>
      <c r="C826" s="22" t="s">
        <v>723</v>
      </c>
      <c r="D826" s="22" t="s">
        <v>23</v>
      </c>
      <c r="E826" s="22" t="s">
        <v>24</v>
      </c>
      <c r="F826" s="22" t="s">
        <v>39</v>
      </c>
      <c r="G826" s="22" t="s">
        <v>21</v>
      </c>
      <c r="H826" s="22">
        <v>1</v>
      </c>
      <c r="I826" s="22">
        <v>1</v>
      </c>
      <c r="J826" s="22">
        <v>1</v>
      </c>
      <c r="K826" s="22">
        <v>1</v>
      </c>
      <c r="L826" s="22">
        <v>782.23</v>
      </c>
      <c r="M826" s="22">
        <v>1</v>
      </c>
      <c r="N826" s="22">
        <v>0</v>
      </c>
      <c r="O826" s="22">
        <v>6</v>
      </c>
      <c r="P826" s="22">
        <v>93.2</v>
      </c>
      <c r="Q826" s="22" t="str">
        <f t="shared" si="36"/>
        <v>Normal</v>
      </c>
      <c r="R826" s="26" t="str">
        <f t="shared" si="37"/>
        <v>USR-10082545798TreatmentWestMobileReferralBasic1111782.2310693.2</v>
      </c>
      <c r="S826" s="22" t="str">
        <f t="shared" si="38"/>
        <v>OK</v>
      </c>
    </row>
    <row r="827" spans="1:19" ht="41.4">
      <c r="A827" s="22" t="s">
        <v>858</v>
      </c>
      <c r="B827" s="25">
        <v>45802</v>
      </c>
      <c r="C827" s="22" t="s">
        <v>723</v>
      </c>
      <c r="D827" s="22" t="s">
        <v>28</v>
      </c>
      <c r="E827" s="22" t="s">
        <v>19</v>
      </c>
      <c r="F827" s="22" t="s">
        <v>39</v>
      </c>
      <c r="G827" s="22" t="s">
        <v>26</v>
      </c>
      <c r="H827" s="22">
        <v>1</v>
      </c>
      <c r="I827" s="22">
        <v>0</v>
      </c>
      <c r="J827" s="22">
        <v>0</v>
      </c>
      <c r="K827" s="22">
        <v>0</v>
      </c>
      <c r="L827" s="22">
        <v>0</v>
      </c>
      <c r="M827" s="22">
        <v>3</v>
      </c>
      <c r="N827" s="22">
        <v>0</v>
      </c>
      <c r="O827" s="22"/>
      <c r="P827" s="22">
        <v>77.5</v>
      </c>
      <c r="Q827" s="22" t="str">
        <f t="shared" si="36"/>
        <v>Normal</v>
      </c>
      <c r="R827" s="26" t="str">
        <f t="shared" si="37"/>
        <v>USR-10082645802TreatmentEastDesktopReferralFree100003077.5</v>
      </c>
      <c r="S827" s="22" t="str">
        <f t="shared" si="38"/>
        <v>OK</v>
      </c>
    </row>
    <row r="828" spans="1:19" ht="41.4">
      <c r="A828" s="22" t="s">
        <v>859</v>
      </c>
      <c r="B828" s="25">
        <v>45662</v>
      </c>
      <c r="C828" s="22" t="s">
        <v>723</v>
      </c>
      <c r="D828" s="22" t="s">
        <v>23</v>
      </c>
      <c r="E828" s="22" t="s">
        <v>24</v>
      </c>
      <c r="F828" s="22" t="s">
        <v>20</v>
      </c>
      <c r="G828" s="22" t="s">
        <v>21</v>
      </c>
      <c r="H828" s="22">
        <v>1</v>
      </c>
      <c r="I828" s="22">
        <v>0</v>
      </c>
      <c r="J828" s="22">
        <v>0</v>
      </c>
      <c r="K828" s="22">
        <v>0</v>
      </c>
      <c r="L828" s="22">
        <v>0</v>
      </c>
      <c r="M828" s="22">
        <v>0</v>
      </c>
      <c r="N828" s="22">
        <v>0</v>
      </c>
      <c r="O828" s="22"/>
      <c r="P828" s="22">
        <v>61</v>
      </c>
      <c r="Q828" s="22" t="str">
        <f t="shared" si="36"/>
        <v>Normal</v>
      </c>
      <c r="R828" s="26" t="str">
        <f t="shared" si="37"/>
        <v>USR-10082745662TreatmentWestMobileEmailBasic100000061</v>
      </c>
      <c r="S828" s="22" t="str">
        <f t="shared" si="38"/>
        <v>OK</v>
      </c>
    </row>
    <row r="829" spans="1:19" ht="41.4">
      <c r="A829" s="22" t="s">
        <v>860</v>
      </c>
      <c r="B829" s="25">
        <v>45712</v>
      </c>
      <c r="C829" s="22" t="s">
        <v>723</v>
      </c>
      <c r="D829" s="22" t="s">
        <v>32</v>
      </c>
      <c r="E829" s="22" t="s">
        <v>19</v>
      </c>
      <c r="F829" s="22" t="s">
        <v>25</v>
      </c>
      <c r="G829" s="22" t="s">
        <v>26</v>
      </c>
      <c r="H829" s="22">
        <v>1</v>
      </c>
      <c r="I829" s="22">
        <v>1</v>
      </c>
      <c r="J829" s="22">
        <v>0</v>
      </c>
      <c r="K829" s="22">
        <v>0</v>
      </c>
      <c r="L829" s="22">
        <v>0</v>
      </c>
      <c r="M829" s="22">
        <v>0</v>
      </c>
      <c r="N829" s="22">
        <v>0</v>
      </c>
      <c r="O829" s="22"/>
      <c r="P829" s="22">
        <v>64.900000000000006</v>
      </c>
      <c r="Q829" s="22" t="str">
        <f t="shared" si="36"/>
        <v>Normal</v>
      </c>
      <c r="R829" s="26" t="str">
        <f t="shared" si="37"/>
        <v>USR-10082845712TreatmentSouthDesktopOrganicFree110000064.9</v>
      </c>
      <c r="S829" s="22" t="str">
        <f t="shared" si="38"/>
        <v>OK</v>
      </c>
    </row>
    <row r="830" spans="1:19" ht="41.4">
      <c r="A830" s="22" t="s">
        <v>861</v>
      </c>
      <c r="B830" s="25">
        <v>45678</v>
      </c>
      <c r="C830" s="22" t="s">
        <v>723</v>
      </c>
      <c r="D830" s="22" t="s">
        <v>28</v>
      </c>
      <c r="E830" s="22" t="s">
        <v>24</v>
      </c>
      <c r="F830" s="22" t="s">
        <v>29</v>
      </c>
      <c r="G830" s="22" t="s">
        <v>21</v>
      </c>
      <c r="H830" s="22">
        <v>1</v>
      </c>
      <c r="I830" s="22">
        <v>0</v>
      </c>
      <c r="J830" s="22">
        <v>0</v>
      </c>
      <c r="K830" s="22">
        <v>0</v>
      </c>
      <c r="L830" s="22">
        <v>0</v>
      </c>
      <c r="M830" s="22">
        <v>0</v>
      </c>
      <c r="N830" s="22">
        <v>0</v>
      </c>
      <c r="O830" s="22"/>
      <c r="P830" s="22">
        <v>87.5</v>
      </c>
      <c r="Q830" s="22" t="str">
        <f t="shared" si="36"/>
        <v>Normal</v>
      </c>
      <c r="R830" s="26" t="str">
        <f t="shared" si="37"/>
        <v>USR-10082945678TreatmentEastMobilePaid SearchBasic100000087.5</v>
      </c>
      <c r="S830" s="22" t="str">
        <f t="shared" si="38"/>
        <v>OK</v>
      </c>
    </row>
    <row r="831" spans="1:19" ht="41.4">
      <c r="A831" s="22" t="s">
        <v>862</v>
      </c>
      <c r="B831" s="25">
        <v>45771</v>
      </c>
      <c r="C831" s="22" t="s">
        <v>723</v>
      </c>
      <c r="D831" s="22" t="s">
        <v>18</v>
      </c>
      <c r="E831" s="22" t="s">
        <v>24</v>
      </c>
      <c r="F831" s="22" t="s">
        <v>25</v>
      </c>
      <c r="G831" s="22" t="s">
        <v>21</v>
      </c>
      <c r="H831" s="22">
        <v>1</v>
      </c>
      <c r="I831" s="22">
        <v>1</v>
      </c>
      <c r="J831" s="22">
        <v>1</v>
      </c>
      <c r="K831" s="22">
        <v>1</v>
      </c>
      <c r="L831" s="22">
        <v>1171.99</v>
      </c>
      <c r="M831" s="22">
        <v>0</v>
      </c>
      <c r="N831" s="22">
        <v>0</v>
      </c>
      <c r="O831" s="22">
        <v>5</v>
      </c>
      <c r="P831" s="22">
        <v>80.599999999999994</v>
      </c>
      <c r="Q831" s="22" t="str">
        <f t="shared" si="36"/>
        <v>Normal</v>
      </c>
      <c r="R831" s="26" t="str">
        <f t="shared" si="37"/>
        <v>USR-10083045771TreatmentNorthMobileOrganicBasic11111171.9900580.6</v>
      </c>
      <c r="S831" s="22" t="str">
        <f t="shared" si="38"/>
        <v>OK</v>
      </c>
    </row>
    <row r="832" spans="1:19" ht="41.4">
      <c r="A832" s="22" t="s">
        <v>863</v>
      </c>
      <c r="B832" s="25">
        <v>45664</v>
      </c>
      <c r="C832" s="22" t="s">
        <v>723</v>
      </c>
      <c r="D832" s="22" t="s">
        <v>23</v>
      </c>
      <c r="E832" s="22" t="s">
        <v>19</v>
      </c>
      <c r="F832" s="22" t="s">
        <v>25</v>
      </c>
      <c r="G832" s="22" t="s">
        <v>26</v>
      </c>
      <c r="H832" s="22">
        <v>1</v>
      </c>
      <c r="I832" s="22">
        <v>0</v>
      </c>
      <c r="J832" s="22">
        <v>0</v>
      </c>
      <c r="K832" s="22">
        <v>0</v>
      </c>
      <c r="L832" s="22">
        <v>0</v>
      </c>
      <c r="M832" s="22">
        <v>0</v>
      </c>
      <c r="N832" s="22">
        <v>0</v>
      </c>
      <c r="O832" s="22"/>
      <c r="P832" s="22">
        <v>66.900000000000006</v>
      </c>
      <c r="Q832" s="22" t="str">
        <f t="shared" si="36"/>
        <v>Normal</v>
      </c>
      <c r="R832" s="26" t="str">
        <f t="shared" si="37"/>
        <v>USR-10083145664TreatmentWestDesktopOrganicFree100000066.9</v>
      </c>
      <c r="S832" s="22" t="str">
        <f t="shared" si="38"/>
        <v>OK</v>
      </c>
    </row>
    <row r="833" spans="1:19" ht="41.4">
      <c r="A833" s="22" t="s">
        <v>864</v>
      </c>
      <c r="B833" s="25">
        <v>45808</v>
      </c>
      <c r="C833" s="22" t="s">
        <v>723</v>
      </c>
      <c r="D833" s="22" t="s">
        <v>32</v>
      </c>
      <c r="E833" s="22" t="s">
        <v>34</v>
      </c>
      <c r="F833" s="22" t="s">
        <v>25</v>
      </c>
      <c r="G833" s="22" t="s">
        <v>21</v>
      </c>
      <c r="H833" s="22">
        <v>1</v>
      </c>
      <c r="I833" s="22">
        <v>1</v>
      </c>
      <c r="J833" s="22">
        <v>1</v>
      </c>
      <c r="K833" s="22">
        <v>0</v>
      </c>
      <c r="L833" s="22">
        <v>0</v>
      </c>
      <c r="M833" s="22">
        <v>0</v>
      </c>
      <c r="N833" s="22">
        <v>0</v>
      </c>
      <c r="O833" s="22"/>
      <c r="P833" s="22">
        <v>58.8</v>
      </c>
      <c r="Q833" s="22" t="str">
        <f t="shared" si="36"/>
        <v>Normal</v>
      </c>
      <c r="R833" s="26" t="str">
        <f t="shared" si="37"/>
        <v>USR-10083245808TreatmentSouthTabletOrganicBasic111000058.8</v>
      </c>
      <c r="S833" s="22" t="str">
        <f t="shared" si="38"/>
        <v>OK</v>
      </c>
    </row>
    <row r="834" spans="1:19" ht="41.4">
      <c r="A834" s="22" t="s">
        <v>865</v>
      </c>
      <c r="B834" s="25">
        <v>45749</v>
      </c>
      <c r="C834" s="22" t="s">
        <v>723</v>
      </c>
      <c r="D834" s="22" t="s">
        <v>18</v>
      </c>
      <c r="E834" s="22" t="s">
        <v>19</v>
      </c>
      <c r="F834" s="22" t="s">
        <v>25</v>
      </c>
      <c r="G834" s="22" t="s">
        <v>21</v>
      </c>
      <c r="H834" s="22">
        <v>1</v>
      </c>
      <c r="I834" s="22">
        <v>1</v>
      </c>
      <c r="J834" s="22">
        <v>1</v>
      </c>
      <c r="K834" s="22">
        <v>1</v>
      </c>
      <c r="L834" s="22">
        <v>1010.4</v>
      </c>
      <c r="M834" s="22">
        <v>0</v>
      </c>
      <c r="N834" s="22">
        <v>0</v>
      </c>
      <c r="O834" s="22">
        <v>4</v>
      </c>
      <c r="P834" s="22">
        <v>42.9</v>
      </c>
      <c r="Q834" s="22" t="str">
        <f t="shared" si="36"/>
        <v>Normal</v>
      </c>
      <c r="R834" s="26" t="str">
        <f t="shared" si="37"/>
        <v>USR-10083345749TreatmentNorthDesktopOrganicBasic11111010.400442.9</v>
      </c>
      <c r="S834" s="22" t="str">
        <f t="shared" si="38"/>
        <v>OK</v>
      </c>
    </row>
    <row r="835" spans="1:19" ht="41.4">
      <c r="A835" s="22" t="s">
        <v>866</v>
      </c>
      <c r="B835" s="25">
        <v>45768</v>
      </c>
      <c r="C835" s="22" t="s">
        <v>723</v>
      </c>
      <c r="D835" s="22" t="s">
        <v>28</v>
      </c>
      <c r="E835" s="22" t="s">
        <v>24</v>
      </c>
      <c r="F835" s="22" t="s">
        <v>25</v>
      </c>
      <c r="G835" s="22" t="s">
        <v>26</v>
      </c>
      <c r="H835" s="22">
        <v>1</v>
      </c>
      <c r="I835" s="22">
        <v>1</v>
      </c>
      <c r="J835" s="22">
        <v>1</v>
      </c>
      <c r="K835" s="22">
        <v>0</v>
      </c>
      <c r="L835" s="22">
        <v>0</v>
      </c>
      <c r="M835" s="22">
        <v>1</v>
      </c>
      <c r="N835" s="22">
        <v>0</v>
      </c>
      <c r="O835" s="22"/>
      <c r="P835" s="22">
        <v>60.2</v>
      </c>
      <c r="Q835" s="22" t="str">
        <f t="shared" ref="Q835:Q898" si="39">IF(OR(L835&lt;$V$40,L835&gt;$V$41),"Outlier","Normal")</f>
        <v>Normal</v>
      </c>
      <c r="R835" s="26" t="str">
        <f t="shared" ref="R835:R898" si="40">A835&amp;B835&amp;C835&amp;D835&amp;E835&amp;F835&amp;G835&amp;H835&amp;I835&amp;J835&amp;K835&amp;L835&amp;M835&amp;N835&amp;O835&amp;P835</f>
        <v>USR-10083445768TreatmentEastMobileOrganicFree111001060.2</v>
      </c>
      <c r="S835" s="22" t="str">
        <f t="shared" ref="S835:S898" si="41">IF(COUNTIF($R$2:$R$1409,R835)=1,"OK",IF(COUNTIF($R$2:$R$1409,R835)&gt;1,"Exact Duplicate","Review Required"))</f>
        <v>OK</v>
      </c>
    </row>
    <row r="836" spans="1:19" ht="41.4">
      <c r="A836" s="22" t="s">
        <v>867</v>
      </c>
      <c r="B836" s="25">
        <v>45782</v>
      </c>
      <c r="C836" s="22" t="s">
        <v>723</v>
      </c>
      <c r="D836" s="22" t="s">
        <v>28</v>
      </c>
      <c r="E836" s="22" t="s">
        <v>24</v>
      </c>
      <c r="F836" s="22" t="s">
        <v>29</v>
      </c>
      <c r="G836" s="22" t="s">
        <v>21</v>
      </c>
      <c r="H836" s="22">
        <v>1</v>
      </c>
      <c r="I836" s="22">
        <v>0</v>
      </c>
      <c r="J836" s="22">
        <v>0</v>
      </c>
      <c r="K836" s="22">
        <v>0</v>
      </c>
      <c r="L836" s="22">
        <v>0</v>
      </c>
      <c r="M836" s="22">
        <v>0</v>
      </c>
      <c r="N836" s="22">
        <v>0</v>
      </c>
      <c r="O836" s="22"/>
      <c r="P836" s="22">
        <v>42.7</v>
      </c>
      <c r="Q836" s="22" t="str">
        <f t="shared" si="39"/>
        <v>Normal</v>
      </c>
      <c r="R836" s="26" t="str">
        <f t="shared" si="40"/>
        <v>USR-10083545782TreatmentEastMobilePaid SearchBasic100000042.7</v>
      </c>
      <c r="S836" s="22" t="str">
        <f t="shared" si="41"/>
        <v>OK</v>
      </c>
    </row>
    <row r="837" spans="1:19" ht="41.4">
      <c r="A837" s="22" t="s">
        <v>868</v>
      </c>
      <c r="B837" s="25">
        <v>45663</v>
      </c>
      <c r="C837" s="22" t="s">
        <v>723</v>
      </c>
      <c r="D837" s="22" t="s">
        <v>18</v>
      </c>
      <c r="E837" s="22" t="s">
        <v>19</v>
      </c>
      <c r="F837" s="22" t="s">
        <v>41</v>
      </c>
      <c r="G837" s="22" t="s">
        <v>26</v>
      </c>
      <c r="H837" s="22">
        <v>1</v>
      </c>
      <c r="I837" s="22">
        <v>1</v>
      </c>
      <c r="J837" s="22">
        <v>1</v>
      </c>
      <c r="K837" s="22">
        <v>1</v>
      </c>
      <c r="L837" s="22">
        <v>431.27</v>
      </c>
      <c r="M837" s="22">
        <v>0</v>
      </c>
      <c r="N837" s="22">
        <v>0</v>
      </c>
      <c r="O837" s="22">
        <v>7</v>
      </c>
      <c r="P837" s="22">
        <v>60.8</v>
      </c>
      <c r="Q837" s="22" t="str">
        <f t="shared" si="39"/>
        <v>Normal</v>
      </c>
      <c r="R837" s="26" t="str">
        <f t="shared" si="40"/>
        <v>USR-10083645663TreatmentNorthDesktopSocialFree1111431.2700760.8</v>
      </c>
      <c r="S837" s="22" t="str">
        <f t="shared" si="41"/>
        <v>OK</v>
      </c>
    </row>
    <row r="838" spans="1:19" ht="41.4">
      <c r="A838" s="22" t="s">
        <v>869</v>
      </c>
      <c r="B838" s="25">
        <v>45771</v>
      </c>
      <c r="C838" s="22" t="s">
        <v>723</v>
      </c>
      <c r="D838" s="22" t="s">
        <v>32</v>
      </c>
      <c r="E838" s="22" t="s">
        <v>24</v>
      </c>
      <c r="F838" s="22" t="s">
        <v>39</v>
      </c>
      <c r="G838" s="22" t="s">
        <v>26</v>
      </c>
      <c r="H838" s="22">
        <v>1</v>
      </c>
      <c r="I838" s="22">
        <v>1</v>
      </c>
      <c r="J838" s="22">
        <v>1</v>
      </c>
      <c r="K838" s="22">
        <v>1</v>
      </c>
      <c r="L838" s="22">
        <v>428.8</v>
      </c>
      <c r="M838" s="22">
        <v>0</v>
      </c>
      <c r="N838" s="22">
        <v>0</v>
      </c>
      <c r="O838" s="22">
        <v>9</v>
      </c>
      <c r="P838" s="22">
        <v>79.3</v>
      </c>
      <c r="Q838" s="22" t="str">
        <f t="shared" si="39"/>
        <v>Normal</v>
      </c>
      <c r="R838" s="26" t="str">
        <f t="shared" si="40"/>
        <v>USR-10083745771TreatmentSouthMobileReferralFree1111428.800979.3</v>
      </c>
      <c r="S838" s="22" t="str">
        <f t="shared" si="41"/>
        <v>OK</v>
      </c>
    </row>
    <row r="839" spans="1:19" ht="41.4">
      <c r="A839" s="22" t="s">
        <v>870</v>
      </c>
      <c r="B839" s="25">
        <v>45768</v>
      </c>
      <c r="C839" s="22" t="s">
        <v>723</v>
      </c>
      <c r="D839" s="22" t="s">
        <v>32</v>
      </c>
      <c r="E839" s="22" t="s">
        <v>24</v>
      </c>
      <c r="F839" s="22" t="s">
        <v>25</v>
      </c>
      <c r="G839" s="22" t="s">
        <v>21</v>
      </c>
      <c r="H839" s="22">
        <v>1</v>
      </c>
      <c r="I839" s="22">
        <v>0</v>
      </c>
      <c r="J839" s="22">
        <v>0</v>
      </c>
      <c r="K839" s="22">
        <v>0</v>
      </c>
      <c r="L839" s="22">
        <v>0</v>
      </c>
      <c r="M839" s="22">
        <v>1</v>
      </c>
      <c r="N839" s="22">
        <v>0</v>
      </c>
      <c r="O839" s="22"/>
      <c r="P839" s="22">
        <v>88.6</v>
      </c>
      <c r="Q839" s="22" t="str">
        <f t="shared" si="39"/>
        <v>Normal</v>
      </c>
      <c r="R839" s="26" t="str">
        <f t="shared" si="40"/>
        <v>USR-10083845768TreatmentSouthMobileOrganicBasic100001088.6</v>
      </c>
      <c r="S839" s="22" t="str">
        <f t="shared" si="41"/>
        <v>OK</v>
      </c>
    </row>
    <row r="840" spans="1:19" ht="41.4">
      <c r="A840" s="22" t="s">
        <v>871</v>
      </c>
      <c r="B840" s="25">
        <v>45697</v>
      </c>
      <c r="C840" s="22" t="s">
        <v>723</v>
      </c>
      <c r="D840" s="22" t="s">
        <v>23</v>
      </c>
      <c r="E840" s="22" t="s">
        <v>24</v>
      </c>
      <c r="F840" s="22" t="s">
        <v>25</v>
      </c>
      <c r="G840" s="22" t="s">
        <v>21</v>
      </c>
      <c r="H840" s="22">
        <v>1</v>
      </c>
      <c r="I840" s="22">
        <v>1</v>
      </c>
      <c r="J840" s="22">
        <v>1</v>
      </c>
      <c r="K840" s="22">
        <v>0</v>
      </c>
      <c r="L840" s="22">
        <v>0</v>
      </c>
      <c r="M840" s="22">
        <v>0</v>
      </c>
      <c r="N840" s="22">
        <v>0</v>
      </c>
      <c r="O840" s="22"/>
      <c r="P840" s="22">
        <v>63.1</v>
      </c>
      <c r="Q840" s="22" t="str">
        <f t="shared" si="39"/>
        <v>Normal</v>
      </c>
      <c r="R840" s="26" t="str">
        <f t="shared" si="40"/>
        <v>USR-10083945697TreatmentWestMobileOrganicBasic111000063.1</v>
      </c>
      <c r="S840" s="22" t="str">
        <f t="shared" si="41"/>
        <v>OK</v>
      </c>
    </row>
    <row r="841" spans="1:19" ht="41.4">
      <c r="A841" s="22" t="s">
        <v>872</v>
      </c>
      <c r="B841" s="25">
        <v>45666</v>
      </c>
      <c r="C841" s="22" t="s">
        <v>723</v>
      </c>
      <c r="D841" s="22" t="s">
        <v>28</v>
      </c>
      <c r="E841" s="22" t="s">
        <v>24</v>
      </c>
      <c r="F841" s="22" t="s">
        <v>25</v>
      </c>
      <c r="G841" s="22" t="s">
        <v>30</v>
      </c>
      <c r="H841" s="22">
        <v>1</v>
      </c>
      <c r="I841" s="22">
        <v>0</v>
      </c>
      <c r="J841" s="22">
        <v>0</v>
      </c>
      <c r="K841" s="22">
        <v>0</v>
      </c>
      <c r="L841" s="22">
        <v>0</v>
      </c>
      <c r="M841" s="22">
        <v>0</v>
      </c>
      <c r="N841" s="22">
        <v>0</v>
      </c>
      <c r="O841" s="22"/>
      <c r="P841" s="22">
        <v>39.700000000000003</v>
      </c>
      <c r="Q841" s="22" t="str">
        <f t="shared" si="39"/>
        <v>Normal</v>
      </c>
      <c r="R841" s="26" t="str">
        <f t="shared" si="40"/>
        <v>USR-10084045666TreatmentEastMobileOrganicPremium100000039.7</v>
      </c>
      <c r="S841" s="22" t="str">
        <f t="shared" si="41"/>
        <v>OK</v>
      </c>
    </row>
    <row r="842" spans="1:19" ht="41.4">
      <c r="A842" s="22" t="s">
        <v>873</v>
      </c>
      <c r="B842" s="25">
        <v>45704</v>
      </c>
      <c r="C842" s="22" t="s">
        <v>723</v>
      </c>
      <c r="D842" s="22" t="s">
        <v>18</v>
      </c>
      <c r="E842" s="22" t="s">
        <v>24</v>
      </c>
      <c r="F842" s="22" t="s">
        <v>29</v>
      </c>
      <c r="G842" s="22" t="s">
        <v>21</v>
      </c>
      <c r="H842" s="22">
        <v>0</v>
      </c>
      <c r="I842" s="22">
        <v>0</v>
      </c>
      <c r="J842" s="22">
        <v>0</v>
      </c>
      <c r="K842" s="22">
        <v>0</v>
      </c>
      <c r="L842" s="22">
        <v>0</v>
      </c>
      <c r="M842" s="22">
        <v>0</v>
      </c>
      <c r="N842" s="22">
        <v>0</v>
      </c>
      <c r="O842" s="22"/>
      <c r="P842" s="22">
        <v>67.2</v>
      </c>
      <c r="Q842" s="22" t="str">
        <f t="shared" si="39"/>
        <v>Normal</v>
      </c>
      <c r="R842" s="26" t="str">
        <f t="shared" si="40"/>
        <v>USR-10084145704TreatmentNorthMobilePaid SearchBasic000000067.2</v>
      </c>
      <c r="S842" s="22" t="str">
        <f t="shared" si="41"/>
        <v>OK</v>
      </c>
    </row>
    <row r="843" spans="1:19" ht="41.4">
      <c r="A843" s="22" t="s">
        <v>874</v>
      </c>
      <c r="B843" s="25">
        <v>45709</v>
      </c>
      <c r="C843" s="22" t="s">
        <v>723</v>
      </c>
      <c r="D843" s="22" t="s">
        <v>32</v>
      </c>
      <c r="E843" s="22" t="s">
        <v>24</v>
      </c>
      <c r="F843" s="22" t="s">
        <v>25</v>
      </c>
      <c r="G843" s="22" t="s">
        <v>26</v>
      </c>
      <c r="H843" s="22">
        <v>1</v>
      </c>
      <c r="I843" s="22">
        <v>1</v>
      </c>
      <c r="J843" s="22">
        <v>1</v>
      </c>
      <c r="K843" s="22">
        <v>0</v>
      </c>
      <c r="L843" s="22">
        <v>0</v>
      </c>
      <c r="M843" s="22">
        <v>0</v>
      </c>
      <c r="N843" s="22">
        <v>0</v>
      </c>
      <c r="O843" s="22"/>
      <c r="P843" s="22">
        <v>62.3</v>
      </c>
      <c r="Q843" s="22" t="str">
        <f t="shared" si="39"/>
        <v>Normal</v>
      </c>
      <c r="R843" s="26" t="str">
        <f t="shared" si="40"/>
        <v>USR-10084245709TreatmentSouthMobileOrganicFree111000062.3</v>
      </c>
      <c r="S843" s="22" t="str">
        <f t="shared" si="41"/>
        <v>OK</v>
      </c>
    </row>
    <row r="844" spans="1:19" ht="41.4">
      <c r="A844" s="22" t="s">
        <v>875</v>
      </c>
      <c r="B844" s="25">
        <v>45696</v>
      </c>
      <c r="C844" s="22" t="s">
        <v>723</v>
      </c>
      <c r="D844" s="22" t="s">
        <v>32</v>
      </c>
      <c r="E844" s="22" t="s">
        <v>24</v>
      </c>
      <c r="F844" s="22" t="s">
        <v>25</v>
      </c>
      <c r="G844" s="22" t="s">
        <v>30</v>
      </c>
      <c r="H844" s="22">
        <v>1</v>
      </c>
      <c r="I844" s="22">
        <v>0</v>
      </c>
      <c r="J844" s="22">
        <v>0</v>
      </c>
      <c r="K844" s="22">
        <v>0</v>
      </c>
      <c r="L844" s="22">
        <v>0</v>
      </c>
      <c r="M844" s="22">
        <v>0</v>
      </c>
      <c r="N844" s="22">
        <v>0</v>
      </c>
      <c r="O844" s="22"/>
      <c r="P844" s="22"/>
      <c r="Q844" s="22" t="str">
        <f t="shared" si="39"/>
        <v>Normal</v>
      </c>
      <c r="R844" s="26" t="str">
        <f t="shared" si="40"/>
        <v>USR-10084345696TreatmentSouthMobileOrganicPremium1000000</v>
      </c>
      <c r="S844" s="22" t="str">
        <f t="shared" si="41"/>
        <v>OK</v>
      </c>
    </row>
    <row r="845" spans="1:19" ht="41.4">
      <c r="A845" s="22" t="s">
        <v>876</v>
      </c>
      <c r="B845" s="25">
        <v>45679</v>
      </c>
      <c r="C845" s="22" t="s">
        <v>723</v>
      </c>
      <c r="D845" s="22" t="s">
        <v>32</v>
      </c>
      <c r="E845" s="22" t="s">
        <v>24</v>
      </c>
      <c r="F845" s="22" t="s">
        <v>29</v>
      </c>
      <c r="G845" s="22" t="s">
        <v>30</v>
      </c>
      <c r="H845" s="22">
        <v>0</v>
      </c>
      <c r="I845" s="22">
        <v>0</v>
      </c>
      <c r="J845" s="22">
        <v>0</v>
      </c>
      <c r="K845" s="22">
        <v>0</v>
      </c>
      <c r="L845" s="22">
        <v>0</v>
      </c>
      <c r="M845" s="22">
        <v>0</v>
      </c>
      <c r="N845" s="22">
        <v>0</v>
      </c>
      <c r="O845" s="22"/>
      <c r="P845" s="22">
        <v>60.7</v>
      </c>
      <c r="Q845" s="22" t="str">
        <f t="shared" si="39"/>
        <v>Normal</v>
      </c>
      <c r="R845" s="26" t="str">
        <f t="shared" si="40"/>
        <v>USR-10084445679TreatmentSouthMobilePaid SearchPremium000000060.7</v>
      </c>
      <c r="S845" s="22" t="str">
        <f t="shared" si="41"/>
        <v>OK</v>
      </c>
    </row>
    <row r="846" spans="1:19" ht="41.4">
      <c r="A846" s="22" t="s">
        <v>877</v>
      </c>
      <c r="B846" s="25">
        <v>45748</v>
      </c>
      <c r="C846" s="22" t="s">
        <v>723</v>
      </c>
      <c r="D846" s="22" t="s">
        <v>23</v>
      </c>
      <c r="E846" s="22" t="s">
        <v>24</v>
      </c>
      <c r="F846" s="22" t="s">
        <v>25</v>
      </c>
      <c r="G846" s="22" t="s">
        <v>21</v>
      </c>
      <c r="H846" s="22">
        <v>1</v>
      </c>
      <c r="I846" s="22">
        <v>0</v>
      </c>
      <c r="J846" s="22">
        <v>0</v>
      </c>
      <c r="K846" s="22">
        <v>0</v>
      </c>
      <c r="L846" s="22">
        <v>0</v>
      </c>
      <c r="M846" s="22">
        <v>0</v>
      </c>
      <c r="N846" s="22">
        <v>0</v>
      </c>
      <c r="O846" s="22"/>
      <c r="P846" s="22">
        <v>61.5</v>
      </c>
      <c r="Q846" s="22" t="str">
        <f t="shared" si="39"/>
        <v>Normal</v>
      </c>
      <c r="R846" s="26" t="str">
        <f t="shared" si="40"/>
        <v>USR-10084545748TreatmentWestMobileOrganicBasic100000061.5</v>
      </c>
      <c r="S846" s="22" t="str">
        <f t="shared" si="41"/>
        <v>OK</v>
      </c>
    </row>
    <row r="847" spans="1:19" ht="41.4">
      <c r="A847" s="22" t="s">
        <v>878</v>
      </c>
      <c r="B847" s="25">
        <v>45678</v>
      </c>
      <c r="C847" s="22" t="s">
        <v>723</v>
      </c>
      <c r="D847" s="22" t="s">
        <v>18</v>
      </c>
      <c r="E847" s="22" t="s">
        <v>24</v>
      </c>
      <c r="F847" s="22" t="s">
        <v>29</v>
      </c>
      <c r="G847" s="22" t="s">
        <v>21</v>
      </c>
      <c r="H847" s="22">
        <v>1</v>
      </c>
      <c r="I847" s="22">
        <v>0</v>
      </c>
      <c r="J847" s="22">
        <v>0</v>
      </c>
      <c r="K847" s="22">
        <v>0</v>
      </c>
      <c r="L847" s="22">
        <v>0</v>
      </c>
      <c r="M847" s="22">
        <v>0</v>
      </c>
      <c r="N847" s="22">
        <v>0</v>
      </c>
      <c r="O847" s="22"/>
      <c r="P847" s="22">
        <v>75</v>
      </c>
      <c r="Q847" s="22" t="str">
        <f t="shared" si="39"/>
        <v>Normal</v>
      </c>
      <c r="R847" s="26" t="str">
        <f t="shared" si="40"/>
        <v>USR-10084645678TreatmentNorthMobilePaid SearchBasic100000075</v>
      </c>
      <c r="S847" s="22" t="str">
        <f t="shared" si="41"/>
        <v>OK</v>
      </c>
    </row>
    <row r="848" spans="1:19" ht="41.4">
      <c r="A848" s="22" t="s">
        <v>879</v>
      </c>
      <c r="B848" s="25">
        <v>45659</v>
      </c>
      <c r="C848" s="22" t="s">
        <v>723</v>
      </c>
      <c r="D848" s="22" t="s">
        <v>28</v>
      </c>
      <c r="E848" s="22" t="s">
        <v>19</v>
      </c>
      <c r="F848" s="22" t="s">
        <v>25</v>
      </c>
      <c r="G848" s="22" t="s">
        <v>26</v>
      </c>
      <c r="H848" s="22">
        <v>1</v>
      </c>
      <c r="I848" s="22">
        <v>1</v>
      </c>
      <c r="J848" s="22">
        <v>0</v>
      </c>
      <c r="K848" s="22">
        <v>0</v>
      </c>
      <c r="L848" s="22">
        <v>0</v>
      </c>
      <c r="M848" s="22">
        <v>0</v>
      </c>
      <c r="N848" s="22">
        <v>0</v>
      </c>
      <c r="O848" s="22"/>
      <c r="P848" s="22">
        <v>51.9</v>
      </c>
      <c r="Q848" s="22" t="str">
        <f t="shared" si="39"/>
        <v>Normal</v>
      </c>
      <c r="R848" s="26" t="str">
        <f t="shared" si="40"/>
        <v>USR-10084745659TreatmentEastDesktopOrganicFree110000051.9</v>
      </c>
      <c r="S848" s="22" t="str">
        <f t="shared" si="41"/>
        <v>OK</v>
      </c>
    </row>
    <row r="849" spans="1:19" ht="41.4">
      <c r="A849" s="22" t="s">
        <v>880</v>
      </c>
      <c r="B849" s="25">
        <v>45789</v>
      </c>
      <c r="C849" s="22" t="s">
        <v>723</v>
      </c>
      <c r="D849" s="22" t="s">
        <v>32</v>
      </c>
      <c r="E849" s="22" t="s">
        <v>19</v>
      </c>
      <c r="F849" s="22" t="s">
        <v>29</v>
      </c>
      <c r="G849" s="22" t="s">
        <v>26</v>
      </c>
      <c r="H849" s="22">
        <v>0</v>
      </c>
      <c r="I849" s="22">
        <v>0</v>
      </c>
      <c r="J849" s="22">
        <v>0</v>
      </c>
      <c r="K849" s="22">
        <v>0</v>
      </c>
      <c r="L849" s="22">
        <v>0</v>
      </c>
      <c r="M849" s="22">
        <v>0</v>
      </c>
      <c r="N849" s="22">
        <v>0</v>
      </c>
      <c r="O849" s="22"/>
      <c r="P849" s="22">
        <v>34.5</v>
      </c>
      <c r="Q849" s="22" t="str">
        <f t="shared" si="39"/>
        <v>Normal</v>
      </c>
      <c r="R849" s="26" t="str">
        <f t="shared" si="40"/>
        <v>USR-10084845789TreatmentSouthDesktopPaid SearchFree000000034.5</v>
      </c>
      <c r="S849" s="22" t="str">
        <f t="shared" si="41"/>
        <v>OK</v>
      </c>
    </row>
    <row r="850" spans="1:19" ht="41.4">
      <c r="A850" s="22" t="s">
        <v>881</v>
      </c>
      <c r="B850" s="25">
        <v>45721</v>
      </c>
      <c r="C850" s="22" t="s">
        <v>723</v>
      </c>
      <c r="D850" s="22" t="s">
        <v>32</v>
      </c>
      <c r="E850" s="22" t="s">
        <v>24</v>
      </c>
      <c r="F850" s="22" t="s">
        <v>41</v>
      </c>
      <c r="G850" s="22" t="s">
        <v>21</v>
      </c>
      <c r="H850" s="22">
        <v>0</v>
      </c>
      <c r="I850" s="22">
        <v>0</v>
      </c>
      <c r="J850" s="22">
        <v>0</v>
      </c>
      <c r="K850" s="22">
        <v>0</v>
      </c>
      <c r="L850" s="22">
        <v>0</v>
      </c>
      <c r="M850" s="22">
        <v>0</v>
      </c>
      <c r="N850" s="22">
        <v>0</v>
      </c>
      <c r="O850" s="22"/>
      <c r="P850" s="22">
        <v>54.5</v>
      </c>
      <c r="Q850" s="22" t="str">
        <f t="shared" si="39"/>
        <v>Normal</v>
      </c>
      <c r="R850" s="26" t="str">
        <f t="shared" si="40"/>
        <v>USR-10084945721TreatmentSouthMobileSocialBasic000000054.5</v>
      </c>
      <c r="S850" s="22" t="str">
        <f t="shared" si="41"/>
        <v>OK</v>
      </c>
    </row>
    <row r="851" spans="1:19" ht="41.4">
      <c r="A851" s="22" t="s">
        <v>882</v>
      </c>
      <c r="B851" s="25">
        <v>45681</v>
      </c>
      <c r="C851" s="22" t="s">
        <v>723</v>
      </c>
      <c r="D851" s="22" t="s">
        <v>28</v>
      </c>
      <c r="E851" s="22" t="s">
        <v>24</v>
      </c>
      <c r="F851" s="22" t="s">
        <v>25</v>
      </c>
      <c r="G851" s="22" t="s">
        <v>26</v>
      </c>
      <c r="H851" s="22">
        <v>0</v>
      </c>
      <c r="I851" s="22">
        <v>0</v>
      </c>
      <c r="J851" s="22">
        <v>0</v>
      </c>
      <c r="K851" s="22">
        <v>0</v>
      </c>
      <c r="L851" s="22">
        <v>0</v>
      </c>
      <c r="M851" s="22">
        <v>0</v>
      </c>
      <c r="N851" s="22">
        <v>0</v>
      </c>
      <c r="O851" s="22"/>
      <c r="P851" s="22">
        <v>46</v>
      </c>
      <c r="Q851" s="22" t="str">
        <f t="shared" si="39"/>
        <v>Normal</v>
      </c>
      <c r="R851" s="26" t="str">
        <f t="shared" si="40"/>
        <v>USR-10085045681TreatmentEastMobileOrganicFree000000046</v>
      </c>
      <c r="S851" s="22" t="str">
        <f t="shared" si="41"/>
        <v>OK</v>
      </c>
    </row>
    <row r="852" spans="1:19" ht="41.4">
      <c r="A852" s="22" t="s">
        <v>883</v>
      </c>
      <c r="B852" s="25">
        <v>45688</v>
      </c>
      <c r="C852" s="22" t="s">
        <v>723</v>
      </c>
      <c r="D852" s="22" t="s">
        <v>28</v>
      </c>
      <c r="E852" s="22" t="s">
        <v>19</v>
      </c>
      <c r="F852" s="22" t="s">
        <v>20</v>
      </c>
      <c r="G852" s="22" t="s">
        <v>26</v>
      </c>
      <c r="H852" s="22">
        <v>1</v>
      </c>
      <c r="I852" s="22">
        <v>1</v>
      </c>
      <c r="J852" s="22">
        <v>1</v>
      </c>
      <c r="K852" s="22">
        <v>0</v>
      </c>
      <c r="L852" s="22">
        <v>0</v>
      </c>
      <c r="M852" s="22">
        <v>0</v>
      </c>
      <c r="N852" s="22">
        <v>0</v>
      </c>
      <c r="O852" s="22"/>
      <c r="P852" s="22">
        <v>88.4</v>
      </c>
      <c r="Q852" s="22" t="str">
        <f t="shared" si="39"/>
        <v>Normal</v>
      </c>
      <c r="R852" s="26" t="str">
        <f t="shared" si="40"/>
        <v>USR-10085145688TreatmentEastDesktopEmailFree111000088.4</v>
      </c>
      <c r="S852" s="22" t="str">
        <f t="shared" si="41"/>
        <v>OK</v>
      </c>
    </row>
    <row r="853" spans="1:19" ht="41.4">
      <c r="A853" s="22" t="s">
        <v>884</v>
      </c>
      <c r="B853" s="25">
        <v>45681</v>
      </c>
      <c r="C853" s="22" t="s">
        <v>723</v>
      </c>
      <c r="D853" s="22" t="s">
        <v>18</v>
      </c>
      <c r="E853" s="22" t="s">
        <v>34</v>
      </c>
      <c r="F853" s="22" t="s">
        <v>25</v>
      </c>
      <c r="G853" s="22" t="s">
        <v>21</v>
      </c>
      <c r="H853" s="22">
        <v>1</v>
      </c>
      <c r="I853" s="22">
        <v>0</v>
      </c>
      <c r="J853" s="22">
        <v>0</v>
      </c>
      <c r="K853" s="22">
        <v>0</v>
      </c>
      <c r="L853" s="22">
        <v>0</v>
      </c>
      <c r="M853" s="22">
        <v>0</v>
      </c>
      <c r="N853" s="22">
        <v>0</v>
      </c>
      <c r="O853" s="22"/>
      <c r="P853" s="22">
        <v>69.5</v>
      </c>
      <c r="Q853" s="22" t="str">
        <f t="shared" si="39"/>
        <v>Normal</v>
      </c>
      <c r="R853" s="26" t="str">
        <f t="shared" si="40"/>
        <v>USR-10085245681TreatmentNorthTabletOrganicBasic100000069.5</v>
      </c>
      <c r="S853" s="22" t="str">
        <f t="shared" si="41"/>
        <v>OK</v>
      </c>
    </row>
    <row r="854" spans="1:19" ht="41.4">
      <c r="A854" s="22" t="s">
        <v>885</v>
      </c>
      <c r="B854" s="25">
        <v>45702</v>
      </c>
      <c r="C854" s="22" t="s">
        <v>723</v>
      </c>
      <c r="D854" s="22" t="s">
        <v>18</v>
      </c>
      <c r="E854" s="22" t="s">
        <v>19</v>
      </c>
      <c r="F854" s="22" t="s">
        <v>39</v>
      </c>
      <c r="G854" s="22" t="s">
        <v>21</v>
      </c>
      <c r="H854" s="22">
        <v>1</v>
      </c>
      <c r="I854" s="22">
        <v>1</v>
      </c>
      <c r="J854" s="22">
        <v>1</v>
      </c>
      <c r="K854" s="22">
        <v>0</v>
      </c>
      <c r="L854" s="22">
        <v>0</v>
      </c>
      <c r="M854" s="22">
        <v>0</v>
      </c>
      <c r="N854" s="22">
        <v>0</v>
      </c>
      <c r="O854" s="22"/>
      <c r="P854" s="22">
        <v>74.2</v>
      </c>
      <c r="Q854" s="22" t="str">
        <f t="shared" si="39"/>
        <v>Normal</v>
      </c>
      <c r="R854" s="26" t="str">
        <f t="shared" si="40"/>
        <v>USR-10085345702TreatmentNorthDesktopReferralBasic111000074.2</v>
      </c>
      <c r="S854" s="22" t="str">
        <f t="shared" si="41"/>
        <v>OK</v>
      </c>
    </row>
    <row r="855" spans="1:19" ht="41.4">
      <c r="A855" s="22" t="s">
        <v>886</v>
      </c>
      <c r="B855" s="25">
        <v>45804</v>
      </c>
      <c r="C855" s="22" t="s">
        <v>723</v>
      </c>
      <c r="D855" s="22" t="s">
        <v>18</v>
      </c>
      <c r="E855" s="22" t="s">
        <v>24</v>
      </c>
      <c r="F855" s="22" t="s">
        <v>25</v>
      </c>
      <c r="G855" s="22" t="s">
        <v>26</v>
      </c>
      <c r="H855" s="22">
        <v>1</v>
      </c>
      <c r="I855" s="22">
        <v>1</v>
      </c>
      <c r="J855" s="22">
        <v>1</v>
      </c>
      <c r="K855" s="22">
        <v>0</v>
      </c>
      <c r="L855" s="22">
        <v>0</v>
      </c>
      <c r="M855" s="22">
        <v>0</v>
      </c>
      <c r="N855" s="22">
        <v>0</v>
      </c>
      <c r="O855" s="22"/>
      <c r="P855" s="22">
        <v>72.099999999999994</v>
      </c>
      <c r="Q855" s="22" t="str">
        <f t="shared" si="39"/>
        <v>Normal</v>
      </c>
      <c r="R855" s="26" t="str">
        <f t="shared" si="40"/>
        <v>USR-10085445804TreatmentNorthMobileOrganicFree111000072.1</v>
      </c>
      <c r="S855" s="22" t="str">
        <f t="shared" si="41"/>
        <v>OK</v>
      </c>
    </row>
    <row r="856" spans="1:19" ht="55.2">
      <c r="A856" s="22" t="s">
        <v>887</v>
      </c>
      <c r="B856" s="25">
        <v>45716</v>
      </c>
      <c r="C856" s="22" t="s">
        <v>723</v>
      </c>
      <c r="D856" s="22" t="s">
        <v>18</v>
      </c>
      <c r="E856" s="22" t="s">
        <v>24</v>
      </c>
      <c r="F856" s="22" t="s">
        <v>29</v>
      </c>
      <c r="G856" s="22" t="s">
        <v>26</v>
      </c>
      <c r="H856" s="22">
        <v>1</v>
      </c>
      <c r="I856" s="22">
        <v>1</v>
      </c>
      <c r="J856" s="22">
        <v>1</v>
      </c>
      <c r="K856" s="22">
        <v>1</v>
      </c>
      <c r="L856" s="22">
        <v>398.33</v>
      </c>
      <c r="M856" s="22">
        <v>0</v>
      </c>
      <c r="N856" s="22">
        <v>0</v>
      </c>
      <c r="O856" s="22">
        <v>5</v>
      </c>
      <c r="P856" s="22">
        <v>85.1</v>
      </c>
      <c r="Q856" s="22" t="str">
        <f t="shared" si="39"/>
        <v>Normal</v>
      </c>
      <c r="R856" s="26" t="str">
        <f t="shared" si="40"/>
        <v>USR-10085545716TreatmentNorthMobilePaid SearchFree1111398.3300585.1</v>
      </c>
      <c r="S856" s="22" t="str">
        <f t="shared" si="41"/>
        <v>OK</v>
      </c>
    </row>
    <row r="857" spans="1:19" ht="41.4">
      <c r="A857" s="22" t="s">
        <v>888</v>
      </c>
      <c r="B857" s="25">
        <v>45804</v>
      </c>
      <c r="C857" s="22" t="s">
        <v>723</v>
      </c>
      <c r="D857" s="22" t="s">
        <v>18</v>
      </c>
      <c r="E857" s="22" t="s">
        <v>24</v>
      </c>
      <c r="F857" s="22" t="s">
        <v>25</v>
      </c>
      <c r="G857" s="22" t="s">
        <v>21</v>
      </c>
      <c r="H857" s="22">
        <v>1</v>
      </c>
      <c r="I857" s="22">
        <v>1</v>
      </c>
      <c r="J857" s="22">
        <v>1</v>
      </c>
      <c r="K857" s="22">
        <v>0</v>
      </c>
      <c r="L857" s="22">
        <v>0</v>
      </c>
      <c r="M857" s="22">
        <v>0</v>
      </c>
      <c r="N857" s="22">
        <v>0</v>
      </c>
      <c r="O857" s="22"/>
      <c r="P857" s="22">
        <v>49.5</v>
      </c>
      <c r="Q857" s="22" t="str">
        <f t="shared" si="39"/>
        <v>Normal</v>
      </c>
      <c r="R857" s="26" t="str">
        <f t="shared" si="40"/>
        <v>USR-10085645804TreatmentNorthMobileOrganicBasic111000049.5</v>
      </c>
      <c r="S857" s="22" t="str">
        <f t="shared" si="41"/>
        <v>OK</v>
      </c>
    </row>
    <row r="858" spans="1:19" ht="41.4">
      <c r="A858" s="22" t="s">
        <v>889</v>
      </c>
      <c r="B858" s="25">
        <v>45794</v>
      </c>
      <c r="C858" s="22" t="s">
        <v>723</v>
      </c>
      <c r="D858" s="22" t="s">
        <v>32</v>
      </c>
      <c r="E858" s="22" t="s">
        <v>24</v>
      </c>
      <c r="F858" s="22" t="s">
        <v>29</v>
      </c>
      <c r="G858" s="22" t="s">
        <v>30</v>
      </c>
      <c r="H858" s="22">
        <v>0</v>
      </c>
      <c r="I858" s="22">
        <v>0</v>
      </c>
      <c r="J858" s="22">
        <v>0</v>
      </c>
      <c r="K858" s="22">
        <v>0</v>
      </c>
      <c r="L858" s="22">
        <v>0</v>
      </c>
      <c r="M858" s="22">
        <v>1</v>
      </c>
      <c r="N858" s="22">
        <v>0</v>
      </c>
      <c r="O858" s="22"/>
      <c r="P858" s="22">
        <v>79</v>
      </c>
      <c r="Q858" s="22" t="str">
        <f t="shared" si="39"/>
        <v>Normal</v>
      </c>
      <c r="R858" s="26" t="str">
        <f t="shared" si="40"/>
        <v>USR-10085745794TreatmentSouthMobilePaid SearchPremium000001079</v>
      </c>
      <c r="S858" s="22" t="str">
        <f t="shared" si="41"/>
        <v>OK</v>
      </c>
    </row>
    <row r="859" spans="1:19" ht="41.4">
      <c r="A859" s="22" t="s">
        <v>890</v>
      </c>
      <c r="B859" s="25">
        <v>45667</v>
      </c>
      <c r="C859" s="22" t="s">
        <v>723</v>
      </c>
      <c r="D859" s="22" t="s">
        <v>23</v>
      </c>
      <c r="E859" s="22" t="s">
        <v>19</v>
      </c>
      <c r="F859" s="22" t="s">
        <v>41</v>
      </c>
      <c r="G859" s="22" t="s">
        <v>26</v>
      </c>
      <c r="H859" s="22">
        <v>0</v>
      </c>
      <c r="I859" s="22">
        <v>0</v>
      </c>
      <c r="J859" s="22">
        <v>0</v>
      </c>
      <c r="K859" s="22">
        <v>0</v>
      </c>
      <c r="L859" s="22">
        <v>0</v>
      </c>
      <c r="M859" s="22">
        <v>0</v>
      </c>
      <c r="N859" s="22">
        <v>0</v>
      </c>
      <c r="O859" s="22"/>
      <c r="P859" s="22">
        <v>71.8</v>
      </c>
      <c r="Q859" s="22" t="str">
        <f t="shared" si="39"/>
        <v>Normal</v>
      </c>
      <c r="R859" s="26" t="str">
        <f t="shared" si="40"/>
        <v>USR-10085845667TreatmentWestDesktopSocialFree000000071.8</v>
      </c>
      <c r="S859" s="22" t="str">
        <f t="shared" si="41"/>
        <v>OK</v>
      </c>
    </row>
    <row r="860" spans="1:19" ht="41.4">
      <c r="A860" s="22" t="s">
        <v>891</v>
      </c>
      <c r="B860" s="25">
        <v>45769</v>
      </c>
      <c r="C860" s="22" t="s">
        <v>723</v>
      </c>
      <c r="D860" s="22" t="s">
        <v>18</v>
      </c>
      <c r="E860" s="22" t="s">
        <v>24</v>
      </c>
      <c r="F860" s="22" t="s">
        <v>20</v>
      </c>
      <c r="G860" s="22" t="s">
        <v>21</v>
      </c>
      <c r="H860" s="22">
        <v>1</v>
      </c>
      <c r="I860" s="22">
        <v>1</v>
      </c>
      <c r="J860" s="22">
        <v>1</v>
      </c>
      <c r="K860" s="22">
        <v>1</v>
      </c>
      <c r="L860" s="22">
        <v>1117.54</v>
      </c>
      <c r="M860" s="22">
        <v>0</v>
      </c>
      <c r="N860" s="22">
        <v>0</v>
      </c>
      <c r="O860" s="22">
        <v>6</v>
      </c>
      <c r="P860" s="22">
        <v>60.4</v>
      </c>
      <c r="Q860" s="22" t="str">
        <f t="shared" si="39"/>
        <v>Normal</v>
      </c>
      <c r="R860" s="26" t="str">
        <f t="shared" si="40"/>
        <v>USR-10085945769TreatmentNorthMobileEmailBasic11111117.5400660.4</v>
      </c>
      <c r="S860" s="22" t="str">
        <f t="shared" si="41"/>
        <v>OK</v>
      </c>
    </row>
    <row r="861" spans="1:19" ht="41.4">
      <c r="A861" s="22" t="s">
        <v>892</v>
      </c>
      <c r="B861" s="25">
        <v>45718</v>
      </c>
      <c r="C861" s="22" t="s">
        <v>723</v>
      </c>
      <c r="D861" s="22" t="s">
        <v>32</v>
      </c>
      <c r="E861" s="22" t="s">
        <v>19</v>
      </c>
      <c r="F861" s="22" t="s">
        <v>25</v>
      </c>
      <c r="G861" s="22" t="s">
        <v>21</v>
      </c>
      <c r="H861" s="22">
        <v>1</v>
      </c>
      <c r="I861" s="22">
        <v>0</v>
      </c>
      <c r="J861" s="22">
        <v>0</v>
      </c>
      <c r="K861" s="22">
        <v>0</v>
      </c>
      <c r="L861" s="22">
        <v>0</v>
      </c>
      <c r="M861" s="22">
        <v>2</v>
      </c>
      <c r="N861" s="22">
        <v>0</v>
      </c>
      <c r="O861" s="22"/>
      <c r="P861" s="22">
        <v>38.299999999999997</v>
      </c>
      <c r="Q861" s="22" t="str">
        <f t="shared" si="39"/>
        <v>Normal</v>
      </c>
      <c r="R861" s="26" t="str">
        <f t="shared" si="40"/>
        <v>USR-10086045718TreatmentSouthDesktopOrganicBasic100002038.3</v>
      </c>
      <c r="S861" s="22" t="str">
        <f t="shared" si="41"/>
        <v>OK</v>
      </c>
    </row>
    <row r="862" spans="1:19" ht="41.4">
      <c r="A862" s="22" t="s">
        <v>893</v>
      </c>
      <c r="B862" s="25">
        <v>45739</v>
      </c>
      <c r="C862" s="22" t="s">
        <v>723</v>
      </c>
      <c r="D862" s="22" t="s">
        <v>28</v>
      </c>
      <c r="E862" s="22" t="s">
        <v>24</v>
      </c>
      <c r="F862" s="22" t="s">
        <v>29</v>
      </c>
      <c r="G862" s="22" t="s">
        <v>26</v>
      </c>
      <c r="H862" s="22">
        <v>1</v>
      </c>
      <c r="I862" s="22">
        <v>1</v>
      </c>
      <c r="J862" s="22">
        <v>1</v>
      </c>
      <c r="K862" s="22">
        <v>0</v>
      </c>
      <c r="L862" s="22">
        <v>0</v>
      </c>
      <c r="M862" s="22">
        <v>0</v>
      </c>
      <c r="N862" s="22">
        <v>0</v>
      </c>
      <c r="O862" s="22"/>
      <c r="P862" s="22">
        <v>79.599999999999994</v>
      </c>
      <c r="Q862" s="22" t="str">
        <f t="shared" si="39"/>
        <v>Normal</v>
      </c>
      <c r="R862" s="26" t="str">
        <f t="shared" si="40"/>
        <v>USR-10086145739TreatmentEastMobilePaid SearchFree111000079.6</v>
      </c>
      <c r="S862" s="22" t="str">
        <f t="shared" si="41"/>
        <v>OK</v>
      </c>
    </row>
    <row r="863" spans="1:19" ht="41.4">
      <c r="A863" s="22" t="s">
        <v>894</v>
      </c>
      <c r="B863" s="25">
        <v>45700</v>
      </c>
      <c r="C863" s="22" t="s">
        <v>723</v>
      </c>
      <c r="D863" s="22" t="s">
        <v>28</v>
      </c>
      <c r="E863" s="22" t="s">
        <v>24</v>
      </c>
      <c r="F863" s="22" t="s">
        <v>20</v>
      </c>
      <c r="G863" s="22" t="s">
        <v>26</v>
      </c>
      <c r="H863" s="22">
        <v>1</v>
      </c>
      <c r="I863" s="22">
        <v>1</v>
      </c>
      <c r="J863" s="22">
        <v>1</v>
      </c>
      <c r="K863" s="22">
        <v>0</v>
      </c>
      <c r="L863" s="22">
        <v>0</v>
      </c>
      <c r="M863" s="22">
        <v>0</v>
      </c>
      <c r="N863" s="22">
        <v>0</v>
      </c>
      <c r="O863" s="22"/>
      <c r="P863" s="22">
        <v>71.900000000000006</v>
      </c>
      <c r="Q863" s="22" t="str">
        <f t="shared" si="39"/>
        <v>Normal</v>
      </c>
      <c r="R863" s="26" t="str">
        <f t="shared" si="40"/>
        <v>USR-10086245700TreatmentEastMobileEmailFree111000071.9</v>
      </c>
      <c r="S863" s="22" t="str">
        <f t="shared" si="41"/>
        <v>OK</v>
      </c>
    </row>
    <row r="864" spans="1:19" ht="41.4">
      <c r="A864" s="22" t="s">
        <v>895</v>
      </c>
      <c r="B864" s="25">
        <v>45780</v>
      </c>
      <c r="C864" s="22" t="s">
        <v>723</v>
      </c>
      <c r="D864" s="22" t="s">
        <v>32</v>
      </c>
      <c r="E864" s="22" t="s">
        <v>24</v>
      </c>
      <c r="F864" s="22" t="s">
        <v>39</v>
      </c>
      <c r="G864" s="22" t="s">
        <v>21</v>
      </c>
      <c r="H864" s="22">
        <v>1</v>
      </c>
      <c r="I864" s="22">
        <v>0</v>
      </c>
      <c r="J864" s="22">
        <v>0</v>
      </c>
      <c r="K864" s="22">
        <v>0</v>
      </c>
      <c r="L864" s="22">
        <v>0</v>
      </c>
      <c r="M864" s="22">
        <v>0</v>
      </c>
      <c r="N864" s="22">
        <v>0</v>
      </c>
      <c r="O864" s="22"/>
      <c r="P864" s="22">
        <v>54.6</v>
      </c>
      <c r="Q864" s="22" t="str">
        <f t="shared" si="39"/>
        <v>Normal</v>
      </c>
      <c r="R864" s="26" t="str">
        <f t="shared" si="40"/>
        <v>USR-10086345780TreatmentSouthMobileReferralBasic100000054.6</v>
      </c>
      <c r="S864" s="22" t="str">
        <f t="shared" si="41"/>
        <v>OK</v>
      </c>
    </row>
    <row r="865" spans="1:19" ht="41.4">
      <c r="A865" s="22" t="s">
        <v>896</v>
      </c>
      <c r="B865" s="25">
        <v>45744</v>
      </c>
      <c r="C865" s="22" t="s">
        <v>723</v>
      </c>
      <c r="D865" s="22" t="s">
        <v>18</v>
      </c>
      <c r="E865" s="22" t="s">
        <v>19</v>
      </c>
      <c r="F865" s="22" t="s">
        <v>41</v>
      </c>
      <c r="G865" s="22" t="s">
        <v>26</v>
      </c>
      <c r="H865" s="22">
        <v>1</v>
      </c>
      <c r="I865" s="22">
        <v>0</v>
      </c>
      <c r="J865" s="22">
        <v>0</v>
      </c>
      <c r="K865" s="22">
        <v>0</v>
      </c>
      <c r="L865" s="22">
        <v>0</v>
      </c>
      <c r="M865" s="22">
        <v>3</v>
      </c>
      <c r="N865" s="22">
        <v>0</v>
      </c>
      <c r="O865" s="22"/>
      <c r="P865" s="22">
        <v>49.3</v>
      </c>
      <c r="Q865" s="22" t="str">
        <f t="shared" si="39"/>
        <v>Normal</v>
      </c>
      <c r="R865" s="26" t="str">
        <f t="shared" si="40"/>
        <v>USR-10086445744TreatmentNorthDesktopSocialFree100003049.3</v>
      </c>
      <c r="S865" s="22" t="str">
        <f t="shared" si="41"/>
        <v>OK</v>
      </c>
    </row>
    <row r="866" spans="1:19" ht="41.4">
      <c r="A866" s="22" t="s">
        <v>897</v>
      </c>
      <c r="B866" s="25">
        <v>45728</v>
      </c>
      <c r="C866" s="22" t="s">
        <v>723</v>
      </c>
      <c r="D866" s="22" t="s">
        <v>18</v>
      </c>
      <c r="E866" s="22" t="s">
        <v>24</v>
      </c>
      <c r="F866" s="22" t="s">
        <v>41</v>
      </c>
      <c r="G866" s="22" t="s">
        <v>21</v>
      </c>
      <c r="H866" s="22">
        <v>0</v>
      </c>
      <c r="I866" s="22">
        <v>0</v>
      </c>
      <c r="J866" s="22">
        <v>0</v>
      </c>
      <c r="K866" s="22">
        <v>0</v>
      </c>
      <c r="L866" s="22">
        <v>0</v>
      </c>
      <c r="M866" s="22">
        <v>1</v>
      </c>
      <c r="N866" s="22">
        <v>0</v>
      </c>
      <c r="O866" s="22"/>
      <c r="P866" s="22">
        <v>66.900000000000006</v>
      </c>
      <c r="Q866" s="22" t="str">
        <f t="shared" si="39"/>
        <v>Normal</v>
      </c>
      <c r="R866" s="26" t="str">
        <f t="shared" si="40"/>
        <v>USR-10086545728TreatmentNorthMobileSocialBasic000001066.9</v>
      </c>
      <c r="S866" s="22" t="str">
        <f t="shared" si="41"/>
        <v>OK</v>
      </c>
    </row>
    <row r="867" spans="1:19" ht="41.4">
      <c r="A867" s="22" t="s">
        <v>898</v>
      </c>
      <c r="B867" s="25">
        <v>45774</v>
      </c>
      <c r="C867" s="22" t="s">
        <v>723</v>
      </c>
      <c r="D867" s="22" t="s">
        <v>28</v>
      </c>
      <c r="E867" s="22" t="s">
        <v>24</v>
      </c>
      <c r="F867" s="22" t="s">
        <v>29</v>
      </c>
      <c r="G867" s="22" t="s">
        <v>26</v>
      </c>
      <c r="H867" s="22">
        <v>1</v>
      </c>
      <c r="I867" s="22">
        <v>0</v>
      </c>
      <c r="J867" s="22">
        <v>0</v>
      </c>
      <c r="K867" s="22">
        <v>0</v>
      </c>
      <c r="L867" s="22">
        <v>0</v>
      </c>
      <c r="M867" s="22">
        <v>1</v>
      </c>
      <c r="N867" s="22">
        <v>0</v>
      </c>
      <c r="O867" s="22"/>
      <c r="P867" s="22">
        <v>77.8</v>
      </c>
      <c r="Q867" s="22" t="str">
        <f t="shared" si="39"/>
        <v>Normal</v>
      </c>
      <c r="R867" s="26" t="str">
        <f t="shared" si="40"/>
        <v>USR-10086645774TreatmentEastMobilePaid SearchFree100001077.8</v>
      </c>
      <c r="S867" s="22" t="str">
        <f t="shared" si="41"/>
        <v>OK</v>
      </c>
    </row>
    <row r="868" spans="1:19" ht="41.4">
      <c r="A868" s="22" t="s">
        <v>899</v>
      </c>
      <c r="B868" s="25">
        <v>45749</v>
      </c>
      <c r="C868" s="22" t="s">
        <v>723</v>
      </c>
      <c r="D868" s="22" t="s">
        <v>32</v>
      </c>
      <c r="E868" s="22" t="s">
        <v>24</v>
      </c>
      <c r="F868" s="22" t="s">
        <v>39</v>
      </c>
      <c r="G868" s="22" t="s">
        <v>21</v>
      </c>
      <c r="H868" s="22">
        <v>1</v>
      </c>
      <c r="I868" s="22">
        <v>0</v>
      </c>
      <c r="J868" s="22">
        <v>0</v>
      </c>
      <c r="K868" s="22">
        <v>0</v>
      </c>
      <c r="L868" s="22">
        <v>0</v>
      </c>
      <c r="M868" s="22">
        <v>0</v>
      </c>
      <c r="N868" s="22">
        <v>0</v>
      </c>
      <c r="O868" s="22"/>
      <c r="P868" s="22">
        <v>63</v>
      </c>
      <c r="Q868" s="22" t="str">
        <f t="shared" si="39"/>
        <v>Normal</v>
      </c>
      <c r="R868" s="26" t="str">
        <f t="shared" si="40"/>
        <v>USR-10086745749TreatmentSouthMobileReferralBasic100000063</v>
      </c>
      <c r="S868" s="22" t="str">
        <f t="shared" si="41"/>
        <v>OK</v>
      </c>
    </row>
    <row r="869" spans="1:19" ht="41.4">
      <c r="A869" s="22" t="s">
        <v>900</v>
      </c>
      <c r="B869" s="25">
        <v>45768</v>
      </c>
      <c r="C869" s="22" t="s">
        <v>723</v>
      </c>
      <c r="D869" s="22" t="s">
        <v>18</v>
      </c>
      <c r="E869" s="22" t="s">
        <v>24</v>
      </c>
      <c r="F869" s="22" t="s">
        <v>41</v>
      </c>
      <c r="G869" s="22" t="s">
        <v>26</v>
      </c>
      <c r="H869" s="22">
        <v>0</v>
      </c>
      <c r="I869" s="22">
        <v>0</v>
      </c>
      <c r="J869" s="22">
        <v>0</v>
      </c>
      <c r="K869" s="22">
        <v>0</v>
      </c>
      <c r="L869" s="22">
        <v>0</v>
      </c>
      <c r="M869" s="22">
        <v>0</v>
      </c>
      <c r="N869" s="22">
        <v>0</v>
      </c>
      <c r="O869" s="22"/>
      <c r="P869" s="22">
        <v>79.8</v>
      </c>
      <c r="Q869" s="22" t="str">
        <f t="shared" si="39"/>
        <v>Normal</v>
      </c>
      <c r="R869" s="26" t="str">
        <f t="shared" si="40"/>
        <v>USR-10086845768TreatmentNorthMobileSocialFree000000079.8</v>
      </c>
      <c r="S869" s="22" t="str">
        <f t="shared" si="41"/>
        <v>OK</v>
      </c>
    </row>
    <row r="870" spans="1:19" ht="41.4">
      <c r="A870" s="22" t="s">
        <v>901</v>
      </c>
      <c r="B870" s="25">
        <v>45683</v>
      </c>
      <c r="C870" s="22" t="s">
        <v>723</v>
      </c>
      <c r="D870" s="22" t="s">
        <v>23</v>
      </c>
      <c r="E870" s="22" t="s">
        <v>19</v>
      </c>
      <c r="F870" s="22" t="s">
        <v>25</v>
      </c>
      <c r="G870" s="22" t="s">
        <v>21</v>
      </c>
      <c r="H870" s="22">
        <v>0</v>
      </c>
      <c r="I870" s="22">
        <v>0</v>
      </c>
      <c r="J870" s="22">
        <v>0</v>
      </c>
      <c r="K870" s="22">
        <v>0</v>
      </c>
      <c r="L870" s="22">
        <v>0</v>
      </c>
      <c r="M870" s="22">
        <v>0</v>
      </c>
      <c r="N870" s="22">
        <v>0</v>
      </c>
      <c r="O870" s="22"/>
      <c r="P870" s="22">
        <v>69.900000000000006</v>
      </c>
      <c r="Q870" s="22" t="str">
        <f t="shared" si="39"/>
        <v>Normal</v>
      </c>
      <c r="R870" s="26" t="str">
        <f t="shared" si="40"/>
        <v>USR-10086945683TreatmentWestDesktopOrganicBasic000000069.9</v>
      </c>
      <c r="S870" s="22" t="str">
        <f t="shared" si="41"/>
        <v>OK</v>
      </c>
    </row>
    <row r="871" spans="1:19" ht="41.4">
      <c r="A871" s="22" t="s">
        <v>902</v>
      </c>
      <c r="B871" s="25">
        <v>45663</v>
      </c>
      <c r="C871" s="22" t="s">
        <v>723</v>
      </c>
      <c r="D871" s="22" t="s">
        <v>23</v>
      </c>
      <c r="E871" s="22" t="s">
        <v>24</v>
      </c>
      <c r="F871" s="22" t="s">
        <v>25</v>
      </c>
      <c r="G871" s="22" t="s">
        <v>26</v>
      </c>
      <c r="H871" s="22">
        <v>0</v>
      </c>
      <c r="I871" s="22">
        <v>0</v>
      </c>
      <c r="J871" s="22">
        <v>0</v>
      </c>
      <c r="K871" s="22">
        <v>0</v>
      </c>
      <c r="L871" s="22">
        <v>0</v>
      </c>
      <c r="M871" s="22">
        <v>1</v>
      </c>
      <c r="N871" s="22">
        <v>0</v>
      </c>
      <c r="O871" s="22"/>
      <c r="P871" s="22">
        <v>66.400000000000006</v>
      </c>
      <c r="Q871" s="22" t="str">
        <f t="shared" si="39"/>
        <v>Normal</v>
      </c>
      <c r="R871" s="26" t="str">
        <f t="shared" si="40"/>
        <v>USR-10087045663TreatmentWestMobileOrganicFree000001066.4</v>
      </c>
      <c r="S871" s="22" t="str">
        <f t="shared" si="41"/>
        <v>OK</v>
      </c>
    </row>
    <row r="872" spans="1:19" ht="41.4">
      <c r="A872" s="22" t="s">
        <v>903</v>
      </c>
      <c r="B872" s="25">
        <v>45695</v>
      </c>
      <c r="C872" s="22" t="s">
        <v>723</v>
      </c>
      <c r="D872" s="22" t="s">
        <v>28</v>
      </c>
      <c r="E872" s="22" t="s">
        <v>24</v>
      </c>
      <c r="F872" s="22" t="s">
        <v>25</v>
      </c>
      <c r="G872" s="22" t="s">
        <v>26</v>
      </c>
      <c r="H872" s="22">
        <v>1</v>
      </c>
      <c r="I872" s="22">
        <v>0</v>
      </c>
      <c r="J872" s="22">
        <v>0</v>
      </c>
      <c r="K872" s="22">
        <v>0</v>
      </c>
      <c r="L872" s="22">
        <v>0</v>
      </c>
      <c r="M872" s="22">
        <v>0</v>
      </c>
      <c r="N872" s="22">
        <v>0</v>
      </c>
      <c r="O872" s="22"/>
      <c r="P872" s="22">
        <v>27.6</v>
      </c>
      <c r="Q872" s="22" t="str">
        <f t="shared" si="39"/>
        <v>Normal</v>
      </c>
      <c r="R872" s="26" t="str">
        <f t="shared" si="40"/>
        <v>USR-10087145695TreatmentEastMobileOrganicFree100000027.6</v>
      </c>
      <c r="S872" s="22" t="str">
        <f t="shared" si="41"/>
        <v>OK</v>
      </c>
    </row>
    <row r="873" spans="1:19" ht="41.4">
      <c r="A873" s="22" t="s">
        <v>904</v>
      </c>
      <c r="B873" s="25">
        <v>45784</v>
      </c>
      <c r="C873" s="22" t="s">
        <v>723</v>
      </c>
      <c r="D873" s="22" t="s">
        <v>23</v>
      </c>
      <c r="E873" s="22" t="s">
        <v>24</v>
      </c>
      <c r="F873" s="22" t="s">
        <v>25</v>
      </c>
      <c r="G873" s="22" t="s">
        <v>30</v>
      </c>
      <c r="H873" s="22">
        <v>1</v>
      </c>
      <c r="I873" s="22">
        <v>0</v>
      </c>
      <c r="J873" s="22">
        <v>0</v>
      </c>
      <c r="K873" s="22">
        <v>0</v>
      </c>
      <c r="L873" s="22">
        <v>0</v>
      </c>
      <c r="M873" s="22">
        <v>1</v>
      </c>
      <c r="N873" s="22">
        <v>0</v>
      </c>
      <c r="O873" s="22"/>
      <c r="P873" s="22">
        <v>56.5</v>
      </c>
      <c r="Q873" s="22" t="str">
        <f t="shared" si="39"/>
        <v>Normal</v>
      </c>
      <c r="R873" s="26" t="str">
        <f t="shared" si="40"/>
        <v>USR-10087245784TreatmentWestMobileOrganicPremium100001056.5</v>
      </c>
      <c r="S873" s="22" t="str">
        <f t="shared" si="41"/>
        <v>OK</v>
      </c>
    </row>
    <row r="874" spans="1:19" ht="41.4">
      <c r="A874" s="22" t="s">
        <v>905</v>
      </c>
      <c r="B874" s="25">
        <v>45769</v>
      </c>
      <c r="C874" s="22" t="s">
        <v>723</v>
      </c>
      <c r="D874" s="22" t="s">
        <v>23</v>
      </c>
      <c r="E874" s="22"/>
      <c r="F874" s="22" t="s">
        <v>41</v>
      </c>
      <c r="G874" s="22" t="s">
        <v>26</v>
      </c>
      <c r="H874" s="22">
        <v>1</v>
      </c>
      <c r="I874" s="22">
        <v>0</v>
      </c>
      <c r="J874" s="22">
        <v>0</v>
      </c>
      <c r="K874" s="22">
        <v>0</v>
      </c>
      <c r="L874" s="22">
        <v>0</v>
      </c>
      <c r="M874" s="22">
        <v>0</v>
      </c>
      <c r="N874" s="22">
        <v>0</v>
      </c>
      <c r="O874" s="22"/>
      <c r="P874" s="22">
        <v>67.8</v>
      </c>
      <c r="Q874" s="22" t="str">
        <f t="shared" si="39"/>
        <v>Normal</v>
      </c>
      <c r="R874" s="26" t="str">
        <f t="shared" si="40"/>
        <v>USR-10087345769TreatmentWestSocialFree100000067.8</v>
      </c>
      <c r="S874" s="22" t="str">
        <f t="shared" si="41"/>
        <v>OK</v>
      </c>
    </row>
    <row r="875" spans="1:19" ht="41.4">
      <c r="A875" s="22" t="s">
        <v>906</v>
      </c>
      <c r="B875" s="25">
        <v>45781</v>
      </c>
      <c r="C875" s="22" t="s">
        <v>723</v>
      </c>
      <c r="D875" s="22" t="s">
        <v>23</v>
      </c>
      <c r="E875" s="22" t="s">
        <v>19</v>
      </c>
      <c r="F875" s="22" t="s">
        <v>41</v>
      </c>
      <c r="G875" s="22" t="s">
        <v>26</v>
      </c>
      <c r="H875" s="22">
        <v>1</v>
      </c>
      <c r="I875" s="22">
        <v>0</v>
      </c>
      <c r="J875" s="22">
        <v>0</v>
      </c>
      <c r="K875" s="22">
        <v>0</v>
      </c>
      <c r="L875" s="22">
        <v>0</v>
      </c>
      <c r="M875" s="22">
        <v>0</v>
      </c>
      <c r="N875" s="22">
        <v>0</v>
      </c>
      <c r="O875" s="22"/>
      <c r="P875" s="22">
        <v>80</v>
      </c>
      <c r="Q875" s="22" t="str">
        <f t="shared" si="39"/>
        <v>Normal</v>
      </c>
      <c r="R875" s="26" t="str">
        <f t="shared" si="40"/>
        <v>USR-10087445781TreatmentWestDesktopSocialFree100000080</v>
      </c>
      <c r="S875" s="22" t="str">
        <f t="shared" si="41"/>
        <v>OK</v>
      </c>
    </row>
    <row r="876" spans="1:19" ht="41.4">
      <c r="A876" s="22" t="s">
        <v>907</v>
      </c>
      <c r="B876" s="25">
        <v>45793</v>
      </c>
      <c r="C876" s="22" t="s">
        <v>723</v>
      </c>
      <c r="D876" s="22" t="s">
        <v>32</v>
      </c>
      <c r="E876" s="22" t="s">
        <v>24</v>
      </c>
      <c r="F876" s="22" t="s">
        <v>41</v>
      </c>
      <c r="G876" s="22" t="s">
        <v>21</v>
      </c>
      <c r="H876" s="22">
        <v>1</v>
      </c>
      <c r="I876" s="22">
        <v>1</v>
      </c>
      <c r="J876" s="22">
        <v>1</v>
      </c>
      <c r="K876" s="22">
        <v>0</v>
      </c>
      <c r="L876" s="22">
        <v>0</v>
      </c>
      <c r="M876" s="22">
        <v>1</v>
      </c>
      <c r="N876" s="22">
        <v>0</v>
      </c>
      <c r="O876" s="22"/>
      <c r="P876" s="22">
        <v>80.900000000000006</v>
      </c>
      <c r="Q876" s="22" t="str">
        <f t="shared" si="39"/>
        <v>Normal</v>
      </c>
      <c r="R876" s="26" t="str">
        <f t="shared" si="40"/>
        <v>USR-10087545793TreatmentSouthMobileSocialBasic111001080.9</v>
      </c>
      <c r="S876" s="22" t="str">
        <f t="shared" si="41"/>
        <v>OK</v>
      </c>
    </row>
    <row r="877" spans="1:19" ht="41.4">
      <c r="A877" s="22" t="s">
        <v>908</v>
      </c>
      <c r="B877" s="25">
        <v>45699</v>
      </c>
      <c r="C877" s="22" t="s">
        <v>723</v>
      </c>
      <c r="D877" s="22" t="s">
        <v>23</v>
      </c>
      <c r="E877" s="22" t="s">
        <v>24</v>
      </c>
      <c r="F877" s="22" t="s">
        <v>29</v>
      </c>
      <c r="G877" s="22" t="s">
        <v>26</v>
      </c>
      <c r="H877" s="22">
        <v>0</v>
      </c>
      <c r="I877" s="22">
        <v>0</v>
      </c>
      <c r="J877" s="22">
        <v>0</v>
      </c>
      <c r="K877" s="22">
        <v>0</v>
      </c>
      <c r="L877" s="22">
        <v>0</v>
      </c>
      <c r="M877" s="22">
        <v>0</v>
      </c>
      <c r="N877" s="22">
        <v>0</v>
      </c>
      <c r="O877" s="22"/>
      <c r="P877" s="22">
        <v>34.5</v>
      </c>
      <c r="Q877" s="22" t="str">
        <f t="shared" si="39"/>
        <v>Normal</v>
      </c>
      <c r="R877" s="26" t="str">
        <f t="shared" si="40"/>
        <v>USR-10087645699TreatmentWestMobilePaid SearchFree000000034.5</v>
      </c>
      <c r="S877" s="22" t="str">
        <f t="shared" si="41"/>
        <v>OK</v>
      </c>
    </row>
    <row r="878" spans="1:19" ht="41.4">
      <c r="A878" s="22" t="s">
        <v>909</v>
      </c>
      <c r="B878" s="25">
        <v>45786</v>
      </c>
      <c r="C878" s="22" t="s">
        <v>723</v>
      </c>
      <c r="D878" s="22" t="s">
        <v>28</v>
      </c>
      <c r="E878" s="22" t="s">
        <v>19</v>
      </c>
      <c r="F878" s="22" t="s">
        <v>25</v>
      </c>
      <c r="G878" s="22" t="s">
        <v>30</v>
      </c>
      <c r="H878" s="22">
        <v>1</v>
      </c>
      <c r="I878" s="22">
        <v>0</v>
      </c>
      <c r="J878" s="22">
        <v>0</v>
      </c>
      <c r="K878" s="22">
        <v>0</v>
      </c>
      <c r="L878" s="22">
        <v>0</v>
      </c>
      <c r="M878" s="22">
        <v>0</v>
      </c>
      <c r="N878" s="22">
        <v>0</v>
      </c>
      <c r="O878" s="22"/>
      <c r="P878" s="22">
        <v>73.5</v>
      </c>
      <c r="Q878" s="22" t="str">
        <f t="shared" si="39"/>
        <v>Normal</v>
      </c>
      <c r="R878" s="26" t="str">
        <f t="shared" si="40"/>
        <v>USR-10087745786TreatmentEastDesktopOrganicPremium100000073.5</v>
      </c>
      <c r="S878" s="22" t="str">
        <f t="shared" si="41"/>
        <v>OK</v>
      </c>
    </row>
    <row r="879" spans="1:19" ht="41.4">
      <c r="A879" s="22" t="s">
        <v>910</v>
      </c>
      <c r="B879" s="25">
        <v>45697</v>
      </c>
      <c r="C879" s="22" t="s">
        <v>723</v>
      </c>
      <c r="D879" s="22" t="s">
        <v>32</v>
      </c>
      <c r="E879" s="22" t="s">
        <v>19</v>
      </c>
      <c r="F879" s="22" t="s">
        <v>29</v>
      </c>
      <c r="G879" s="22" t="s">
        <v>26</v>
      </c>
      <c r="H879" s="22">
        <v>1</v>
      </c>
      <c r="I879" s="22">
        <v>1</v>
      </c>
      <c r="J879" s="22">
        <v>0</v>
      </c>
      <c r="K879" s="22">
        <v>0</v>
      </c>
      <c r="L879" s="22">
        <v>0</v>
      </c>
      <c r="M879" s="22">
        <v>0</v>
      </c>
      <c r="N879" s="22">
        <v>0</v>
      </c>
      <c r="O879" s="22"/>
      <c r="P879" s="22">
        <v>70</v>
      </c>
      <c r="Q879" s="22" t="str">
        <f t="shared" si="39"/>
        <v>Normal</v>
      </c>
      <c r="R879" s="26" t="str">
        <f t="shared" si="40"/>
        <v>USR-10087845697TreatmentSouthDesktopPaid SearchFree110000070</v>
      </c>
      <c r="S879" s="22" t="str">
        <f t="shared" si="41"/>
        <v>OK</v>
      </c>
    </row>
    <row r="880" spans="1:19" ht="41.4">
      <c r="A880" s="22" t="s">
        <v>911</v>
      </c>
      <c r="B880" s="25">
        <v>45799</v>
      </c>
      <c r="C880" s="22" t="s">
        <v>723</v>
      </c>
      <c r="D880" s="22" t="s">
        <v>23</v>
      </c>
      <c r="E880" s="22" t="s">
        <v>24</v>
      </c>
      <c r="F880" s="22" t="s">
        <v>41</v>
      </c>
      <c r="G880" s="22" t="s">
        <v>21</v>
      </c>
      <c r="H880" s="22">
        <v>0</v>
      </c>
      <c r="I880" s="22">
        <v>0</v>
      </c>
      <c r="J880" s="22">
        <v>0</v>
      </c>
      <c r="K880" s="22">
        <v>0</v>
      </c>
      <c r="L880" s="22">
        <v>0</v>
      </c>
      <c r="M880" s="22">
        <v>0</v>
      </c>
      <c r="N880" s="22">
        <v>0</v>
      </c>
      <c r="O880" s="22"/>
      <c r="P880" s="22">
        <v>86.9</v>
      </c>
      <c r="Q880" s="22" t="str">
        <f t="shared" si="39"/>
        <v>Normal</v>
      </c>
      <c r="R880" s="26" t="str">
        <f t="shared" si="40"/>
        <v>USR-10087945799TreatmentWestMobileSocialBasic000000086.9</v>
      </c>
      <c r="S880" s="22" t="str">
        <f t="shared" si="41"/>
        <v>OK</v>
      </c>
    </row>
    <row r="881" spans="1:19" ht="41.4">
      <c r="A881" s="22" t="s">
        <v>912</v>
      </c>
      <c r="B881" s="25">
        <v>45801</v>
      </c>
      <c r="C881" s="22" t="s">
        <v>723</v>
      </c>
      <c r="D881" s="22" t="s">
        <v>28</v>
      </c>
      <c r="E881" s="22" t="s">
        <v>24</v>
      </c>
      <c r="F881" s="22" t="s">
        <v>41</v>
      </c>
      <c r="G881" s="22" t="s">
        <v>21</v>
      </c>
      <c r="H881" s="22">
        <v>0</v>
      </c>
      <c r="I881" s="22">
        <v>0</v>
      </c>
      <c r="J881" s="22">
        <v>0</v>
      </c>
      <c r="K881" s="22">
        <v>0</v>
      </c>
      <c r="L881" s="22">
        <v>0</v>
      </c>
      <c r="M881" s="22">
        <v>0</v>
      </c>
      <c r="N881" s="22">
        <v>0</v>
      </c>
      <c r="O881" s="22"/>
      <c r="P881" s="22">
        <v>66.900000000000006</v>
      </c>
      <c r="Q881" s="22" t="str">
        <f t="shared" si="39"/>
        <v>Normal</v>
      </c>
      <c r="R881" s="26" t="str">
        <f t="shared" si="40"/>
        <v>USR-10088045801TreatmentEastMobileSocialBasic000000066.9</v>
      </c>
      <c r="S881" s="22" t="str">
        <f t="shared" si="41"/>
        <v>OK</v>
      </c>
    </row>
    <row r="882" spans="1:19" ht="41.4">
      <c r="A882" s="22" t="s">
        <v>913</v>
      </c>
      <c r="B882" s="25">
        <v>45774</v>
      </c>
      <c r="C882" s="22" t="s">
        <v>723</v>
      </c>
      <c r="D882" s="22" t="s">
        <v>32</v>
      </c>
      <c r="E882" s="22" t="s">
        <v>19</v>
      </c>
      <c r="F882" s="22" t="s">
        <v>41</v>
      </c>
      <c r="G882" s="22" t="s">
        <v>21</v>
      </c>
      <c r="H882" s="22">
        <v>1</v>
      </c>
      <c r="I882" s="22">
        <v>1</v>
      </c>
      <c r="J882" s="22">
        <v>1</v>
      </c>
      <c r="K882" s="22">
        <v>0</v>
      </c>
      <c r="L882" s="22">
        <v>0</v>
      </c>
      <c r="M882" s="22">
        <v>0</v>
      </c>
      <c r="N882" s="22">
        <v>0</v>
      </c>
      <c r="O882" s="22"/>
      <c r="P882" s="22">
        <v>58.3</v>
      </c>
      <c r="Q882" s="22" t="str">
        <f t="shared" si="39"/>
        <v>Normal</v>
      </c>
      <c r="R882" s="26" t="str">
        <f t="shared" si="40"/>
        <v>USR-10088145774TreatmentSouthDesktopSocialBasic111000058.3</v>
      </c>
      <c r="S882" s="22" t="str">
        <f t="shared" si="41"/>
        <v>OK</v>
      </c>
    </row>
    <row r="883" spans="1:19" ht="41.4">
      <c r="A883" s="22" t="s">
        <v>914</v>
      </c>
      <c r="B883" s="25">
        <v>45735</v>
      </c>
      <c r="C883" s="22" t="s">
        <v>723</v>
      </c>
      <c r="D883" s="22" t="s">
        <v>28</v>
      </c>
      <c r="E883" s="22" t="s">
        <v>24</v>
      </c>
      <c r="F883" s="22" t="s">
        <v>29</v>
      </c>
      <c r="G883" s="22" t="s">
        <v>26</v>
      </c>
      <c r="H883" s="22">
        <v>1</v>
      </c>
      <c r="I883" s="22">
        <v>0</v>
      </c>
      <c r="J883" s="22">
        <v>0</v>
      </c>
      <c r="K883" s="22">
        <v>0</v>
      </c>
      <c r="L883" s="22">
        <v>0</v>
      </c>
      <c r="M883" s="22">
        <v>0</v>
      </c>
      <c r="N883" s="22">
        <v>0</v>
      </c>
      <c r="O883" s="22"/>
      <c r="P883" s="22">
        <v>45</v>
      </c>
      <c r="Q883" s="22" t="str">
        <f t="shared" si="39"/>
        <v>Normal</v>
      </c>
      <c r="R883" s="26" t="str">
        <f t="shared" si="40"/>
        <v>USR-10088245735TreatmentEastMobilePaid SearchFree100000045</v>
      </c>
      <c r="S883" s="22" t="str">
        <f t="shared" si="41"/>
        <v>OK</v>
      </c>
    </row>
    <row r="884" spans="1:19" ht="41.4">
      <c r="A884" s="22" t="s">
        <v>915</v>
      </c>
      <c r="B884" s="25">
        <v>45797</v>
      </c>
      <c r="C884" s="22" t="s">
        <v>723</v>
      </c>
      <c r="D884" s="22" t="s">
        <v>32</v>
      </c>
      <c r="E884" s="22" t="s">
        <v>24</v>
      </c>
      <c r="F884" s="22" t="s">
        <v>25</v>
      </c>
      <c r="G884" s="22" t="s">
        <v>30</v>
      </c>
      <c r="H884" s="22">
        <v>0</v>
      </c>
      <c r="I884" s="22">
        <v>0</v>
      </c>
      <c r="J884" s="22">
        <v>0</v>
      </c>
      <c r="K884" s="22">
        <v>0</v>
      </c>
      <c r="L884" s="22">
        <v>0</v>
      </c>
      <c r="M884" s="22">
        <v>0</v>
      </c>
      <c r="N884" s="22">
        <v>0</v>
      </c>
      <c r="O884" s="22"/>
      <c r="P884" s="22">
        <v>60.8</v>
      </c>
      <c r="Q884" s="22" t="str">
        <f t="shared" si="39"/>
        <v>Normal</v>
      </c>
      <c r="R884" s="26" t="str">
        <f t="shared" si="40"/>
        <v>USR-10088345797TreatmentSouthMobileOrganicPremium000000060.8</v>
      </c>
      <c r="S884" s="22" t="str">
        <f t="shared" si="41"/>
        <v>OK</v>
      </c>
    </row>
    <row r="885" spans="1:19" ht="41.4">
      <c r="A885" s="22" t="s">
        <v>916</v>
      </c>
      <c r="B885" s="25">
        <v>45787</v>
      </c>
      <c r="C885" s="22" t="s">
        <v>723</v>
      </c>
      <c r="D885" s="22" t="s">
        <v>18</v>
      </c>
      <c r="E885" s="22" t="s">
        <v>24</v>
      </c>
      <c r="F885" s="22" t="s">
        <v>20</v>
      </c>
      <c r="G885" s="22" t="s">
        <v>30</v>
      </c>
      <c r="H885" s="22">
        <v>1</v>
      </c>
      <c r="I885" s="22">
        <v>0</v>
      </c>
      <c r="J885" s="22">
        <v>0</v>
      </c>
      <c r="K885" s="22">
        <v>0</v>
      </c>
      <c r="L885" s="22">
        <v>0</v>
      </c>
      <c r="M885" s="22">
        <v>4</v>
      </c>
      <c r="N885" s="22">
        <v>0</v>
      </c>
      <c r="O885" s="22"/>
      <c r="P885" s="22">
        <v>53.7</v>
      </c>
      <c r="Q885" s="22" t="str">
        <f t="shared" si="39"/>
        <v>Normal</v>
      </c>
      <c r="R885" s="26" t="str">
        <f t="shared" si="40"/>
        <v>USR-10088445787TreatmentNorthMobileEmailPremium100004053.7</v>
      </c>
      <c r="S885" s="22" t="str">
        <f t="shared" si="41"/>
        <v>OK</v>
      </c>
    </row>
    <row r="886" spans="1:19" ht="41.4">
      <c r="A886" s="22" t="s">
        <v>917</v>
      </c>
      <c r="B886" s="25">
        <v>45745</v>
      </c>
      <c r="C886" s="22" t="s">
        <v>723</v>
      </c>
      <c r="D886" s="22" t="s">
        <v>28</v>
      </c>
      <c r="E886" s="22" t="s">
        <v>24</v>
      </c>
      <c r="F886" s="22" t="s">
        <v>41</v>
      </c>
      <c r="G886" s="22" t="s">
        <v>26</v>
      </c>
      <c r="H886" s="22">
        <v>1</v>
      </c>
      <c r="I886" s="22">
        <v>1</v>
      </c>
      <c r="J886" s="22">
        <v>1</v>
      </c>
      <c r="K886" s="22">
        <v>0</v>
      </c>
      <c r="L886" s="22">
        <v>0</v>
      </c>
      <c r="M886" s="22">
        <v>0</v>
      </c>
      <c r="N886" s="22">
        <v>0</v>
      </c>
      <c r="O886" s="22"/>
      <c r="P886" s="22">
        <v>48.8</v>
      </c>
      <c r="Q886" s="22" t="str">
        <f t="shared" si="39"/>
        <v>Normal</v>
      </c>
      <c r="R886" s="26" t="str">
        <f t="shared" si="40"/>
        <v>USR-10088545745TreatmentEastMobileSocialFree111000048.8</v>
      </c>
      <c r="S886" s="22" t="str">
        <f t="shared" si="41"/>
        <v>OK</v>
      </c>
    </row>
    <row r="887" spans="1:19" ht="41.4">
      <c r="A887" s="22" t="s">
        <v>918</v>
      </c>
      <c r="B887" s="25">
        <v>45750</v>
      </c>
      <c r="C887" s="22" t="s">
        <v>723</v>
      </c>
      <c r="D887" s="22" t="s">
        <v>23</v>
      </c>
      <c r="E887" s="22" t="s">
        <v>19</v>
      </c>
      <c r="F887" s="22" t="s">
        <v>39</v>
      </c>
      <c r="G887" s="22" t="s">
        <v>21</v>
      </c>
      <c r="H887" s="22">
        <v>0</v>
      </c>
      <c r="I887" s="22">
        <v>0</v>
      </c>
      <c r="J887" s="22">
        <v>0</v>
      </c>
      <c r="K887" s="22">
        <v>0</v>
      </c>
      <c r="L887" s="22">
        <v>0</v>
      </c>
      <c r="M887" s="22">
        <v>0</v>
      </c>
      <c r="N887" s="22">
        <v>0</v>
      </c>
      <c r="O887" s="22"/>
      <c r="P887" s="22">
        <v>52.9</v>
      </c>
      <c r="Q887" s="22" t="str">
        <f t="shared" si="39"/>
        <v>Normal</v>
      </c>
      <c r="R887" s="26" t="str">
        <f t="shared" si="40"/>
        <v>USR-10088645750TreatmentWestDesktopReferralBasic000000052.9</v>
      </c>
      <c r="S887" s="22" t="str">
        <f t="shared" si="41"/>
        <v>OK</v>
      </c>
    </row>
    <row r="888" spans="1:19" ht="41.4">
      <c r="A888" s="22" t="s">
        <v>919</v>
      </c>
      <c r="B888" s="25">
        <v>45807</v>
      </c>
      <c r="C888" s="22" t="s">
        <v>723</v>
      </c>
      <c r="D888" s="22" t="s">
        <v>32</v>
      </c>
      <c r="E888" s="22" t="s">
        <v>24</v>
      </c>
      <c r="F888" s="22" t="s">
        <v>20</v>
      </c>
      <c r="G888" s="22" t="s">
        <v>26</v>
      </c>
      <c r="H888" s="22">
        <v>1</v>
      </c>
      <c r="I888" s="22">
        <v>0</v>
      </c>
      <c r="J888" s="22">
        <v>0</v>
      </c>
      <c r="K888" s="22">
        <v>0</v>
      </c>
      <c r="L888" s="22">
        <v>0</v>
      </c>
      <c r="M888" s="22">
        <v>0</v>
      </c>
      <c r="N888" s="22">
        <v>0</v>
      </c>
      <c r="O888" s="22"/>
      <c r="P888" s="22">
        <v>42.4</v>
      </c>
      <c r="Q888" s="22" t="str">
        <f t="shared" si="39"/>
        <v>Normal</v>
      </c>
      <c r="R888" s="26" t="str">
        <f t="shared" si="40"/>
        <v>USR-10088745807TreatmentSouthMobileEmailFree100000042.4</v>
      </c>
      <c r="S888" s="22" t="str">
        <f t="shared" si="41"/>
        <v>OK</v>
      </c>
    </row>
    <row r="889" spans="1:19" ht="41.4">
      <c r="A889" s="22" t="s">
        <v>920</v>
      </c>
      <c r="B889" s="25">
        <v>45753</v>
      </c>
      <c r="C889" s="22" t="s">
        <v>723</v>
      </c>
      <c r="D889" s="22" t="s">
        <v>28</v>
      </c>
      <c r="E889" s="22" t="s">
        <v>19</v>
      </c>
      <c r="F889" s="22" t="s">
        <v>20</v>
      </c>
      <c r="G889" s="22" t="s">
        <v>26</v>
      </c>
      <c r="H889" s="22">
        <v>1</v>
      </c>
      <c r="I889" s="22">
        <v>0</v>
      </c>
      <c r="J889" s="22">
        <v>0</v>
      </c>
      <c r="K889" s="22">
        <v>0</v>
      </c>
      <c r="L889" s="22">
        <v>0</v>
      </c>
      <c r="M889" s="22">
        <v>0</v>
      </c>
      <c r="N889" s="22">
        <v>0</v>
      </c>
      <c r="O889" s="22"/>
      <c r="P889" s="22">
        <v>58.7</v>
      </c>
      <c r="Q889" s="22" t="str">
        <f t="shared" si="39"/>
        <v>Normal</v>
      </c>
      <c r="R889" s="26" t="str">
        <f t="shared" si="40"/>
        <v>USR-10088845753TreatmentEastDesktopEmailFree100000058.7</v>
      </c>
      <c r="S889" s="22" t="str">
        <f t="shared" si="41"/>
        <v>OK</v>
      </c>
    </row>
    <row r="890" spans="1:19" ht="41.4">
      <c r="A890" s="22" t="s">
        <v>921</v>
      </c>
      <c r="B890" s="25">
        <v>45730</v>
      </c>
      <c r="C890" s="22" t="s">
        <v>723</v>
      </c>
      <c r="D890" s="22" t="s">
        <v>18</v>
      </c>
      <c r="E890" s="22" t="s">
        <v>24</v>
      </c>
      <c r="F890" s="22" t="s">
        <v>39</v>
      </c>
      <c r="G890" s="22" t="s">
        <v>26</v>
      </c>
      <c r="H890" s="22">
        <v>1</v>
      </c>
      <c r="I890" s="22">
        <v>1</v>
      </c>
      <c r="J890" s="22">
        <v>1</v>
      </c>
      <c r="K890" s="22">
        <v>1</v>
      </c>
      <c r="L890" s="22">
        <v>2064.5500000000002</v>
      </c>
      <c r="M890" s="22">
        <v>0</v>
      </c>
      <c r="N890" s="22">
        <v>0</v>
      </c>
      <c r="O890" s="22">
        <v>1</v>
      </c>
      <c r="P890" s="22">
        <v>67.8</v>
      </c>
      <c r="Q890" s="22" t="str">
        <f t="shared" si="39"/>
        <v>Normal</v>
      </c>
      <c r="R890" s="26" t="str">
        <f t="shared" si="40"/>
        <v>USR-10088945730TreatmentNorthMobileReferralFree11112064.5500167.8</v>
      </c>
      <c r="S890" s="22" t="str">
        <f t="shared" si="41"/>
        <v>OK</v>
      </c>
    </row>
    <row r="891" spans="1:19" ht="41.4">
      <c r="A891" s="22" t="s">
        <v>922</v>
      </c>
      <c r="B891" s="25">
        <v>45712</v>
      </c>
      <c r="C891" s="22" t="s">
        <v>723</v>
      </c>
      <c r="D891" s="22" t="s">
        <v>32</v>
      </c>
      <c r="E891" s="22" t="s">
        <v>19</v>
      </c>
      <c r="F891" s="22" t="s">
        <v>29</v>
      </c>
      <c r="G891" s="22" t="s">
        <v>21</v>
      </c>
      <c r="H891" s="22">
        <v>1</v>
      </c>
      <c r="I891" s="22">
        <v>0</v>
      </c>
      <c r="J891" s="22">
        <v>0</v>
      </c>
      <c r="K891" s="22">
        <v>0</v>
      </c>
      <c r="L891" s="22">
        <v>0</v>
      </c>
      <c r="M891" s="22">
        <v>0</v>
      </c>
      <c r="N891" s="22">
        <v>0</v>
      </c>
      <c r="O891" s="22"/>
      <c r="P891" s="22">
        <v>62.6</v>
      </c>
      <c r="Q891" s="22" t="str">
        <f t="shared" si="39"/>
        <v>Normal</v>
      </c>
      <c r="R891" s="26" t="str">
        <f t="shared" si="40"/>
        <v>USR-10089045712TreatmentSouthDesktopPaid SearchBasic100000062.6</v>
      </c>
      <c r="S891" s="22" t="str">
        <f t="shared" si="41"/>
        <v>OK</v>
      </c>
    </row>
    <row r="892" spans="1:19" ht="41.4">
      <c r="A892" s="22" t="s">
        <v>923</v>
      </c>
      <c r="B892" s="25">
        <v>45720</v>
      </c>
      <c r="C892" s="22" t="s">
        <v>723</v>
      </c>
      <c r="D892" s="22" t="s">
        <v>23</v>
      </c>
      <c r="E892" s="22" t="s">
        <v>24</v>
      </c>
      <c r="F892" s="22" t="s">
        <v>20</v>
      </c>
      <c r="G892" s="22" t="s">
        <v>21</v>
      </c>
      <c r="H892" s="22">
        <v>1</v>
      </c>
      <c r="I892" s="22">
        <v>0</v>
      </c>
      <c r="J892" s="22">
        <v>0</v>
      </c>
      <c r="K892" s="22">
        <v>0</v>
      </c>
      <c r="L892" s="22">
        <v>0</v>
      </c>
      <c r="M892" s="22">
        <v>0</v>
      </c>
      <c r="N892" s="22">
        <v>0</v>
      </c>
      <c r="O892" s="22"/>
      <c r="P892" s="22">
        <v>82.4</v>
      </c>
      <c r="Q892" s="22" t="str">
        <f t="shared" si="39"/>
        <v>Normal</v>
      </c>
      <c r="R892" s="26" t="str">
        <f t="shared" si="40"/>
        <v>USR-10089145720TreatmentWestMobileEmailBasic100000082.4</v>
      </c>
      <c r="S892" s="22" t="str">
        <f t="shared" si="41"/>
        <v>OK</v>
      </c>
    </row>
    <row r="893" spans="1:19" ht="41.4">
      <c r="A893" s="22" t="s">
        <v>924</v>
      </c>
      <c r="B893" s="25">
        <v>45749</v>
      </c>
      <c r="C893" s="22" t="s">
        <v>723</v>
      </c>
      <c r="D893" s="22" t="s">
        <v>18</v>
      </c>
      <c r="E893" s="22" t="s">
        <v>24</v>
      </c>
      <c r="F893" s="22" t="s">
        <v>25</v>
      </c>
      <c r="G893" s="22" t="s">
        <v>26</v>
      </c>
      <c r="H893" s="22">
        <v>1</v>
      </c>
      <c r="I893" s="22">
        <v>1</v>
      </c>
      <c r="J893" s="22">
        <v>1</v>
      </c>
      <c r="K893" s="22">
        <v>0</v>
      </c>
      <c r="L893" s="22">
        <v>0</v>
      </c>
      <c r="M893" s="22">
        <v>0</v>
      </c>
      <c r="N893" s="22">
        <v>0</v>
      </c>
      <c r="O893" s="22"/>
      <c r="P893" s="22">
        <v>50.4</v>
      </c>
      <c r="Q893" s="22" t="str">
        <f t="shared" si="39"/>
        <v>Normal</v>
      </c>
      <c r="R893" s="26" t="str">
        <f t="shared" si="40"/>
        <v>USR-10089245749TreatmentNorthMobileOrganicFree111000050.4</v>
      </c>
      <c r="S893" s="22" t="str">
        <f t="shared" si="41"/>
        <v>OK</v>
      </c>
    </row>
    <row r="894" spans="1:19" ht="41.4">
      <c r="A894" s="22" t="s">
        <v>925</v>
      </c>
      <c r="B894" s="25">
        <v>45788</v>
      </c>
      <c r="C894" s="22" t="s">
        <v>723</v>
      </c>
      <c r="D894" s="22" t="s">
        <v>18</v>
      </c>
      <c r="E894" s="22" t="s">
        <v>24</v>
      </c>
      <c r="F894" s="22" t="s">
        <v>20</v>
      </c>
      <c r="G894" s="22" t="s">
        <v>30</v>
      </c>
      <c r="H894" s="22">
        <v>0</v>
      </c>
      <c r="I894" s="22">
        <v>0</v>
      </c>
      <c r="J894" s="22">
        <v>0</v>
      </c>
      <c r="K894" s="22">
        <v>0</v>
      </c>
      <c r="L894" s="22">
        <v>0</v>
      </c>
      <c r="M894" s="22">
        <v>0</v>
      </c>
      <c r="N894" s="22">
        <v>0</v>
      </c>
      <c r="O894" s="22"/>
      <c r="P894" s="22">
        <v>68.400000000000006</v>
      </c>
      <c r="Q894" s="22" t="str">
        <f t="shared" si="39"/>
        <v>Normal</v>
      </c>
      <c r="R894" s="26" t="str">
        <f t="shared" si="40"/>
        <v>USR-10089345788TreatmentNorthMobileEmailPremium000000068.4</v>
      </c>
      <c r="S894" s="22" t="str">
        <f t="shared" si="41"/>
        <v>OK</v>
      </c>
    </row>
    <row r="895" spans="1:19" ht="41.4">
      <c r="A895" s="22" t="s">
        <v>926</v>
      </c>
      <c r="B895" s="25">
        <v>45787</v>
      </c>
      <c r="C895" s="22" t="s">
        <v>723</v>
      </c>
      <c r="D895" s="22" t="s">
        <v>23</v>
      </c>
      <c r="E895" s="22" t="s">
        <v>34</v>
      </c>
      <c r="F895" s="22" t="s">
        <v>29</v>
      </c>
      <c r="G895" s="22" t="s">
        <v>21</v>
      </c>
      <c r="H895" s="22">
        <v>1</v>
      </c>
      <c r="I895" s="22">
        <v>1</v>
      </c>
      <c r="J895" s="22">
        <v>1</v>
      </c>
      <c r="K895" s="22">
        <v>0</v>
      </c>
      <c r="L895" s="22">
        <v>0</v>
      </c>
      <c r="M895" s="22">
        <v>0</v>
      </c>
      <c r="N895" s="22">
        <v>0</v>
      </c>
      <c r="O895" s="22"/>
      <c r="P895" s="22">
        <v>58.8</v>
      </c>
      <c r="Q895" s="22" t="str">
        <f t="shared" si="39"/>
        <v>Normal</v>
      </c>
      <c r="R895" s="26" t="str">
        <f t="shared" si="40"/>
        <v>USR-10089445787TreatmentWestTabletPaid SearchBasic111000058.8</v>
      </c>
      <c r="S895" s="22" t="str">
        <f t="shared" si="41"/>
        <v>OK</v>
      </c>
    </row>
    <row r="896" spans="1:19" ht="41.4">
      <c r="A896" s="22" t="s">
        <v>927</v>
      </c>
      <c r="B896" s="25">
        <v>45783</v>
      </c>
      <c r="C896" s="22" t="s">
        <v>723</v>
      </c>
      <c r="D896" s="22" t="s">
        <v>23</v>
      </c>
      <c r="E896" s="22" t="s">
        <v>24</v>
      </c>
      <c r="F896" s="22" t="s">
        <v>39</v>
      </c>
      <c r="G896" s="22" t="s">
        <v>26</v>
      </c>
      <c r="H896" s="22">
        <v>1</v>
      </c>
      <c r="I896" s="22">
        <v>1</v>
      </c>
      <c r="J896" s="22">
        <v>0</v>
      </c>
      <c r="K896" s="22">
        <v>0</v>
      </c>
      <c r="L896" s="22">
        <v>0</v>
      </c>
      <c r="M896" s="22">
        <v>2</v>
      </c>
      <c r="N896" s="22">
        <v>0</v>
      </c>
      <c r="O896" s="22"/>
      <c r="P896" s="22">
        <v>28.3</v>
      </c>
      <c r="Q896" s="22" t="str">
        <f t="shared" si="39"/>
        <v>Normal</v>
      </c>
      <c r="R896" s="26" t="str">
        <f t="shared" si="40"/>
        <v>USR-10089545783TreatmentWestMobileReferralFree110002028.3</v>
      </c>
      <c r="S896" s="22" t="str">
        <f t="shared" si="41"/>
        <v>OK</v>
      </c>
    </row>
    <row r="897" spans="1:19" ht="41.4">
      <c r="A897" s="22" t="s">
        <v>928</v>
      </c>
      <c r="B897" s="25">
        <v>45699</v>
      </c>
      <c r="C897" s="22" t="s">
        <v>723</v>
      </c>
      <c r="D897" s="22" t="s">
        <v>23</v>
      </c>
      <c r="E897" s="22" t="s">
        <v>19</v>
      </c>
      <c r="F897" s="22" t="s">
        <v>29</v>
      </c>
      <c r="G897" s="22" t="s">
        <v>26</v>
      </c>
      <c r="H897" s="22">
        <v>1</v>
      </c>
      <c r="I897" s="22">
        <v>1</v>
      </c>
      <c r="J897" s="22">
        <v>0</v>
      </c>
      <c r="K897" s="22">
        <v>0</v>
      </c>
      <c r="L897" s="22">
        <v>0</v>
      </c>
      <c r="M897" s="22">
        <v>0</v>
      </c>
      <c r="N897" s="22">
        <v>0</v>
      </c>
      <c r="O897" s="22"/>
      <c r="P897" s="22">
        <v>44.1</v>
      </c>
      <c r="Q897" s="22" t="str">
        <f t="shared" si="39"/>
        <v>Normal</v>
      </c>
      <c r="R897" s="26" t="str">
        <f t="shared" si="40"/>
        <v>USR-10089645699TreatmentWestDesktopPaid SearchFree110000044.1</v>
      </c>
      <c r="S897" s="22" t="str">
        <f t="shared" si="41"/>
        <v>OK</v>
      </c>
    </row>
    <row r="898" spans="1:19" ht="41.4">
      <c r="A898" s="22" t="s">
        <v>929</v>
      </c>
      <c r="B898" s="25">
        <v>45786</v>
      </c>
      <c r="C898" s="22" t="s">
        <v>723</v>
      </c>
      <c r="D898" s="22" t="s">
        <v>32</v>
      </c>
      <c r="E898" s="22" t="s">
        <v>24</v>
      </c>
      <c r="F898" s="22" t="s">
        <v>29</v>
      </c>
      <c r="G898" s="22" t="s">
        <v>30</v>
      </c>
      <c r="H898" s="22">
        <v>1</v>
      </c>
      <c r="I898" s="22">
        <v>1</v>
      </c>
      <c r="J898" s="22">
        <v>0</v>
      </c>
      <c r="K898" s="22">
        <v>0</v>
      </c>
      <c r="L898" s="22">
        <v>0</v>
      </c>
      <c r="M898" s="22">
        <v>0</v>
      </c>
      <c r="N898" s="22">
        <v>0</v>
      </c>
      <c r="O898" s="22"/>
      <c r="P898" s="22">
        <v>66.7</v>
      </c>
      <c r="Q898" s="22" t="str">
        <f t="shared" si="39"/>
        <v>Normal</v>
      </c>
      <c r="R898" s="26" t="str">
        <f t="shared" si="40"/>
        <v>USR-10089745786TreatmentSouthMobilePaid SearchPremium110000066.7</v>
      </c>
      <c r="S898" s="22" t="str">
        <f t="shared" si="41"/>
        <v>OK</v>
      </c>
    </row>
    <row r="899" spans="1:19" ht="41.4">
      <c r="A899" s="22" t="s">
        <v>930</v>
      </c>
      <c r="B899" s="25">
        <v>45690</v>
      </c>
      <c r="C899" s="22" t="s">
        <v>723</v>
      </c>
      <c r="D899" s="22" t="s">
        <v>32</v>
      </c>
      <c r="E899" s="22" t="s">
        <v>24</v>
      </c>
      <c r="F899" s="22"/>
      <c r="G899" s="22" t="s">
        <v>26</v>
      </c>
      <c r="H899" s="22">
        <v>1</v>
      </c>
      <c r="I899" s="22">
        <v>0</v>
      </c>
      <c r="J899" s="22">
        <v>0</v>
      </c>
      <c r="K899" s="22">
        <v>0</v>
      </c>
      <c r="L899" s="22">
        <v>0</v>
      </c>
      <c r="M899" s="22">
        <v>0</v>
      </c>
      <c r="N899" s="22">
        <v>0</v>
      </c>
      <c r="O899" s="22"/>
      <c r="P899" s="22">
        <v>100</v>
      </c>
      <c r="Q899" s="22" t="str">
        <f t="shared" ref="Q899:Q962" si="42">IF(OR(L899&lt;$V$40,L899&gt;$V$41),"Outlier","Normal")</f>
        <v>Normal</v>
      </c>
      <c r="R899" s="26" t="str">
        <f t="shared" ref="R899:R962" si="43">A899&amp;B899&amp;C899&amp;D899&amp;E899&amp;F899&amp;G899&amp;H899&amp;I899&amp;J899&amp;K899&amp;L899&amp;M899&amp;N899&amp;O899&amp;P899</f>
        <v>USR-10089845690TreatmentSouthMobileFree1000000100</v>
      </c>
      <c r="S899" s="22" t="str">
        <f t="shared" ref="S899:S962" si="44">IF(COUNTIF($R$2:$R$1409,R899)=1,"OK",IF(COUNTIF($R$2:$R$1409,R899)&gt;1,"Exact Duplicate","Review Required"))</f>
        <v>OK</v>
      </c>
    </row>
    <row r="900" spans="1:19" ht="41.4">
      <c r="A900" s="22" t="s">
        <v>931</v>
      </c>
      <c r="B900" s="25">
        <v>45750</v>
      </c>
      <c r="C900" s="22" t="s">
        <v>723</v>
      </c>
      <c r="D900" s="22" t="s">
        <v>32</v>
      </c>
      <c r="E900" s="22" t="s">
        <v>24</v>
      </c>
      <c r="F900" s="22" t="s">
        <v>41</v>
      </c>
      <c r="G900" s="22" t="s">
        <v>26</v>
      </c>
      <c r="H900" s="22">
        <v>1</v>
      </c>
      <c r="I900" s="22">
        <v>1</v>
      </c>
      <c r="J900" s="22">
        <v>0</v>
      </c>
      <c r="K900" s="22">
        <v>0</v>
      </c>
      <c r="L900" s="22">
        <v>0</v>
      </c>
      <c r="M900" s="22">
        <v>0</v>
      </c>
      <c r="N900" s="22">
        <v>0</v>
      </c>
      <c r="O900" s="22"/>
      <c r="P900" s="22">
        <v>87.5</v>
      </c>
      <c r="Q900" s="22" t="str">
        <f t="shared" si="42"/>
        <v>Normal</v>
      </c>
      <c r="R900" s="26" t="str">
        <f t="shared" si="43"/>
        <v>USR-10089945750TreatmentSouthMobileSocialFree110000087.5</v>
      </c>
      <c r="S900" s="22" t="str">
        <f t="shared" si="44"/>
        <v>OK</v>
      </c>
    </row>
    <row r="901" spans="1:19" ht="41.4">
      <c r="A901" s="22" t="s">
        <v>932</v>
      </c>
      <c r="B901" s="25">
        <v>45703</v>
      </c>
      <c r="C901" s="22" t="s">
        <v>723</v>
      </c>
      <c r="D901" s="22" t="s">
        <v>18</v>
      </c>
      <c r="E901" s="22" t="s">
        <v>19</v>
      </c>
      <c r="F901" s="22" t="s">
        <v>25</v>
      </c>
      <c r="G901" s="22" t="s">
        <v>21</v>
      </c>
      <c r="H901" s="22">
        <v>1</v>
      </c>
      <c r="I901" s="22">
        <v>0</v>
      </c>
      <c r="J901" s="22">
        <v>0</v>
      </c>
      <c r="K901" s="22">
        <v>0</v>
      </c>
      <c r="L901" s="22">
        <v>0</v>
      </c>
      <c r="M901" s="22">
        <v>2</v>
      </c>
      <c r="N901" s="22">
        <v>0</v>
      </c>
      <c r="O901" s="22"/>
      <c r="P901" s="22">
        <v>65.400000000000006</v>
      </c>
      <c r="Q901" s="22" t="str">
        <f t="shared" si="42"/>
        <v>Normal</v>
      </c>
      <c r="R901" s="26" t="str">
        <f t="shared" si="43"/>
        <v>USR-10090045703TreatmentNorthDesktopOrganicBasic100002065.4</v>
      </c>
      <c r="S901" s="22" t="str">
        <f t="shared" si="44"/>
        <v>OK</v>
      </c>
    </row>
    <row r="902" spans="1:19" ht="41.4">
      <c r="A902" s="22" t="s">
        <v>933</v>
      </c>
      <c r="B902" s="25">
        <v>45765</v>
      </c>
      <c r="C902" s="22" t="s">
        <v>723</v>
      </c>
      <c r="D902" s="22" t="s">
        <v>32</v>
      </c>
      <c r="E902" s="22" t="s">
        <v>19</v>
      </c>
      <c r="F902" s="22" t="s">
        <v>25</v>
      </c>
      <c r="G902" s="22" t="s">
        <v>26</v>
      </c>
      <c r="H902" s="22">
        <v>1</v>
      </c>
      <c r="I902" s="22">
        <v>0</v>
      </c>
      <c r="J902" s="22">
        <v>0</v>
      </c>
      <c r="K902" s="22">
        <v>0</v>
      </c>
      <c r="L902" s="22">
        <v>0</v>
      </c>
      <c r="M902" s="22">
        <v>0</v>
      </c>
      <c r="N902" s="22">
        <v>0</v>
      </c>
      <c r="O902" s="22"/>
      <c r="P902" s="22">
        <v>22.9</v>
      </c>
      <c r="Q902" s="22" t="str">
        <f t="shared" si="42"/>
        <v>Normal</v>
      </c>
      <c r="R902" s="26" t="str">
        <f t="shared" si="43"/>
        <v>USR-10090145765TreatmentSouthDesktopOrganicFree100000022.9</v>
      </c>
      <c r="S902" s="22" t="str">
        <f t="shared" si="44"/>
        <v>OK</v>
      </c>
    </row>
    <row r="903" spans="1:19" ht="41.4">
      <c r="A903" s="22" t="s">
        <v>934</v>
      </c>
      <c r="B903" s="25">
        <v>45730</v>
      </c>
      <c r="C903" s="22" t="s">
        <v>723</v>
      </c>
      <c r="D903" s="22" t="s">
        <v>23</v>
      </c>
      <c r="E903" s="22" t="s">
        <v>19</v>
      </c>
      <c r="F903" s="22" t="s">
        <v>25</v>
      </c>
      <c r="G903" s="22" t="s">
        <v>30</v>
      </c>
      <c r="H903" s="22">
        <v>0</v>
      </c>
      <c r="I903" s="22">
        <v>0</v>
      </c>
      <c r="J903" s="22">
        <v>0</v>
      </c>
      <c r="K903" s="22">
        <v>0</v>
      </c>
      <c r="L903" s="22">
        <v>0</v>
      </c>
      <c r="M903" s="22">
        <v>0</v>
      </c>
      <c r="N903" s="22">
        <v>0</v>
      </c>
      <c r="O903" s="22"/>
      <c r="P903" s="22">
        <v>64.599999999999994</v>
      </c>
      <c r="Q903" s="22" t="str">
        <f t="shared" si="42"/>
        <v>Normal</v>
      </c>
      <c r="R903" s="26" t="str">
        <f t="shared" si="43"/>
        <v>USR-10090245730TreatmentWestDesktopOrganicPremium000000064.6</v>
      </c>
      <c r="S903" s="22" t="str">
        <f t="shared" si="44"/>
        <v>OK</v>
      </c>
    </row>
    <row r="904" spans="1:19" ht="41.4">
      <c r="A904" s="22" t="s">
        <v>935</v>
      </c>
      <c r="B904" s="25">
        <v>45745</v>
      </c>
      <c r="C904" s="22" t="s">
        <v>723</v>
      </c>
      <c r="D904" s="22" t="s">
        <v>32</v>
      </c>
      <c r="E904" s="22" t="s">
        <v>24</v>
      </c>
      <c r="F904" s="22" t="s">
        <v>39</v>
      </c>
      <c r="G904" s="22" t="s">
        <v>26</v>
      </c>
      <c r="H904" s="22">
        <v>1</v>
      </c>
      <c r="I904" s="22">
        <v>0</v>
      </c>
      <c r="J904" s="22">
        <v>0</v>
      </c>
      <c r="K904" s="22">
        <v>0</v>
      </c>
      <c r="L904" s="22">
        <v>0</v>
      </c>
      <c r="M904" s="22">
        <v>2</v>
      </c>
      <c r="N904" s="22">
        <v>0</v>
      </c>
      <c r="O904" s="22"/>
      <c r="P904" s="22">
        <v>54.4</v>
      </c>
      <c r="Q904" s="22" t="str">
        <f t="shared" si="42"/>
        <v>Normal</v>
      </c>
      <c r="R904" s="26" t="str">
        <f t="shared" si="43"/>
        <v>USR-10090345745TreatmentSouthMobileReferralFree100002054.4</v>
      </c>
      <c r="S904" s="22" t="str">
        <f t="shared" si="44"/>
        <v>OK</v>
      </c>
    </row>
    <row r="905" spans="1:19" ht="41.4">
      <c r="A905" s="22" t="s">
        <v>936</v>
      </c>
      <c r="B905" s="25">
        <v>45701</v>
      </c>
      <c r="C905" s="22" t="s">
        <v>723</v>
      </c>
      <c r="D905" s="22" t="s">
        <v>18</v>
      </c>
      <c r="E905" s="22" t="s">
        <v>19</v>
      </c>
      <c r="F905" s="22" t="s">
        <v>25</v>
      </c>
      <c r="G905" s="22" t="s">
        <v>26</v>
      </c>
      <c r="H905" s="22">
        <v>1</v>
      </c>
      <c r="I905" s="22">
        <v>1</v>
      </c>
      <c r="J905" s="22">
        <v>1</v>
      </c>
      <c r="K905" s="22">
        <v>0</v>
      </c>
      <c r="L905" s="22">
        <v>0</v>
      </c>
      <c r="M905" s="22">
        <v>0</v>
      </c>
      <c r="N905" s="22">
        <v>0</v>
      </c>
      <c r="O905" s="22"/>
      <c r="P905" s="22">
        <v>56.8</v>
      </c>
      <c r="Q905" s="22" t="str">
        <f t="shared" si="42"/>
        <v>Normal</v>
      </c>
      <c r="R905" s="26" t="str">
        <f t="shared" si="43"/>
        <v>USR-10090445701TreatmentNorthDesktopOrganicFree111000056.8</v>
      </c>
      <c r="S905" s="22" t="str">
        <f t="shared" si="44"/>
        <v>OK</v>
      </c>
    </row>
    <row r="906" spans="1:19" ht="55.2">
      <c r="A906" s="22" t="s">
        <v>937</v>
      </c>
      <c r="B906" s="25">
        <v>45680</v>
      </c>
      <c r="C906" s="22" t="s">
        <v>723</v>
      </c>
      <c r="D906" s="22" t="s">
        <v>32</v>
      </c>
      <c r="E906" s="22" t="s">
        <v>24</v>
      </c>
      <c r="F906" s="22" t="s">
        <v>29</v>
      </c>
      <c r="G906" s="22" t="s">
        <v>26</v>
      </c>
      <c r="H906" s="22">
        <v>1</v>
      </c>
      <c r="I906" s="22">
        <v>1</v>
      </c>
      <c r="J906" s="22">
        <v>1</v>
      </c>
      <c r="K906" s="22">
        <v>1</v>
      </c>
      <c r="L906" s="22">
        <v>341.38</v>
      </c>
      <c r="M906" s="22">
        <v>0</v>
      </c>
      <c r="N906" s="22">
        <v>0</v>
      </c>
      <c r="O906" s="22">
        <v>2</v>
      </c>
      <c r="P906" s="22">
        <v>63.6</v>
      </c>
      <c r="Q906" s="22" t="str">
        <f t="shared" si="42"/>
        <v>Normal</v>
      </c>
      <c r="R906" s="26" t="str">
        <f t="shared" si="43"/>
        <v>USR-10090545680TreatmentSouthMobilePaid SearchFree1111341.3800263.6</v>
      </c>
      <c r="S906" s="22" t="str">
        <f t="shared" si="44"/>
        <v>OK</v>
      </c>
    </row>
    <row r="907" spans="1:19" ht="41.4">
      <c r="A907" s="22" t="s">
        <v>938</v>
      </c>
      <c r="B907" s="25">
        <v>45712</v>
      </c>
      <c r="C907" s="22" t="s">
        <v>723</v>
      </c>
      <c r="D907" s="22" t="s">
        <v>28</v>
      </c>
      <c r="E907" s="22" t="s">
        <v>24</v>
      </c>
      <c r="F907" s="22" t="s">
        <v>41</v>
      </c>
      <c r="G907" s="22" t="s">
        <v>26</v>
      </c>
      <c r="H907" s="22">
        <v>1</v>
      </c>
      <c r="I907" s="22">
        <v>0</v>
      </c>
      <c r="J907" s="22">
        <v>0</v>
      </c>
      <c r="K907" s="22">
        <v>0</v>
      </c>
      <c r="L907" s="22">
        <v>0</v>
      </c>
      <c r="M907" s="22">
        <v>0</v>
      </c>
      <c r="N907" s="22">
        <v>0</v>
      </c>
      <c r="O907" s="22"/>
      <c r="P907" s="22">
        <v>58.2</v>
      </c>
      <c r="Q907" s="22" t="str">
        <f t="shared" si="42"/>
        <v>Normal</v>
      </c>
      <c r="R907" s="26" t="str">
        <f t="shared" si="43"/>
        <v>USR-10090645712TreatmentEastMobileSocialFree100000058.2</v>
      </c>
      <c r="S907" s="22" t="str">
        <f t="shared" si="44"/>
        <v>OK</v>
      </c>
    </row>
    <row r="908" spans="1:19" ht="41.4">
      <c r="A908" s="22" t="s">
        <v>939</v>
      </c>
      <c r="B908" s="25">
        <v>45716</v>
      </c>
      <c r="C908" s="22" t="s">
        <v>723</v>
      </c>
      <c r="D908" s="22" t="s">
        <v>23</v>
      </c>
      <c r="E908" s="22" t="s">
        <v>24</v>
      </c>
      <c r="F908" s="22" t="s">
        <v>29</v>
      </c>
      <c r="G908" s="22" t="s">
        <v>26</v>
      </c>
      <c r="H908" s="22">
        <v>1</v>
      </c>
      <c r="I908" s="22">
        <v>1</v>
      </c>
      <c r="J908" s="22">
        <v>0</v>
      </c>
      <c r="K908" s="22">
        <v>0</v>
      </c>
      <c r="L908" s="22">
        <v>0</v>
      </c>
      <c r="M908" s="22">
        <v>0</v>
      </c>
      <c r="N908" s="22">
        <v>0</v>
      </c>
      <c r="O908" s="22"/>
      <c r="P908" s="22">
        <v>54.6</v>
      </c>
      <c r="Q908" s="22" t="str">
        <f t="shared" si="42"/>
        <v>Normal</v>
      </c>
      <c r="R908" s="26" t="str">
        <f t="shared" si="43"/>
        <v>USR-10090745716TreatmentWestMobilePaid SearchFree110000054.6</v>
      </c>
      <c r="S908" s="22" t="str">
        <f t="shared" si="44"/>
        <v>OK</v>
      </c>
    </row>
    <row r="909" spans="1:19" ht="41.4">
      <c r="A909" s="22" t="s">
        <v>940</v>
      </c>
      <c r="B909" s="25">
        <v>45664</v>
      </c>
      <c r="C909" s="22" t="s">
        <v>723</v>
      </c>
      <c r="D909" s="22" t="s">
        <v>23</v>
      </c>
      <c r="E909" s="22" t="s">
        <v>34</v>
      </c>
      <c r="F909" s="22" t="s">
        <v>25</v>
      </c>
      <c r="G909" s="22" t="s">
        <v>21</v>
      </c>
      <c r="H909" s="22">
        <v>1</v>
      </c>
      <c r="I909" s="22">
        <v>0</v>
      </c>
      <c r="J909" s="22">
        <v>0</v>
      </c>
      <c r="K909" s="22">
        <v>0</v>
      </c>
      <c r="L909" s="22">
        <v>0</v>
      </c>
      <c r="M909" s="22">
        <v>0</v>
      </c>
      <c r="N909" s="22">
        <v>0</v>
      </c>
      <c r="O909" s="22"/>
      <c r="P909" s="22">
        <v>81.900000000000006</v>
      </c>
      <c r="Q909" s="22" t="str">
        <f t="shared" si="42"/>
        <v>Normal</v>
      </c>
      <c r="R909" s="26" t="str">
        <f t="shared" si="43"/>
        <v>USR-10090845664TreatmentWestTabletOrganicBasic100000081.9</v>
      </c>
      <c r="S909" s="22" t="str">
        <f t="shared" si="44"/>
        <v>OK</v>
      </c>
    </row>
    <row r="910" spans="1:19" ht="41.4">
      <c r="A910" s="22" t="s">
        <v>941</v>
      </c>
      <c r="B910" s="25">
        <v>45737</v>
      </c>
      <c r="C910" s="22" t="s">
        <v>723</v>
      </c>
      <c r="D910" s="22" t="s">
        <v>23</v>
      </c>
      <c r="E910" s="22" t="s">
        <v>19</v>
      </c>
      <c r="F910" s="22" t="s">
        <v>20</v>
      </c>
      <c r="G910" s="22" t="s">
        <v>26</v>
      </c>
      <c r="H910" s="22">
        <v>1</v>
      </c>
      <c r="I910" s="22">
        <v>0</v>
      </c>
      <c r="J910" s="22">
        <v>0</v>
      </c>
      <c r="K910" s="22">
        <v>0</v>
      </c>
      <c r="L910" s="22">
        <v>0</v>
      </c>
      <c r="M910" s="22">
        <v>3</v>
      </c>
      <c r="N910" s="22">
        <v>0</v>
      </c>
      <c r="O910" s="22"/>
      <c r="P910" s="22">
        <v>53.3</v>
      </c>
      <c r="Q910" s="22" t="str">
        <f t="shared" si="42"/>
        <v>Normal</v>
      </c>
      <c r="R910" s="26" t="str">
        <f t="shared" si="43"/>
        <v>USR-10090945737TreatmentWestDesktopEmailFree100003053.3</v>
      </c>
      <c r="S910" s="22" t="str">
        <f t="shared" si="44"/>
        <v>OK</v>
      </c>
    </row>
    <row r="911" spans="1:19" ht="41.4">
      <c r="A911" s="22" t="s">
        <v>942</v>
      </c>
      <c r="B911" s="25">
        <v>45706</v>
      </c>
      <c r="C911" s="22" t="s">
        <v>723</v>
      </c>
      <c r="D911" s="22" t="s">
        <v>18</v>
      </c>
      <c r="E911" s="22" t="s">
        <v>19</v>
      </c>
      <c r="F911" s="22" t="s">
        <v>25</v>
      </c>
      <c r="G911" s="22" t="s">
        <v>21</v>
      </c>
      <c r="H911" s="22">
        <v>0</v>
      </c>
      <c r="I911" s="22">
        <v>0</v>
      </c>
      <c r="J911" s="22">
        <v>0</v>
      </c>
      <c r="K911" s="22">
        <v>0</v>
      </c>
      <c r="L911" s="22">
        <v>0</v>
      </c>
      <c r="M911" s="22">
        <v>0</v>
      </c>
      <c r="N911" s="22">
        <v>0</v>
      </c>
      <c r="O911" s="22"/>
      <c r="P911" s="22">
        <v>54.2</v>
      </c>
      <c r="Q911" s="22" t="str">
        <f t="shared" si="42"/>
        <v>Normal</v>
      </c>
      <c r="R911" s="26" t="str">
        <f t="shared" si="43"/>
        <v>USR-10091045706TreatmentNorthDesktopOrganicBasic000000054.2</v>
      </c>
      <c r="S911" s="22" t="str">
        <f t="shared" si="44"/>
        <v>OK</v>
      </c>
    </row>
    <row r="912" spans="1:19" ht="41.4">
      <c r="A912" s="22" t="s">
        <v>943</v>
      </c>
      <c r="B912" s="25">
        <v>45662</v>
      </c>
      <c r="C912" s="22" t="s">
        <v>723</v>
      </c>
      <c r="D912" s="22" t="s">
        <v>18</v>
      </c>
      <c r="E912" s="22" t="s">
        <v>24</v>
      </c>
      <c r="F912" s="22" t="s">
        <v>29</v>
      </c>
      <c r="G912" s="22" t="s">
        <v>26</v>
      </c>
      <c r="H912" s="22">
        <v>1</v>
      </c>
      <c r="I912" s="22">
        <v>1</v>
      </c>
      <c r="J912" s="22">
        <v>0</v>
      </c>
      <c r="K912" s="22">
        <v>0</v>
      </c>
      <c r="L912" s="22">
        <v>0</v>
      </c>
      <c r="M912" s="22">
        <v>0</v>
      </c>
      <c r="N912" s="22">
        <v>0</v>
      </c>
      <c r="O912" s="22"/>
      <c r="P912" s="22">
        <v>65.599999999999994</v>
      </c>
      <c r="Q912" s="22" t="str">
        <f t="shared" si="42"/>
        <v>Normal</v>
      </c>
      <c r="R912" s="26" t="str">
        <f t="shared" si="43"/>
        <v>USR-10091145662TreatmentNorthMobilePaid SearchFree110000065.6</v>
      </c>
      <c r="S912" s="22" t="str">
        <f t="shared" si="44"/>
        <v>OK</v>
      </c>
    </row>
    <row r="913" spans="1:19" ht="41.4">
      <c r="A913" s="22" t="s">
        <v>944</v>
      </c>
      <c r="B913" s="25">
        <v>45727</v>
      </c>
      <c r="C913" s="22" t="s">
        <v>723</v>
      </c>
      <c r="D913" s="22" t="s">
        <v>28</v>
      </c>
      <c r="E913" s="22" t="s">
        <v>19</v>
      </c>
      <c r="F913" s="22" t="s">
        <v>25</v>
      </c>
      <c r="G913" s="22" t="s">
        <v>21</v>
      </c>
      <c r="H913" s="22">
        <v>1</v>
      </c>
      <c r="I913" s="22">
        <v>0</v>
      </c>
      <c r="J913" s="22">
        <v>0</v>
      </c>
      <c r="K913" s="22">
        <v>0</v>
      </c>
      <c r="L913" s="22">
        <v>0</v>
      </c>
      <c r="M913" s="22">
        <v>1</v>
      </c>
      <c r="N913" s="22">
        <v>0</v>
      </c>
      <c r="O913" s="22"/>
      <c r="P913" s="22">
        <v>56.5</v>
      </c>
      <c r="Q913" s="22" t="str">
        <f t="shared" si="42"/>
        <v>Normal</v>
      </c>
      <c r="R913" s="26" t="str">
        <f t="shared" si="43"/>
        <v>USR-10091245727TreatmentEastDesktopOrganicBasic100001056.5</v>
      </c>
      <c r="S913" s="22" t="str">
        <f t="shared" si="44"/>
        <v>OK</v>
      </c>
    </row>
    <row r="914" spans="1:19" ht="41.4">
      <c r="A914" s="22" t="s">
        <v>945</v>
      </c>
      <c r="B914" s="25">
        <v>45666</v>
      </c>
      <c r="C914" s="22" t="s">
        <v>723</v>
      </c>
      <c r="D914" s="22" t="s">
        <v>18</v>
      </c>
      <c r="E914" s="22" t="s">
        <v>19</v>
      </c>
      <c r="F914" s="22" t="s">
        <v>25</v>
      </c>
      <c r="G914" s="22" t="s">
        <v>21</v>
      </c>
      <c r="H914" s="22">
        <v>1</v>
      </c>
      <c r="I914" s="22">
        <v>0</v>
      </c>
      <c r="J914" s="22">
        <v>0</v>
      </c>
      <c r="K914" s="22">
        <v>0</v>
      </c>
      <c r="L914" s="22">
        <v>0</v>
      </c>
      <c r="M914" s="22">
        <v>0</v>
      </c>
      <c r="N914" s="22">
        <v>0</v>
      </c>
      <c r="O914" s="22"/>
      <c r="P914" s="22">
        <v>59.7</v>
      </c>
      <c r="Q914" s="22" t="str">
        <f t="shared" si="42"/>
        <v>Normal</v>
      </c>
      <c r="R914" s="26" t="str">
        <f t="shared" si="43"/>
        <v>USR-10091345666TreatmentNorthDesktopOrganicBasic100000059.7</v>
      </c>
      <c r="S914" s="22" t="str">
        <f t="shared" si="44"/>
        <v>OK</v>
      </c>
    </row>
    <row r="915" spans="1:19" ht="41.4">
      <c r="A915" s="22" t="s">
        <v>946</v>
      </c>
      <c r="B915" s="25">
        <v>45665</v>
      </c>
      <c r="C915" s="22" t="s">
        <v>723</v>
      </c>
      <c r="D915" s="22" t="s">
        <v>32</v>
      </c>
      <c r="E915" s="22" t="s">
        <v>24</v>
      </c>
      <c r="F915" s="22" t="s">
        <v>25</v>
      </c>
      <c r="G915" s="22" t="s">
        <v>26</v>
      </c>
      <c r="H915" s="22">
        <v>1</v>
      </c>
      <c r="I915" s="22">
        <v>1</v>
      </c>
      <c r="J915" s="22">
        <v>1</v>
      </c>
      <c r="K915" s="22">
        <v>0</v>
      </c>
      <c r="L915" s="22">
        <v>0</v>
      </c>
      <c r="M915" s="22">
        <v>0</v>
      </c>
      <c r="N915" s="22">
        <v>0</v>
      </c>
      <c r="O915" s="22"/>
      <c r="P915" s="22">
        <v>72.5</v>
      </c>
      <c r="Q915" s="22" t="str">
        <f t="shared" si="42"/>
        <v>Normal</v>
      </c>
      <c r="R915" s="26" t="str">
        <f t="shared" si="43"/>
        <v>USR-10091445665TreatmentSouthMobileOrganicFree111000072.5</v>
      </c>
      <c r="S915" s="22" t="str">
        <f t="shared" si="44"/>
        <v>OK</v>
      </c>
    </row>
    <row r="916" spans="1:19" ht="41.4">
      <c r="A916" s="22" t="s">
        <v>947</v>
      </c>
      <c r="B916" s="25">
        <v>45778</v>
      </c>
      <c r="C916" s="22" t="s">
        <v>723</v>
      </c>
      <c r="D916" s="22" t="s">
        <v>28</v>
      </c>
      <c r="E916" s="22" t="s">
        <v>19</v>
      </c>
      <c r="F916" s="22" t="s">
        <v>29</v>
      </c>
      <c r="G916" s="22" t="s">
        <v>26</v>
      </c>
      <c r="H916" s="22">
        <v>1</v>
      </c>
      <c r="I916" s="22">
        <v>0</v>
      </c>
      <c r="J916" s="22">
        <v>0</v>
      </c>
      <c r="K916" s="22">
        <v>0</v>
      </c>
      <c r="L916" s="22">
        <v>0</v>
      </c>
      <c r="M916" s="22">
        <v>0</v>
      </c>
      <c r="N916" s="22">
        <v>0</v>
      </c>
      <c r="O916" s="22"/>
      <c r="P916" s="22">
        <v>64.3</v>
      </c>
      <c r="Q916" s="22" t="str">
        <f t="shared" si="42"/>
        <v>Normal</v>
      </c>
      <c r="R916" s="26" t="str">
        <f t="shared" si="43"/>
        <v>USR-10091545778TreatmentEastDesktopPaid SearchFree100000064.3</v>
      </c>
      <c r="S916" s="22" t="str">
        <f t="shared" si="44"/>
        <v>OK</v>
      </c>
    </row>
    <row r="917" spans="1:19" ht="41.4">
      <c r="A917" s="22" t="s">
        <v>948</v>
      </c>
      <c r="B917" s="25">
        <v>45719</v>
      </c>
      <c r="C917" s="22" t="s">
        <v>723</v>
      </c>
      <c r="D917" s="22" t="s">
        <v>32</v>
      </c>
      <c r="E917" s="22" t="s">
        <v>24</v>
      </c>
      <c r="F917" s="22" t="s">
        <v>41</v>
      </c>
      <c r="G917" s="22" t="s">
        <v>26</v>
      </c>
      <c r="H917" s="22">
        <v>1</v>
      </c>
      <c r="I917" s="22">
        <v>0</v>
      </c>
      <c r="J917" s="22">
        <v>0</v>
      </c>
      <c r="K917" s="22">
        <v>0</v>
      </c>
      <c r="L917" s="22">
        <v>0</v>
      </c>
      <c r="M917" s="22">
        <v>0</v>
      </c>
      <c r="N917" s="22">
        <v>0</v>
      </c>
      <c r="O917" s="22"/>
      <c r="P917" s="22">
        <v>64.5</v>
      </c>
      <c r="Q917" s="22" t="str">
        <f t="shared" si="42"/>
        <v>Normal</v>
      </c>
      <c r="R917" s="26" t="str">
        <f t="shared" si="43"/>
        <v>USR-10091645719TreatmentSouthMobileSocialFree100000064.5</v>
      </c>
      <c r="S917" s="22" t="str">
        <f t="shared" si="44"/>
        <v>OK</v>
      </c>
    </row>
    <row r="918" spans="1:19" ht="41.4">
      <c r="A918" s="22" t="s">
        <v>949</v>
      </c>
      <c r="B918" s="25">
        <v>45711</v>
      </c>
      <c r="C918" s="22" t="s">
        <v>723</v>
      </c>
      <c r="D918" s="22" t="s">
        <v>23</v>
      </c>
      <c r="E918" s="22" t="s">
        <v>19</v>
      </c>
      <c r="F918" s="22" t="s">
        <v>41</v>
      </c>
      <c r="G918" s="22" t="s">
        <v>21</v>
      </c>
      <c r="H918" s="22">
        <v>1</v>
      </c>
      <c r="I918" s="22">
        <v>1</v>
      </c>
      <c r="J918" s="22">
        <v>1</v>
      </c>
      <c r="K918" s="22">
        <v>0</v>
      </c>
      <c r="L918" s="22">
        <v>0</v>
      </c>
      <c r="M918" s="22">
        <v>0</v>
      </c>
      <c r="N918" s="22">
        <v>0</v>
      </c>
      <c r="O918" s="22"/>
      <c r="P918" s="22">
        <v>70.599999999999994</v>
      </c>
      <c r="Q918" s="22" t="str">
        <f t="shared" si="42"/>
        <v>Normal</v>
      </c>
      <c r="R918" s="26" t="str">
        <f t="shared" si="43"/>
        <v>USR-10091745711TreatmentWestDesktopSocialBasic111000070.6</v>
      </c>
      <c r="S918" s="22" t="str">
        <f t="shared" si="44"/>
        <v>Exact Duplicate</v>
      </c>
    </row>
    <row r="919" spans="1:19" ht="41.4">
      <c r="A919" s="22" t="s">
        <v>950</v>
      </c>
      <c r="B919" s="25">
        <v>45705</v>
      </c>
      <c r="C919" s="22" t="s">
        <v>723</v>
      </c>
      <c r="D919" s="22" t="s">
        <v>32</v>
      </c>
      <c r="E919" s="22" t="s">
        <v>19</v>
      </c>
      <c r="F919" s="22" t="s">
        <v>25</v>
      </c>
      <c r="G919" s="22" t="s">
        <v>21</v>
      </c>
      <c r="H919" s="22">
        <v>0</v>
      </c>
      <c r="I919" s="22">
        <v>0</v>
      </c>
      <c r="J919" s="22">
        <v>0</v>
      </c>
      <c r="K919" s="22">
        <v>0</v>
      </c>
      <c r="L919" s="22">
        <v>0</v>
      </c>
      <c r="M919" s="22">
        <v>0</v>
      </c>
      <c r="N919" s="22">
        <v>0</v>
      </c>
      <c r="O919" s="22"/>
      <c r="P919" s="22">
        <v>58.4</v>
      </c>
      <c r="Q919" s="22" t="str">
        <f t="shared" si="42"/>
        <v>Normal</v>
      </c>
      <c r="R919" s="26" t="str">
        <f t="shared" si="43"/>
        <v>USR-10091845705TreatmentSouthDesktopOrganicBasic000000058.4</v>
      </c>
      <c r="S919" s="22" t="str">
        <f t="shared" si="44"/>
        <v>OK</v>
      </c>
    </row>
    <row r="920" spans="1:19" ht="41.4">
      <c r="A920" s="22" t="s">
        <v>951</v>
      </c>
      <c r="B920" s="25">
        <v>45798</v>
      </c>
      <c r="C920" s="22" t="s">
        <v>723</v>
      </c>
      <c r="D920" s="22" t="s">
        <v>28</v>
      </c>
      <c r="E920" s="22" t="s">
        <v>24</v>
      </c>
      <c r="F920" s="22" t="s">
        <v>25</v>
      </c>
      <c r="G920" s="22" t="s">
        <v>21</v>
      </c>
      <c r="H920" s="22">
        <v>1</v>
      </c>
      <c r="I920" s="22">
        <v>0</v>
      </c>
      <c r="J920" s="22">
        <v>0</v>
      </c>
      <c r="K920" s="22">
        <v>0</v>
      </c>
      <c r="L920" s="22">
        <v>0</v>
      </c>
      <c r="M920" s="22">
        <v>0</v>
      </c>
      <c r="N920" s="22">
        <v>0</v>
      </c>
      <c r="O920" s="22"/>
      <c r="P920" s="22">
        <v>56.6</v>
      </c>
      <c r="Q920" s="22" t="str">
        <f t="shared" si="42"/>
        <v>Normal</v>
      </c>
      <c r="R920" s="26" t="str">
        <f t="shared" si="43"/>
        <v>USR-10091945798TreatmentEastMobileOrganicBasic100000056.6</v>
      </c>
      <c r="S920" s="22" t="str">
        <f t="shared" si="44"/>
        <v>OK</v>
      </c>
    </row>
    <row r="921" spans="1:19" ht="41.4">
      <c r="A921" s="22" t="s">
        <v>952</v>
      </c>
      <c r="B921" s="25">
        <v>45687</v>
      </c>
      <c r="C921" s="22" t="s">
        <v>723</v>
      </c>
      <c r="D921" s="22" t="s">
        <v>32</v>
      </c>
      <c r="E921" s="22" t="s">
        <v>24</v>
      </c>
      <c r="F921" s="22" t="s">
        <v>25</v>
      </c>
      <c r="G921" s="22" t="s">
        <v>26</v>
      </c>
      <c r="H921" s="22">
        <v>1</v>
      </c>
      <c r="I921" s="22">
        <v>0</v>
      </c>
      <c r="J921" s="22">
        <v>0</v>
      </c>
      <c r="K921" s="22">
        <v>0</v>
      </c>
      <c r="L921" s="22">
        <v>0</v>
      </c>
      <c r="M921" s="22">
        <v>0</v>
      </c>
      <c r="N921" s="22">
        <v>0</v>
      </c>
      <c r="O921" s="22"/>
      <c r="P921" s="22">
        <v>61.8</v>
      </c>
      <c r="Q921" s="22" t="str">
        <f t="shared" si="42"/>
        <v>Normal</v>
      </c>
      <c r="R921" s="26" t="str">
        <f t="shared" si="43"/>
        <v>USR-10092045687TreatmentSouthMobileOrganicFree100000061.8</v>
      </c>
      <c r="S921" s="22" t="str">
        <f t="shared" si="44"/>
        <v>OK</v>
      </c>
    </row>
    <row r="922" spans="1:19" ht="41.4">
      <c r="A922" s="22" t="s">
        <v>953</v>
      </c>
      <c r="B922" s="25">
        <v>45736</v>
      </c>
      <c r="C922" s="22" t="s">
        <v>723</v>
      </c>
      <c r="D922" s="22" t="s">
        <v>23</v>
      </c>
      <c r="E922" s="22" t="s">
        <v>24</v>
      </c>
      <c r="F922" s="22" t="s">
        <v>20</v>
      </c>
      <c r="G922" s="22" t="s">
        <v>26</v>
      </c>
      <c r="H922" s="22">
        <v>1</v>
      </c>
      <c r="I922" s="22">
        <v>1</v>
      </c>
      <c r="J922" s="22">
        <v>1</v>
      </c>
      <c r="K922" s="22">
        <v>1</v>
      </c>
      <c r="L922" s="22">
        <v>513.52</v>
      </c>
      <c r="M922" s="22">
        <v>0</v>
      </c>
      <c r="N922" s="22">
        <v>0</v>
      </c>
      <c r="O922" s="22">
        <v>8</v>
      </c>
      <c r="P922" s="22">
        <v>43.4</v>
      </c>
      <c r="Q922" s="22" t="str">
        <f t="shared" si="42"/>
        <v>Normal</v>
      </c>
      <c r="R922" s="26" t="str">
        <f t="shared" si="43"/>
        <v>USR-10092145736TreatmentWestMobileEmailFree1111513.5200843.4</v>
      </c>
      <c r="S922" s="22" t="str">
        <f t="shared" si="44"/>
        <v>OK</v>
      </c>
    </row>
    <row r="923" spans="1:19" ht="41.4">
      <c r="A923" s="22" t="s">
        <v>954</v>
      </c>
      <c r="B923" s="25">
        <v>45757</v>
      </c>
      <c r="C923" s="22" t="s">
        <v>723</v>
      </c>
      <c r="D923" s="22" t="s">
        <v>23</v>
      </c>
      <c r="E923" s="22" t="s">
        <v>34</v>
      </c>
      <c r="F923" s="22" t="s">
        <v>29</v>
      </c>
      <c r="G923" s="22" t="s">
        <v>26</v>
      </c>
      <c r="H923" s="22">
        <v>0</v>
      </c>
      <c r="I923" s="22">
        <v>0</v>
      </c>
      <c r="J923" s="22">
        <v>0</v>
      </c>
      <c r="K923" s="22">
        <v>0</v>
      </c>
      <c r="L923" s="22">
        <v>0</v>
      </c>
      <c r="M923" s="22">
        <v>0</v>
      </c>
      <c r="N923" s="22">
        <v>0</v>
      </c>
      <c r="O923" s="22"/>
      <c r="P923" s="22">
        <v>43</v>
      </c>
      <c r="Q923" s="22" t="str">
        <f t="shared" si="42"/>
        <v>Normal</v>
      </c>
      <c r="R923" s="26" t="str">
        <f t="shared" si="43"/>
        <v>USR-10092245757TreatmentWestTabletPaid SearchFree000000043</v>
      </c>
      <c r="S923" s="22" t="str">
        <f t="shared" si="44"/>
        <v>OK</v>
      </c>
    </row>
    <row r="924" spans="1:19" ht="41.4">
      <c r="A924" s="22" t="s">
        <v>955</v>
      </c>
      <c r="B924" s="25">
        <v>45723</v>
      </c>
      <c r="C924" s="22" t="s">
        <v>723</v>
      </c>
      <c r="D924" s="22" t="s">
        <v>18</v>
      </c>
      <c r="E924" s="22" t="s">
        <v>19</v>
      </c>
      <c r="F924" s="22" t="s">
        <v>25</v>
      </c>
      <c r="G924" s="22" t="s">
        <v>26</v>
      </c>
      <c r="H924" s="22">
        <v>1</v>
      </c>
      <c r="I924" s="22">
        <v>1</v>
      </c>
      <c r="J924" s="22">
        <v>1</v>
      </c>
      <c r="K924" s="22">
        <v>0</v>
      </c>
      <c r="L924" s="22">
        <v>0</v>
      </c>
      <c r="M924" s="22">
        <v>0</v>
      </c>
      <c r="N924" s="22">
        <v>0</v>
      </c>
      <c r="O924" s="22"/>
      <c r="P924" s="22">
        <v>51.1</v>
      </c>
      <c r="Q924" s="22" t="str">
        <f t="shared" si="42"/>
        <v>Normal</v>
      </c>
      <c r="R924" s="26" t="str">
        <f t="shared" si="43"/>
        <v>USR-10092345723TreatmentNorthDesktopOrganicFree111000051.1</v>
      </c>
      <c r="S924" s="22" t="str">
        <f t="shared" si="44"/>
        <v>OK</v>
      </c>
    </row>
    <row r="925" spans="1:19" ht="41.4">
      <c r="A925" s="22" t="s">
        <v>956</v>
      </c>
      <c r="B925" s="25">
        <v>45728</v>
      </c>
      <c r="C925" s="22" t="s">
        <v>723</v>
      </c>
      <c r="D925" s="22" t="s">
        <v>23</v>
      </c>
      <c r="E925" s="22" t="s">
        <v>24</v>
      </c>
      <c r="F925" s="22" t="s">
        <v>20</v>
      </c>
      <c r="G925" s="22" t="s">
        <v>21</v>
      </c>
      <c r="H925" s="22">
        <v>1</v>
      </c>
      <c r="I925" s="22">
        <v>0</v>
      </c>
      <c r="J925" s="22">
        <v>0</v>
      </c>
      <c r="K925" s="22">
        <v>0</v>
      </c>
      <c r="L925" s="22">
        <v>0</v>
      </c>
      <c r="M925" s="22">
        <v>0</v>
      </c>
      <c r="N925" s="22">
        <v>0</v>
      </c>
      <c r="O925" s="22"/>
      <c r="P925" s="22">
        <v>48.8</v>
      </c>
      <c r="Q925" s="22" t="str">
        <f t="shared" si="42"/>
        <v>Normal</v>
      </c>
      <c r="R925" s="26" t="str">
        <f t="shared" si="43"/>
        <v>USR-10092445728TreatmentWestMobileEmailBasic100000048.8</v>
      </c>
      <c r="S925" s="22" t="str">
        <f t="shared" si="44"/>
        <v>OK</v>
      </c>
    </row>
    <row r="926" spans="1:19" ht="41.4">
      <c r="A926" s="22" t="s">
        <v>957</v>
      </c>
      <c r="B926" s="25">
        <v>45712</v>
      </c>
      <c r="C926" s="22" t="s">
        <v>723</v>
      </c>
      <c r="D926" s="22" t="s">
        <v>28</v>
      </c>
      <c r="E926" s="22" t="s">
        <v>24</v>
      </c>
      <c r="F926" s="22" t="s">
        <v>39</v>
      </c>
      <c r="G926" s="22" t="s">
        <v>26</v>
      </c>
      <c r="H926" s="22">
        <v>0</v>
      </c>
      <c r="I926" s="22">
        <v>0</v>
      </c>
      <c r="J926" s="22">
        <v>0</v>
      </c>
      <c r="K926" s="22">
        <v>0</v>
      </c>
      <c r="L926" s="22">
        <v>0</v>
      </c>
      <c r="M926" s="22">
        <v>0</v>
      </c>
      <c r="N926" s="22">
        <v>0</v>
      </c>
      <c r="O926" s="22"/>
      <c r="P926" s="22">
        <v>73.2</v>
      </c>
      <c r="Q926" s="22" t="str">
        <f t="shared" si="42"/>
        <v>Normal</v>
      </c>
      <c r="R926" s="26" t="str">
        <f t="shared" si="43"/>
        <v>USR-10092545712TreatmentEastMobileReferralFree000000073.2</v>
      </c>
      <c r="S926" s="22" t="str">
        <f t="shared" si="44"/>
        <v>OK</v>
      </c>
    </row>
    <row r="927" spans="1:19" ht="41.4">
      <c r="A927" s="22" t="s">
        <v>958</v>
      </c>
      <c r="B927" s="25">
        <v>45672</v>
      </c>
      <c r="C927" s="22" t="s">
        <v>723</v>
      </c>
      <c r="D927" s="22" t="s">
        <v>28</v>
      </c>
      <c r="E927" s="22" t="s">
        <v>24</v>
      </c>
      <c r="F927" s="22" t="s">
        <v>39</v>
      </c>
      <c r="G927" s="22" t="s">
        <v>26</v>
      </c>
      <c r="H927" s="22">
        <v>1</v>
      </c>
      <c r="I927" s="22">
        <v>1</v>
      </c>
      <c r="J927" s="22">
        <v>1</v>
      </c>
      <c r="K927" s="22">
        <v>0</v>
      </c>
      <c r="L927" s="22">
        <v>0</v>
      </c>
      <c r="M927" s="22">
        <v>0</v>
      </c>
      <c r="N927" s="22">
        <v>0</v>
      </c>
      <c r="O927" s="22"/>
      <c r="P927" s="22">
        <v>80</v>
      </c>
      <c r="Q927" s="22" t="str">
        <f t="shared" si="42"/>
        <v>Normal</v>
      </c>
      <c r="R927" s="26" t="str">
        <f t="shared" si="43"/>
        <v>USR-10092645672TreatmentEastMobileReferralFree111000080</v>
      </c>
      <c r="S927" s="22" t="str">
        <f t="shared" si="44"/>
        <v>OK</v>
      </c>
    </row>
    <row r="928" spans="1:19" ht="41.4">
      <c r="A928" s="22" t="s">
        <v>959</v>
      </c>
      <c r="B928" s="25">
        <v>45664</v>
      </c>
      <c r="C928" s="22" t="s">
        <v>723</v>
      </c>
      <c r="D928" s="22" t="s">
        <v>18</v>
      </c>
      <c r="E928" s="22" t="s">
        <v>19</v>
      </c>
      <c r="F928" s="22" t="s">
        <v>29</v>
      </c>
      <c r="G928" s="22" t="s">
        <v>26</v>
      </c>
      <c r="H928" s="22">
        <v>1</v>
      </c>
      <c r="I928" s="22">
        <v>0</v>
      </c>
      <c r="J928" s="22">
        <v>0</v>
      </c>
      <c r="K928" s="22">
        <v>0</v>
      </c>
      <c r="L928" s="22">
        <v>0</v>
      </c>
      <c r="M928" s="22">
        <v>0</v>
      </c>
      <c r="N928" s="22">
        <v>0</v>
      </c>
      <c r="O928" s="22"/>
      <c r="P928" s="22">
        <v>52.3</v>
      </c>
      <c r="Q928" s="22" t="str">
        <f t="shared" si="42"/>
        <v>Normal</v>
      </c>
      <c r="R928" s="26" t="str">
        <f t="shared" si="43"/>
        <v>USR-10092745664TreatmentNorthDesktopPaid SearchFree100000052.3</v>
      </c>
      <c r="S928" s="22" t="str">
        <f t="shared" si="44"/>
        <v>OK</v>
      </c>
    </row>
    <row r="929" spans="1:19" ht="41.4">
      <c r="A929" s="22" t="s">
        <v>960</v>
      </c>
      <c r="B929" s="25">
        <v>45718</v>
      </c>
      <c r="C929" s="22" t="s">
        <v>723</v>
      </c>
      <c r="D929" s="22" t="s">
        <v>18</v>
      </c>
      <c r="E929" s="22" t="s">
        <v>19</v>
      </c>
      <c r="F929" s="22" t="s">
        <v>25</v>
      </c>
      <c r="G929" s="22" t="s">
        <v>26</v>
      </c>
      <c r="H929" s="22">
        <v>0</v>
      </c>
      <c r="I929" s="22">
        <v>0</v>
      </c>
      <c r="J929" s="22">
        <v>0</v>
      </c>
      <c r="K929" s="22">
        <v>0</v>
      </c>
      <c r="L929" s="22">
        <v>0</v>
      </c>
      <c r="M929" s="22">
        <v>0</v>
      </c>
      <c r="N929" s="22">
        <v>0</v>
      </c>
      <c r="O929" s="22"/>
      <c r="P929" s="22">
        <v>49.1</v>
      </c>
      <c r="Q929" s="22" t="str">
        <f t="shared" si="42"/>
        <v>Normal</v>
      </c>
      <c r="R929" s="26" t="str">
        <f t="shared" si="43"/>
        <v>USR-10092845718TreatmentNorthDesktopOrganicFree000000049.1</v>
      </c>
      <c r="S929" s="22" t="str">
        <f t="shared" si="44"/>
        <v>OK</v>
      </c>
    </row>
    <row r="930" spans="1:19" ht="41.4">
      <c r="A930" s="22" t="s">
        <v>961</v>
      </c>
      <c r="B930" s="25">
        <v>45662</v>
      </c>
      <c r="C930" s="22" t="s">
        <v>723</v>
      </c>
      <c r="D930" s="22" t="s">
        <v>32</v>
      </c>
      <c r="E930" s="22" t="s">
        <v>19</v>
      </c>
      <c r="F930" s="22" t="s">
        <v>39</v>
      </c>
      <c r="G930" s="22" t="s">
        <v>21</v>
      </c>
      <c r="H930" s="22">
        <v>0</v>
      </c>
      <c r="I930" s="22">
        <v>0</v>
      </c>
      <c r="J930" s="22">
        <v>0</v>
      </c>
      <c r="K930" s="22">
        <v>0</v>
      </c>
      <c r="L930" s="22">
        <v>0</v>
      </c>
      <c r="M930" s="22">
        <v>0</v>
      </c>
      <c r="N930" s="22">
        <v>0</v>
      </c>
      <c r="O930" s="22"/>
      <c r="P930" s="22">
        <v>45.3</v>
      </c>
      <c r="Q930" s="22" t="str">
        <f t="shared" si="42"/>
        <v>Normal</v>
      </c>
      <c r="R930" s="26" t="str">
        <f t="shared" si="43"/>
        <v>USR-10092945662TreatmentSouthDesktopReferralBasic000000045.3</v>
      </c>
      <c r="S930" s="22" t="str">
        <f t="shared" si="44"/>
        <v>OK</v>
      </c>
    </row>
    <row r="931" spans="1:19" ht="41.4">
      <c r="A931" s="22" t="s">
        <v>962</v>
      </c>
      <c r="B931" s="25">
        <v>45719</v>
      </c>
      <c r="C931" s="22" t="s">
        <v>723</v>
      </c>
      <c r="D931" s="22" t="s">
        <v>32</v>
      </c>
      <c r="E931" s="22" t="s">
        <v>24</v>
      </c>
      <c r="F931" s="22" t="s">
        <v>25</v>
      </c>
      <c r="G931" s="22" t="s">
        <v>26</v>
      </c>
      <c r="H931" s="22">
        <v>1</v>
      </c>
      <c r="I931" s="22">
        <v>1</v>
      </c>
      <c r="J931" s="22">
        <v>0</v>
      </c>
      <c r="K931" s="22">
        <v>0</v>
      </c>
      <c r="L931" s="22">
        <v>0</v>
      </c>
      <c r="M931" s="22">
        <v>0</v>
      </c>
      <c r="N931" s="22">
        <v>0</v>
      </c>
      <c r="O931" s="22"/>
      <c r="P931" s="22">
        <v>49.1</v>
      </c>
      <c r="Q931" s="22" t="str">
        <f t="shared" si="42"/>
        <v>Normal</v>
      </c>
      <c r="R931" s="26" t="str">
        <f t="shared" si="43"/>
        <v>USR-10093045719TreatmentSouthMobileOrganicFree110000049.1</v>
      </c>
      <c r="S931" s="22" t="str">
        <f t="shared" si="44"/>
        <v>OK</v>
      </c>
    </row>
    <row r="932" spans="1:19" ht="41.4">
      <c r="A932" s="22" t="s">
        <v>963</v>
      </c>
      <c r="B932" s="25">
        <v>45747</v>
      </c>
      <c r="C932" s="22" t="s">
        <v>723</v>
      </c>
      <c r="D932" s="22" t="s">
        <v>28</v>
      </c>
      <c r="E932" s="22" t="s">
        <v>19</v>
      </c>
      <c r="F932" s="22" t="s">
        <v>39</v>
      </c>
      <c r="G932" s="22" t="s">
        <v>26</v>
      </c>
      <c r="H932" s="22">
        <v>1</v>
      </c>
      <c r="I932" s="22">
        <v>1</v>
      </c>
      <c r="J932" s="22">
        <v>1</v>
      </c>
      <c r="K932" s="22">
        <v>1</v>
      </c>
      <c r="L932" s="22">
        <v>476.44</v>
      </c>
      <c r="M932" s="22">
        <v>0</v>
      </c>
      <c r="N932" s="22">
        <v>0</v>
      </c>
      <c r="O932" s="22">
        <v>3</v>
      </c>
      <c r="P932" s="22">
        <v>88.6</v>
      </c>
      <c r="Q932" s="22" t="str">
        <f t="shared" si="42"/>
        <v>Normal</v>
      </c>
      <c r="R932" s="26" t="str">
        <f t="shared" si="43"/>
        <v>USR-10093145747TreatmentEastDesktopReferralFree1111476.4400388.6</v>
      </c>
      <c r="S932" s="22" t="str">
        <f t="shared" si="44"/>
        <v>OK</v>
      </c>
    </row>
    <row r="933" spans="1:19" ht="41.4">
      <c r="A933" s="22" t="s">
        <v>964</v>
      </c>
      <c r="B933" s="25">
        <v>45671</v>
      </c>
      <c r="C933" s="22" t="s">
        <v>723</v>
      </c>
      <c r="D933" s="22" t="s">
        <v>28</v>
      </c>
      <c r="E933" s="22" t="s">
        <v>19</v>
      </c>
      <c r="F933" s="22" t="s">
        <v>29</v>
      </c>
      <c r="G933" s="22" t="s">
        <v>30</v>
      </c>
      <c r="H933" s="22">
        <v>0</v>
      </c>
      <c r="I933" s="22">
        <v>0</v>
      </c>
      <c r="J933" s="22">
        <v>0</v>
      </c>
      <c r="K933" s="22">
        <v>0</v>
      </c>
      <c r="L933" s="22">
        <v>0</v>
      </c>
      <c r="M933" s="22">
        <v>1</v>
      </c>
      <c r="N933" s="22">
        <v>0</v>
      </c>
      <c r="O933" s="22"/>
      <c r="P933" s="22">
        <v>54.4</v>
      </c>
      <c r="Q933" s="22" t="str">
        <f t="shared" si="42"/>
        <v>Normal</v>
      </c>
      <c r="R933" s="26" t="str">
        <f t="shared" si="43"/>
        <v>USR-10093245671TreatmentEastDesktopPaid SearchPremium000001054.4</v>
      </c>
      <c r="S933" s="22" t="str">
        <f t="shared" si="44"/>
        <v>OK</v>
      </c>
    </row>
    <row r="934" spans="1:19" ht="41.4">
      <c r="A934" s="22" t="s">
        <v>965</v>
      </c>
      <c r="B934" s="25">
        <v>45672</v>
      </c>
      <c r="C934" s="22" t="s">
        <v>723</v>
      </c>
      <c r="D934" s="22" t="s">
        <v>23</v>
      </c>
      <c r="E934" s="22" t="s">
        <v>19</v>
      </c>
      <c r="F934" s="22" t="s">
        <v>29</v>
      </c>
      <c r="G934" s="22" t="s">
        <v>30</v>
      </c>
      <c r="H934" s="22">
        <v>1</v>
      </c>
      <c r="I934" s="22">
        <v>0</v>
      </c>
      <c r="J934" s="22">
        <v>0</v>
      </c>
      <c r="K934" s="22">
        <v>0</v>
      </c>
      <c r="L934" s="22">
        <v>0</v>
      </c>
      <c r="M934" s="22">
        <v>0</v>
      </c>
      <c r="N934" s="22">
        <v>0</v>
      </c>
      <c r="O934" s="22"/>
      <c r="P934" s="22">
        <v>72.900000000000006</v>
      </c>
      <c r="Q934" s="22" t="str">
        <f t="shared" si="42"/>
        <v>Normal</v>
      </c>
      <c r="R934" s="26" t="str">
        <f t="shared" si="43"/>
        <v>USR-10093345672TreatmentWestDesktopPaid SearchPremium100000072.9</v>
      </c>
      <c r="S934" s="22" t="str">
        <f t="shared" si="44"/>
        <v>OK</v>
      </c>
    </row>
    <row r="935" spans="1:19" ht="41.4">
      <c r="A935" s="22" t="s">
        <v>966</v>
      </c>
      <c r="B935" s="25">
        <v>45772</v>
      </c>
      <c r="C935" s="22" t="s">
        <v>723</v>
      </c>
      <c r="D935" s="22" t="s">
        <v>23</v>
      </c>
      <c r="E935" s="22" t="s">
        <v>19</v>
      </c>
      <c r="F935" s="22" t="s">
        <v>25</v>
      </c>
      <c r="G935" s="22" t="s">
        <v>26</v>
      </c>
      <c r="H935" s="22">
        <v>1</v>
      </c>
      <c r="I935" s="22">
        <v>0</v>
      </c>
      <c r="J935" s="22">
        <v>0</v>
      </c>
      <c r="K935" s="22">
        <v>0</v>
      </c>
      <c r="L935" s="22">
        <v>0</v>
      </c>
      <c r="M935" s="22">
        <v>0</v>
      </c>
      <c r="N935" s="22">
        <v>0</v>
      </c>
      <c r="O935" s="22"/>
      <c r="P935" s="22">
        <v>53.2</v>
      </c>
      <c r="Q935" s="22" t="str">
        <f t="shared" si="42"/>
        <v>Normal</v>
      </c>
      <c r="R935" s="26" t="str">
        <f t="shared" si="43"/>
        <v>USR-10093445772TreatmentWestDesktopOrganicFree100000053.2</v>
      </c>
      <c r="S935" s="22" t="str">
        <f t="shared" si="44"/>
        <v>OK</v>
      </c>
    </row>
    <row r="936" spans="1:19" ht="41.4">
      <c r="A936" s="22" t="s">
        <v>967</v>
      </c>
      <c r="B936" s="25">
        <v>45737</v>
      </c>
      <c r="C936" s="22" t="s">
        <v>723</v>
      </c>
      <c r="D936" s="22" t="s">
        <v>28</v>
      </c>
      <c r="E936" s="22" t="s">
        <v>24</v>
      </c>
      <c r="F936" s="22" t="s">
        <v>25</v>
      </c>
      <c r="G936" s="22" t="s">
        <v>21</v>
      </c>
      <c r="H936" s="22">
        <v>1</v>
      </c>
      <c r="I936" s="22">
        <v>1</v>
      </c>
      <c r="J936" s="22">
        <v>0</v>
      </c>
      <c r="K936" s="22">
        <v>0</v>
      </c>
      <c r="L936" s="22">
        <v>0</v>
      </c>
      <c r="M936" s="22">
        <v>0</v>
      </c>
      <c r="N936" s="22">
        <v>0</v>
      </c>
      <c r="O936" s="22"/>
      <c r="P936" s="22">
        <v>48.7</v>
      </c>
      <c r="Q936" s="22" t="str">
        <f t="shared" si="42"/>
        <v>Normal</v>
      </c>
      <c r="R936" s="26" t="str">
        <f t="shared" si="43"/>
        <v>USR-10093545737TreatmentEastMobileOrganicBasic110000048.7</v>
      </c>
      <c r="S936" s="22" t="str">
        <f t="shared" si="44"/>
        <v>OK</v>
      </c>
    </row>
    <row r="937" spans="1:19" ht="41.4">
      <c r="A937" s="22" t="s">
        <v>968</v>
      </c>
      <c r="B937" s="25">
        <v>45773</v>
      </c>
      <c r="C937" s="22" t="s">
        <v>723</v>
      </c>
      <c r="D937" s="22" t="s">
        <v>32</v>
      </c>
      <c r="E937" s="22" t="s">
        <v>24</v>
      </c>
      <c r="F937" s="22" t="s">
        <v>29</v>
      </c>
      <c r="G937" s="22" t="s">
        <v>21</v>
      </c>
      <c r="H937" s="22">
        <v>1</v>
      </c>
      <c r="I937" s="22">
        <v>1</v>
      </c>
      <c r="J937" s="22">
        <v>1</v>
      </c>
      <c r="K937" s="22">
        <v>0</v>
      </c>
      <c r="L937" s="22">
        <v>0</v>
      </c>
      <c r="M937" s="22">
        <v>0</v>
      </c>
      <c r="N937" s="22">
        <v>0</v>
      </c>
      <c r="O937" s="22"/>
      <c r="P937" s="22">
        <v>59.9</v>
      </c>
      <c r="Q937" s="22" t="str">
        <f t="shared" si="42"/>
        <v>Normal</v>
      </c>
      <c r="R937" s="26" t="str">
        <f t="shared" si="43"/>
        <v>USR-10093645773TreatmentSouthMobilePaid SearchBasic111000059.9</v>
      </c>
      <c r="S937" s="22" t="str">
        <f t="shared" si="44"/>
        <v>OK</v>
      </c>
    </row>
    <row r="938" spans="1:19" ht="41.4">
      <c r="A938" s="22" t="s">
        <v>969</v>
      </c>
      <c r="B938" s="25">
        <v>45798</v>
      </c>
      <c r="C938" s="22" t="s">
        <v>723</v>
      </c>
      <c r="D938" s="22" t="s">
        <v>32</v>
      </c>
      <c r="E938" s="22" t="s">
        <v>19</v>
      </c>
      <c r="F938" s="22"/>
      <c r="G938" s="22" t="s">
        <v>21</v>
      </c>
      <c r="H938" s="22">
        <v>0</v>
      </c>
      <c r="I938" s="22">
        <v>0</v>
      </c>
      <c r="J938" s="22">
        <v>0</v>
      </c>
      <c r="K938" s="22">
        <v>0</v>
      </c>
      <c r="L938" s="22">
        <v>0</v>
      </c>
      <c r="M938" s="22">
        <v>0</v>
      </c>
      <c r="N938" s="22">
        <v>0</v>
      </c>
      <c r="O938" s="22"/>
      <c r="P938" s="22">
        <v>82</v>
      </c>
      <c r="Q938" s="22" t="str">
        <f t="shared" si="42"/>
        <v>Normal</v>
      </c>
      <c r="R938" s="26" t="str">
        <f t="shared" si="43"/>
        <v>USR-10093745798TreatmentSouthDesktopBasic000000082</v>
      </c>
      <c r="S938" s="22" t="str">
        <f t="shared" si="44"/>
        <v>OK</v>
      </c>
    </row>
    <row r="939" spans="1:19" ht="41.4">
      <c r="A939" s="22" t="s">
        <v>970</v>
      </c>
      <c r="B939" s="25">
        <v>45765</v>
      </c>
      <c r="C939" s="22" t="s">
        <v>723</v>
      </c>
      <c r="D939" s="22" t="s">
        <v>28</v>
      </c>
      <c r="E939" s="22" t="s">
        <v>24</v>
      </c>
      <c r="F939" s="22" t="s">
        <v>29</v>
      </c>
      <c r="G939" s="22" t="s">
        <v>26</v>
      </c>
      <c r="H939" s="22">
        <v>0</v>
      </c>
      <c r="I939" s="22">
        <v>0</v>
      </c>
      <c r="J939" s="22">
        <v>0</v>
      </c>
      <c r="K939" s="22">
        <v>0</v>
      </c>
      <c r="L939" s="22">
        <v>0</v>
      </c>
      <c r="M939" s="22">
        <v>0</v>
      </c>
      <c r="N939" s="22">
        <v>0</v>
      </c>
      <c r="O939" s="22"/>
      <c r="P939" s="22">
        <v>72.099999999999994</v>
      </c>
      <c r="Q939" s="22" t="str">
        <f t="shared" si="42"/>
        <v>Normal</v>
      </c>
      <c r="R939" s="26" t="str">
        <f t="shared" si="43"/>
        <v>USR-10093845765TreatmentEastMobilePaid SearchFree000000072.1</v>
      </c>
      <c r="S939" s="22" t="str">
        <f t="shared" si="44"/>
        <v>OK</v>
      </c>
    </row>
    <row r="940" spans="1:19" ht="41.4">
      <c r="A940" s="22" t="s">
        <v>971</v>
      </c>
      <c r="B940" s="25">
        <v>45686</v>
      </c>
      <c r="C940" s="22" t="s">
        <v>723</v>
      </c>
      <c r="D940" s="22" t="s">
        <v>18</v>
      </c>
      <c r="E940" s="22" t="s">
        <v>19</v>
      </c>
      <c r="F940" s="22" t="s">
        <v>20</v>
      </c>
      <c r="G940" s="22" t="s">
        <v>30</v>
      </c>
      <c r="H940" s="22">
        <v>1</v>
      </c>
      <c r="I940" s="22">
        <v>1</v>
      </c>
      <c r="J940" s="22">
        <v>0</v>
      </c>
      <c r="K940" s="22">
        <v>0</v>
      </c>
      <c r="L940" s="22">
        <v>0</v>
      </c>
      <c r="M940" s="22">
        <v>0</v>
      </c>
      <c r="N940" s="22">
        <v>0</v>
      </c>
      <c r="O940" s="22"/>
      <c r="P940" s="22">
        <v>68.3</v>
      </c>
      <c r="Q940" s="22" t="str">
        <f t="shared" si="42"/>
        <v>Normal</v>
      </c>
      <c r="R940" s="26" t="str">
        <f t="shared" si="43"/>
        <v>USR-10093945686TreatmentNorthDesktopEmailPremium110000068.3</v>
      </c>
      <c r="S940" s="22" t="str">
        <f t="shared" si="44"/>
        <v>OK</v>
      </c>
    </row>
    <row r="941" spans="1:19" ht="41.4">
      <c r="A941" s="22" t="s">
        <v>972</v>
      </c>
      <c r="B941" s="25">
        <v>45805</v>
      </c>
      <c r="C941" s="22" t="s">
        <v>723</v>
      </c>
      <c r="D941" s="22" t="s">
        <v>23</v>
      </c>
      <c r="E941" s="22" t="s">
        <v>24</v>
      </c>
      <c r="F941" s="22" t="s">
        <v>25</v>
      </c>
      <c r="G941" s="22" t="s">
        <v>30</v>
      </c>
      <c r="H941" s="22">
        <v>0</v>
      </c>
      <c r="I941" s="22">
        <v>0</v>
      </c>
      <c r="J941" s="22">
        <v>0</v>
      </c>
      <c r="K941" s="22">
        <v>0</v>
      </c>
      <c r="L941" s="22">
        <v>0</v>
      </c>
      <c r="M941" s="22">
        <v>0</v>
      </c>
      <c r="N941" s="22">
        <v>0</v>
      </c>
      <c r="O941" s="22"/>
      <c r="P941" s="22">
        <v>100</v>
      </c>
      <c r="Q941" s="22" t="str">
        <f t="shared" si="42"/>
        <v>Normal</v>
      </c>
      <c r="R941" s="26" t="str">
        <f t="shared" si="43"/>
        <v>USR-10094045805TreatmentWestMobileOrganicPremium0000000100</v>
      </c>
      <c r="S941" s="22" t="str">
        <f t="shared" si="44"/>
        <v>OK</v>
      </c>
    </row>
    <row r="942" spans="1:19" ht="41.4">
      <c r="A942" s="22" t="s">
        <v>973</v>
      </c>
      <c r="B942" s="25">
        <v>45672</v>
      </c>
      <c r="C942" s="22" t="s">
        <v>723</v>
      </c>
      <c r="D942" s="22" t="s">
        <v>28</v>
      </c>
      <c r="E942" s="22" t="s">
        <v>24</v>
      </c>
      <c r="F942" s="22" t="s">
        <v>20</v>
      </c>
      <c r="G942" s="22" t="s">
        <v>26</v>
      </c>
      <c r="H942" s="22">
        <v>1</v>
      </c>
      <c r="I942" s="22">
        <v>1</v>
      </c>
      <c r="J942" s="22">
        <v>1</v>
      </c>
      <c r="K942" s="22">
        <v>0</v>
      </c>
      <c r="L942" s="22">
        <v>0</v>
      </c>
      <c r="M942" s="22">
        <v>2</v>
      </c>
      <c r="N942" s="22">
        <v>0</v>
      </c>
      <c r="O942" s="22"/>
      <c r="P942" s="22">
        <v>76.5</v>
      </c>
      <c r="Q942" s="22" t="str">
        <f t="shared" si="42"/>
        <v>Normal</v>
      </c>
      <c r="R942" s="26" t="str">
        <f t="shared" si="43"/>
        <v>USR-10094145672TreatmentEastMobileEmailFree111002076.5</v>
      </c>
      <c r="S942" s="22" t="str">
        <f t="shared" si="44"/>
        <v>OK</v>
      </c>
    </row>
    <row r="943" spans="1:19" ht="41.4">
      <c r="A943" s="22" t="s">
        <v>974</v>
      </c>
      <c r="B943" s="25">
        <v>45660</v>
      </c>
      <c r="C943" s="22" t="s">
        <v>723</v>
      </c>
      <c r="D943" s="22" t="s">
        <v>32</v>
      </c>
      <c r="E943" s="22" t="s">
        <v>24</v>
      </c>
      <c r="F943" s="22" t="s">
        <v>25</v>
      </c>
      <c r="G943" s="22" t="s">
        <v>21</v>
      </c>
      <c r="H943" s="22">
        <v>1</v>
      </c>
      <c r="I943" s="22">
        <v>1</v>
      </c>
      <c r="J943" s="22">
        <v>0</v>
      </c>
      <c r="K943" s="22">
        <v>0</v>
      </c>
      <c r="L943" s="22">
        <v>0</v>
      </c>
      <c r="M943" s="22">
        <v>0</v>
      </c>
      <c r="N943" s="22">
        <v>0</v>
      </c>
      <c r="O943" s="22"/>
      <c r="P943" s="22">
        <v>62</v>
      </c>
      <c r="Q943" s="22" t="str">
        <f t="shared" si="42"/>
        <v>Normal</v>
      </c>
      <c r="R943" s="26" t="str">
        <f t="shared" si="43"/>
        <v>USR-10094245660TreatmentSouthMobileOrganicBasic110000062</v>
      </c>
      <c r="S943" s="22" t="str">
        <f t="shared" si="44"/>
        <v>OK</v>
      </c>
    </row>
    <row r="944" spans="1:19" ht="55.2">
      <c r="A944" s="22" t="s">
        <v>975</v>
      </c>
      <c r="B944" s="25">
        <v>45692</v>
      </c>
      <c r="C944" s="22" t="s">
        <v>723</v>
      </c>
      <c r="D944" s="22" t="s">
        <v>32</v>
      </c>
      <c r="E944" s="22" t="s">
        <v>24</v>
      </c>
      <c r="F944" s="22" t="s">
        <v>29</v>
      </c>
      <c r="G944" s="22" t="s">
        <v>26</v>
      </c>
      <c r="H944" s="22">
        <v>1</v>
      </c>
      <c r="I944" s="22">
        <v>1</v>
      </c>
      <c r="J944" s="22">
        <v>1</v>
      </c>
      <c r="K944" s="22">
        <v>1</v>
      </c>
      <c r="L944" s="22">
        <v>324.68</v>
      </c>
      <c r="M944" s="22">
        <v>1</v>
      </c>
      <c r="N944" s="22">
        <v>0</v>
      </c>
      <c r="O944" s="22">
        <v>7</v>
      </c>
      <c r="P944" s="22">
        <v>50.1</v>
      </c>
      <c r="Q944" s="22" t="str">
        <f t="shared" si="42"/>
        <v>Normal</v>
      </c>
      <c r="R944" s="26" t="str">
        <f t="shared" si="43"/>
        <v>USR-10094345692TreatmentSouthMobilePaid SearchFree1111324.6810750.1</v>
      </c>
      <c r="S944" s="22" t="str">
        <f t="shared" si="44"/>
        <v>OK</v>
      </c>
    </row>
    <row r="945" spans="1:19" ht="41.4">
      <c r="A945" s="22" t="s">
        <v>976</v>
      </c>
      <c r="B945" s="25">
        <v>45710</v>
      </c>
      <c r="C945" s="22" t="s">
        <v>723</v>
      </c>
      <c r="D945" s="22" t="s">
        <v>32</v>
      </c>
      <c r="E945" s="22" t="s">
        <v>24</v>
      </c>
      <c r="F945" s="22" t="s">
        <v>39</v>
      </c>
      <c r="G945" s="22" t="s">
        <v>30</v>
      </c>
      <c r="H945" s="22">
        <v>1</v>
      </c>
      <c r="I945" s="22">
        <v>0</v>
      </c>
      <c r="J945" s="22">
        <v>0</v>
      </c>
      <c r="K945" s="22">
        <v>0</v>
      </c>
      <c r="L945" s="22">
        <v>0</v>
      </c>
      <c r="M945" s="22">
        <v>0</v>
      </c>
      <c r="N945" s="22">
        <v>0</v>
      </c>
      <c r="O945" s="22"/>
      <c r="P945" s="22">
        <v>62.1</v>
      </c>
      <c r="Q945" s="22" t="str">
        <f t="shared" si="42"/>
        <v>Normal</v>
      </c>
      <c r="R945" s="26" t="str">
        <f t="shared" si="43"/>
        <v>USR-10094445710TreatmentSouthMobileReferralPremium100000062.1</v>
      </c>
      <c r="S945" s="22" t="str">
        <f t="shared" si="44"/>
        <v>OK</v>
      </c>
    </row>
    <row r="946" spans="1:19" ht="41.4">
      <c r="A946" s="22" t="s">
        <v>977</v>
      </c>
      <c r="B946" s="25">
        <v>45783</v>
      </c>
      <c r="C946" s="22" t="s">
        <v>723</v>
      </c>
      <c r="D946" s="22" t="s">
        <v>23</v>
      </c>
      <c r="E946" s="22" t="s">
        <v>24</v>
      </c>
      <c r="F946" s="22" t="s">
        <v>25</v>
      </c>
      <c r="G946" s="22" t="s">
        <v>21</v>
      </c>
      <c r="H946" s="22">
        <v>1</v>
      </c>
      <c r="I946" s="22">
        <v>0</v>
      </c>
      <c r="J946" s="22">
        <v>0</v>
      </c>
      <c r="K946" s="22">
        <v>0</v>
      </c>
      <c r="L946" s="22">
        <v>0</v>
      </c>
      <c r="M946" s="22">
        <v>0</v>
      </c>
      <c r="N946" s="22">
        <v>0</v>
      </c>
      <c r="O946" s="22"/>
      <c r="P946" s="22">
        <v>49.7</v>
      </c>
      <c r="Q946" s="22" t="str">
        <f t="shared" si="42"/>
        <v>Normal</v>
      </c>
      <c r="R946" s="26" t="str">
        <f t="shared" si="43"/>
        <v>USR-10094545783TreatmentWestMobileOrganicBasic100000049.7</v>
      </c>
      <c r="S946" s="22" t="str">
        <f t="shared" si="44"/>
        <v>OK</v>
      </c>
    </row>
    <row r="947" spans="1:19" ht="41.4">
      <c r="A947" s="22" t="s">
        <v>978</v>
      </c>
      <c r="B947" s="25">
        <v>45688</v>
      </c>
      <c r="C947" s="22" t="s">
        <v>723</v>
      </c>
      <c r="D947" s="22" t="s">
        <v>32</v>
      </c>
      <c r="E947" s="22" t="s">
        <v>24</v>
      </c>
      <c r="F947" s="22" t="s">
        <v>25</v>
      </c>
      <c r="G947" s="22" t="s">
        <v>26</v>
      </c>
      <c r="H947" s="22">
        <v>1</v>
      </c>
      <c r="I947" s="22">
        <v>0</v>
      </c>
      <c r="J947" s="22">
        <v>0</v>
      </c>
      <c r="K947" s="22">
        <v>0</v>
      </c>
      <c r="L947" s="22">
        <v>0</v>
      </c>
      <c r="M947" s="22">
        <v>3</v>
      </c>
      <c r="N947" s="22">
        <v>0</v>
      </c>
      <c r="O947" s="22"/>
      <c r="P947" s="22">
        <v>71.099999999999994</v>
      </c>
      <c r="Q947" s="22" t="str">
        <f t="shared" si="42"/>
        <v>Normal</v>
      </c>
      <c r="R947" s="26" t="str">
        <f t="shared" si="43"/>
        <v>USR-10094645688TreatmentSouthMobileOrganicFree100003071.1</v>
      </c>
      <c r="S947" s="22" t="str">
        <f t="shared" si="44"/>
        <v>OK</v>
      </c>
    </row>
    <row r="948" spans="1:19" ht="41.4">
      <c r="A948" s="22" t="s">
        <v>979</v>
      </c>
      <c r="B948" s="25">
        <v>45706</v>
      </c>
      <c r="C948" s="22" t="s">
        <v>723</v>
      </c>
      <c r="D948" s="22" t="s">
        <v>18</v>
      </c>
      <c r="E948" s="22" t="s">
        <v>24</v>
      </c>
      <c r="F948" s="22" t="s">
        <v>41</v>
      </c>
      <c r="G948" s="22" t="s">
        <v>21</v>
      </c>
      <c r="H948" s="22">
        <v>0</v>
      </c>
      <c r="I948" s="22">
        <v>0</v>
      </c>
      <c r="J948" s="22">
        <v>0</v>
      </c>
      <c r="K948" s="22">
        <v>0</v>
      </c>
      <c r="L948" s="22">
        <v>0</v>
      </c>
      <c r="M948" s="22">
        <v>0</v>
      </c>
      <c r="N948" s="22">
        <v>0</v>
      </c>
      <c r="O948" s="22"/>
      <c r="P948" s="22">
        <v>70.8</v>
      </c>
      <c r="Q948" s="22" t="str">
        <f t="shared" si="42"/>
        <v>Normal</v>
      </c>
      <c r="R948" s="26" t="str">
        <f t="shared" si="43"/>
        <v>USR-10094745706TreatmentNorthMobileSocialBasic000000070.8</v>
      </c>
      <c r="S948" s="22" t="str">
        <f t="shared" si="44"/>
        <v>OK</v>
      </c>
    </row>
    <row r="949" spans="1:19" ht="55.2">
      <c r="A949" s="22" t="s">
        <v>980</v>
      </c>
      <c r="B949" s="25">
        <v>45770</v>
      </c>
      <c r="C949" s="22" t="s">
        <v>723</v>
      </c>
      <c r="D949" s="22" t="s">
        <v>28</v>
      </c>
      <c r="E949" s="22" t="s">
        <v>24</v>
      </c>
      <c r="F949" s="22" t="s">
        <v>29</v>
      </c>
      <c r="G949" s="22" t="s">
        <v>26</v>
      </c>
      <c r="H949" s="22">
        <v>1</v>
      </c>
      <c r="I949" s="22">
        <v>1</v>
      </c>
      <c r="J949" s="22">
        <v>1</v>
      </c>
      <c r="K949" s="22">
        <v>1</v>
      </c>
      <c r="L949" s="22">
        <v>301.98</v>
      </c>
      <c r="M949" s="22">
        <v>0</v>
      </c>
      <c r="N949" s="22">
        <v>0</v>
      </c>
      <c r="O949" s="22">
        <v>10</v>
      </c>
      <c r="P949" s="22">
        <v>52.2</v>
      </c>
      <c r="Q949" s="22" t="str">
        <f t="shared" si="42"/>
        <v>Normal</v>
      </c>
      <c r="R949" s="26" t="str">
        <f t="shared" si="43"/>
        <v>USR-10094845770TreatmentEastMobilePaid SearchFree1111301.98001052.2</v>
      </c>
      <c r="S949" s="22" t="str">
        <f t="shared" si="44"/>
        <v>OK</v>
      </c>
    </row>
    <row r="950" spans="1:19" ht="41.4">
      <c r="A950" s="22" t="s">
        <v>981</v>
      </c>
      <c r="B950" s="25">
        <v>45694</v>
      </c>
      <c r="C950" s="22" t="s">
        <v>723</v>
      </c>
      <c r="D950" s="22" t="s">
        <v>18</v>
      </c>
      <c r="E950" s="22" t="s">
        <v>24</v>
      </c>
      <c r="F950" s="22" t="s">
        <v>25</v>
      </c>
      <c r="G950" s="22" t="s">
        <v>26</v>
      </c>
      <c r="H950" s="22">
        <v>1</v>
      </c>
      <c r="I950" s="22">
        <v>1</v>
      </c>
      <c r="J950" s="22">
        <v>1</v>
      </c>
      <c r="K950" s="22">
        <v>0</v>
      </c>
      <c r="L950" s="22">
        <v>0</v>
      </c>
      <c r="M950" s="22">
        <v>0</v>
      </c>
      <c r="N950" s="22">
        <v>0</v>
      </c>
      <c r="O950" s="22"/>
      <c r="P950" s="22">
        <v>73</v>
      </c>
      <c r="Q950" s="22" t="str">
        <f t="shared" si="42"/>
        <v>Normal</v>
      </c>
      <c r="R950" s="26" t="str">
        <f t="shared" si="43"/>
        <v>USR-10094945694TreatmentNorthMobileOrganicFree111000073</v>
      </c>
      <c r="S950" s="22" t="str">
        <f t="shared" si="44"/>
        <v>OK</v>
      </c>
    </row>
    <row r="951" spans="1:19" ht="41.4">
      <c r="A951" s="22" t="s">
        <v>982</v>
      </c>
      <c r="B951" s="25">
        <v>45773</v>
      </c>
      <c r="C951" s="22" t="s">
        <v>723</v>
      </c>
      <c r="D951" s="22" t="s">
        <v>32</v>
      </c>
      <c r="E951" s="22" t="s">
        <v>19</v>
      </c>
      <c r="F951" s="22" t="s">
        <v>29</v>
      </c>
      <c r="G951" s="22" t="s">
        <v>26</v>
      </c>
      <c r="H951" s="22">
        <v>0</v>
      </c>
      <c r="I951" s="22">
        <v>0</v>
      </c>
      <c r="J951" s="22">
        <v>0</v>
      </c>
      <c r="K951" s="22">
        <v>0</v>
      </c>
      <c r="L951" s="22">
        <v>0</v>
      </c>
      <c r="M951" s="22">
        <v>0</v>
      </c>
      <c r="N951" s="22">
        <v>0</v>
      </c>
      <c r="O951" s="22"/>
      <c r="P951" s="22">
        <v>78.2</v>
      </c>
      <c r="Q951" s="22" t="str">
        <f t="shared" si="42"/>
        <v>Normal</v>
      </c>
      <c r="R951" s="26" t="str">
        <f t="shared" si="43"/>
        <v>USR-10095045773TreatmentSouthDesktopPaid SearchFree000000078.2</v>
      </c>
      <c r="S951" s="22" t="str">
        <f t="shared" si="44"/>
        <v>OK</v>
      </c>
    </row>
    <row r="952" spans="1:19" ht="41.4">
      <c r="A952" s="22" t="s">
        <v>983</v>
      </c>
      <c r="B952" s="25">
        <v>45746</v>
      </c>
      <c r="C952" s="22" t="s">
        <v>723</v>
      </c>
      <c r="D952" s="22" t="s">
        <v>23</v>
      </c>
      <c r="E952" s="22" t="s">
        <v>19</v>
      </c>
      <c r="F952" s="22" t="s">
        <v>29</v>
      </c>
      <c r="G952" s="22" t="s">
        <v>21</v>
      </c>
      <c r="H952" s="22">
        <v>1</v>
      </c>
      <c r="I952" s="22">
        <v>0</v>
      </c>
      <c r="J952" s="22">
        <v>0</v>
      </c>
      <c r="K952" s="22">
        <v>0</v>
      </c>
      <c r="L952" s="22">
        <v>0</v>
      </c>
      <c r="M952" s="22">
        <v>0</v>
      </c>
      <c r="N952" s="22">
        <v>0</v>
      </c>
      <c r="O952" s="22"/>
      <c r="P952" s="22">
        <v>68.8</v>
      </c>
      <c r="Q952" s="22" t="str">
        <f t="shared" si="42"/>
        <v>Normal</v>
      </c>
      <c r="R952" s="26" t="str">
        <f t="shared" si="43"/>
        <v>USR-10095145746TreatmentWestDesktopPaid SearchBasic100000068.8</v>
      </c>
      <c r="S952" s="22" t="str">
        <f t="shared" si="44"/>
        <v>OK</v>
      </c>
    </row>
    <row r="953" spans="1:19" ht="41.4">
      <c r="A953" s="22" t="s">
        <v>984</v>
      </c>
      <c r="B953" s="25">
        <v>45760</v>
      </c>
      <c r="C953" s="22" t="s">
        <v>723</v>
      </c>
      <c r="D953" s="22" t="s">
        <v>23</v>
      </c>
      <c r="E953" s="22" t="s">
        <v>24</v>
      </c>
      <c r="F953" s="22"/>
      <c r="G953" s="22" t="s">
        <v>30</v>
      </c>
      <c r="H953" s="22">
        <v>1</v>
      </c>
      <c r="I953" s="22">
        <v>0</v>
      </c>
      <c r="J953" s="22">
        <v>0</v>
      </c>
      <c r="K953" s="22">
        <v>0</v>
      </c>
      <c r="L953" s="22">
        <v>0</v>
      </c>
      <c r="M953" s="22">
        <v>0</v>
      </c>
      <c r="N953" s="22">
        <v>0</v>
      </c>
      <c r="O953" s="22"/>
      <c r="P953" s="22">
        <v>57.1</v>
      </c>
      <c r="Q953" s="22" t="str">
        <f t="shared" si="42"/>
        <v>Normal</v>
      </c>
      <c r="R953" s="26" t="str">
        <f t="shared" si="43"/>
        <v>USR-10095245760TreatmentWestMobilePremium100000057.1</v>
      </c>
      <c r="S953" s="22" t="str">
        <f t="shared" si="44"/>
        <v>OK</v>
      </c>
    </row>
    <row r="954" spans="1:19" ht="41.4">
      <c r="A954" s="22" t="s">
        <v>985</v>
      </c>
      <c r="B954" s="25">
        <v>45751</v>
      </c>
      <c r="C954" s="22" t="s">
        <v>723</v>
      </c>
      <c r="D954" s="22" t="s">
        <v>28</v>
      </c>
      <c r="E954" s="22" t="s">
        <v>19</v>
      </c>
      <c r="F954" s="22" t="s">
        <v>25</v>
      </c>
      <c r="G954" s="22" t="s">
        <v>30</v>
      </c>
      <c r="H954" s="22">
        <v>0</v>
      </c>
      <c r="I954" s="22">
        <v>0</v>
      </c>
      <c r="J954" s="22">
        <v>0</v>
      </c>
      <c r="K954" s="22">
        <v>0</v>
      </c>
      <c r="L954" s="22">
        <v>0</v>
      </c>
      <c r="M954" s="22">
        <v>1</v>
      </c>
      <c r="N954" s="22">
        <v>0</v>
      </c>
      <c r="O954" s="22"/>
      <c r="P954" s="22">
        <v>74.599999999999994</v>
      </c>
      <c r="Q954" s="22" t="str">
        <f t="shared" si="42"/>
        <v>Normal</v>
      </c>
      <c r="R954" s="26" t="str">
        <f t="shared" si="43"/>
        <v>USR-10095345751TreatmentEastDesktopOrganicPremium000001074.6</v>
      </c>
      <c r="S954" s="22" t="str">
        <f t="shared" si="44"/>
        <v>OK</v>
      </c>
    </row>
    <row r="955" spans="1:19" ht="41.4">
      <c r="A955" s="22" t="s">
        <v>986</v>
      </c>
      <c r="B955" s="25">
        <v>45750</v>
      </c>
      <c r="C955" s="22" t="s">
        <v>723</v>
      </c>
      <c r="D955" s="22" t="s">
        <v>18</v>
      </c>
      <c r="E955" s="22" t="s">
        <v>19</v>
      </c>
      <c r="F955" s="22" t="s">
        <v>39</v>
      </c>
      <c r="G955" s="22" t="s">
        <v>26</v>
      </c>
      <c r="H955" s="22">
        <v>1</v>
      </c>
      <c r="I955" s="22">
        <v>0</v>
      </c>
      <c r="J955" s="22">
        <v>0</v>
      </c>
      <c r="K955" s="22">
        <v>0</v>
      </c>
      <c r="L955" s="22">
        <v>0</v>
      </c>
      <c r="M955" s="22">
        <v>1</v>
      </c>
      <c r="N955" s="22">
        <v>0</v>
      </c>
      <c r="O955" s="22"/>
      <c r="P955" s="22">
        <v>64.099999999999994</v>
      </c>
      <c r="Q955" s="22" t="str">
        <f t="shared" si="42"/>
        <v>Normal</v>
      </c>
      <c r="R955" s="26" t="str">
        <f t="shared" si="43"/>
        <v>USR-10095445750TreatmentNorthDesktopReferralFree100001064.1</v>
      </c>
      <c r="S955" s="22" t="str">
        <f t="shared" si="44"/>
        <v>OK</v>
      </c>
    </row>
    <row r="956" spans="1:19" ht="41.4">
      <c r="A956" s="22" t="s">
        <v>987</v>
      </c>
      <c r="B956" s="25">
        <v>45730</v>
      </c>
      <c r="C956" s="22" t="s">
        <v>723</v>
      </c>
      <c r="D956" s="22" t="s">
        <v>23</v>
      </c>
      <c r="E956" s="22" t="s">
        <v>24</v>
      </c>
      <c r="F956" s="22" t="s">
        <v>29</v>
      </c>
      <c r="G956" s="22" t="s">
        <v>30</v>
      </c>
      <c r="H956" s="22">
        <v>1</v>
      </c>
      <c r="I956" s="22">
        <v>0</v>
      </c>
      <c r="J956" s="22">
        <v>0</v>
      </c>
      <c r="K956" s="22">
        <v>0</v>
      </c>
      <c r="L956" s="22">
        <v>0</v>
      </c>
      <c r="M956" s="22">
        <v>0</v>
      </c>
      <c r="N956" s="22">
        <v>0</v>
      </c>
      <c r="O956" s="22"/>
      <c r="P956" s="22">
        <v>67.3</v>
      </c>
      <c r="Q956" s="22" t="str">
        <f t="shared" si="42"/>
        <v>Normal</v>
      </c>
      <c r="R956" s="26" t="str">
        <f t="shared" si="43"/>
        <v>USR-10095545730TreatmentWestMobilePaid SearchPremium100000067.3</v>
      </c>
      <c r="S956" s="22" t="str">
        <f t="shared" si="44"/>
        <v>OK</v>
      </c>
    </row>
    <row r="957" spans="1:19" ht="41.4">
      <c r="A957" s="22" t="s">
        <v>988</v>
      </c>
      <c r="B957" s="25">
        <v>45671</v>
      </c>
      <c r="C957" s="22" t="s">
        <v>723</v>
      </c>
      <c r="D957" s="22" t="s">
        <v>23</v>
      </c>
      <c r="E957" s="22" t="s">
        <v>24</v>
      </c>
      <c r="F957" s="22" t="s">
        <v>39</v>
      </c>
      <c r="G957" s="22" t="s">
        <v>26</v>
      </c>
      <c r="H957" s="22">
        <v>0</v>
      </c>
      <c r="I957" s="22">
        <v>0</v>
      </c>
      <c r="J957" s="22">
        <v>0</v>
      </c>
      <c r="K957" s="22">
        <v>0</v>
      </c>
      <c r="L957" s="22">
        <v>0</v>
      </c>
      <c r="M957" s="22">
        <v>2</v>
      </c>
      <c r="N957" s="22">
        <v>0</v>
      </c>
      <c r="O957" s="22"/>
      <c r="P957" s="22">
        <v>41</v>
      </c>
      <c r="Q957" s="22" t="str">
        <f t="shared" si="42"/>
        <v>Normal</v>
      </c>
      <c r="R957" s="26" t="str">
        <f t="shared" si="43"/>
        <v>USR-10095645671TreatmentWestMobileReferralFree000002041</v>
      </c>
      <c r="S957" s="22" t="str">
        <f t="shared" si="44"/>
        <v>OK</v>
      </c>
    </row>
    <row r="958" spans="1:19" ht="41.4">
      <c r="A958" s="22" t="s">
        <v>989</v>
      </c>
      <c r="B958" s="25">
        <v>45782</v>
      </c>
      <c r="C958" s="22" t="s">
        <v>723</v>
      </c>
      <c r="D958" s="22" t="s">
        <v>23</v>
      </c>
      <c r="E958" s="22" t="s">
        <v>24</v>
      </c>
      <c r="F958" s="22" t="s">
        <v>29</v>
      </c>
      <c r="G958" s="22" t="s">
        <v>26</v>
      </c>
      <c r="H958" s="22">
        <v>0</v>
      </c>
      <c r="I958" s="22">
        <v>0</v>
      </c>
      <c r="J958" s="22">
        <v>0</v>
      </c>
      <c r="K958" s="22">
        <v>0</v>
      </c>
      <c r="L958" s="22">
        <v>0</v>
      </c>
      <c r="M958" s="22">
        <v>0</v>
      </c>
      <c r="N958" s="22">
        <v>0</v>
      </c>
      <c r="O958" s="22"/>
      <c r="P958" s="22">
        <v>48.1</v>
      </c>
      <c r="Q958" s="22" t="str">
        <f t="shared" si="42"/>
        <v>Normal</v>
      </c>
      <c r="R958" s="26" t="str">
        <f t="shared" si="43"/>
        <v>USR-10095745782TreatmentWestMobilePaid SearchFree000000048.1</v>
      </c>
      <c r="S958" s="22" t="str">
        <f t="shared" si="44"/>
        <v>OK</v>
      </c>
    </row>
    <row r="959" spans="1:19" ht="41.4">
      <c r="A959" s="22" t="s">
        <v>990</v>
      </c>
      <c r="B959" s="25">
        <v>45779</v>
      </c>
      <c r="C959" s="22" t="s">
        <v>723</v>
      </c>
      <c r="D959" s="22" t="s">
        <v>23</v>
      </c>
      <c r="E959" s="22" t="s">
        <v>19</v>
      </c>
      <c r="F959" s="22" t="s">
        <v>41</v>
      </c>
      <c r="G959" s="22" t="s">
        <v>26</v>
      </c>
      <c r="H959" s="22">
        <v>0</v>
      </c>
      <c r="I959" s="22">
        <v>0</v>
      </c>
      <c r="J959" s="22">
        <v>0</v>
      </c>
      <c r="K959" s="22">
        <v>0</v>
      </c>
      <c r="L959" s="22">
        <v>0</v>
      </c>
      <c r="M959" s="22">
        <v>1</v>
      </c>
      <c r="N959" s="22">
        <v>0</v>
      </c>
      <c r="O959" s="22"/>
      <c r="P959" s="22">
        <v>60.8</v>
      </c>
      <c r="Q959" s="22" t="str">
        <f t="shared" si="42"/>
        <v>Normal</v>
      </c>
      <c r="R959" s="26" t="str">
        <f t="shared" si="43"/>
        <v>USR-10095845779TreatmentWestDesktopSocialFree000001060.8</v>
      </c>
      <c r="S959" s="22" t="str">
        <f t="shared" si="44"/>
        <v>OK</v>
      </c>
    </row>
    <row r="960" spans="1:19" ht="41.4">
      <c r="A960" s="22" t="s">
        <v>991</v>
      </c>
      <c r="B960" s="25">
        <v>45798</v>
      </c>
      <c r="C960" s="22" t="s">
        <v>723</v>
      </c>
      <c r="D960" s="22" t="s">
        <v>28</v>
      </c>
      <c r="E960" s="22" t="s">
        <v>24</v>
      </c>
      <c r="F960" s="22" t="s">
        <v>25</v>
      </c>
      <c r="G960" s="22" t="s">
        <v>26</v>
      </c>
      <c r="H960" s="22">
        <v>1</v>
      </c>
      <c r="I960" s="22">
        <v>0</v>
      </c>
      <c r="J960" s="22">
        <v>0</v>
      </c>
      <c r="K960" s="22">
        <v>0</v>
      </c>
      <c r="L960" s="22">
        <v>0</v>
      </c>
      <c r="M960" s="22">
        <v>0</v>
      </c>
      <c r="N960" s="22">
        <v>0</v>
      </c>
      <c r="O960" s="22"/>
      <c r="P960" s="22">
        <v>63.1</v>
      </c>
      <c r="Q960" s="22" t="str">
        <f t="shared" si="42"/>
        <v>Normal</v>
      </c>
      <c r="R960" s="26" t="str">
        <f t="shared" si="43"/>
        <v>USR-10095945798TreatmentEastMobileOrganicFree100000063.1</v>
      </c>
      <c r="S960" s="22" t="str">
        <f t="shared" si="44"/>
        <v>OK</v>
      </c>
    </row>
    <row r="961" spans="1:19" ht="41.4">
      <c r="A961" s="22" t="s">
        <v>992</v>
      </c>
      <c r="B961" s="25">
        <v>45793</v>
      </c>
      <c r="C961" s="22" t="s">
        <v>723</v>
      </c>
      <c r="D961" s="22" t="s">
        <v>18</v>
      </c>
      <c r="E961" s="22" t="s">
        <v>24</v>
      </c>
      <c r="F961" s="22" t="s">
        <v>39</v>
      </c>
      <c r="G961" s="22" t="s">
        <v>30</v>
      </c>
      <c r="H961" s="22">
        <v>1</v>
      </c>
      <c r="I961" s="22">
        <v>0</v>
      </c>
      <c r="J961" s="22">
        <v>0</v>
      </c>
      <c r="K961" s="22">
        <v>0</v>
      </c>
      <c r="L961" s="22">
        <v>0</v>
      </c>
      <c r="M961" s="22">
        <v>2</v>
      </c>
      <c r="N961" s="22">
        <v>0</v>
      </c>
      <c r="O961" s="22"/>
      <c r="P961" s="22">
        <v>49.7</v>
      </c>
      <c r="Q961" s="22" t="str">
        <f t="shared" si="42"/>
        <v>Normal</v>
      </c>
      <c r="R961" s="26" t="str">
        <f t="shared" si="43"/>
        <v>USR-10096045793TreatmentNorthMobileReferralPremium100002049.7</v>
      </c>
      <c r="S961" s="22" t="str">
        <f t="shared" si="44"/>
        <v>OK</v>
      </c>
    </row>
    <row r="962" spans="1:19" ht="41.4">
      <c r="A962" s="22" t="s">
        <v>993</v>
      </c>
      <c r="B962" s="25">
        <v>45801</v>
      </c>
      <c r="C962" s="22" t="s">
        <v>723</v>
      </c>
      <c r="D962" s="22" t="s">
        <v>28</v>
      </c>
      <c r="E962" s="22" t="s">
        <v>19</v>
      </c>
      <c r="F962" s="22" t="s">
        <v>25</v>
      </c>
      <c r="G962" s="22" t="s">
        <v>30</v>
      </c>
      <c r="H962" s="22">
        <v>1</v>
      </c>
      <c r="I962" s="22">
        <v>1</v>
      </c>
      <c r="J962" s="22">
        <v>1</v>
      </c>
      <c r="K962" s="22">
        <v>0</v>
      </c>
      <c r="L962" s="22">
        <v>0</v>
      </c>
      <c r="M962" s="22">
        <v>1</v>
      </c>
      <c r="N962" s="22">
        <v>0</v>
      </c>
      <c r="O962" s="22"/>
      <c r="P962" s="22">
        <v>83.4</v>
      </c>
      <c r="Q962" s="22" t="str">
        <f t="shared" si="42"/>
        <v>Normal</v>
      </c>
      <c r="R962" s="26" t="str">
        <f t="shared" si="43"/>
        <v>USR-10096145801TreatmentEastDesktopOrganicPremium111001083.4</v>
      </c>
      <c r="S962" s="22" t="str">
        <f t="shared" si="44"/>
        <v>OK</v>
      </c>
    </row>
    <row r="963" spans="1:19" ht="41.4">
      <c r="A963" s="22" t="s">
        <v>994</v>
      </c>
      <c r="B963" s="25">
        <v>45734</v>
      </c>
      <c r="C963" s="22" t="s">
        <v>723</v>
      </c>
      <c r="D963" s="22" t="s">
        <v>28</v>
      </c>
      <c r="E963" s="22" t="s">
        <v>24</v>
      </c>
      <c r="F963" s="22" t="s">
        <v>25</v>
      </c>
      <c r="G963" s="22" t="s">
        <v>21</v>
      </c>
      <c r="H963" s="22">
        <v>1</v>
      </c>
      <c r="I963" s="22">
        <v>0</v>
      </c>
      <c r="J963" s="22">
        <v>0</v>
      </c>
      <c r="K963" s="22">
        <v>0</v>
      </c>
      <c r="L963" s="22">
        <v>0</v>
      </c>
      <c r="M963" s="22">
        <v>0</v>
      </c>
      <c r="N963" s="22">
        <v>0</v>
      </c>
      <c r="O963" s="22"/>
      <c r="P963" s="22">
        <v>75.900000000000006</v>
      </c>
      <c r="Q963" s="22" t="str">
        <f t="shared" ref="Q963:Q1026" si="45">IF(OR(L963&lt;$V$40,L963&gt;$V$41),"Outlier","Normal")</f>
        <v>Normal</v>
      </c>
      <c r="R963" s="26" t="str">
        <f t="shared" ref="R963:R1026" si="46">A963&amp;B963&amp;C963&amp;D963&amp;E963&amp;F963&amp;G963&amp;H963&amp;I963&amp;J963&amp;K963&amp;L963&amp;M963&amp;N963&amp;O963&amp;P963</f>
        <v>USR-10096245734TreatmentEastMobileOrganicBasic100000075.9</v>
      </c>
      <c r="S963" s="22" t="str">
        <f t="shared" ref="S963:S1026" si="47">IF(COUNTIF($R$2:$R$1409,R963)=1,"OK",IF(COUNTIF($R$2:$R$1409,R963)&gt;1,"Exact Duplicate","Review Required"))</f>
        <v>OK</v>
      </c>
    </row>
    <row r="964" spans="1:19" ht="41.4">
      <c r="A964" s="22" t="s">
        <v>995</v>
      </c>
      <c r="B964" s="25">
        <v>45668</v>
      </c>
      <c r="C964" s="22" t="s">
        <v>723</v>
      </c>
      <c r="D964" s="22" t="s">
        <v>28</v>
      </c>
      <c r="E964" s="22" t="s">
        <v>19</v>
      </c>
      <c r="F964" s="22" t="s">
        <v>29</v>
      </c>
      <c r="G964" s="22" t="s">
        <v>26</v>
      </c>
      <c r="H964" s="22">
        <v>0</v>
      </c>
      <c r="I964" s="22">
        <v>0</v>
      </c>
      <c r="J964" s="22">
        <v>0</v>
      </c>
      <c r="K964" s="22">
        <v>0</v>
      </c>
      <c r="L964" s="22">
        <v>0</v>
      </c>
      <c r="M964" s="22">
        <v>1</v>
      </c>
      <c r="N964" s="22">
        <v>0</v>
      </c>
      <c r="O964" s="22"/>
      <c r="P964" s="22">
        <v>71.8</v>
      </c>
      <c r="Q964" s="22" t="str">
        <f t="shared" si="45"/>
        <v>Normal</v>
      </c>
      <c r="R964" s="26" t="str">
        <f t="shared" si="46"/>
        <v>USR-10096345668TreatmentEastDesktopPaid SearchFree000001071.8</v>
      </c>
      <c r="S964" s="22" t="str">
        <f t="shared" si="47"/>
        <v>OK</v>
      </c>
    </row>
    <row r="965" spans="1:19" ht="41.4">
      <c r="A965" s="22" t="s">
        <v>996</v>
      </c>
      <c r="B965" s="25">
        <v>45697</v>
      </c>
      <c r="C965" s="22" t="s">
        <v>723</v>
      </c>
      <c r="D965" s="22" t="s">
        <v>32</v>
      </c>
      <c r="E965" s="22" t="s">
        <v>24</v>
      </c>
      <c r="F965" s="22" t="s">
        <v>25</v>
      </c>
      <c r="G965" s="22" t="s">
        <v>21</v>
      </c>
      <c r="H965" s="22">
        <v>0</v>
      </c>
      <c r="I965" s="22">
        <v>0</v>
      </c>
      <c r="J965" s="22">
        <v>0</v>
      </c>
      <c r="K965" s="22">
        <v>0</v>
      </c>
      <c r="L965" s="22">
        <v>0</v>
      </c>
      <c r="M965" s="22">
        <v>0</v>
      </c>
      <c r="N965" s="22">
        <v>0</v>
      </c>
      <c r="O965" s="22"/>
      <c r="P965" s="22">
        <v>37.9</v>
      </c>
      <c r="Q965" s="22" t="str">
        <f t="shared" si="45"/>
        <v>Normal</v>
      </c>
      <c r="R965" s="26" t="str">
        <f t="shared" si="46"/>
        <v>USR-10096445697TreatmentSouthMobileOrganicBasic000000037.9</v>
      </c>
      <c r="S965" s="22" t="str">
        <f t="shared" si="47"/>
        <v>OK</v>
      </c>
    </row>
    <row r="966" spans="1:19" ht="41.4">
      <c r="A966" s="22" t="s">
        <v>997</v>
      </c>
      <c r="B966" s="25">
        <v>45717</v>
      </c>
      <c r="C966" s="22" t="s">
        <v>723</v>
      </c>
      <c r="D966" s="22" t="s">
        <v>18</v>
      </c>
      <c r="E966" s="22" t="s">
        <v>19</v>
      </c>
      <c r="F966" s="22" t="s">
        <v>41</v>
      </c>
      <c r="G966" s="22" t="s">
        <v>26</v>
      </c>
      <c r="H966" s="22">
        <v>1</v>
      </c>
      <c r="I966" s="22">
        <v>0</v>
      </c>
      <c r="J966" s="22">
        <v>0</v>
      </c>
      <c r="K966" s="22">
        <v>0</v>
      </c>
      <c r="L966" s="22">
        <v>0</v>
      </c>
      <c r="M966" s="22">
        <v>0</v>
      </c>
      <c r="N966" s="22">
        <v>0</v>
      </c>
      <c r="O966" s="22"/>
      <c r="P966" s="22">
        <v>59.8</v>
      </c>
      <c r="Q966" s="22" t="str">
        <f t="shared" si="45"/>
        <v>Normal</v>
      </c>
      <c r="R966" s="26" t="str">
        <f t="shared" si="46"/>
        <v>USR-10096545717TreatmentNorthDesktopSocialFree100000059.8</v>
      </c>
      <c r="S966" s="22" t="str">
        <f t="shared" si="47"/>
        <v>OK</v>
      </c>
    </row>
    <row r="967" spans="1:19" ht="41.4">
      <c r="A967" s="22" t="s">
        <v>998</v>
      </c>
      <c r="B967" s="25">
        <v>45784</v>
      </c>
      <c r="C967" s="22" t="s">
        <v>723</v>
      </c>
      <c r="D967" s="22" t="s">
        <v>18</v>
      </c>
      <c r="E967" s="22" t="s">
        <v>24</v>
      </c>
      <c r="F967" s="22" t="s">
        <v>25</v>
      </c>
      <c r="G967" s="22" t="s">
        <v>21</v>
      </c>
      <c r="H967" s="22">
        <v>0</v>
      </c>
      <c r="I967" s="22">
        <v>0</v>
      </c>
      <c r="J967" s="22">
        <v>0</v>
      </c>
      <c r="K967" s="22">
        <v>0</v>
      </c>
      <c r="L967" s="22">
        <v>0</v>
      </c>
      <c r="M967" s="22">
        <v>0</v>
      </c>
      <c r="N967" s="22">
        <v>0</v>
      </c>
      <c r="O967" s="22"/>
      <c r="P967" s="22">
        <v>66.900000000000006</v>
      </c>
      <c r="Q967" s="22" t="str">
        <f t="shared" si="45"/>
        <v>Normal</v>
      </c>
      <c r="R967" s="26" t="str">
        <f t="shared" si="46"/>
        <v>USR-10096645784TreatmentNorthMobileOrganicBasic000000066.9</v>
      </c>
      <c r="S967" s="22" t="str">
        <f t="shared" si="47"/>
        <v>OK</v>
      </c>
    </row>
    <row r="968" spans="1:19" ht="41.4">
      <c r="A968" s="22" t="s">
        <v>999</v>
      </c>
      <c r="B968" s="25">
        <v>45707</v>
      </c>
      <c r="C968" s="22" t="s">
        <v>723</v>
      </c>
      <c r="D968" s="22" t="s">
        <v>32</v>
      </c>
      <c r="E968" s="22" t="s">
        <v>19</v>
      </c>
      <c r="F968" s="22"/>
      <c r="G968" s="22" t="s">
        <v>26</v>
      </c>
      <c r="H968" s="22">
        <v>1</v>
      </c>
      <c r="I968" s="22">
        <v>0</v>
      </c>
      <c r="J968" s="22">
        <v>0</v>
      </c>
      <c r="K968" s="22">
        <v>0</v>
      </c>
      <c r="L968" s="22">
        <v>0</v>
      </c>
      <c r="M968" s="22">
        <v>0</v>
      </c>
      <c r="N968" s="22">
        <v>0</v>
      </c>
      <c r="O968" s="22"/>
      <c r="P968" s="22">
        <v>59</v>
      </c>
      <c r="Q968" s="22" t="str">
        <f t="shared" si="45"/>
        <v>Normal</v>
      </c>
      <c r="R968" s="26" t="str">
        <f t="shared" si="46"/>
        <v>USR-10096745707TreatmentSouthDesktopFree100000059</v>
      </c>
      <c r="S968" s="22" t="str">
        <f t="shared" si="47"/>
        <v>OK</v>
      </c>
    </row>
    <row r="969" spans="1:19" ht="41.4">
      <c r="A969" s="22" t="s">
        <v>1000</v>
      </c>
      <c r="B969" s="25">
        <v>45714</v>
      </c>
      <c r="C969" s="22" t="s">
        <v>723</v>
      </c>
      <c r="D969" s="22" t="s">
        <v>23</v>
      </c>
      <c r="E969" s="22" t="s">
        <v>24</v>
      </c>
      <c r="F969" s="22" t="s">
        <v>25</v>
      </c>
      <c r="G969" s="22" t="s">
        <v>30</v>
      </c>
      <c r="H969" s="22">
        <v>1</v>
      </c>
      <c r="I969" s="22">
        <v>0</v>
      </c>
      <c r="J969" s="22">
        <v>0</v>
      </c>
      <c r="K969" s="22">
        <v>0</v>
      </c>
      <c r="L969" s="22">
        <v>0</v>
      </c>
      <c r="M969" s="22">
        <v>0</v>
      </c>
      <c r="N969" s="22">
        <v>0</v>
      </c>
      <c r="O969" s="22"/>
      <c r="P969" s="22">
        <v>80.099999999999994</v>
      </c>
      <c r="Q969" s="22" t="str">
        <f t="shared" si="45"/>
        <v>Normal</v>
      </c>
      <c r="R969" s="26" t="str">
        <f t="shared" si="46"/>
        <v>USR-10096845714TreatmentWestMobileOrganicPremium100000080.1</v>
      </c>
      <c r="S969" s="22" t="str">
        <f t="shared" si="47"/>
        <v>OK</v>
      </c>
    </row>
    <row r="970" spans="1:19" ht="41.4">
      <c r="A970" s="22" t="s">
        <v>1001</v>
      </c>
      <c r="B970" s="25">
        <v>45739</v>
      </c>
      <c r="C970" s="22" t="s">
        <v>723</v>
      </c>
      <c r="D970" s="22" t="s">
        <v>32</v>
      </c>
      <c r="E970" s="22" t="s">
        <v>24</v>
      </c>
      <c r="F970" s="22" t="s">
        <v>41</v>
      </c>
      <c r="G970" s="22" t="s">
        <v>26</v>
      </c>
      <c r="H970" s="22">
        <v>0</v>
      </c>
      <c r="I970" s="22">
        <v>0</v>
      </c>
      <c r="J970" s="22">
        <v>0</v>
      </c>
      <c r="K970" s="22">
        <v>0</v>
      </c>
      <c r="L970" s="22">
        <v>0</v>
      </c>
      <c r="M970" s="22">
        <v>0</v>
      </c>
      <c r="N970" s="22">
        <v>0</v>
      </c>
      <c r="O970" s="22"/>
      <c r="P970" s="22">
        <v>64.3</v>
      </c>
      <c r="Q970" s="22" t="str">
        <f t="shared" si="45"/>
        <v>Normal</v>
      </c>
      <c r="R970" s="26" t="str">
        <f t="shared" si="46"/>
        <v>USR-10096945739TreatmentSouthMobileSocialFree000000064.3</v>
      </c>
      <c r="S970" s="22" t="str">
        <f t="shared" si="47"/>
        <v>OK</v>
      </c>
    </row>
    <row r="971" spans="1:19" ht="41.4">
      <c r="A971" s="22" t="s">
        <v>1002</v>
      </c>
      <c r="B971" s="25">
        <v>45772</v>
      </c>
      <c r="C971" s="22" t="s">
        <v>723</v>
      </c>
      <c r="D971" s="22" t="s">
        <v>32</v>
      </c>
      <c r="E971" s="22" t="s">
        <v>19</v>
      </c>
      <c r="F971" s="22" t="s">
        <v>41</v>
      </c>
      <c r="G971" s="22" t="s">
        <v>26</v>
      </c>
      <c r="H971" s="22">
        <v>0</v>
      </c>
      <c r="I971" s="22">
        <v>0</v>
      </c>
      <c r="J971" s="22">
        <v>0</v>
      </c>
      <c r="K971" s="22">
        <v>0</v>
      </c>
      <c r="L971" s="22">
        <v>0</v>
      </c>
      <c r="M971" s="22">
        <v>1</v>
      </c>
      <c r="N971" s="22">
        <v>0</v>
      </c>
      <c r="O971" s="22"/>
      <c r="P971" s="22">
        <v>57.4</v>
      </c>
      <c r="Q971" s="22" t="str">
        <f t="shared" si="45"/>
        <v>Normal</v>
      </c>
      <c r="R971" s="26" t="str">
        <f t="shared" si="46"/>
        <v>USR-10097045772TreatmentSouthDesktopSocialFree000001057.4</v>
      </c>
      <c r="S971" s="22" t="str">
        <f t="shared" si="47"/>
        <v>OK</v>
      </c>
    </row>
    <row r="972" spans="1:19" ht="41.4">
      <c r="A972" s="22" t="s">
        <v>1003</v>
      </c>
      <c r="B972" s="25">
        <v>45787</v>
      </c>
      <c r="C972" s="22" t="s">
        <v>723</v>
      </c>
      <c r="D972" s="22" t="s">
        <v>18</v>
      </c>
      <c r="E972" s="22" t="s">
        <v>19</v>
      </c>
      <c r="F972" s="22" t="s">
        <v>41</v>
      </c>
      <c r="G972" s="22" t="s">
        <v>26</v>
      </c>
      <c r="H972" s="22">
        <v>1</v>
      </c>
      <c r="I972" s="22">
        <v>1</v>
      </c>
      <c r="J972" s="22">
        <v>1</v>
      </c>
      <c r="K972" s="22">
        <v>0</v>
      </c>
      <c r="L972" s="22">
        <v>0</v>
      </c>
      <c r="M972" s="22">
        <v>0</v>
      </c>
      <c r="N972" s="22">
        <v>0</v>
      </c>
      <c r="O972" s="22"/>
      <c r="P972" s="22">
        <v>83.6</v>
      </c>
      <c r="Q972" s="22" t="str">
        <f t="shared" si="45"/>
        <v>Normal</v>
      </c>
      <c r="R972" s="26" t="str">
        <f t="shared" si="46"/>
        <v>USR-10097145787TreatmentNorthDesktopSocialFree111000083.6</v>
      </c>
      <c r="S972" s="22" t="str">
        <f t="shared" si="47"/>
        <v>OK</v>
      </c>
    </row>
    <row r="973" spans="1:19" ht="41.4">
      <c r="A973" s="22" t="s">
        <v>1004</v>
      </c>
      <c r="B973" s="25">
        <v>45769</v>
      </c>
      <c r="C973" s="22" t="s">
        <v>723</v>
      </c>
      <c r="D973" s="22" t="s">
        <v>28</v>
      </c>
      <c r="E973" s="22" t="s">
        <v>24</v>
      </c>
      <c r="F973" s="22" t="s">
        <v>29</v>
      </c>
      <c r="G973" s="22" t="s">
        <v>30</v>
      </c>
      <c r="H973" s="22">
        <v>0</v>
      </c>
      <c r="I973" s="22">
        <v>0</v>
      </c>
      <c r="J973" s="22">
        <v>0</v>
      </c>
      <c r="K973" s="22">
        <v>0</v>
      </c>
      <c r="L973" s="22">
        <v>0</v>
      </c>
      <c r="M973" s="22">
        <v>0</v>
      </c>
      <c r="N973" s="22">
        <v>0</v>
      </c>
      <c r="O973" s="22"/>
      <c r="P973" s="22">
        <v>45.8</v>
      </c>
      <c r="Q973" s="22" t="str">
        <f t="shared" si="45"/>
        <v>Normal</v>
      </c>
      <c r="R973" s="26" t="str">
        <f t="shared" si="46"/>
        <v>USR-10097245769TreatmentEastMobilePaid SearchPremium000000045.8</v>
      </c>
      <c r="S973" s="22" t="str">
        <f t="shared" si="47"/>
        <v>OK</v>
      </c>
    </row>
    <row r="974" spans="1:19" ht="41.4">
      <c r="A974" s="22" t="s">
        <v>1005</v>
      </c>
      <c r="B974" s="25">
        <v>45706</v>
      </c>
      <c r="C974" s="22" t="s">
        <v>723</v>
      </c>
      <c r="D974" s="22" t="s">
        <v>23</v>
      </c>
      <c r="E974" s="22" t="s">
        <v>24</v>
      </c>
      <c r="F974" s="22" t="s">
        <v>39</v>
      </c>
      <c r="G974" s="22" t="s">
        <v>21</v>
      </c>
      <c r="H974" s="22">
        <v>1</v>
      </c>
      <c r="I974" s="22">
        <v>1</v>
      </c>
      <c r="J974" s="22">
        <v>1</v>
      </c>
      <c r="K974" s="22">
        <v>0</v>
      </c>
      <c r="L974" s="22">
        <v>0</v>
      </c>
      <c r="M974" s="22">
        <v>0</v>
      </c>
      <c r="N974" s="22">
        <v>0</v>
      </c>
      <c r="O974" s="22"/>
      <c r="P974" s="22">
        <v>64.3</v>
      </c>
      <c r="Q974" s="22" t="str">
        <f t="shared" si="45"/>
        <v>Normal</v>
      </c>
      <c r="R974" s="26" t="str">
        <f t="shared" si="46"/>
        <v>USR-10097345706TreatmentWestMobileReferralBasic111000064.3</v>
      </c>
      <c r="S974" s="22" t="str">
        <f t="shared" si="47"/>
        <v>OK</v>
      </c>
    </row>
    <row r="975" spans="1:19" ht="41.4">
      <c r="A975" s="22" t="s">
        <v>1006</v>
      </c>
      <c r="B975" s="25">
        <v>45683</v>
      </c>
      <c r="C975" s="22" t="s">
        <v>723</v>
      </c>
      <c r="D975" s="22" t="s">
        <v>32</v>
      </c>
      <c r="E975" s="22" t="s">
        <v>24</v>
      </c>
      <c r="F975" s="22" t="s">
        <v>29</v>
      </c>
      <c r="G975" s="22" t="s">
        <v>30</v>
      </c>
      <c r="H975" s="22">
        <v>1</v>
      </c>
      <c r="I975" s="22">
        <v>1</v>
      </c>
      <c r="J975" s="22">
        <v>1</v>
      </c>
      <c r="K975" s="22">
        <v>0</v>
      </c>
      <c r="L975" s="22">
        <v>0</v>
      </c>
      <c r="M975" s="22">
        <v>0</v>
      </c>
      <c r="N975" s="22">
        <v>0</v>
      </c>
      <c r="O975" s="22"/>
      <c r="P975" s="22">
        <v>80.5</v>
      </c>
      <c r="Q975" s="22" t="str">
        <f t="shared" si="45"/>
        <v>Normal</v>
      </c>
      <c r="R975" s="26" t="str">
        <f t="shared" si="46"/>
        <v>USR-10097445683TreatmentSouthMobilePaid SearchPremium111000080.5</v>
      </c>
      <c r="S975" s="22" t="str">
        <f t="shared" si="47"/>
        <v>OK</v>
      </c>
    </row>
    <row r="976" spans="1:19" ht="41.4">
      <c r="A976" s="22" t="s">
        <v>1007</v>
      </c>
      <c r="B976" s="25">
        <v>45775</v>
      </c>
      <c r="C976" s="22" t="s">
        <v>723</v>
      </c>
      <c r="D976" s="22" t="s">
        <v>18</v>
      </c>
      <c r="E976" s="22" t="s">
        <v>24</v>
      </c>
      <c r="F976" s="22" t="s">
        <v>25</v>
      </c>
      <c r="G976" s="22" t="s">
        <v>26</v>
      </c>
      <c r="H976" s="22">
        <v>1</v>
      </c>
      <c r="I976" s="22">
        <v>0</v>
      </c>
      <c r="J976" s="22">
        <v>0</v>
      </c>
      <c r="K976" s="22">
        <v>0</v>
      </c>
      <c r="L976" s="22">
        <v>0</v>
      </c>
      <c r="M976" s="22">
        <v>0</v>
      </c>
      <c r="N976" s="22">
        <v>0</v>
      </c>
      <c r="O976" s="22"/>
      <c r="P976" s="22">
        <v>46.3</v>
      </c>
      <c r="Q976" s="22" t="str">
        <f t="shared" si="45"/>
        <v>Normal</v>
      </c>
      <c r="R976" s="26" t="str">
        <f t="shared" si="46"/>
        <v>USR-10097545775TreatmentNorthMobileOrganicFree100000046.3</v>
      </c>
      <c r="S976" s="22" t="str">
        <f t="shared" si="47"/>
        <v>OK</v>
      </c>
    </row>
    <row r="977" spans="1:19" ht="41.4">
      <c r="A977" s="22" t="s">
        <v>1008</v>
      </c>
      <c r="B977" s="25">
        <v>45749</v>
      </c>
      <c r="C977" s="22" t="s">
        <v>723</v>
      </c>
      <c r="D977" s="22" t="s">
        <v>32</v>
      </c>
      <c r="E977" s="22" t="s">
        <v>19</v>
      </c>
      <c r="F977" s="22" t="s">
        <v>20</v>
      </c>
      <c r="G977" s="22" t="s">
        <v>21</v>
      </c>
      <c r="H977" s="22">
        <v>1</v>
      </c>
      <c r="I977" s="22">
        <v>0</v>
      </c>
      <c r="J977" s="22">
        <v>0</v>
      </c>
      <c r="K977" s="22">
        <v>0</v>
      </c>
      <c r="L977" s="22">
        <v>0</v>
      </c>
      <c r="M977" s="22">
        <v>0</v>
      </c>
      <c r="N977" s="22">
        <v>0</v>
      </c>
      <c r="O977" s="22"/>
      <c r="P977" s="22">
        <v>71.599999999999994</v>
      </c>
      <c r="Q977" s="22" t="str">
        <f t="shared" si="45"/>
        <v>Normal</v>
      </c>
      <c r="R977" s="26" t="str">
        <f t="shared" si="46"/>
        <v>USR-10097645749TreatmentSouthDesktopEmailBasic100000071.6</v>
      </c>
      <c r="S977" s="22" t="str">
        <f t="shared" si="47"/>
        <v>OK</v>
      </c>
    </row>
    <row r="978" spans="1:19" ht="41.4">
      <c r="A978" s="22" t="s">
        <v>1009</v>
      </c>
      <c r="B978" s="25">
        <v>45759</v>
      </c>
      <c r="C978" s="22" t="s">
        <v>723</v>
      </c>
      <c r="D978" s="22" t="s">
        <v>32</v>
      </c>
      <c r="E978" s="22" t="s">
        <v>19</v>
      </c>
      <c r="F978" s="22" t="s">
        <v>20</v>
      </c>
      <c r="G978" s="22" t="s">
        <v>30</v>
      </c>
      <c r="H978" s="22">
        <v>1</v>
      </c>
      <c r="I978" s="22">
        <v>1</v>
      </c>
      <c r="J978" s="22">
        <v>0</v>
      </c>
      <c r="K978" s="22">
        <v>0</v>
      </c>
      <c r="L978" s="22">
        <v>0</v>
      </c>
      <c r="M978" s="22">
        <v>0</v>
      </c>
      <c r="N978" s="22">
        <v>0</v>
      </c>
      <c r="O978" s="22"/>
      <c r="P978" s="22">
        <v>57.8</v>
      </c>
      <c r="Q978" s="22" t="str">
        <f t="shared" si="45"/>
        <v>Normal</v>
      </c>
      <c r="R978" s="26" t="str">
        <f t="shared" si="46"/>
        <v>USR-10097745759TreatmentSouthDesktopEmailPremium110000057.8</v>
      </c>
      <c r="S978" s="22" t="str">
        <f t="shared" si="47"/>
        <v>OK</v>
      </c>
    </row>
    <row r="979" spans="1:19" ht="41.4">
      <c r="A979" s="22" t="s">
        <v>1010</v>
      </c>
      <c r="B979" s="25">
        <v>45660</v>
      </c>
      <c r="C979" s="22" t="s">
        <v>723</v>
      </c>
      <c r="D979" s="22" t="s">
        <v>23</v>
      </c>
      <c r="E979" s="22" t="s">
        <v>19</v>
      </c>
      <c r="F979" s="22" t="s">
        <v>20</v>
      </c>
      <c r="G979" s="22" t="s">
        <v>21</v>
      </c>
      <c r="H979" s="22">
        <v>1</v>
      </c>
      <c r="I979" s="22">
        <v>1</v>
      </c>
      <c r="J979" s="22">
        <v>1</v>
      </c>
      <c r="K979" s="22">
        <v>0</v>
      </c>
      <c r="L979" s="22">
        <v>0</v>
      </c>
      <c r="M979" s="22">
        <v>1</v>
      </c>
      <c r="N979" s="22">
        <v>0</v>
      </c>
      <c r="O979" s="22"/>
      <c r="P979" s="22">
        <v>57.8</v>
      </c>
      <c r="Q979" s="22" t="str">
        <f t="shared" si="45"/>
        <v>Normal</v>
      </c>
      <c r="R979" s="26" t="str">
        <f t="shared" si="46"/>
        <v>USR-10097845660TreatmentWestDesktopEmailBasic111001057.8</v>
      </c>
      <c r="S979" s="22" t="str">
        <f t="shared" si="47"/>
        <v>OK</v>
      </c>
    </row>
    <row r="980" spans="1:19" ht="41.4">
      <c r="A980" s="22" t="s">
        <v>1011</v>
      </c>
      <c r="B980" s="25">
        <v>45785</v>
      </c>
      <c r="C980" s="22" t="s">
        <v>723</v>
      </c>
      <c r="D980" s="22" t="s">
        <v>18</v>
      </c>
      <c r="E980" s="22" t="s">
        <v>24</v>
      </c>
      <c r="F980" s="22" t="s">
        <v>29</v>
      </c>
      <c r="G980" s="22" t="s">
        <v>26</v>
      </c>
      <c r="H980" s="22">
        <v>1</v>
      </c>
      <c r="I980" s="22">
        <v>0</v>
      </c>
      <c r="J980" s="22">
        <v>0</v>
      </c>
      <c r="K980" s="22">
        <v>0</v>
      </c>
      <c r="L980" s="22">
        <v>0</v>
      </c>
      <c r="M980" s="22">
        <v>0</v>
      </c>
      <c r="N980" s="22">
        <v>0</v>
      </c>
      <c r="O980" s="22"/>
      <c r="P980" s="22">
        <v>38.299999999999997</v>
      </c>
      <c r="Q980" s="22" t="str">
        <f t="shared" si="45"/>
        <v>Normal</v>
      </c>
      <c r="R980" s="26" t="str">
        <f t="shared" si="46"/>
        <v>USR-10097945785TreatmentNorthMobilePaid SearchFree100000038.3</v>
      </c>
      <c r="S980" s="22" t="str">
        <f t="shared" si="47"/>
        <v>OK</v>
      </c>
    </row>
    <row r="981" spans="1:19" ht="41.4">
      <c r="A981" s="22" t="s">
        <v>1012</v>
      </c>
      <c r="B981" s="25">
        <v>45708</v>
      </c>
      <c r="C981" s="22" t="s">
        <v>723</v>
      </c>
      <c r="D981" s="22" t="s">
        <v>18</v>
      </c>
      <c r="E981" s="22" t="s">
        <v>24</v>
      </c>
      <c r="F981" s="22" t="s">
        <v>39</v>
      </c>
      <c r="G981" s="22" t="s">
        <v>30</v>
      </c>
      <c r="H981" s="22">
        <v>1</v>
      </c>
      <c r="I981" s="22">
        <v>0</v>
      </c>
      <c r="J981" s="22">
        <v>0</v>
      </c>
      <c r="K981" s="22">
        <v>0</v>
      </c>
      <c r="L981" s="22">
        <v>0</v>
      </c>
      <c r="M981" s="22">
        <v>1</v>
      </c>
      <c r="N981" s="22">
        <v>0</v>
      </c>
      <c r="O981" s="22"/>
      <c r="P981" s="22">
        <v>66.099999999999994</v>
      </c>
      <c r="Q981" s="22" t="str">
        <f t="shared" si="45"/>
        <v>Normal</v>
      </c>
      <c r="R981" s="26" t="str">
        <f t="shared" si="46"/>
        <v>USR-10098045708TreatmentNorthMobileReferralPremium100001066.1</v>
      </c>
      <c r="S981" s="22" t="str">
        <f t="shared" si="47"/>
        <v>OK</v>
      </c>
    </row>
    <row r="982" spans="1:19" ht="55.2">
      <c r="A982" s="22" t="s">
        <v>1013</v>
      </c>
      <c r="B982" s="25">
        <v>45733</v>
      </c>
      <c r="C982" s="22" t="s">
        <v>723</v>
      </c>
      <c r="D982" s="22" t="s">
        <v>18</v>
      </c>
      <c r="E982" s="22" t="s">
        <v>19</v>
      </c>
      <c r="F982" s="22" t="s">
        <v>29</v>
      </c>
      <c r="G982" s="22" t="s">
        <v>30</v>
      </c>
      <c r="H982" s="22">
        <v>1</v>
      </c>
      <c r="I982" s="22">
        <v>0</v>
      </c>
      <c r="J982" s="22">
        <v>0</v>
      </c>
      <c r="K982" s="22">
        <v>0</v>
      </c>
      <c r="L982" s="22">
        <v>0</v>
      </c>
      <c r="M982" s="22">
        <v>0</v>
      </c>
      <c r="N982" s="22">
        <v>0</v>
      </c>
      <c r="O982" s="22"/>
      <c r="P982" s="22">
        <v>66.5</v>
      </c>
      <c r="Q982" s="22" t="str">
        <f t="shared" si="45"/>
        <v>Normal</v>
      </c>
      <c r="R982" s="26" t="str">
        <f t="shared" si="46"/>
        <v>USR-10098145733TreatmentNorthDesktopPaid SearchPremium100000066.5</v>
      </c>
      <c r="S982" s="22" t="str">
        <f t="shared" si="47"/>
        <v>OK</v>
      </c>
    </row>
    <row r="983" spans="1:19" ht="41.4">
      <c r="A983" s="22" t="s">
        <v>1014</v>
      </c>
      <c r="B983" s="25">
        <v>45757</v>
      </c>
      <c r="C983" s="22" t="s">
        <v>723</v>
      </c>
      <c r="D983" s="22" t="s">
        <v>32</v>
      </c>
      <c r="E983" s="22" t="s">
        <v>19</v>
      </c>
      <c r="F983" s="22" t="s">
        <v>20</v>
      </c>
      <c r="G983" s="22" t="s">
        <v>26</v>
      </c>
      <c r="H983" s="22">
        <v>1</v>
      </c>
      <c r="I983" s="22">
        <v>0</v>
      </c>
      <c r="J983" s="22">
        <v>0</v>
      </c>
      <c r="K983" s="22">
        <v>0</v>
      </c>
      <c r="L983" s="22">
        <v>0</v>
      </c>
      <c r="M983" s="22">
        <v>3</v>
      </c>
      <c r="N983" s="22">
        <v>0</v>
      </c>
      <c r="O983" s="22"/>
      <c r="P983" s="22">
        <v>51.5</v>
      </c>
      <c r="Q983" s="22" t="str">
        <f t="shared" si="45"/>
        <v>Normal</v>
      </c>
      <c r="R983" s="26" t="str">
        <f t="shared" si="46"/>
        <v>USR-10098245757TreatmentSouthDesktopEmailFree100003051.5</v>
      </c>
      <c r="S983" s="22" t="str">
        <f t="shared" si="47"/>
        <v>OK</v>
      </c>
    </row>
    <row r="984" spans="1:19" ht="41.4">
      <c r="A984" s="22" t="s">
        <v>1015</v>
      </c>
      <c r="B984" s="25">
        <v>45785</v>
      </c>
      <c r="C984" s="22" t="s">
        <v>723</v>
      </c>
      <c r="D984" s="22" t="s">
        <v>18</v>
      </c>
      <c r="E984" s="22" t="s">
        <v>19</v>
      </c>
      <c r="F984" s="22" t="s">
        <v>39</v>
      </c>
      <c r="G984" s="22" t="s">
        <v>26</v>
      </c>
      <c r="H984" s="22">
        <v>1</v>
      </c>
      <c r="I984" s="22">
        <v>0</v>
      </c>
      <c r="J984" s="22">
        <v>0</v>
      </c>
      <c r="K984" s="22">
        <v>0</v>
      </c>
      <c r="L984" s="22">
        <v>0</v>
      </c>
      <c r="M984" s="22">
        <v>0</v>
      </c>
      <c r="N984" s="22">
        <v>0</v>
      </c>
      <c r="O984" s="22"/>
      <c r="P984" s="22">
        <v>59.9</v>
      </c>
      <c r="Q984" s="22" t="str">
        <f t="shared" si="45"/>
        <v>Normal</v>
      </c>
      <c r="R984" s="26" t="str">
        <f t="shared" si="46"/>
        <v>USR-10098345785TreatmentNorthDesktopReferralFree100000059.9</v>
      </c>
      <c r="S984" s="22" t="str">
        <f t="shared" si="47"/>
        <v>OK</v>
      </c>
    </row>
    <row r="985" spans="1:19" ht="41.4">
      <c r="A985" s="22" t="s">
        <v>1016</v>
      </c>
      <c r="B985" s="25">
        <v>45766</v>
      </c>
      <c r="C985" s="22" t="s">
        <v>723</v>
      </c>
      <c r="D985" s="22" t="s">
        <v>23</v>
      </c>
      <c r="E985" s="22" t="s">
        <v>24</v>
      </c>
      <c r="F985" s="22" t="s">
        <v>29</v>
      </c>
      <c r="G985" s="22" t="s">
        <v>21</v>
      </c>
      <c r="H985" s="22">
        <v>1</v>
      </c>
      <c r="I985" s="22">
        <v>0</v>
      </c>
      <c r="J985" s="22">
        <v>0</v>
      </c>
      <c r="K985" s="22">
        <v>0</v>
      </c>
      <c r="L985" s="22">
        <v>0</v>
      </c>
      <c r="M985" s="22">
        <v>0</v>
      </c>
      <c r="N985" s="22">
        <v>0</v>
      </c>
      <c r="O985" s="22"/>
      <c r="P985" s="22">
        <v>58.8</v>
      </c>
      <c r="Q985" s="22" t="str">
        <f t="shared" si="45"/>
        <v>Normal</v>
      </c>
      <c r="R985" s="26" t="str">
        <f t="shared" si="46"/>
        <v>USR-10098445766TreatmentWestMobilePaid SearchBasic100000058.8</v>
      </c>
      <c r="S985" s="22" t="str">
        <f t="shared" si="47"/>
        <v>OK</v>
      </c>
    </row>
    <row r="986" spans="1:19" ht="41.4">
      <c r="A986" s="22" t="s">
        <v>1017</v>
      </c>
      <c r="B986" s="25">
        <v>45658</v>
      </c>
      <c r="C986" s="22" t="s">
        <v>723</v>
      </c>
      <c r="D986" s="22" t="s">
        <v>32</v>
      </c>
      <c r="E986" s="22" t="s">
        <v>34</v>
      </c>
      <c r="F986" s="22" t="s">
        <v>29</v>
      </c>
      <c r="G986" s="22" t="s">
        <v>21</v>
      </c>
      <c r="H986" s="22">
        <v>1</v>
      </c>
      <c r="I986" s="22">
        <v>0</v>
      </c>
      <c r="J986" s="22">
        <v>0</v>
      </c>
      <c r="K986" s="22">
        <v>0</v>
      </c>
      <c r="L986" s="22">
        <v>0</v>
      </c>
      <c r="M986" s="22">
        <v>0</v>
      </c>
      <c r="N986" s="22">
        <v>0</v>
      </c>
      <c r="O986" s="22"/>
      <c r="P986" s="22">
        <v>69.599999999999994</v>
      </c>
      <c r="Q986" s="22" t="str">
        <f t="shared" si="45"/>
        <v>Normal</v>
      </c>
      <c r="R986" s="26" t="str">
        <f t="shared" si="46"/>
        <v>USR-10098545658TreatmentSouthTabletPaid SearchBasic100000069.6</v>
      </c>
      <c r="S986" s="22" t="str">
        <f t="shared" si="47"/>
        <v>OK</v>
      </c>
    </row>
    <row r="987" spans="1:19" ht="41.4">
      <c r="A987" s="22" t="s">
        <v>1018</v>
      </c>
      <c r="B987" s="25">
        <v>45726</v>
      </c>
      <c r="C987" s="22" t="s">
        <v>723</v>
      </c>
      <c r="D987" s="22" t="s">
        <v>28</v>
      </c>
      <c r="E987" s="22" t="s">
        <v>24</v>
      </c>
      <c r="F987" s="22" t="s">
        <v>29</v>
      </c>
      <c r="G987" s="22" t="s">
        <v>26</v>
      </c>
      <c r="H987" s="22">
        <v>1</v>
      </c>
      <c r="I987" s="22">
        <v>0</v>
      </c>
      <c r="J987" s="22">
        <v>0</v>
      </c>
      <c r="K987" s="22">
        <v>0</v>
      </c>
      <c r="L987" s="22">
        <v>0</v>
      </c>
      <c r="M987" s="22">
        <v>0</v>
      </c>
      <c r="N987" s="22">
        <v>0</v>
      </c>
      <c r="O987" s="22"/>
      <c r="P987" s="22">
        <v>77.5</v>
      </c>
      <c r="Q987" s="22" t="str">
        <f t="shared" si="45"/>
        <v>Normal</v>
      </c>
      <c r="R987" s="26" t="str">
        <f t="shared" si="46"/>
        <v>USR-10098645726TreatmentEastMobilePaid SearchFree100000077.5</v>
      </c>
      <c r="S987" s="22" t="str">
        <f t="shared" si="47"/>
        <v>OK</v>
      </c>
    </row>
    <row r="988" spans="1:19" ht="41.4">
      <c r="A988" s="22" t="s">
        <v>1019</v>
      </c>
      <c r="B988" s="25">
        <v>45726</v>
      </c>
      <c r="C988" s="22" t="s">
        <v>723</v>
      </c>
      <c r="D988" s="22" t="s">
        <v>28</v>
      </c>
      <c r="E988" s="22" t="s">
        <v>34</v>
      </c>
      <c r="F988" s="22" t="s">
        <v>41</v>
      </c>
      <c r="G988" s="22" t="s">
        <v>30</v>
      </c>
      <c r="H988" s="22">
        <v>0</v>
      </c>
      <c r="I988" s="22">
        <v>0</v>
      </c>
      <c r="J988" s="22">
        <v>0</v>
      </c>
      <c r="K988" s="22">
        <v>0</v>
      </c>
      <c r="L988" s="22">
        <v>0</v>
      </c>
      <c r="M988" s="22">
        <v>2</v>
      </c>
      <c r="N988" s="22">
        <v>0</v>
      </c>
      <c r="O988" s="22"/>
      <c r="P988" s="22">
        <v>57.5</v>
      </c>
      <c r="Q988" s="22" t="str">
        <f t="shared" si="45"/>
        <v>Normal</v>
      </c>
      <c r="R988" s="26" t="str">
        <f t="shared" si="46"/>
        <v>USR-10098745726TreatmentEastTabletSocialPremium000002057.5</v>
      </c>
      <c r="S988" s="22" t="str">
        <f t="shared" si="47"/>
        <v>OK</v>
      </c>
    </row>
    <row r="989" spans="1:19" ht="41.4">
      <c r="A989" s="22" t="s">
        <v>1020</v>
      </c>
      <c r="B989" s="25">
        <v>45766</v>
      </c>
      <c r="C989" s="22" t="s">
        <v>723</v>
      </c>
      <c r="D989" s="22" t="s">
        <v>23</v>
      </c>
      <c r="E989" s="22" t="s">
        <v>34</v>
      </c>
      <c r="F989" s="22" t="s">
        <v>20</v>
      </c>
      <c r="G989" s="22" t="s">
        <v>21</v>
      </c>
      <c r="H989" s="22">
        <v>1</v>
      </c>
      <c r="I989" s="22">
        <v>0</v>
      </c>
      <c r="J989" s="22">
        <v>0</v>
      </c>
      <c r="K989" s="22">
        <v>0</v>
      </c>
      <c r="L989" s="22">
        <v>0</v>
      </c>
      <c r="M989" s="22">
        <v>0</v>
      </c>
      <c r="N989" s="22">
        <v>0</v>
      </c>
      <c r="O989" s="22"/>
      <c r="P989" s="22">
        <v>64.2</v>
      </c>
      <c r="Q989" s="22" t="str">
        <f t="shared" si="45"/>
        <v>Normal</v>
      </c>
      <c r="R989" s="26" t="str">
        <f t="shared" si="46"/>
        <v>USR-10098845766TreatmentWestTabletEmailBasic100000064.2</v>
      </c>
      <c r="S989" s="22" t="str">
        <f t="shared" si="47"/>
        <v>OK</v>
      </c>
    </row>
    <row r="990" spans="1:19" ht="41.4">
      <c r="A990" s="22" t="s">
        <v>1021</v>
      </c>
      <c r="B990" s="25">
        <v>45758</v>
      </c>
      <c r="C990" s="22" t="s">
        <v>723</v>
      </c>
      <c r="D990" s="22" t="s">
        <v>23</v>
      </c>
      <c r="E990" s="22" t="s">
        <v>19</v>
      </c>
      <c r="F990" s="22" t="s">
        <v>25</v>
      </c>
      <c r="G990" s="22" t="s">
        <v>26</v>
      </c>
      <c r="H990" s="22">
        <v>0</v>
      </c>
      <c r="I990" s="22">
        <v>0</v>
      </c>
      <c r="J990" s="22">
        <v>0</v>
      </c>
      <c r="K990" s="22">
        <v>0</v>
      </c>
      <c r="L990" s="22">
        <v>0</v>
      </c>
      <c r="M990" s="22">
        <v>0</v>
      </c>
      <c r="N990" s="22">
        <v>0</v>
      </c>
      <c r="O990" s="22"/>
      <c r="P990" s="22">
        <v>60</v>
      </c>
      <c r="Q990" s="22" t="str">
        <f t="shared" si="45"/>
        <v>Normal</v>
      </c>
      <c r="R990" s="26" t="str">
        <f t="shared" si="46"/>
        <v>USR-10098945758TreatmentWestDesktopOrganicFree000000060</v>
      </c>
      <c r="S990" s="22" t="str">
        <f t="shared" si="47"/>
        <v>OK</v>
      </c>
    </row>
    <row r="991" spans="1:19" ht="41.4">
      <c r="A991" s="22" t="s">
        <v>1022</v>
      </c>
      <c r="B991" s="25">
        <v>45757</v>
      </c>
      <c r="C991" s="22" t="s">
        <v>723</v>
      </c>
      <c r="D991" s="22" t="s">
        <v>28</v>
      </c>
      <c r="E991" s="22" t="s">
        <v>24</v>
      </c>
      <c r="F991" s="22" t="s">
        <v>25</v>
      </c>
      <c r="G991" s="22" t="s">
        <v>21</v>
      </c>
      <c r="H991" s="22">
        <v>1</v>
      </c>
      <c r="I991" s="22">
        <v>0</v>
      </c>
      <c r="J991" s="22">
        <v>0</v>
      </c>
      <c r="K991" s="22">
        <v>0</v>
      </c>
      <c r="L991" s="22">
        <v>0</v>
      </c>
      <c r="M991" s="22">
        <v>1</v>
      </c>
      <c r="N991" s="22">
        <v>0</v>
      </c>
      <c r="O991" s="22"/>
      <c r="P991" s="22">
        <v>43.7</v>
      </c>
      <c r="Q991" s="22" t="str">
        <f t="shared" si="45"/>
        <v>Normal</v>
      </c>
      <c r="R991" s="26" t="str">
        <f t="shared" si="46"/>
        <v>USR-10099045757TreatmentEastMobileOrganicBasic100001043.7</v>
      </c>
      <c r="S991" s="22" t="str">
        <f t="shared" si="47"/>
        <v>OK</v>
      </c>
    </row>
    <row r="992" spans="1:19" ht="41.4">
      <c r="A992" s="22" t="s">
        <v>1023</v>
      </c>
      <c r="B992" s="25">
        <v>45670</v>
      </c>
      <c r="C992" s="22" t="s">
        <v>723</v>
      </c>
      <c r="D992" s="22" t="s">
        <v>23</v>
      </c>
      <c r="E992" s="22" t="s">
        <v>19</v>
      </c>
      <c r="F992" s="22" t="s">
        <v>41</v>
      </c>
      <c r="G992" s="22" t="s">
        <v>26</v>
      </c>
      <c r="H992" s="22">
        <v>1</v>
      </c>
      <c r="I992" s="22">
        <v>0</v>
      </c>
      <c r="J992" s="22">
        <v>0</v>
      </c>
      <c r="K992" s="22">
        <v>0</v>
      </c>
      <c r="L992" s="22">
        <v>0</v>
      </c>
      <c r="M992" s="22">
        <v>0</v>
      </c>
      <c r="N992" s="22">
        <v>0</v>
      </c>
      <c r="O992" s="22"/>
      <c r="P992" s="22">
        <v>64.900000000000006</v>
      </c>
      <c r="Q992" s="22" t="str">
        <f t="shared" si="45"/>
        <v>Normal</v>
      </c>
      <c r="R992" s="26" t="str">
        <f t="shared" si="46"/>
        <v>USR-10099145670TreatmentWestDesktopSocialFree100000064.9</v>
      </c>
      <c r="S992" s="22" t="str">
        <f t="shared" si="47"/>
        <v>OK</v>
      </c>
    </row>
    <row r="993" spans="1:19" ht="41.4">
      <c r="A993" s="22" t="s">
        <v>1024</v>
      </c>
      <c r="B993" s="25">
        <v>45744</v>
      </c>
      <c r="C993" s="22" t="s">
        <v>723</v>
      </c>
      <c r="D993" s="22" t="s">
        <v>32</v>
      </c>
      <c r="E993" s="22" t="s">
        <v>19</v>
      </c>
      <c r="F993" s="22" t="s">
        <v>25</v>
      </c>
      <c r="G993" s="22" t="s">
        <v>26</v>
      </c>
      <c r="H993" s="22">
        <v>1</v>
      </c>
      <c r="I993" s="22">
        <v>1</v>
      </c>
      <c r="J993" s="22">
        <v>0</v>
      </c>
      <c r="K993" s="22">
        <v>0</v>
      </c>
      <c r="L993" s="22">
        <v>0</v>
      </c>
      <c r="M993" s="22">
        <v>0</v>
      </c>
      <c r="N993" s="22">
        <v>0</v>
      </c>
      <c r="O993" s="22"/>
      <c r="P993" s="22">
        <v>45.5</v>
      </c>
      <c r="Q993" s="22" t="str">
        <f t="shared" si="45"/>
        <v>Normal</v>
      </c>
      <c r="R993" s="26" t="str">
        <f t="shared" si="46"/>
        <v>USR-10099245744TreatmentSouthDesktopOrganicFree110000045.5</v>
      </c>
      <c r="S993" s="22" t="str">
        <f t="shared" si="47"/>
        <v>OK</v>
      </c>
    </row>
    <row r="994" spans="1:19" ht="55.2">
      <c r="A994" s="22" t="s">
        <v>1025</v>
      </c>
      <c r="B994" s="25">
        <v>45686</v>
      </c>
      <c r="C994" s="22" t="s">
        <v>723</v>
      </c>
      <c r="D994" s="22" t="s">
        <v>28</v>
      </c>
      <c r="E994" s="22" t="s">
        <v>24</v>
      </c>
      <c r="F994" s="22" t="s">
        <v>29</v>
      </c>
      <c r="G994" s="22" t="s">
        <v>26</v>
      </c>
      <c r="H994" s="22">
        <v>1</v>
      </c>
      <c r="I994" s="22">
        <v>1</v>
      </c>
      <c r="J994" s="22">
        <v>1</v>
      </c>
      <c r="K994" s="22">
        <v>1</v>
      </c>
      <c r="L994" s="22">
        <v>1772.97</v>
      </c>
      <c r="M994" s="22">
        <v>0</v>
      </c>
      <c r="N994" s="22">
        <v>0</v>
      </c>
      <c r="O994" s="22">
        <v>8</v>
      </c>
      <c r="P994" s="22">
        <v>61.2</v>
      </c>
      <c r="Q994" s="22" t="str">
        <f t="shared" si="45"/>
        <v>Normal</v>
      </c>
      <c r="R994" s="26" t="str">
        <f t="shared" si="46"/>
        <v>USR-10099345686TreatmentEastMobilePaid SearchFree11111772.9700861.2</v>
      </c>
      <c r="S994" s="22" t="str">
        <f t="shared" si="47"/>
        <v>OK</v>
      </c>
    </row>
    <row r="995" spans="1:19" ht="41.4">
      <c r="A995" s="22" t="s">
        <v>1026</v>
      </c>
      <c r="B995" s="25">
        <v>45743</v>
      </c>
      <c r="C995" s="22" t="s">
        <v>723</v>
      </c>
      <c r="D995" s="22" t="s">
        <v>32</v>
      </c>
      <c r="E995" s="22" t="s">
        <v>24</v>
      </c>
      <c r="F995" s="22" t="s">
        <v>39</v>
      </c>
      <c r="G995" s="22" t="s">
        <v>26</v>
      </c>
      <c r="H995" s="22">
        <v>0</v>
      </c>
      <c r="I995" s="22">
        <v>0</v>
      </c>
      <c r="J995" s="22">
        <v>0</v>
      </c>
      <c r="K995" s="22">
        <v>0</v>
      </c>
      <c r="L995" s="22">
        <v>0</v>
      </c>
      <c r="M995" s="22">
        <v>0</v>
      </c>
      <c r="N995" s="22">
        <v>0</v>
      </c>
      <c r="O995" s="22"/>
      <c r="P995" s="22">
        <v>87.8</v>
      </c>
      <c r="Q995" s="22" t="str">
        <f t="shared" si="45"/>
        <v>Normal</v>
      </c>
      <c r="R995" s="26" t="str">
        <f t="shared" si="46"/>
        <v>USR-10099445743TreatmentSouthMobileReferralFree000000087.8</v>
      </c>
      <c r="S995" s="22" t="str">
        <f t="shared" si="47"/>
        <v>OK</v>
      </c>
    </row>
    <row r="996" spans="1:19" ht="41.4">
      <c r="A996" s="22" t="s">
        <v>1027</v>
      </c>
      <c r="B996" s="25">
        <v>45736</v>
      </c>
      <c r="C996" s="22" t="s">
        <v>723</v>
      </c>
      <c r="D996" s="22" t="s">
        <v>28</v>
      </c>
      <c r="E996" s="22" t="s">
        <v>34</v>
      </c>
      <c r="F996" s="22" t="s">
        <v>41</v>
      </c>
      <c r="G996" s="22" t="s">
        <v>26</v>
      </c>
      <c r="H996" s="22">
        <v>0</v>
      </c>
      <c r="I996" s="22">
        <v>0</v>
      </c>
      <c r="J996" s="22">
        <v>0</v>
      </c>
      <c r="K996" s="22">
        <v>0</v>
      </c>
      <c r="L996" s="22">
        <v>0</v>
      </c>
      <c r="M996" s="22">
        <v>0</v>
      </c>
      <c r="N996" s="22">
        <v>0</v>
      </c>
      <c r="O996" s="22"/>
      <c r="P996" s="22">
        <v>86.4</v>
      </c>
      <c r="Q996" s="22" t="str">
        <f t="shared" si="45"/>
        <v>Normal</v>
      </c>
      <c r="R996" s="26" t="str">
        <f t="shared" si="46"/>
        <v>USR-10099545736TreatmentEastTabletSocialFree000000086.4</v>
      </c>
      <c r="S996" s="22" t="str">
        <f t="shared" si="47"/>
        <v>OK</v>
      </c>
    </row>
    <row r="997" spans="1:19" ht="41.4">
      <c r="A997" s="22" t="s">
        <v>1028</v>
      </c>
      <c r="B997" s="25">
        <v>45666</v>
      </c>
      <c r="C997" s="22" t="s">
        <v>723</v>
      </c>
      <c r="D997" s="22" t="s">
        <v>18</v>
      </c>
      <c r="E997" s="22" t="s">
        <v>24</v>
      </c>
      <c r="F997" s="22" t="s">
        <v>29</v>
      </c>
      <c r="G997" s="22" t="s">
        <v>21</v>
      </c>
      <c r="H997" s="22">
        <v>0</v>
      </c>
      <c r="I997" s="22">
        <v>0</v>
      </c>
      <c r="J997" s="22">
        <v>0</v>
      </c>
      <c r="K997" s="22">
        <v>0</v>
      </c>
      <c r="L997" s="22">
        <v>0</v>
      </c>
      <c r="M997" s="22">
        <v>1</v>
      </c>
      <c r="N997" s="22">
        <v>0</v>
      </c>
      <c r="O997" s="22"/>
      <c r="P997" s="22">
        <v>71.400000000000006</v>
      </c>
      <c r="Q997" s="22" t="str">
        <f t="shared" si="45"/>
        <v>Normal</v>
      </c>
      <c r="R997" s="26" t="str">
        <f t="shared" si="46"/>
        <v>USR-10099645666TreatmentNorthMobilePaid SearchBasic000001071.4</v>
      </c>
      <c r="S997" s="22" t="str">
        <f t="shared" si="47"/>
        <v>OK</v>
      </c>
    </row>
    <row r="998" spans="1:19" ht="41.4">
      <c r="A998" s="22" t="s">
        <v>1029</v>
      </c>
      <c r="B998" s="25">
        <v>45772</v>
      </c>
      <c r="C998" s="22" t="s">
        <v>723</v>
      </c>
      <c r="D998" s="22" t="s">
        <v>23</v>
      </c>
      <c r="E998" s="22" t="s">
        <v>24</v>
      </c>
      <c r="F998" s="22" t="s">
        <v>41</v>
      </c>
      <c r="G998" s="22" t="s">
        <v>26</v>
      </c>
      <c r="H998" s="22">
        <v>1</v>
      </c>
      <c r="I998" s="22">
        <v>1</v>
      </c>
      <c r="J998" s="22">
        <v>1</v>
      </c>
      <c r="K998" s="22">
        <v>1</v>
      </c>
      <c r="L998" s="22">
        <v>218.66</v>
      </c>
      <c r="M998" s="22">
        <v>0</v>
      </c>
      <c r="N998" s="22">
        <v>1</v>
      </c>
      <c r="O998" s="22">
        <v>8</v>
      </c>
      <c r="P998" s="22">
        <v>72.2</v>
      </c>
      <c r="Q998" s="22" t="str">
        <f t="shared" si="45"/>
        <v>Normal</v>
      </c>
      <c r="R998" s="26" t="str">
        <f t="shared" si="46"/>
        <v>USR-10099745772TreatmentWestMobileSocialFree1111218.6601872.2</v>
      </c>
      <c r="S998" s="22" t="str">
        <f t="shared" si="47"/>
        <v>OK</v>
      </c>
    </row>
    <row r="999" spans="1:19" ht="41.4">
      <c r="A999" s="22" t="s">
        <v>1030</v>
      </c>
      <c r="B999" s="25">
        <v>45758</v>
      </c>
      <c r="C999" s="22" t="s">
        <v>723</v>
      </c>
      <c r="D999" s="22" t="s">
        <v>32</v>
      </c>
      <c r="E999" s="22" t="s">
        <v>19</v>
      </c>
      <c r="F999" s="22" t="s">
        <v>41</v>
      </c>
      <c r="G999" s="22" t="s">
        <v>26</v>
      </c>
      <c r="H999" s="22">
        <v>1</v>
      </c>
      <c r="I999" s="22">
        <v>0</v>
      </c>
      <c r="J999" s="22">
        <v>0</v>
      </c>
      <c r="K999" s="22">
        <v>0</v>
      </c>
      <c r="L999" s="22">
        <v>0</v>
      </c>
      <c r="M999" s="22">
        <v>0</v>
      </c>
      <c r="N999" s="22">
        <v>0</v>
      </c>
      <c r="O999" s="22"/>
      <c r="P999" s="22">
        <v>51.9</v>
      </c>
      <c r="Q999" s="22" t="str">
        <f t="shared" si="45"/>
        <v>Normal</v>
      </c>
      <c r="R999" s="26" t="str">
        <f t="shared" si="46"/>
        <v>USR-10099845758TreatmentSouthDesktopSocialFree100000051.9</v>
      </c>
      <c r="S999" s="22" t="str">
        <f t="shared" si="47"/>
        <v>OK</v>
      </c>
    </row>
    <row r="1000" spans="1:19" ht="41.4">
      <c r="A1000" s="22" t="s">
        <v>1031</v>
      </c>
      <c r="B1000" s="25">
        <v>45693</v>
      </c>
      <c r="C1000" s="22" t="s">
        <v>723</v>
      </c>
      <c r="D1000" s="22" t="s">
        <v>28</v>
      </c>
      <c r="E1000" s="22" t="s">
        <v>24</v>
      </c>
      <c r="F1000" s="22" t="s">
        <v>41</v>
      </c>
      <c r="G1000" s="22" t="s">
        <v>21</v>
      </c>
      <c r="H1000" s="22">
        <v>1</v>
      </c>
      <c r="I1000" s="22">
        <v>1</v>
      </c>
      <c r="J1000" s="22">
        <v>1</v>
      </c>
      <c r="K1000" s="22">
        <v>0</v>
      </c>
      <c r="L1000" s="22">
        <v>0</v>
      </c>
      <c r="M1000" s="22">
        <v>0</v>
      </c>
      <c r="N1000" s="22">
        <v>0</v>
      </c>
      <c r="O1000" s="22"/>
      <c r="P1000" s="22">
        <v>70.3</v>
      </c>
      <c r="Q1000" s="22" t="str">
        <f t="shared" si="45"/>
        <v>Normal</v>
      </c>
      <c r="R1000" s="26" t="str">
        <f t="shared" si="46"/>
        <v>USR-10099945693TreatmentEastMobileSocialBasic111000070.3</v>
      </c>
      <c r="S1000" s="22" t="str">
        <f t="shared" si="47"/>
        <v>OK</v>
      </c>
    </row>
    <row r="1001" spans="1:19" ht="41.4">
      <c r="A1001" s="22" t="s">
        <v>1032</v>
      </c>
      <c r="B1001" s="25">
        <v>45744</v>
      </c>
      <c r="C1001" s="22" t="s">
        <v>723</v>
      </c>
      <c r="D1001" s="22" t="s">
        <v>32</v>
      </c>
      <c r="E1001" s="22" t="s">
        <v>24</v>
      </c>
      <c r="F1001" s="22" t="s">
        <v>41</v>
      </c>
      <c r="G1001" s="22" t="s">
        <v>30</v>
      </c>
      <c r="H1001" s="22">
        <v>1</v>
      </c>
      <c r="I1001" s="22">
        <v>0</v>
      </c>
      <c r="J1001" s="22">
        <v>0</v>
      </c>
      <c r="K1001" s="22">
        <v>0</v>
      </c>
      <c r="L1001" s="22">
        <v>0</v>
      </c>
      <c r="M1001" s="22">
        <v>1</v>
      </c>
      <c r="N1001" s="22">
        <v>0</v>
      </c>
      <c r="O1001" s="22"/>
      <c r="P1001" s="22">
        <v>49.2</v>
      </c>
      <c r="Q1001" s="22" t="str">
        <f t="shared" si="45"/>
        <v>Normal</v>
      </c>
      <c r="R1001" s="26" t="str">
        <f t="shared" si="46"/>
        <v>USR-10100045744TreatmentSouthMobileSocialPremium100001049.2</v>
      </c>
      <c r="S1001" s="22" t="str">
        <f t="shared" si="47"/>
        <v>OK</v>
      </c>
    </row>
    <row r="1002" spans="1:19" ht="41.4">
      <c r="A1002" s="22" t="s">
        <v>1033</v>
      </c>
      <c r="B1002" s="25">
        <v>45791</v>
      </c>
      <c r="C1002" s="22" t="s">
        <v>723</v>
      </c>
      <c r="D1002" s="22" t="s">
        <v>32</v>
      </c>
      <c r="E1002" s="22" t="s">
        <v>24</v>
      </c>
      <c r="F1002" s="22" t="s">
        <v>39</v>
      </c>
      <c r="G1002" s="22" t="s">
        <v>26</v>
      </c>
      <c r="H1002" s="22">
        <v>0</v>
      </c>
      <c r="I1002" s="22">
        <v>0</v>
      </c>
      <c r="J1002" s="22">
        <v>0</v>
      </c>
      <c r="K1002" s="22">
        <v>0</v>
      </c>
      <c r="L1002" s="22">
        <v>0</v>
      </c>
      <c r="M1002" s="22">
        <v>0</v>
      </c>
      <c r="N1002" s="22">
        <v>0</v>
      </c>
      <c r="O1002" s="22"/>
      <c r="P1002" s="22">
        <v>52.2</v>
      </c>
      <c r="Q1002" s="22" t="str">
        <f t="shared" si="45"/>
        <v>Normal</v>
      </c>
      <c r="R1002" s="26" t="str">
        <f t="shared" si="46"/>
        <v>USR-10100145791TreatmentSouthMobileReferralFree000000052.2</v>
      </c>
      <c r="S1002" s="22" t="str">
        <f t="shared" si="47"/>
        <v>OK</v>
      </c>
    </row>
    <row r="1003" spans="1:19" ht="41.4">
      <c r="A1003" s="22" t="s">
        <v>1034</v>
      </c>
      <c r="B1003" s="25">
        <v>45726</v>
      </c>
      <c r="C1003" s="22" t="s">
        <v>723</v>
      </c>
      <c r="D1003" s="22" t="s">
        <v>28</v>
      </c>
      <c r="E1003" s="22" t="s">
        <v>24</v>
      </c>
      <c r="F1003" s="22" t="s">
        <v>29</v>
      </c>
      <c r="G1003" s="22" t="s">
        <v>21</v>
      </c>
      <c r="H1003" s="22">
        <v>0</v>
      </c>
      <c r="I1003" s="22">
        <v>0</v>
      </c>
      <c r="J1003" s="22">
        <v>0</v>
      </c>
      <c r="K1003" s="22">
        <v>0</v>
      </c>
      <c r="L1003" s="22">
        <v>0</v>
      </c>
      <c r="M1003" s="22">
        <v>1</v>
      </c>
      <c r="N1003" s="22">
        <v>0</v>
      </c>
      <c r="O1003" s="22"/>
      <c r="P1003" s="22">
        <v>62.6</v>
      </c>
      <c r="Q1003" s="22" t="str">
        <f t="shared" si="45"/>
        <v>Normal</v>
      </c>
      <c r="R1003" s="26" t="str">
        <f t="shared" si="46"/>
        <v>USR-10100245726TreatmentEastMobilePaid SearchBasic000001062.6</v>
      </c>
      <c r="S1003" s="22" t="str">
        <f t="shared" si="47"/>
        <v>OK</v>
      </c>
    </row>
    <row r="1004" spans="1:19" ht="41.4">
      <c r="A1004" s="22" t="s">
        <v>1035</v>
      </c>
      <c r="B1004" s="25">
        <v>45756</v>
      </c>
      <c r="C1004" s="22" t="s">
        <v>723</v>
      </c>
      <c r="D1004" s="22" t="s">
        <v>28</v>
      </c>
      <c r="E1004" s="22" t="s">
        <v>19</v>
      </c>
      <c r="F1004" s="22" t="s">
        <v>29</v>
      </c>
      <c r="G1004" s="22" t="s">
        <v>26</v>
      </c>
      <c r="H1004" s="22">
        <v>1</v>
      </c>
      <c r="I1004" s="22">
        <v>1</v>
      </c>
      <c r="J1004" s="22">
        <v>0</v>
      </c>
      <c r="K1004" s="22">
        <v>0</v>
      </c>
      <c r="L1004" s="22">
        <v>0</v>
      </c>
      <c r="M1004" s="22">
        <v>0</v>
      </c>
      <c r="N1004" s="22">
        <v>0</v>
      </c>
      <c r="O1004" s="22"/>
      <c r="P1004" s="22">
        <v>100</v>
      </c>
      <c r="Q1004" s="22" t="str">
        <f t="shared" si="45"/>
        <v>Normal</v>
      </c>
      <c r="R1004" s="26" t="str">
        <f t="shared" si="46"/>
        <v>USR-10100345756TreatmentEastDesktopPaid SearchFree1100000100</v>
      </c>
      <c r="S1004" s="22" t="str">
        <f t="shared" si="47"/>
        <v>OK</v>
      </c>
    </row>
    <row r="1005" spans="1:19" ht="41.4">
      <c r="A1005" s="22" t="s">
        <v>1036</v>
      </c>
      <c r="B1005" s="25">
        <v>45701</v>
      </c>
      <c r="C1005" s="22" t="s">
        <v>723</v>
      </c>
      <c r="D1005" s="22" t="s">
        <v>18</v>
      </c>
      <c r="E1005" s="22" t="s">
        <v>24</v>
      </c>
      <c r="F1005" s="22" t="s">
        <v>39</v>
      </c>
      <c r="G1005" s="22" t="s">
        <v>21</v>
      </c>
      <c r="H1005" s="22">
        <v>1</v>
      </c>
      <c r="I1005" s="22">
        <v>1</v>
      </c>
      <c r="J1005" s="22">
        <v>1</v>
      </c>
      <c r="K1005" s="22">
        <v>0</v>
      </c>
      <c r="L1005" s="22">
        <v>0</v>
      </c>
      <c r="M1005" s="22">
        <v>2</v>
      </c>
      <c r="N1005" s="22">
        <v>0</v>
      </c>
      <c r="O1005" s="22"/>
      <c r="P1005" s="22">
        <v>45.9</v>
      </c>
      <c r="Q1005" s="22" t="str">
        <f t="shared" si="45"/>
        <v>Normal</v>
      </c>
      <c r="R1005" s="26" t="str">
        <f t="shared" si="46"/>
        <v>USR-10100445701TreatmentNorthMobileReferralBasic111002045.9</v>
      </c>
      <c r="S1005" s="22" t="str">
        <f t="shared" si="47"/>
        <v>OK</v>
      </c>
    </row>
    <row r="1006" spans="1:19" ht="41.4">
      <c r="A1006" s="22" t="s">
        <v>1037</v>
      </c>
      <c r="B1006" s="25">
        <v>45780</v>
      </c>
      <c r="C1006" s="22" t="s">
        <v>723</v>
      </c>
      <c r="D1006" s="22" t="s">
        <v>28</v>
      </c>
      <c r="E1006" s="22" t="s">
        <v>24</v>
      </c>
      <c r="F1006" s="22" t="s">
        <v>20</v>
      </c>
      <c r="G1006" s="22" t="s">
        <v>26</v>
      </c>
      <c r="H1006" s="22">
        <v>1</v>
      </c>
      <c r="I1006" s="22">
        <v>1</v>
      </c>
      <c r="J1006" s="22">
        <v>1</v>
      </c>
      <c r="K1006" s="22">
        <v>0</v>
      </c>
      <c r="L1006" s="22">
        <v>0</v>
      </c>
      <c r="M1006" s="22">
        <v>0</v>
      </c>
      <c r="N1006" s="22">
        <v>0</v>
      </c>
      <c r="O1006" s="22"/>
      <c r="P1006" s="22">
        <v>80.7</v>
      </c>
      <c r="Q1006" s="22" t="str">
        <f t="shared" si="45"/>
        <v>Normal</v>
      </c>
      <c r="R1006" s="26" t="str">
        <f t="shared" si="46"/>
        <v>USR-10100545780TreatmentEastMobileEmailFree111000080.7</v>
      </c>
      <c r="S1006" s="22" t="str">
        <f t="shared" si="47"/>
        <v>OK</v>
      </c>
    </row>
    <row r="1007" spans="1:19" ht="41.4">
      <c r="A1007" s="22" t="s">
        <v>1038</v>
      </c>
      <c r="B1007" s="25">
        <v>45763</v>
      </c>
      <c r="C1007" s="22" t="s">
        <v>723</v>
      </c>
      <c r="D1007" s="22" t="s">
        <v>32</v>
      </c>
      <c r="E1007" s="22" t="s">
        <v>19</v>
      </c>
      <c r="F1007" s="22" t="s">
        <v>39</v>
      </c>
      <c r="G1007" s="22" t="s">
        <v>30</v>
      </c>
      <c r="H1007" s="22">
        <v>1</v>
      </c>
      <c r="I1007" s="22">
        <v>0</v>
      </c>
      <c r="J1007" s="22">
        <v>0</v>
      </c>
      <c r="K1007" s="22">
        <v>0</v>
      </c>
      <c r="L1007" s="22">
        <v>0</v>
      </c>
      <c r="M1007" s="22">
        <v>0</v>
      </c>
      <c r="N1007" s="22">
        <v>0</v>
      </c>
      <c r="O1007" s="22"/>
      <c r="P1007" s="22">
        <v>51.9</v>
      </c>
      <c r="Q1007" s="22" t="str">
        <f t="shared" si="45"/>
        <v>Normal</v>
      </c>
      <c r="R1007" s="26" t="str">
        <f t="shared" si="46"/>
        <v>USR-10100645763TreatmentSouthDesktopReferralPremium100000051.9</v>
      </c>
      <c r="S1007" s="22" t="str">
        <f t="shared" si="47"/>
        <v>OK</v>
      </c>
    </row>
    <row r="1008" spans="1:19" ht="41.4">
      <c r="A1008" s="22" t="s">
        <v>1039</v>
      </c>
      <c r="B1008" s="25">
        <v>45777</v>
      </c>
      <c r="C1008" s="22" t="s">
        <v>723</v>
      </c>
      <c r="D1008" s="22" t="s">
        <v>18</v>
      </c>
      <c r="E1008" s="22" t="s">
        <v>24</v>
      </c>
      <c r="F1008" s="22" t="s">
        <v>29</v>
      </c>
      <c r="G1008" s="22" t="s">
        <v>30</v>
      </c>
      <c r="H1008" s="22">
        <v>1</v>
      </c>
      <c r="I1008" s="22">
        <v>0</v>
      </c>
      <c r="J1008" s="22">
        <v>0</v>
      </c>
      <c r="K1008" s="22">
        <v>0</v>
      </c>
      <c r="L1008" s="22">
        <v>0</v>
      </c>
      <c r="M1008" s="22">
        <v>0</v>
      </c>
      <c r="N1008" s="22">
        <v>0</v>
      </c>
      <c r="O1008" s="22"/>
      <c r="P1008" s="22">
        <v>68.900000000000006</v>
      </c>
      <c r="Q1008" s="22" t="str">
        <f t="shared" si="45"/>
        <v>Normal</v>
      </c>
      <c r="R1008" s="26" t="str">
        <f t="shared" si="46"/>
        <v>USR-10100745777TreatmentNorthMobilePaid SearchPremium100000068.9</v>
      </c>
      <c r="S1008" s="22" t="str">
        <f t="shared" si="47"/>
        <v>OK</v>
      </c>
    </row>
    <row r="1009" spans="1:19" ht="41.4">
      <c r="A1009" s="22" t="s">
        <v>1040</v>
      </c>
      <c r="B1009" s="25">
        <v>45706</v>
      </c>
      <c r="C1009" s="22" t="s">
        <v>723</v>
      </c>
      <c r="D1009" s="22" t="s">
        <v>23</v>
      </c>
      <c r="E1009" s="22" t="s">
        <v>19</v>
      </c>
      <c r="F1009" s="22" t="s">
        <v>25</v>
      </c>
      <c r="G1009" s="22" t="s">
        <v>26</v>
      </c>
      <c r="H1009" s="22">
        <v>1</v>
      </c>
      <c r="I1009" s="22">
        <v>0</v>
      </c>
      <c r="J1009" s="22">
        <v>0</v>
      </c>
      <c r="K1009" s="22">
        <v>0</v>
      </c>
      <c r="L1009" s="22">
        <v>0</v>
      </c>
      <c r="M1009" s="22">
        <v>0</v>
      </c>
      <c r="N1009" s="22">
        <v>0</v>
      </c>
      <c r="O1009" s="22"/>
      <c r="P1009" s="22">
        <v>66</v>
      </c>
      <c r="Q1009" s="22" t="str">
        <f t="shared" si="45"/>
        <v>Normal</v>
      </c>
      <c r="R1009" s="26" t="str">
        <f t="shared" si="46"/>
        <v>USR-10100845706TreatmentWestDesktopOrganicFree100000066</v>
      </c>
      <c r="S1009" s="22" t="str">
        <f t="shared" si="47"/>
        <v>OK</v>
      </c>
    </row>
    <row r="1010" spans="1:19" ht="41.4">
      <c r="A1010" s="22" t="s">
        <v>1041</v>
      </c>
      <c r="B1010" s="25">
        <v>45799</v>
      </c>
      <c r="C1010" s="22" t="s">
        <v>723</v>
      </c>
      <c r="D1010" s="22" t="s">
        <v>23</v>
      </c>
      <c r="E1010" s="22" t="s">
        <v>19</v>
      </c>
      <c r="F1010" s="22" t="s">
        <v>39</v>
      </c>
      <c r="G1010" s="22" t="s">
        <v>21</v>
      </c>
      <c r="H1010" s="22">
        <v>0</v>
      </c>
      <c r="I1010" s="22">
        <v>0</v>
      </c>
      <c r="J1010" s="22">
        <v>0</v>
      </c>
      <c r="K1010" s="22">
        <v>0</v>
      </c>
      <c r="L1010" s="22">
        <v>0</v>
      </c>
      <c r="M1010" s="22">
        <v>0</v>
      </c>
      <c r="N1010" s="22">
        <v>0</v>
      </c>
      <c r="O1010" s="22"/>
      <c r="P1010" s="22">
        <v>63.1</v>
      </c>
      <c r="Q1010" s="22" t="str">
        <f t="shared" si="45"/>
        <v>Normal</v>
      </c>
      <c r="R1010" s="26" t="str">
        <f t="shared" si="46"/>
        <v>USR-10100945799TreatmentWestDesktopReferralBasic000000063.1</v>
      </c>
      <c r="S1010" s="22" t="str">
        <f t="shared" si="47"/>
        <v>OK</v>
      </c>
    </row>
    <row r="1011" spans="1:19" ht="41.4">
      <c r="A1011" s="22" t="s">
        <v>1042</v>
      </c>
      <c r="B1011" s="25">
        <v>45798</v>
      </c>
      <c r="C1011" s="22" t="s">
        <v>723</v>
      </c>
      <c r="D1011" s="22" t="s">
        <v>32</v>
      </c>
      <c r="E1011" s="22" t="s">
        <v>19</v>
      </c>
      <c r="F1011" s="22" t="s">
        <v>25</v>
      </c>
      <c r="G1011" s="22" t="s">
        <v>26</v>
      </c>
      <c r="H1011" s="22">
        <v>0</v>
      </c>
      <c r="I1011" s="22">
        <v>0</v>
      </c>
      <c r="J1011" s="22">
        <v>0</v>
      </c>
      <c r="K1011" s="22">
        <v>0</v>
      </c>
      <c r="L1011" s="22">
        <v>0</v>
      </c>
      <c r="M1011" s="22">
        <v>0</v>
      </c>
      <c r="N1011" s="22">
        <v>0</v>
      </c>
      <c r="O1011" s="22"/>
      <c r="P1011" s="22">
        <v>56</v>
      </c>
      <c r="Q1011" s="22" t="str">
        <f t="shared" si="45"/>
        <v>Normal</v>
      </c>
      <c r="R1011" s="26" t="str">
        <f t="shared" si="46"/>
        <v>USR-10101045798TreatmentSouthDesktopOrganicFree000000056</v>
      </c>
      <c r="S1011" s="22" t="str">
        <f t="shared" si="47"/>
        <v>OK</v>
      </c>
    </row>
    <row r="1012" spans="1:19" ht="41.4">
      <c r="A1012" s="22" t="s">
        <v>1043</v>
      </c>
      <c r="B1012" s="25">
        <v>45757</v>
      </c>
      <c r="C1012" s="22" t="s">
        <v>723</v>
      </c>
      <c r="D1012" s="22" t="s">
        <v>28</v>
      </c>
      <c r="E1012" s="22" t="s">
        <v>19</v>
      </c>
      <c r="F1012" s="22" t="s">
        <v>25</v>
      </c>
      <c r="G1012" s="22" t="s">
        <v>26</v>
      </c>
      <c r="H1012" s="22">
        <v>1</v>
      </c>
      <c r="I1012" s="22">
        <v>0</v>
      </c>
      <c r="J1012" s="22">
        <v>0</v>
      </c>
      <c r="K1012" s="22">
        <v>0</v>
      </c>
      <c r="L1012" s="22">
        <v>0</v>
      </c>
      <c r="M1012" s="22">
        <v>1</v>
      </c>
      <c r="N1012" s="22">
        <v>0</v>
      </c>
      <c r="O1012" s="22"/>
      <c r="P1012" s="22">
        <v>65.7</v>
      </c>
      <c r="Q1012" s="22" t="str">
        <f t="shared" si="45"/>
        <v>Normal</v>
      </c>
      <c r="R1012" s="26" t="str">
        <f t="shared" si="46"/>
        <v>USR-10101145757TreatmentEastDesktopOrganicFree100001065.7</v>
      </c>
      <c r="S1012" s="22" t="str">
        <f t="shared" si="47"/>
        <v>OK</v>
      </c>
    </row>
    <row r="1013" spans="1:19" ht="55.2">
      <c r="A1013" s="22" t="s">
        <v>1044</v>
      </c>
      <c r="B1013" s="25">
        <v>45664</v>
      </c>
      <c r="C1013" s="22" t="s">
        <v>723</v>
      </c>
      <c r="D1013" s="22" t="s">
        <v>18</v>
      </c>
      <c r="E1013" s="22" t="s">
        <v>19</v>
      </c>
      <c r="F1013" s="22" t="s">
        <v>25</v>
      </c>
      <c r="G1013" s="22" t="s">
        <v>30</v>
      </c>
      <c r="H1013" s="22">
        <v>1</v>
      </c>
      <c r="I1013" s="22">
        <v>1</v>
      </c>
      <c r="J1013" s="22">
        <v>1</v>
      </c>
      <c r="K1013" s="22">
        <v>1</v>
      </c>
      <c r="L1013" s="22">
        <v>1938.31</v>
      </c>
      <c r="M1013" s="22">
        <v>1</v>
      </c>
      <c r="N1013" s="22">
        <v>0</v>
      </c>
      <c r="O1013" s="22">
        <v>9</v>
      </c>
      <c r="P1013" s="22">
        <v>60.9</v>
      </c>
      <c r="Q1013" s="22" t="str">
        <f t="shared" si="45"/>
        <v>Normal</v>
      </c>
      <c r="R1013" s="26" t="str">
        <f t="shared" si="46"/>
        <v>USR-10101245664TreatmentNorthDesktopOrganicPremium11111938.3110960.9</v>
      </c>
      <c r="S1013" s="22" t="str">
        <f t="shared" si="47"/>
        <v>OK</v>
      </c>
    </row>
    <row r="1014" spans="1:19" ht="41.4">
      <c r="A1014" s="22" t="s">
        <v>1045</v>
      </c>
      <c r="B1014" s="25">
        <v>45691</v>
      </c>
      <c r="C1014" s="22" t="s">
        <v>723</v>
      </c>
      <c r="D1014" s="22" t="s">
        <v>32</v>
      </c>
      <c r="E1014" s="22" t="s">
        <v>19</v>
      </c>
      <c r="F1014" s="22" t="s">
        <v>41</v>
      </c>
      <c r="G1014" s="22" t="s">
        <v>26</v>
      </c>
      <c r="H1014" s="22">
        <v>0</v>
      </c>
      <c r="I1014" s="22">
        <v>0</v>
      </c>
      <c r="J1014" s="22">
        <v>0</v>
      </c>
      <c r="K1014" s="22">
        <v>0</v>
      </c>
      <c r="L1014" s="22">
        <v>0</v>
      </c>
      <c r="M1014" s="22">
        <v>0</v>
      </c>
      <c r="N1014" s="22">
        <v>0</v>
      </c>
      <c r="O1014" s="22"/>
      <c r="P1014" s="22">
        <v>45.5</v>
      </c>
      <c r="Q1014" s="22" t="str">
        <f t="shared" si="45"/>
        <v>Normal</v>
      </c>
      <c r="R1014" s="26" t="str">
        <f t="shared" si="46"/>
        <v>USR-10101345691TreatmentSouthDesktopSocialFree000000045.5</v>
      </c>
      <c r="S1014" s="22" t="str">
        <f t="shared" si="47"/>
        <v>OK</v>
      </c>
    </row>
    <row r="1015" spans="1:19" ht="41.4">
      <c r="A1015" s="22" t="s">
        <v>1046</v>
      </c>
      <c r="B1015" s="25">
        <v>45795</v>
      </c>
      <c r="C1015" s="22" t="s">
        <v>723</v>
      </c>
      <c r="D1015" s="22" t="s">
        <v>18</v>
      </c>
      <c r="E1015" s="22" t="s">
        <v>24</v>
      </c>
      <c r="F1015" s="22" t="s">
        <v>29</v>
      </c>
      <c r="G1015" s="22" t="s">
        <v>26</v>
      </c>
      <c r="H1015" s="22">
        <v>1</v>
      </c>
      <c r="I1015" s="22">
        <v>0</v>
      </c>
      <c r="J1015" s="22">
        <v>0</v>
      </c>
      <c r="K1015" s="22">
        <v>0</v>
      </c>
      <c r="L1015" s="22">
        <v>0</v>
      </c>
      <c r="M1015" s="22">
        <v>0</v>
      </c>
      <c r="N1015" s="22">
        <v>0</v>
      </c>
      <c r="O1015" s="22"/>
      <c r="P1015" s="22">
        <v>50</v>
      </c>
      <c r="Q1015" s="22" t="str">
        <f t="shared" si="45"/>
        <v>Normal</v>
      </c>
      <c r="R1015" s="26" t="str">
        <f t="shared" si="46"/>
        <v>USR-10101445795TreatmentNorthMobilePaid SearchFree100000050</v>
      </c>
      <c r="S1015" s="22" t="str">
        <f t="shared" si="47"/>
        <v>OK</v>
      </c>
    </row>
    <row r="1016" spans="1:19" ht="41.4">
      <c r="A1016" s="22" t="s">
        <v>1047</v>
      </c>
      <c r="B1016" s="25">
        <v>45688</v>
      </c>
      <c r="C1016" s="22" t="s">
        <v>723</v>
      </c>
      <c r="D1016" s="22" t="s">
        <v>18</v>
      </c>
      <c r="E1016" s="22" t="s">
        <v>24</v>
      </c>
      <c r="F1016" s="22" t="s">
        <v>39</v>
      </c>
      <c r="G1016" s="22" t="s">
        <v>26</v>
      </c>
      <c r="H1016" s="22">
        <v>1</v>
      </c>
      <c r="I1016" s="22">
        <v>0</v>
      </c>
      <c r="J1016" s="22">
        <v>0</v>
      </c>
      <c r="K1016" s="22">
        <v>0</v>
      </c>
      <c r="L1016" s="22">
        <v>0</v>
      </c>
      <c r="M1016" s="22">
        <v>0</v>
      </c>
      <c r="N1016" s="22">
        <v>0</v>
      </c>
      <c r="O1016" s="22"/>
      <c r="P1016" s="22">
        <v>72.099999999999994</v>
      </c>
      <c r="Q1016" s="22" t="str">
        <f t="shared" si="45"/>
        <v>Normal</v>
      </c>
      <c r="R1016" s="26" t="str">
        <f t="shared" si="46"/>
        <v>USR-10101545688TreatmentNorthMobileReferralFree100000072.1</v>
      </c>
      <c r="S1016" s="22" t="str">
        <f t="shared" si="47"/>
        <v>OK</v>
      </c>
    </row>
    <row r="1017" spans="1:19" ht="41.4">
      <c r="A1017" s="22" t="s">
        <v>1048</v>
      </c>
      <c r="B1017" s="25">
        <v>45673</v>
      </c>
      <c r="C1017" s="22" t="s">
        <v>723</v>
      </c>
      <c r="D1017" s="22" t="s">
        <v>32</v>
      </c>
      <c r="E1017" s="22" t="s">
        <v>19</v>
      </c>
      <c r="F1017" s="22" t="s">
        <v>25</v>
      </c>
      <c r="G1017" s="22" t="s">
        <v>21</v>
      </c>
      <c r="H1017" s="22">
        <v>1</v>
      </c>
      <c r="I1017" s="22">
        <v>0</v>
      </c>
      <c r="J1017" s="22">
        <v>0</v>
      </c>
      <c r="K1017" s="22">
        <v>0</v>
      </c>
      <c r="L1017" s="22">
        <v>0</v>
      </c>
      <c r="M1017" s="22">
        <v>0</v>
      </c>
      <c r="N1017" s="22">
        <v>0</v>
      </c>
      <c r="O1017" s="22"/>
      <c r="P1017" s="22">
        <v>76.3</v>
      </c>
      <c r="Q1017" s="22" t="str">
        <f t="shared" si="45"/>
        <v>Normal</v>
      </c>
      <c r="R1017" s="26" t="str">
        <f t="shared" si="46"/>
        <v>USR-10101645673TreatmentSouthDesktopOrganicBasic100000076.3</v>
      </c>
      <c r="S1017" s="22" t="str">
        <f t="shared" si="47"/>
        <v>OK</v>
      </c>
    </row>
    <row r="1018" spans="1:19" ht="41.4">
      <c r="A1018" s="22" t="s">
        <v>1049</v>
      </c>
      <c r="B1018" s="25">
        <v>45791</v>
      </c>
      <c r="C1018" s="22" t="s">
        <v>723</v>
      </c>
      <c r="D1018" s="22" t="s">
        <v>28</v>
      </c>
      <c r="E1018" s="22" t="s">
        <v>24</v>
      </c>
      <c r="F1018" s="22" t="s">
        <v>29</v>
      </c>
      <c r="G1018" s="22" t="s">
        <v>21</v>
      </c>
      <c r="H1018" s="22">
        <v>1</v>
      </c>
      <c r="I1018" s="22">
        <v>1</v>
      </c>
      <c r="J1018" s="22">
        <v>0</v>
      </c>
      <c r="K1018" s="22">
        <v>0</v>
      </c>
      <c r="L1018" s="22">
        <v>0</v>
      </c>
      <c r="M1018" s="22">
        <v>1</v>
      </c>
      <c r="N1018" s="22">
        <v>0</v>
      </c>
      <c r="O1018" s="22"/>
      <c r="P1018" s="22">
        <v>54.8</v>
      </c>
      <c r="Q1018" s="22" t="str">
        <f t="shared" si="45"/>
        <v>Normal</v>
      </c>
      <c r="R1018" s="26" t="str">
        <f t="shared" si="46"/>
        <v>USR-10101745791TreatmentEastMobilePaid SearchBasic110001054.8</v>
      </c>
      <c r="S1018" s="22" t="str">
        <f t="shared" si="47"/>
        <v>OK</v>
      </c>
    </row>
    <row r="1019" spans="1:19" ht="41.4">
      <c r="A1019" s="22" t="s">
        <v>1050</v>
      </c>
      <c r="B1019" s="25">
        <v>45748</v>
      </c>
      <c r="C1019" s="22" t="s">
        <v>723</v>
      </c>
      <c r="D1019" s="22" t="s">
        <v>32</v>
      </c>
      <c r="E1019" s="22" t="s">
        <v>24</v>
      </c>
      <c r="F1019" s="22"/>
      <c r="G1019" s="22" t="s">
        <v>21</v>
      </c>
      <c r="H1019" s="22">
        <v>1</v>
      </c>
      <c r="I1019" s="22">
        <v>0</v>
      </c>
      <c r="J1019" s="22">
        <v>0</v>
      </c>
      <c r="K1019" s="22">
        <v>0</v>
      </c>
      <c r="L1019" s="22">
        <v>0</v>
      </c>
      <c r="M1019" s="22">
        <v>0</v>
      </c>
      <c r="N1019" s="22">
        <v>0</v>
      </c>
      <c r="O1019" s="22"/>
      <c r="P1019" s="22">
        <v>63.6</v>
      </c>
      <c r="Q1019" s="22" t="str">
        <f t="shared" si="45"/>
        <v>Normal</v>
      </c>
      <c r="R1019" s="26" t="str">
        <f t="shared" si="46"/>
        <v>USR-10101845748TreatmentSouthMobileBasic100000063.6</v>
      </c>
      <c r="S1019" s="22" t="str">
        <f t="shared" si="47"/>
        <v>OK</v>
      </c>
    </row>
    <row r="1020" spans="1:19" ht="41.4">
      <c r="A1020" s="22" t="s">
        <v>1051</v>
      </c>
      <c r="B1020" s="25">
        <v>45770</v>
      </c>
      <c r="C1020" s="22" t="s">
        <v>723</v>
      </c>
      <c r="D1020" s="22" t="s">
        <v>32</v>
      </c>
      <c r="E1020" s="22" t="s">
        <v>24</v>
      </c>
      <c r="F1020" s="22" t="s">
        <v>25</v>
      </c>
      <c r="G1020" s="22" t="s">
        <v>26</v>
      </c>
      <c r="H1020" s="22">
        <v>1</v>
      </c>
      <c r="I1020" s="22">
        <v>0</v>
      </c>
      <c r="J1020" s="22">
        <v>0</v>
      </c>
      <c r="K1020" s="22">
        <v>0</v>
      </c>
      <c r="L1020" s="22">
        <v>0</v>
      </c>
      <c r="M1020" s="22">
        <v>0</v>
      </c>
      <c r="N1020" s="22">
        <v>0</v>
      </c>
      <c r="O1020" s="22"/>
      <c r="P1020" s="22">
        <v>68.8</v>
      </c>
      <c r="Q1020" s="22" t="str">
        <f t="shared" si="45"/>
        <v>Normal</v>
      </c>
      <c r="R1020" s="26" t="str">
        <f t="shared" si="46"/>
        <v>USR-10101945770TreatmentSouthMobileOrganicFree100000068.8</v>
      </c>
      <c r="S1020" s="22" t="str">
        <f t="shared" si="47"/>
        <v>OK</v>
      </c>
    </row>
    <row r="1021" spans="1:19" ht="41.4">
      <c r="A1021" s="22" t="s">
        <v>1052</v>
      </c>
      <c r="B1021" s="25">
        <v>45718</v>
      </c>
      <c r="C1021" s="22" t="s">
        <v>723</v>
      </c>
      <c r="D1021" s="22" t="s">
        <v>32</v>
      </c>
      <c r="E1021" s="22" t="s">
        <v>19</v>
      </c>
      <c r="F1021" s="22" t="s">
        <v>29</v>
      </c>
      <c r="G1021" s="22" t="s">
        <v>21</v>
      </c>
      <c r="H1021" s="22">
        <v>1</v>
      </c>
      <c r="I1021" s="22">
        <v>0</v>
      </c>
      <c r="J1021" s="22">
        <v>0</v>
      </c>
      <c r="K1021" s="22">
        <v>0</v>
      </c>
      <c r="L1021" s="22">
        <v>0</v>
      </c>
      <c r="M1021" s="22">
        <v>0</v>
      </c>
      <c r="N1021" s="22">
        <v>0</v>
      </c>
      <c r="O1021" s="22"/>
      <c r="P1021" s="22">
        <v>63.2</v>
      </c>
      <c r="Q1021" s="22" t="str">
        <f t="shared" si="45"/>
        <v>Normal</v>
      </c>
      <c r="R1021" s="26" t="str">
        <f t="shared" si="46"/>
        <v>USR-10102045718TreatmentSouthDesktopPaid SearchBasic100000063.2</v>
      </c>
      <c r="S1021" s="22" t="str">
        <f t="shared" si="47"/>
        <v>OK</v>
      </c>
    </row>
    <row r="1022" spans="1:19" ht="41.4">
      <c r="A1022" s="22" t="s">
        <v>1053</v>
      </c>
      <c r="B1022" s="25">
        <v>45659</v>
      </c>
      <c r="C1022" s="22" t="s">
        <v>723</v>
      </c>
      <c r="D1022" s="22" t="s">
        <v>28</v>
      </c>
      <c r="E1022" s="22" t="s">
        <v>24</v>
      </c>
      <c r="F1022" s="22" t="s">
        <v>29</v>
      </c>
      <c r="G1022" s="22" t="s">
        <v>21</v>
      </c>
      <c r="H1022" s="22">
        <v>0</v>
      </c>
      <c r="I1022" s="22">
        <v>0</v>
      </c>
      <c r="J1022" s="22">
        <v>0</v>
      </c>
      <c r="K1022" s="22">
        <v>0</v>
      </c>
      <c r="L1022" s="22">
        <v>0</v>
      </c>
      <c r="M1022" s="22">
        <v>0</v>
      </c>
      <c r="N1022" s="22">
        <v>0</v>
      </c>
      <c r="O1022" s="22"/>
      <c r="P1022" s="22">
        <v>45</v>
      </c>
      <c r="Q1022" s="22" t="str">
        <f t="shared" si="45"/>
        <v>Normal</v>
      </c>
      <c r="R1022" s="26" t="str">
        <f t="shared" si="46"/>
        <v>USR-10102145659TreatmentEastMobilePaid SearchBasic000000045</v>
      </c>
      <c r="S1022" s="22" t="str">
        <f t="shared" si="47"/>
        <v>OK</v>
      </c>
    </row>
    <row r="1023" spans="1:19" ht="41.4">
      <c r="A1023" s="22" t="s">
        <v>1054</v>
      </c>
      <c r="B1023" s="25">
        <v>45781</v>
      </c>
      <c r="C1023" s="22" t="s">
        <v>723</v>
      </c>
      <c r="D1023" s="22" t="s">
        <v>32</v>
      </c>
      <c r="E1023" s="22" t="s">
        <v>24</v>
      </c>
      <c r="F1023" s="22" t="s">
        <v>25</v>
      </c>
      <c r="G1023" s="22" t="s">
        <v>26</v>
      </c>
      <c r="H1023" s="22">
        <v>1</v>
      </c>
      <c r="I1023" s="22">
        <v>0</v>
      </c>
      <c r="J1023" s="22">
        <v>0</v>
      </c>
      <c r="K1023" s="22">
        <v>0</v>
      </c>
      <c r="L1023" s="22">
        <v>0</v>
      </c>
      <c r="M1023" s="22">
        <v>0</v>
      </c>
      <c r="N1023" s="22">
        <v>0</v>
      </c>
      <c r="O1023" s="22"/>
      <c r="P1023" s="22">
        <v>77.400000000000006</v>
      </c>
      <c r="Q1023" s="22" t="str">
        <f t="shared" si="45"/>
        <v>Normal</v>
      </c>
      <c r="R1023" s="26" t="str">
        <f t="shared" si="46"/>
        <v>USR-10102245781TreatmentSouthMobileOrganicFree100000077.4</v>
      </c>
      <c r="S1023" s="22" t="str">
        <f t="shared" si="47"/>
        <v>OK</v>
      </c>
    </row>
    <row r="1024" spans="1:19" ht="41.4">
      <c r="A1024" s="22" t="s">
        <v>1055</v>
      </c>
      <c r="B1024" s="25">
        <v>45673</v>
      </c>
      <c r="C1024" s="22" t="s">
        <v>723</v>
      </c>
      <c r="D1024" s="22" t="s">
        <v>28</v>
      </c>
      <c r="E1024" s="22" t="s">
        <v>19</v>
      </c>
      <c r="F1024" s="22" t="s">
        <v>29</v>
      </c>
      <c r="G1024" s="22" t="s">
        <v>21</v>
      </c>
      <c r="H1024" s="22">
        <v>0</v>
      </c>
      <c r="I1024" s="22">
        <v>0</v>
      </c>
      <c r="J1024" s="22">
        <v>0</v>
      </c>
      <c r="K1024" s="22">
        <v>0</v>
      </c>
      <c r="L1024" s="22">
        <v>0</v>
      </c>
      <c r="M1024" s="22">
        <v>0</v>
      </c>
      <c r="N1024" s="22">
        <v>0</v>
      </c>
      <c r="O1024" s="22"/>
      <c r="P1024" s="22">
        <v>53.1</v>
      </c>
      <c r="Q1024" s="22" t="str">
        <f t="shared" si="45"/>
        <v>Normal</v>
      </c>
      <c r="R1024" s="26" t="str">
        <f t="shared" si="46"/>
        <v>USR-10102345673TreatmentEastDesktopPaid SearchBasic000000053.1</v>
      </c>
      <c r="S1024" s="22" t="str">
        <f t="shared" si="47"/>
        <v>OK</v>
      </c>
    </row>
    <row r="1025" spans="1:19" ht="41.4">
      <c r="A1025" s="22" t="s">
        <v>1056</v>
      </c>
      <c r="B1025" s="25">
        <v>45699</v>
      </c>
      <c r="C1025" s="22" t="s">
        <v>723</v>
      </c>
      <c r="D1025" s="22" t="s">
        <v>23</v>
      </c>
      <c r="E1025" s="22" t="s">
        <v>34</v>
      </c>
      <c r="F1025" s="22" t="s">
        <v>29</v>
      </c>
      <c r="G1025" s="22" t="s">
        <v>30</v>
      </c>
      <c r="H1025" s="22">
        <v>0</v>
      </c>
      <c r="I1025" s="22">
        <v>0</v>
      </c>
      <c r="J1025" s="22">
        <v>0</v>
      </c>
      <c r="K1025" s="22">
        <v>0</v>
      </c>
      <c r="L1025" s="22">
        <v>0</v>
      </c>
      <c r="M1025" s="22">
        <v>0</v>
      </c>
      <c r="N1025" s="22">
        <v>0</v>
      </c>
      <c r="O1025" s="22"/>
      <c r="P1025" s="22">
        <v>74</v>
      </c>
      <c r="Q1025" s="22" t="str">
        <f t="shared" si="45"/>
        <v>Normal</v>
      </c>
      <c r="R1025" s="26" t="str">
        <f t="shared" si="46"/>
        <v>USR-10102445699TreatmentWestTabletPaid SearchPremium000000074</v>
      </c>
      <c r="S1025" s="22" t="str">
        <f t="shared" si="47"/>
        <v>OK</v>
      </c>
    </row>
    <row r="1026" spans="1:19" ht="41.4">
      <c r="A1026" s="22" t="s">
        <v>1057</v>
      </c>
      <c r="B1026" s="25">
        <v>45750</v>
      </c>
      <c r="C1026" s="22" t="s">
        <v>723</v>
      </c>
      <c r="D1026" s="22" t="s">
        <v>18</v>
      </c>
      <c r="E1026" s="22" t="s">
        <v>24</v>
      </c>
      <c r="F1026" s="22" t="s">
        <v>41</v>
      </c>
      <c r="G1026" s="22" t="s">
        <v>30</v>
      </c>
      <c r="H1026" s="22">
        <v>1</v>
      </c>
      <c r="I1026" s="22">
        <v>1</v>
      </c>
      <c r="J1026" s="22">
        <v>1</v>
      </c>
      <c r="K1026" s="22">
        <v>1</v>
      </c>
      <c r="L1026" s="22">
        <v>1906.23</v>
      </c>
      <c r="M1026" s="22">
        <v>0</v>
      </c>
      <c r="N1026" s="22">
        <v>0</v>
      </c>
      <c r="O1026" s="22">
        <v>4</v>
      </c>
      <c r="P1026" s="22">
        <v>84.6</v>
      </c>
      <c r="Q1026" s="22" t="str">
        <f t="shared" si="45"/>
        <v>Normal</v>
      </c>
      <c r="R1026" s="26" t="str">
        <f t="shared" si="46"/>
        <v>USR-10102545750TreatmentNorthMobileSocialPremium11111906.2300484.6</v>
      </c>
      <c r="S1026" s="22" t="str">
        <f t="shared" si="47"/>
        <v>OK</v>
      </c>
    </row>
    <row r="1027" spans="1:19" ht="41.4">
      <c r="A1027" s="22" t="s">
        <v>1058</v>
      </c>
      <c r="B1027" s="25">
        <v>45742</v>
      </c>
      <c r="C1027" s="22" t="s">
        <v>723</v>
      </c>
      <c r="D1027" s="22" t="s">
        <v>28</v>
      </c>
      <c r="E1027" s="22" t="s">
        <v>24</v>
      </c>
      <c r="F1027" s="22" t="s">
        <v>39</v>
      </c>
      <c r="G1027" s="22" t="s">
        <v>26</v>
      </c>
      <c r="H1027" s="22">
        <v>1</v>
      </c>
      <c r="I1027" s="22">
        <v>0</v>
      </c>
      <c r="J1027" s="22">
        <v>0</v>
      </c>
      <c r="K1027" s="22">
        <v>0</v>
      </c>
      <c r="L1027" s="22">
        <v>0</v>
      </c>
      <c r="M1027" s="22">
        <v>0</v>
      </c>
      <c r="N1027" s="22">
        <v>0</v>
      </c>
      <c r="O1027" s="22"/>
      <c r="P1027" s="22">
        <v>57</v>
      </c>
      <c r="Q1027" s="22" t="str">
        <f t="shared" ref="Q1027:Q1090" si="48">IF(OR(L1027&lt;$V$40,L1027&gt;$V$41),"Outlier","Normal")</f>
        <v>Normal</v>
      </c>
      <c r="R1027" s="26" t="str">
        <f t="shared" ref="R1027:R1090" si="49">A1027&amp;B1027&amp;C1027&amp;D1027&amp;E1027&amp;F1027&amp;G1027&amp;H1027&amp;I1027&amp;J1027&amp;K1027&amp;L1027&amp;M1027&amp;N1027&amp;O1027&amp;P1027</f>
        <v>USR-10102645742TreatmentEastMobileReferralFree100000057</v>
      </c>
      <c r="S1027" s="22" t="str">
        <f t="shared" ref="S1027:S1090" si="50">IF(COUNTIF($R$2:$R$1409,R1027)=1,"OK",IF(COUNTIF($R$2:$R$1409,R1027)&gt;1,"Exact Duplicate","Review Required"))</f>
        <v>OK</v>
      </c>
    </row>
    <row r="1028" spans="1:19" ht="41.4">
      <c r="A1028" s="22" t="s">
        <v>1059</v>
      </c>
      <c r="B1028" s="25">
        <v>45793</v>
      </c>
      <c r="C1028" s="22" t="s">
        <v>723</v>
      </c>
      <c r="D1028" s="22" t="s">
        <v>32</v>
      </c>
      <c r="E1028" s="22" t="s">
        <v>24</v>
      </c>
      <c r="F1028" s="22" t="s">
        <v>20</v>
      </c>
      <c r="G1028" s="22" t="s">
        <v>30</v>
      </c>
      <c r="H1028" s="22">
        <v>0</v>
      </c>
      <c r="I1028" s="22">
        <v>0</v>
      </c>
      <c r="J1028" s="22">
        <v>0</v>
      </c>
      <c r="K1028" s="22">
        <v>0</v>
      </c>
      <c r="L1028" s="22">
        <v>0</v>
      </c>
      <c r="M1028" s="22">
        <v>0</v>
      </c>
      <c r="N1028" s="22">
        <v>0</v>
      </c>
      <c r="O1028" s="22"/>
      <c r="P1028" s="22">
        <v>46.3</v>
      </c>
      <c r="Q1028" s="22" t="str">
        <f t="shared" si="48"/>
        <v>Normal</v>
      </c>
      <c r="R1028" s="26" t="str">
        <f t="shared" si="49"/>
        <v>USR-10102745793TreatmentSouthMobileEmailPremium000000046.3</v>
      </c>
      <c r="S1028" s="22" t="str">
        <f t="shared" si="50"/>
        <v>OK</v>
      </c>
    </row>
    <row r="1029" spans="1:19" ht="41.4">
      <c r="A1029" s="22" t="s">
        <v>1060</v>
      </c>
      <c r="B1029" s="25">
        <v>45767</v>
      </c>
      <c r="C1029" s="22" t="s">
        <v>723</v>
      </c>
      <c r="D1029" s="22" t="s">
        <v>23</v>
      </c>
      <c r="E1029" s="22" t="s">
        <v>24</v>
      </c>
      <c r="F1029" s="22" t="s">
        <v>41</v>
      </c>
      <c r="G1029" s="22" t="s">
        <v>26</v>
      </c>
      <c r="H1029" s="22">
        <v>0</v>
      </c>
      <c r="I1029" s="22">
        <v>0</v>
      </c>
      <c r="J1029" s="22">
        <v>0</v>
      </c>
      <c r="K1029" s="22">
        <v>0</v>
      </c>
      <c r="L1029" s="22">
        <v>0</v>
      </c>
      <c r="M1029" s="22">
        <v>1</v>
      </c>
      <c r="N1029" s="22">
        <v>0</v>
      </c>
      <c r="O1029" s="22"/>
      <c r="P1029" s="22">
        <v>64.400000000000006</v>
      </c>
      <c r="Q1029" s="22" t="str">
        <f t="shared" si="48"/>
        <v>Normal</v>
      </c>
      <c r="R1029" s="26" t="str">
        <f t="shared" si="49"/>
        <v>USR-10102845767TreatmentWestMobileSocialFree000001064.4</v>
      </c>
      <c r="S1029" s="22" t="str">
        <f t="shared" si="50"/>
        <v>OK</v>
      </c>
    </row>
    <row r="1030" spans="1:19" ht="41.4">
      <c r="A1030" s="22" t="s">
        <v>1061</v>
      </c>
      <c r="B1030" s="25">
        <v>45762</v>
      </c>
      <c r="C1030" s="22" t="s">
        <v>723</v>
      </c>
      <c r="D1030" s="22" t="s">
        <v>23</v>
      </c>
      <c r="E1030" s="22" t="s">
        <v>24</v>
      </c>
      <c r="F1030" s="22" t="s">
        <v>29</v>
      </c>
      <c r="G1030" s="22" t="s">
        <v>26</v>
      </c>
      <c r="H1030" s="22">
        <v>1</v>
      </c>
      <c r="I1030" s="22">
        <v>0</v>
      </c>
      <c r="J1030" s="22">
        <v>0</v>
      </c>
      <c r="K1030" s="22">
        <v>0</v>
      </c>
      <c r="L1030" s="22">
        <v>0</v>
      </c>
      <c r="M1030" s="22">
        <v>2</v>
      </c>
      <c r="N1030" s="22">
        <v>0</v>
      </c>
      <c r="O1030" s="22"/>
      <c r="P1030" s="22">
        <v>61.9</v>
      </c>
      <c r="Q1030" s="22" t="str">
        <f t="shared" si="48"/>
        <v>Normal</v>
      </c>
      <c r="R1030" s="26" t="str">
        <f t="shared" si="49"/>
        <v>USR-10102945762TreatmentWestMobilePaid SearchFree100002061.9</v>
      </c>
      <c r="S1030" s="22" t="str">
        <f t="shared" si="50"/>
        <v>OK</v>
      </c>
    </row>
    <row r="1031" spans="1:19" ht="41.4">
      <c r="A1031" s="22" t="s">
        <v>1062</v>
      </c>
      <c r="B1031" s="25">
        <v>45681</v>
      </c>
      <c r="C1031" s="22" t="s">
        <v>723</v>
      </c>
      <c r="D1031" s="22" t="s">
        <v>18</v>
      </c>
      <c r="E1031" s="22" t="s">
        <v>24</v>
      </c>
      <c r="F1031" s="22" t="s">
        <v>25</v>
      </c>
      <c r="G1031" s="22" t="s">
        <v>30</v>
      </c>
      <c r="H1031" s="22">
        <v>1</v>
      </c>
      <c r="I1031" s="22">
        <v>1</v>
      </c>
      <c r="J1031" s="22">
        <v>1</v>
      </c>
      <c r="K1031" s="22">
        <v>0</v>
      </c>
      <c r="L1031" s="22">
        <v>0</v>
      </c>
      <c r="M1031" s="22">
        <v>0</v>
      </c>
      <c r="N1031" s="22">
        <v>0</v>
      </c>
      <c r="O1031" s="22"/>
      <c r="P1031" s="22">
        <v>93.7</v>
      </c>
      <c r="Q1031" s="22" t="str">
        <f t="shared" si="48"/>
        <v>Normal</v>
      </c>
      <c r="R1031" s="26" t="str">
        <f t="shared" si="49"/>
        <v>USR-10103045681TreatmentNorthMobileOrganicPremium111000093.7</v>
      </c>
      <c r="S1031" s="22" t="str">
        <f t="shared" si="50"/>
        <v>OK</v>
      </c>
    </row>
    <row r="1032" spans="1:19" ht="41.4">
      <c r="A1032" s="22" t="s">
        <v>1063</v>
      </c>
      <c r="B1032" s="25">
        <v>45758</v>
      </c>
      <c r="C1032" s="22" t="s">
        <v>723</v>
      </c>
      <c r="D1032" s="22" t="s">
        <v>32</v>
      </c>
      <c r="E1032" s="22" t="s">
        <v>24</v>
      </c>
      <c r="F1032" s="22" t="s">
        <v>39</v>
      </c>
      <c r="G1032" s="22" t="s">
        <v>21</v>
      </c>
      <c r="H1032" s="22">
        <v>0</v>
      </c>
      <c r="I1032" s="22">
        <v>0</v>
      </c>
      <c r="J1032" s="22">
        <v>0</v>
      </c>
      <c r="K1032" s="22">
        <v>0</v>
      </c>
      <c r="L1032" s="22">
        <v>0</v>
      </c>
      <c r="M1032" s="22">
        <v>0</v>
      </c>
      <c r="N1032" s="22">
        <v>0</v>
      </c>
      <c r="O1032" s="22"/>
      <c r="P1032" s="22">
        <v>61.6</v>
      </c>
      <c r="Q1032" s="22" t="str">
        <f t="shared" si="48"/>
        <v>Normal</v>
      </c>
      <c r="R1032" s="26" t="str">
        <f t="shared" si="49"/>
        <v>USR-10103145758TreatmentSouthMobileReferralBasic000000061.6</v>
      </c>
      <c r="S1032" s="22" t="str">
        <f t="shared" si="50"/>
        <v>OK</v>
      </c>
    </row>
    <row r="1033" spans="1:19" ht="41.4">
      <c r="A1033" s="22" t="s">
        <v>1064</v>
      </c>
      <c r="B1033" s="25">
        <v>45796</v>
      </c>
      <c r="C1033" s="22" t="s">
        <v>723</v>
      </c>
      <c r="D1033" s="22" t="s">
        <v>18</v>
      </c>
      <c r="E1033" s="22" t="s">
        <v>24</v>
      </c>
      <c r="F1033" s="22" t="s">
        <v>29</v>
      </c>
      <c r="G1033" s="22" t="s">
        <v>26</v>
      </c>
      <c r="H1033" s="22">
        <v>1</v>
      </c>
      <c r="I1033" s="22">
        <v>0</v>
      </c>
      <c r="J1033" s="22">
        <v>0</v>
      </c>
      <c r="K1033" s="22">
        <v>0</v>
      </c>
      <c r="L1033" s="22">
        <v>0</v>
      </c>
      <c r="M1033" s="22">
        <v>0</v>
      </c>
      <c r="N1033" s="22">
        <v>0</v>
      </c>
      <c r="O1033" s="22"/>
      <c r="P1033" s="22">
        <v>72.2</v>
      </c>
      <c r="Q1033" s="22" t="str">
        <f t="shared" si="48"/>
        <v>Normal</v>
      </c>
      <c r="R1033" s="26" t="str">
        <f t="shared" si="49"/>
        <v>USR-10103245796TreatmentNorthMobilePaid SearchFree100000072.2</v>
      </c>
      <c r="S1033" s="22" t="str">
        <f t="shared" si="50"/>
        <v>OK</v>
      </c>
    </row>
    <row r="1034" spans="1:19" ht="41.4">
      <c r="A1034" s="22" t="s">
        <v>1065</v>
      </c>
      <c r="B1034" s="25">
        <v>45671</v>
      </c>
      <c r="C1034" s="22" t="s">
        <v>723</v>
      </c>
      <c r="D1034" s="22" t="s">
        <v>18</v>
      </c>
      <c r="E1034" s="22" t="s">
        <v>24</v>
      </c>
      <c r="F1034" s="22" t="s">
        <v>25</v>
      </c>
      <c r="G1034" s="22" t="s">
        <v>21</v>
      </c>
      <c r="H1034" s="22">
        <v>0</v>
      </c>
      <c r="I1034" s="22">
        <v>0</v>
      </c>
      <c r="J1034" s="22">
        <v>0</v>
      </c>
      <c r="K1034" s="22">
        <v>0</v>
      </c>
      <c r="L1034" s="22">
        <v>0</v>
      </c>
      <c r="M1034" s="22">
        <v>0</v>
      </c>
      <c r="N1034" s="22">
        <v>0</v>
      </c>
      <c r="O1034" s="22"/>
      <c r="P1034" s="22">
        <v>69.5</v>
      </c>
      <c r="Q1034" s="22" t="str">
        <f t="shared" si="48"/>
        <v>Normal</v>
      </c>
      <c r="R1034" s="26" t="str">
        <f t="shared" si="49"/>
        <v>USR-10103345671TreatmentNorthMobileOrganicBasic000000069.5</v>
      </c>
      <c r="S1034" s="22" t="str">
        <f t="shared" si="50"/>
        <v>OK</v>
      </c>
    </row>
    <row r="1035" spans="1:19" ht="41.4">
      <c r="A1035" s="22" t="s">
        <v>1066</v>
      </c>
      <c r="B1035" s="25">
        <v>45716</v>
      </c>
      <c r="C1035" s="22" t="s">
        <v>723</v>
      </c>
      <c r="D1035" s="22" t="s">
        <v>28</v>
      </c>
      <c r="E1035" s="22" t="s">
        <v>19</v>
      </c>
      <c r="F1035" s="22" t="s">
        <v>25</v>
      </c>
      <c r="G1035" s="22" t="s">
        <v>21</v>
      </c>
      <c r="H1035" s="22">
        <v>0</v>
      </c>
      <c r="I1035" s="22">
        <v>0</v>
      </c>
      <c r="J1035" s="22">
        <v>0</v>
      </c>
      <c r="K1035" s="22">
        <v>0</v>
      </c>
      <c r="L1035" s="22">
        <v>0</v>
      </c>
      <c r="M1035" s="22">
        <v>0</v>
      </c>
      <c r="N1035" s="22">
        <v>0</v>
      </c>
      <c r="O1035" s="22"/>
      <c r="P1035" s="22">
        <v>59.7</v>
      </c>
      <c r="Q1035" s="22" t="str">
        <f t="shared" si="48"/>
        <v>Normal</v>
      </c>
      <c r="R1035" s="26" t="str">
        <f t="shared" si="49"/>
        <v>USR-10103445716TreatmentEastDesktopOrganicBasic000000059.7</v>
      </c>
      <c r="S1035" s="22" t="str">
        <f t="shared" si="50"/>
        <v>OK</v>
      </c>
    </row>
    <row r="1036" spans="1:19" ht="41.4">
      <c r="A1036" s="22" t="s">
        <v>1067</v>
      </c>
      <c r="B1036" s="25">
        <v>45795</v>
      </c>
      <c r="C1036" s="22" t="s">
        <v>723</v>
      </c>
      <c r="D1036" s="22" t="s">
        <v>28</v>
      </c>
      <c r="E1036" s="22" t="s">
        <v>34</v>
      </c>
      <c r="F1036" s="22" t="s">
        <v>29</v>
      </c>
      <c r="G1036" s="22" t="s">
        <v>21</v>
      </c>
      <c r="H1036" s="22">
        <v>1</v>
      </c>
      <c r="I1036" s="22">
        <v>0</v>
      </c>
      <c r="J1036" s="22">
        <v>0</v>
      </c>
      <c r="K1036" s="22">
        <v>0</v>
      </c>
      <c r="L1036" s="22">
        <v>0</v>
      </c>
      <c r="M1036" s="22">
        <v>0</v>
      </c>
      <c r="N1036" s="22">
        <v>0</v>
      </c>
      <c r="O1036" s="22"/>
      <c r="P1036" s="22">
        <v>73.900000000000006</v>
      </c>
      <c r="Q1036" s="22" t="str">
        <f t="shared" si="48"/>
        <v>Normal</v>
      </c>
      <c r="R1036" s="26" t="str">
        <f t="shared" si="49"/>
        <v>USR-10103545795TreatmentEastTabletPaid SearchBasic100000073.9</v>
      </c>
      <c r="S1036" s="22" t="str">
        <f t="shared" si="50"/>
        <v>OK</v>
      </c>
    </row>
    <row r="1037" spans="1:19" ht="41.4">
      <c r="A1037" s="22" t="s">
        <v>1068</v>
      </c>
      <c r="B1037" s="25">
        <v>45661</v>
      </c>
      <c r="C1037" s="22" t="s">
        <v>723</v>
      </c>
      <c r="D1037" s="22" t="s">
        <v>18</v>
      </c>
      <c r="E1037" s="22" t="s">
        <v>24</v>
      </c>
      <c r="F1037" s="22" t="s">
        <v>41</v>
      </c>
      <c r="G1037" s="22" t="s">
        <v>26</v>
      </c>
      <c r="H1037" s="22">
        <v>0</v>
      </c>
      <c r="I1037" s="22">
        <v>0</v>
      </c>
      <c r="J1037" s="22">
        <v>0</v>
      </c>
      <c r="K1037" s="22">
        <v>0</v>
      </c>
      <c r="L1037" s="22">
        <v>0</v>
      </c>
      <c r="M1037" s="22">
        <v>0</v>
      </c>
      <c r="N1037" s="22">
        <v>0</v>
      </c>
      <c r="O1037" s="22"/>
      <c r="P1037" s="22">
        <v>41.5</v>
      </c>
      <c r="Q1037" s="22" t="str">
        <f t="shared" si="48"/>
        <v>Normal</v>
      </c>
      <c r="R1037" s="26" t="str">
        <f t="shared" si="49"/>
        <v>USR-10103645661TreatmentNorthMobileSocialFree000000041.5</v>
      </c>
      <c r="S1037" s="22" t="str">
        <f t="shared" si="50"/>
        <v>OK</v>
      </c>
    </row>
    <row r="1038" spans="1:19" ht="41.4">
      <c r="A1038" s="22" t="s">
        <v>1069</v>
      </c>
      <c r="B1038" s="25">
        <v>45673</v>
      </c>
      <c r="C1038" s="22" t="s">
        <v>723</v>
      </c>
      <c r="D1038" s="22" t="s">
        <v>23</v>
      </c>
      <c r="E1038" s="22" t="s">
        <v>24</v>
      </c>
      <c r="F1038" s="22" t="s">
        <v>41</v>
      </c>
      <c r="G1038" s="22" t="s">
        <v>30</v>
      </c>
      <c r="H1038" s="22">
        <v>1</v>
      </c>
      <c r="I1038" s="22">
        <v>0</v>
      </c>
      <c r="J1038" s="22">
        <v>0</v>
      </c>
      <c r="K1038" s="22">
        <v>0</v>
      </c>
      <c r="L1038" s="22">
        <v>0</v>
      </c>
      <c r="M1038" s="22">
        <v>0</v>
      </c>
      <c r="N1038" s="22">
        <v>0</v>
      </c>
      <c r="O1038" s="22"/>
      <c r="P1038" s="22">
        <v>82.8</v>
      </c>
      <c r="Q1038" s="22" t="str">
        <f t="shared" si="48"/>
        <v>Normal</v>
      </c>
      <c r="R1038" s="26" t="str">
        <f t="shared" si="49"/>
        <v>USR-10103745673TreatmentWestMobileSocialPremium100000082.8</v>
      </c>
      <c r="S1038" s="22" t="str">
        <f t="shared" si="50"/>
        <v>OK</v>
      </c>
    </row>
    <row r="1039" spans="1:19" ht="41.4">
      <c r="A1039" s="22" t="s">
        <v>1070</v>
      </c>
      <c r="B1039" s="25">
        <v>45730</v>
      </c>
      <c r="C1039" s="22" t="s">
        <v>723</v>
      </c>
      <c r="D1039" s="22" t="s">
        <v>23</v>
      </c>
      <c r="E1039" s="22" t="s">
        <v>24</v>
      </c>
      <c r="F1039" s="22" t="s">
        <v>41</v>
      </c>
      <c r="G1039" s="22" t="s">
        <v>30</v>
      </c>
      <c r="H1039" s="22">
        <v>1</v>
      </c>
      <c r="I1039" s="22">
        <v>0</v>
      </c>
      <c r="J1039" s="22">
        <v>0</v>
      </c>
      <c r="K1039" s="22">
        <v>0</v>
      </c>
      <c r="L1039" s="22">
        <v>0</v>
      </c>
      <c r="M1039" s="22">
        <v>3</v>
      </c>
      <c r="N1039" s="22">
        <v>0</v>
      </c>
      <c r="O1039" s="22"/>
      <c r="P1039" s="22">
        <v>70.2</v>
      </c>
      <c r="Q1039" s="22" t="str">
        <f t="shared" si="48"/>
        <v>Normal</v>
      </c>
      <c r="R1039" s="26" t="str">
        <f t="shared" si="49"/>
        <v>USR-10103845730TreatmentWestMobileSocialPremium100003070.2</v>
      </c>
      <c r="S1039" s="22" t="str">
        <f t="shared" si="50"/>
        <v>OK</v>
      </c>
    </row>
    <row r="1040" spans="1:19" ht="41.4">
      <c r="A1040" s="22" t="s">
        <v>1071</v>
      </c>
      <c r="B1040" s="25">
        <v>45680</v>
      </c>
      <c r="C1040" s="22" t="s">
        <v>723</v>
      </c>
      <c r="D1040" s="22" t="s">
        <v>28</v>
      </c>
      <c r="E1040" s="22" t="s">
        <v>24</v>
      </c>
      <c r="F1040" s="22" t="s">
        <v>29</v>
      </c>
      <c r="G1040" s="22" t="s">
        <v>21</v>
      </c>
      <c r="H1040" s="22">
        <v>1</v>
      </c>
      <c r="I1040" s="22">
        <v>0</v>
      </c>
      <c r="J1040" s="22">
        <v>0</v>
      </c>
      <c r="K1040" s="22">
        <v>0</v>
      </c>
      <c r="L1040" s="22">
        <v>0</v>
      </c>
      <c r="M1040" s="22">
        <v>1</v>
      </c>
      <c r="N1040" s="22">
        <v>0</v>
      </c>
      <c r="O1040" s="22"/>
      <c r="P1040" s="22">
        <v>69.400000000000006</v>
      </c>
      <c r="Q1040" s="22" t="str">
        <f t="shared" si="48"/>
        <v>Normal</v>
      </c>
      <c r="R1040" s="26" t="str">
        <f t="shared" si="49"/>
        <v>USR-10103945680TreatmentEastMobilePaid SearchBasic100001069.4</v>
      </c>
      <c r="S1040" s="22" t="str">
        <f t="shared" si="50"/>
        <v>OK</v>
      </c>
    </row>
    <row r="1041" spans="1:19" ht="41.4">
      <c r="A1041" s="22" t="s">
        <v>1072</v>
      </c>
      <c r="B1041" s="25">
        <v>45691</v>
      </c>
      <c r="C1041" s="22" t="s">
        <v>723</v>
      </c>
      <c r="D1041" s="22" t="s">
        <v>18</v>
      </c>
      <c r="E1041" s="22" t="s">
        <v>19</v>
      </c>
      <c r="F1041" s="22" t="s">
        <v>25</v>
      </c>
      <c r="G1041" s="22" t="s">
        <v>21</v>
      </c>
      <c r="H1041" s="22">
        <v>1</v>
      </c>
      <c r="I1041" s="22">
        <v>0</v>
      </c>
      <c r="J1041" s="22">
        <v>0</v>
      </c>
      <c r="K1041" s="22">
        <v>0</v>
      </c>
      <c r="L1041" s="22">
        <v>0</v>
      </c>
      <c r="M1041" s="22">
        <v>0</v>
      </c>
      <c r="N1041" s="22">
        <v>0</v>
      </c>
      <c r="O1041" s="22"/>
      <c r="P1041" s="22">
        <v>60.4</v>
      </c>
      <c r="Q1041" s="22" t="str">
        <f t="shared" si="48"/>
        <v>Normal</v>
      </c>
      <c r="R1041" s="26" t="str">
        <f t="shared" si="49"/>
        <v>USR-10104045691TreatmentNorthDesktopOrganicBasic100000060.4</v>
      </c>
      <c r="S1041" s="22" t="str">
        <f t="shared" si="50"/>
        <v>OK</v>
      </c>
    </row>
    <row r="1042" spans="1:19" ht="41.4">
      <c r="A1042" s="22" t="s">
        <v>1073</v>
      </c>
      <c r="B1042" s="25">
        <v>45793</v>
      </c>
      <c r="C1042" s="22" t="s">
        <v>723</v>
      </c>
      <c r="D1042" s="22" t="s">
        <v>28</v>
      </c>
      <c r="E1042" s="22" t="s">
        <v>24</v>
      </c>
      <c r="F1042" s="22" t="s">
        <v>39</v>
      </c>
      <c r="G1042" s="22" t="s">
        <v>26</v>
      </c>
      <c r="H1042" s="22">
        <v>1</v>
      </c>
      <c r="I1042" s="22">
        <v>0</v>
      </c>
      <c r="J1042" s="22">
        <v>0</v>
      </c>
      <c r="K1042" s="22">
        <v>0</v>
      </c>
      <c r="L1042" s="22">
        <v>0</v>
      </c>
      <c r="M1042" s="22">
        <v>0</v>
      </c>
      <c r="N1042" s="22">
        <v>0</v>
      </c>
      <c r="O1042" s="22"/>
      <c r="P1042" s="22">
        <v>45.7</v>
      </c>
      <c r="Q1042" s="22" t="str">
        <f t="shared" si="48"/>
        <v>Normal</v>
      </c>
      <c r="R1042" s="26" t="str">
        <f t="shared" si="49"/>
        <v>USR-10104145793TreatmentEastMobileReferralFree100000045.7</v>
      </c>
      <c r="S1042" s="22" t="str">
        <f t="shared" si="50"/>
        <v>OK</v>
      </c>
    </row>
    <row r="1043" spans="1:19" ht="41.4">
      <c r="A1043" s="22" t="s">
        <v>1074</v>
      </c>
      <c r="B1043" s="25">
        <v>45668</v>
      </c>
      <c r="C1043" s="22" t="s">
        <v>723</v>
      </c>
      <c r="D1043" s="22" t="s">
        <v>23</v>
      </c>
      <c r="E1043" s="22" t="s">
        <v>24</v>
      </c>
      <c r="F1043" s="22" t="s">
        <v>25</v>
      </c>
      <c r="G1043" s="22" t="s">
        <v>21</v>
      </c>
      <c r="H1043" s="22">
        <v>0</v>
      </c>
      <c r="I1043" s="22">
        <v>0</v>
      </c>
      <c r="J1043" s="22">
        <v>0</v>
      </c>
      <c r="K1043" s="22">
        <v>0</v>
      </c>
      <c r="L1043" s="22">
        <v>0</v>
      </c>
      <c r="M1043" s="22">
        <v>1</v>
      </c>
      <c r="N1043" s="22">
        <v>0</v>
      </c>
      <c r="O1043" s="22"/>
      <c r="P1043" s="22">
        <v>42.2</v>
      </c>
      <c r="Q1043" s="22" t="str">
        <f t="shared" si="48"/>
        <v>Normal</v>
      </c>
      <c r="R1043" s="26" t="str">
        <f t="shared" si="49"/>
        <v>USR-10104245668TreatmentWestMobileOrganicBasic000001042.2</v>
      </c>
      <c r="S1043" s="22" t="str">
        <f t="shared" si="50"/>
        <v>OK</v>
      </c>
    </row>
    <row r="1044" spans="1:19" ht="41.4">
      <c r="A1044" s="22" t="s">
        <v>1075</v>
      </c>
      <c r="B1044" s="25">
        <v>45802</v>
      </c>
      <c r="C1044" s="22" t="s">
        <v>723</v>
      </c>
      <c r="D1044" s="22" t="s">
        <v>18</v>
      </c>
      <c r="E1044" s="22" t="s">
        <v>19</v>
      </c>
      <c r="F1044" s="22" t="s">
        <v>25</v>
      </c>
      <c r="G1044" s="22" t="s">
        <v>26</v>
      </c>
      <c r="H1044" s="22">
        <v>0</v>
      </c>
      <c r="I1044" s="22">
        <v>0</v>
      </c>
      <c r="J1044" s="22">
        <v>0</v>
      </c>
      <c r="K1044" s="22">
        <v>0</v>
      </c>
      <c r="L1044" s="22">
        <v>0</v>
      </c>
      <c r="M1044" s="22">
        <v>2</v>
      </c>
      <c r="N1044" s="22">
        <v>0</v>
      </c>
      <c r="O1044" s="22"/>
      <c r="P1044" s="22">
        <v>61.9</v>
      </c>
      <c r="Q1044" s="22" t="str">
        <f t="shared" si="48"/>
        <v>Normal</v>
      </c>
      <c r="R1044" s="26" t="str">
        <f t="shared" si="49"/>
        <v>USR-10104345802TreatmentNorthDesktopOrganicFree000002061.9</v>
      </c>
      <c r="S1044" s="22" t="str">
        <f t="shared" si="50"/>
        <v>OK</v>
      </c>
    </row>
    <row r="1045" spans="1:19" ht="41.4">
      <c r="A1045" s="22" t="s">
        <v>1076</v>
      </c>
      <c r="B1045" s="25">
        <v>45785</v>
      </c>
      <c r="C1045" s="22" t="s">
        <v>723</v>
      </c>
      <c r="D1045" s="22" t="s">
        <v>28</v>
      </c>
      <c r="E1045" s="22" t="s">
        <v>24</v>
      </c>
      <c r="F1045" s="22" t="s">
        <v>29</v>
      </c>
      <c r="G1045" s="22" t="s">
        <v>30</v>
      </c>
      <c r="H1045" s="22">
        <v>0</v>
      </c>
      <c r="I1045" s="22">
        <v>0</v>
      </c>
      <c r="J1045" s="22">
        <v>0</v>
      </c>
      <c r="K1045" s="22">
        <v>0</v>
      </c>
      <c r="L1045" s="22">
        <v>0</v>
      </c>
      <c r="M1045" s="22">
        <v>0</v>
      </c>
      <c r="N1045" s="22">
        <v>0</v>
      </c>
      <c r="O1045" s="22"/>
      <c r="P1045" s="22">
        <v>44.9</v>
      </c>
      <c r="Q1045" s="22" t="str">
        <f t="shared" si="48"/>
        <v>Normal</v>
      </c>
      <c r="R1045" s="26" t="str">
        <f t="shared" si="49"/>
        <v>USR-10104445785TreatmentEastMobilePaid SearchPremium000000044.9</v>
      </c>
      <c r="S1045" s="22" t="str">
        <f t="shared" si="50"/>
        <v>OK</v>
      </c>
    </row>
    <row r="1046" spans="1:19" ht="41.4">
      <c r="A1046" s="22" t="s">
        <v>1077</v>
      </c>
      <c r="B1046" s="25">
        <v>45714</v>
      </c>
      <c r="C1046" s="22" t="s">
        <v>723</v>
      </c>
      <c r="D1046" s="22" t="s">
        <v>28</v>
      </c>
      <c r="E1046" s="22" t="s">
        <v>19</v>
      </c>
      <c r="F1046" s="22"/>
      <c r="G1046" s="22" t="s">
        <v>21</v>
      </c>
      <c r="H1046" s="22">
        <v>1</v>
      </c>
      <c r="I1046" s="22">
        <v>0</v>
      </c>
      <c r="J1046" s="22">
        <v>0</v>
      </c>
      <c r="K1046" s="22">
        <v>0</v>
      </c>
      <c r="L1046" s="22">
        <v>0</v>
      </c>
      <c r="M1046" s="22">
        <v>0</v>
      </c>
      <c r="N1046" s="22">
        <v>0</v>
      </c>
      <c r="O1046" s="22"/>
      <c r="P1046" s="22">
        <v>68</v>
      </c>
      <c r="Q1046" s="22" t="str">
        <f t="shared" si="48"/>
        <v>Normal</v>
      </c>
      <c r="R1046" s="26" t="str">
        <f t="shared" si="49"/>
        <v>USR-10104545714TreatmentEastDesktopBasic100000068</v>
      </c>
      <c r="S1046" s="22" t="str">
        <f t="shared" si="50"/>
        <v>OK</v>
      </c>
    </row>
    <row r="1047" spans="1:19" ht="41.4">
      <c r="A1047" s="22" t="s">
        <v>1078</v>
      </c>
      <c r="B1047" s="25">
        <v>45746</v>
      </c>
      <c r="C1047" s="22" t="s">
        <v>723</v>
      </c>
      <c r="D1047" s="22" t="s">
        <v>18</v>
      </c>
      <c r="E1047" s="22" t="s">
        <v>24</v>
      </c>
      <c r="F1047" s="22" t="s">
        <v>29</v>
      </c>
      <c r="G1047" s="22" t="s">
        <v>26</v>
      </c>
      <c r="H1047" s="22">
        <v>1</v>
      </c>
      <c r="I1047" s="22">
        <v>0</v>
      </c>
      <c r="J1047" s="22">
        <v>0</v>
      </c>
      <c r="K1047" s="22">
        <v>0</v>
      </c>
      <c r="L1047" s="22">
        <v>0</v>
      </c>
      <c r="M1047" s="22">
        <v>0</v>
      </c>
      <c r="N1047" s="22">
        <v>0</v>
      </c>
      <c r="O1047" s="22"/>
      <c r="P1047" s="22">
        <v>61</v>
      </c>
      <c r="Q1047" s="22" t="str">
        <f t="shared" si="48"/>
        <v>Normal</v>
      </c>
      <c r="R1047" s="26" t="str">
        <f t="shared" si="49"/>
        <v>USR-10104645746TreatmentNorthMobilePaid SearchFree100000061</v>
      </c>
      <c r="S1047" s="22" t="str">
        <f t="shared" si="50"/>
        <v>OK</v>
      </c>
    </row>
    <row r="1048" spans="1:19" ht="41.4">
      <c r="A1048" s="22" t="s">
        <v>1079</v>
      </c>
      <c r="B1048" s="25">
        <v>45760</v>
      </c>
      <c r="C1048" s="22" t="s">
        <v>723</v>
      </c>
      <c r="D1048" s="22" t="s">
        <v>23</v>
      </c>
      <c r="E1048" s="22" t="s">
        <v>24</v>
      </c>
      <c r="F1048" s="22" t="s">
        <v>25</v>
      </c>
      <c r="G1048" s="22" t="s">
        <v>21</v>
      </c>
      <c r="H1048" s="22">
        <v>1</v>
      </c>
      <c r="I1048" s="22">
        <v>0</v>
      </c>
      <c r="J1048" s="22">
        <v>0</v>
      </c>
      <c r="K1048" s="22">
        <v>0</v>
      </c>
      <c r="L1048" s="22">
        <v>0</v>
      </c>
      <c r="M1048" s="22">
        <v>0</v>
      </c>
      <c r="N1048" s="22">
        <v>0</v>
      </c>
      <c r="O1048" s="22"/>
      <c r="P1048" s="22">
        <v>55</v>
      </c>
      <c r="Q1048" s="22" t="str">
        <f t="shared" si="48"/>
        <v>Normal</v>
      </c>
      <c r="R1048" s="26" t="str">
        <f t="shared" si="49"/>
        <v>USR-10104745760TreatmentWestMobileOrganicBasic100000055</v>
      </c>
      <c r="S1048" s="22" t="str">
        <f t="shared" si="50"/>
        <v>OK</v>
      </c>
    </row>
    <row r="1049" spans="1:19" ht="41.4">
      <c r="A1049" s="22" t="s">
        <v>1080</v>
      </c>
      <c r="B1049" s="25">
        <v>45708</v>
      </c>
      <c r="C1049" s="22" t="s">
        <v>723</v>
      </c>
      <c r="D1049" s="22" t="s">
        <v>28</v>
      </c>
      <c r="E1049" s="22"/>
      <c r="F1049" s="22" t="s">
        <v>29</v>
      </c>
      <c r="G1049" s="22" t="s">
        <v>21</v>
      </c>
      <c r="H1049" s="22">
        <v>1</v>
      </c>
      <c r="I1049" s="22">
        <v>0</v>
      </c>
      <c r="J1049" s="22">
        <v>0</v>
      </c>
      <c r="K1049" s="22">
        <v>0</v>
      </c>
      <c r="L1049" s="22">
        <v>0</v>
      </c>
      <c r="M1049" s="22">
        <v>0</v>
      </c>
      <c r="N1049" s="22">
        <v>0</v>
      </c>
      <c r="O1049" s="22"/>
      <c r="P1049" s="22">
        <v>63.1</v>
      </c>
      <c r="Q1049" s="22" t="str">
        <f t="shared" si="48"/>
        <v>Normal</v>
      </c>
      <c r="R1049" s="26" t="str">
        <f t="shared" si="49"/>
        <v>USR-10104845708TreatmentEastPaid SearchBasic100000063.1</v>
      </c>
      <c r="S1049" s="22" t="str">
        <f t="shared" si="50"/>
        <v>OK</v>
      </c>
    </row>
    <row r="1050" spans="1:19" ht="41.4">
      <c r="A1050" s="22" t="s">
        <v>1081</v>
      </c>
      <c r="B1050" s="25">
        <v>45766</v>
      </c>
      <c r="C1050" s="22" t="s">
        <v>723</v>
      </c>
      <c r="D1050" s="22" t="s">
        <v>23</v>
      </c>
      <c r="E1050" s="22" t="s">
        <v>19</v>
      </c>
      <c r="F1050" s="22" t="s">
        <v>41</v>
      </c>
      <c r="G1050" s="22" t="s">
        <v>26</v>
      </c>
      <c r="H1050" s="22">
        <v>1</v>
      </c>
      <c r="I1050" s="22">
        <v>0</v>
      </c>
      <c r="J1050" s="22">
        <v>0</v>
      </c>
      <c r="K1050" s="22">
        <v>0</v>
      </c>
      <c r="L1050" s="22">
        <v>0</v>
      </c>
      <c r="M1050" s="22">
        <v>0</v>
      </c>
      <c r="N1050" s="22">
        <v>0</v>
      </c>
      <c r="O1050" s="22"/>
      <c r="P1050" s="22">
        <v>75.8</v>
      </c>
      <c r="Q1050" s="22" t="str">
        <f t="shared" si="48"/>
        <v>Normal</v>
      </c>
      <c r="R1050" s="26" t="str">
        <f t="shared" si="49"/>
        <v>USR-10104945766TreatmentWestDesktopSocialFree100000075.8</v>
      </c>
      <c r="S1050" s="22" t="str">
        <f t="shared" si="50"/>
        <v>OK</v>
      </c>
    </row>
    <row r="1051" spans="1:19" ht="41.4">
      <c r="A1051" s="22" t="s">
        <v>1082</v>
      </c>
      <c r="B1051" s="25">
        <v>45738</v>
      </c>
      <c r="C1051" s="22" t="s">
        <v>723</v>
      </c>
      <c r="D1051" s="22" t="s">
        <v>32</v>
      </c>
      <c r="E1051" s="22" t="s">
        <v>24</v>
      </c>
      <c r="F1051" s="22" t="s">
        <v>29</v>
      </c>
      <c r="G1051" s="22" t="s">
        <v>26</v>
      </c>
      <c r="H1051" s="22">
        <v>1</v>
      </c>
      <c r="I1051" s="22">
        <v>1</v>
      </c>
      <c r="J1051" s="22">
        <v>0</v>
      </c>
      <c r="K1051" s="22">
        <v>0</v>
      </c>
      <c r="L1051" s="22">
        <v>0</v>
      </c>
      <c r="M1051" s="22">
        <v>1</v>
      </c>
      <c r="N1051" s="22">
        <v>0</v>
      </c>
      <c r="O1051" s="22"/>
      <c r="P1051" s="22">
        <v>43.8</v>
      </c>
      <c r="Q1051" s="22" t="str">
        <f t="shared" si="48"/>
        <v>Normal</v>
      </c>
      <c r="R1051" s="26" t="str">
        <f t="shared" si="49"/>
        <v>USR-10105045738TreatmentSouthMobilePaid SearchFree110001043.8</v>
      </c>
      <c r="S1051" s="22" t="str">
        <f t="shared" si="50"/>
        <v>OK</v>
      </c>
    </row>
    <row r="1052" spans="1:19" ht="41.4">
      <c r="A1052" s="22" t="s">
        <v>1083</v>
      </c>
      <c r="B1052" s="25">
        <v>45716</v>
      </c>
      <c r="C1052" s="22" t="s">
        <v>723</v>
      </c>
      <c r="D1052" s="22" t="s">
        <v>18</v>
      </c>
      <c r="E1052" s="22" t="s">
        <v>24</v>
      </c>
      <c r="F1052" s="22" t="s">
        <v>20</v>
      </c>
      <c r="G1052" s="22" t="s">
        <v>21</v>
      </c>
      <c r="H1052" s="22">
        <v>1</v>
      </c>
      <c r="I1052" s="22">
        <v>1</v>
      </c>
      <c r="J1052" s="22">
        <v>0</v>
      </c>
      <c r="K1052" s="22">
        <v>0</v>
      </c>
      <c r="L1052" s="22">
        <v>0</v>
      </c>
      <c r="M1052" s="22">
        <v>0</v>
      </c>
      <c r="N1052" s="22">
        <v>0</v>
      </c>
      <c r="O1052" s="22"/>
      <c r="P1052" s="22">
        <v>46.8</v>
      </c>
      <c r="Q1052" s="22" t="str">
        <f t="shared" si="48"/>
        <v>Normal</v>
      </c>
      <c r="R1052" s="26" t="str">
        <f t="shared" si="49"/>
        <v>USR-10105145716TreatmentNorthMobileEmailBasic110000046.8</v>
      </c>
      <c r="S1052" s="22" t="str">
        <f t="shared" si="50"/>
        <v>OK</v>
      </c>
    </row>
    <row r="1053" spans="1:19" ht="41.4">
      <c r="A1053" s="22" t="s">
        <v>1084</v>
      </c>
      <c r="B1053" s="25">
        <v>45801</v>
      </c>
      <c r="C1053" s="22" t="s">
        <v>723</v>
      </c>
      <c r="D1053" s="22" t="s">
        <v>28</v>
      </c>
      <c r="E1053" s="22" t="s">
        <v>24</v>
      </c>
      <c r="F1053" s="22" t="s">
        <v>41</v>
      </c>
      <c r="G1053" s="22" t="s">
        <v>26</v>
      </c>
      <c r="H1053" s="22">
        <v>1</v>
      </c>
      <c r="I1053" s="22">
        <v>1</v>
      </c>
      <c r="J1053" s="22">
        <v>1</v>
      </c>
      <c r="K1053" s="22">
        <v>0</v>
      </c>
      <c r="L1053" s="22">
        <v>0</v>
      </c>
      <c r="M1053" s="22">
        <v>0</v>
      </c>
      <c r="N1053" s="22">
        <v>0</v>
      </c>
      <c r="O1053" s="22"/>
      <c r="P1053" s="22">
        <v>97.4</v>
      </c>
      <c r="Q1053" s="22" t="str">
        <f t="shared" si="48"/>
        <v>Normal</v>
      </c>
      <c r="R1053" s="26" t="str">
        <f t="shared" si="49"/>
        <v>USR-10105245801TreatmentEastMobileSocialFree111000097.4</v>
      </c>
      <c r="S1053" s="22" t="str">
        <f t="shared" si="50"/>
        <v>OK</v>
      </c>
    </row>
    <row r="1054" spans="1:19" ht="41.4">
      <c r="A1054" s="22" t="s">
        <v>1085</v>
      </c>
      <c r="B1054" s="25">
        <v>45691</v>
      </c>
      <c r="C1054" s="22" t="s">
        <v>723</v>
      </c>
      <c r="D1054" s="22" t="s">
        <v>18</v>
      </c>
      <c r="E1054" s="22" t="s">
        <v>19</v>
      </c>
      <c r="F1054" s="22" t="s">
        <v>20</v>
      </c>
      <c r="G1054" s="22" t="s">
        <v>26</v>
      </c>
      <c r="H1054" s="22">
        <v>1</v>
      </c>
      <c r="I1054" s="22">
        <v>1</v>
      </c>
      <c r="J1054" s="22">
        <v>1</v>
      </c>
      <c r="K1054" s="22">
        <v>1</v>
      </c>
      <c r="L1054" s="22">
        <v>268.95999999999998</v>
      </c>
      <c r="M1054" s="22">
        <v>0</v>
      </c>
      <c r="N1054" s="22">
        <v>0</v>
      </c>
      <c r="O1054" s="22">
        <v>14</v>
      </c>
      <c r="P1054" s="22">
        <v>81</v>
      </c>
      <c r="Q1054" s="22" t="str">
        <f t="shared" si="48"/>
        <v>Normal</v>
      </c>
      <c r="R1054" s="26" t="str">
        <f t="shared" si="49"/>
        <v>USR-10105345691TreatmentNorthDesktopEmailFree1111268.96001481</v>
      </c>
      <c r="S1054" s="22" t="str">
        <f t="shared" si="50"/>
        <v>OK</v>
      </c>
    </row>
    <row r="1055" spans="1:19" ht="41.4">
      <c r="A1055" s="22" t="s">
        <v>1086</v>
      </c>
      <c r="B1055" s="25">
        <v>45684</v>
      </c>
      <c r="C1055" s="22" t="s">
        <v>723</v>
      </c>
      <c r="D1055" s="22" t="s">
        <v>32</v>
      </c>
      <c r="E1055" s="22" t="s">
        <v>24</v>
      </c>
      <c r="F1055" s="22" t="s">
        <v>25</v>
      </c>
      <c r="G1055" s="22" t="s">
        <v>26</v>
      </c>
      <c r="H1055" s="22">
        <v>1</v>
      </c>
      <c r="I1055" s="22">
        <v>0</v>
      </c>
      <c r="J1055" s="22">
        <v>0</v>
      </c>
      <c r="K1055" s="22">
        <v>0</v>
      </c>
      <c r="L1055" s="22">
        <v>0</v>
      </c>
      <c r="M1055" s="22">
        <v>1</v>
      </c>
      <c r="N1055" s="22">
        <v>0</v>
      </c>
      <c r="O1055" s="22"/>
      <c r="P1055" s="22">
        <v>58.9</v>
      </c>
      <c r="Q1055" s="22" t="str">
        <f t="shared" si="48"/>
        <v>Normal</v>
      </c>
      <c r="R1055" s="26" t="str">
        <f t="shared" si="49"/>
        <v>USR-10105445684TreatmentSouthMobileOrganicFree100001058.9</v>
      </c>
      <c r="S1055" s="22" t="str">
        <f t="shared" si="50"/>
        <v>OK</v>
      </c>
    </row>
    <row r="1056" spans="1:19" ht="41.4">
      <c r="A1056" s="22" t="s">
        <v>1087</v>
      </c>
      <c r="B1056" s="25">
        <v>45764</v>
      </c>
      <c r="C1056" s="22" t="s">
        <v>723</v>
      </c>
      <c r="D1056" s="22" t="s">
        <v>28</v>
      </c>
      <c r="E1056" s="22" t="s">
        <v>24</v>
      </c>
      <c r="F1056" s="22" t="s">
        <v>25</v>
      </c>
      <c r="G1056" s="22" t="s">
        <v>26</v>
      </c>
      <c r="H1056" s="22">
        <v>1</v>
      </c>
      <c r="I1056" s="22">
        <v>0</v>
      </c>
      <c r="J1056" s="22">
        <v>0</v>
      </c>
      <c r="K1056" s="22">
        <v>0</v>
      </c>
      <c r="L1056" s="22">
        <v>0</v>
      </c>
      <c r="M1056" s="22">
        <v>0</v>
      </c>
      <c r="N1056" s="22">
        <v>0</v>
      </c>
      <c r="O1056" s="22"/>
      <c r="P1056" s="22">
        <v>51.9</v>
      </c>
      <c r="Q1056" s="22" t="str">
        <f t="shared" si="48"/>
        <v>Normal</v>
      </c>
      <c r="R1056" s="26" t="str">
        <f t="shared" si="49"/>
        <v>USR-10105545764TreatmentEastMobileOrganicFree100000051.9</v>
      </c>
      <c r="S1056" s="22" t="str">
        <f t="shared" si="50"/>
        <v>OK</v>
      </c>
    </row>
    <row r="1057" spans="1:19" ht="41.4">
      <c r="A1057" s="22" t="s">
        <v>1088</v>
      </c>
      <c r="B1057" s="25">
        <v>45694</v>
      </c>
      <c r="C1057" s="22" t="s">
        <v>723</v>
      </c>
      <c r="D1057" s="22" t="s">
        <v>23</v>
      </c>
      <c r="E1057" s="22" t="s">
        <v>24</v>
      </c>
      <c r="F1057" s="22" t="s">
        <v>41</v>
      </c>
      <c r="G1057" s="22" t="s">
        <v>26</v>
      </c>
      <c r="H1057" s="22">
        <v>1</v>
      </c>
      <c r="I1057" s="22">
        <v>1</v>
      </c>
      <c r="J1057" s="22">
        <v>0</v>
      </c>
      <c r="K1057" s="22">
        <v>0</v>
      </c>
      <c r="L1057" s="22">
        <v>0</v>
      </c>
      <c r="M1057" s="22">
        <v>0</v>
      </c>
      <c r="N1057" s="22">
        <v>0</v>
      </c>
      <c r="O1057" s="22"/>
      <c r="P1057" s="22">
        <v>61.7</v>
      </c>
      <c r="Q1057" s="22" t="str">
        <f t="shared" si="48"/>
        <v>Normal</v>
      </c>
      <c r="R1057" s="26" t="str">
        <f t="shared" si="49"/>
        <v>USR-10105645694TreatmentWestMobileSocialFree110000061.7</v>
      </c>
      <c r="S1057" s="22" t="str">
        <f t="shared" si="50"/>
        <v>OK</v>
      </c>
    </row>
    <row r="1058" spans="1:19" ht="41.4">
      <c r="A1058" s="22" t="s">
        <v>1089</v>
      </c>
      <c r="B1058" s="25">
        <v>45767</v>
      </c>
      <c r="C1058" s="22" t="s">
        <v>723</v>
      </c>
      <c r="D1058" s="22" t="s">
        <v>32</v>
      </c>
      <c r="E1058" s="22" t="s">
        <v>24</v>
      </c>
      <c r="F1058" s="22" t="s">
        <v>29</v>
      </c>
      <c r="G1058" s="22" t="s">
        <v>26</v>
      </c>
      <c r="H1058" s="22">
        <v>1</v>
      </c>
      <c r="I1058" s="22">
        <v>0</v>
      </c>
      <c r="J1058" s="22">
        <v>0</v>
      </c>
      <c r="K1058" s="22">
        <v>0</v>
      </c>
      <c r="L1058" s="22">
        <v>0</v>
      </c>
      <c r="M1058" s="22">
        <v>0</v>
      </c>
      <c r="N1058" s="22">
        <v>0</v>
      </c>
      <c r="O1058" s="22"/>
      <c r="P1058" s="22">
        <v>44.7</v>
      </c>
      <c r="Q1058" s="22" t="str">
        <f t="shared" si="48"/>
        <v>Normal</v>
      </c>
      <c r="R1058" s="26" t="str">
        <f t="shared" si="49"/>
        <v>USR-10105745767TreatmentSouthMobilePaid SearchFree100000044.7</v>
      </c>
      <c r="S1058" s="22" t="str">
        <f t="shared" si="50"/>
        <v>OK</v>
      </c>
    </row>
    <row r="1059" spans="1:19" ht="41.4">
      <c r="A1059" s="22" t="s">
        <v>1090</v>
      </c>
      <c r="B1059" s="25">
        <v>45783</v>
      </c>
      <c r="C1059" s="22" t="s">
        <v>723</v>
      </c>
      <c r="D1059" s="22" t="s">
        <v>18</v>
      </c>
      <c r="E1059" s="22" t="s">
        <v>24</v>
      </c>
      <c r="F1059" s="22" t="s">
        <v>29</v>
      </c>
      <c r="G1059" s="22" t="s">
        <v>21</v>
      </c>
      <c r="H1059" s="22">
        <v>0</v>
      </c>
      <c r="I1059" s="22">
        <v>0</v>
      </c>
      <c r="J1059" s="22">
        <v>0</v>
      </c>
      <c r="K1059" s="22">
        <v>0</v>
      </c>
      <c r="L1059" s="22">
        <v>0</v>
      </c>
      <c r="M1059" s="22">
        <v>0</v>
      </c>
      <c r="N1059" s="22">
        <v>0</v>
      </c>
      <c r="O1059" s="22"/>
      <c r="P1059" s="22">
        <v>63.2</v>
      </c>
      <c r="Q1059" s="22" t="str">
        <f t="shared" si="48"/>
        <v>Normal</v>
      </c>
      <c r="R1059" s="26" t="str">
        <f t="shared" si="49"/>
        <v>USR-10105845783TreatmentNorthMobilePaid SearchBasic000000063.2</v>
      </c>
      <c r="S1059" s="22" t="str">
        <f t="shared" si="50"/>
        <v>OK</v>
      </c>
    </row>
    <row r="1060" spans="1:19" ht="41.4">
      <c r="A1060" s="22" t="s">
        <v>1091</v>
      </c>
      <c r="B1060" s="25">
        <v>45793</v>
      </c>
      <c r="C1060" s="22" t="s">
        <v>723</v>
      </c>
      <c r="D1060" s="22" t="s">
        <v>32</v>
      </c>
      <c r="E1060" s="22" t="s">
        <v>24</v>
      </c>
      <c r="F1060" s="22" t="s">
        <v>25</v>
      </c>
      <c r="G1060" s="22" t="s">
        <v>26</v>
      </c>
      <c r="H1060" s="22">
        <v>1</v>
      </c>
      <c r="I1060" s="22">
        <v>0</v>
      </c>
      <c r="J1060" s="22">
        <v>0</v>
      </c>
      <c r="K1060" s="22">
        <v>0</v>
      </c>
      <c r="L1060" s="22">
        <v>0</v>
      </c>
      <c r="M1060" s="22">
        <v>0</v>
      </c>
      <c r="N1060" s="22">
        <v>0</v>
      </c>
      <c r="O1060" s="22"/>
      <c r="P1060" s="22">
        <v>70.3</v>
      </c>
      <c r="Q1060" s="22" t="str">
        <f t="shared" si="48"/>
        <v>Normal</v>
      </c>
      <c r="R1060" s="26" t="str">
        <f t="shared" si="49"/>
        <v>USR-10105945793TreatmentSouthMobileOrganicFree100000070.3</v>
      </c>
      <c r="S1060" s="22" t="str">
        <f t="shared" si="50"/>
        <v>Exact Duplicate</v>
      </c>
    </row>
    <row r="1061" spans="1:19" ht="41.4">
      <c r="A1061" s="22" t="s">
        <v>1092</v>
      </c>
      <c r="B1061" s="25">
        <v>45718</v>
      </c>
      <c r="C1061" s="22" t="s">
        <v>723</v>
      </c>
      <c r="D1061" s="22" t="s">
        <v>32</v>
      </c>
      <c r="E1061" s="22" t="s">
        <v>24</v>
      </c>
      <c r="F1061" s="22" t="s">
        <v>29</v>
      </c>
      <c r="G1061" s="22" t="s">
        <v>30</v>
      </c>
      <c r="H1061" s="22">
        <v>1</v>
      </c>
      <c r="I1061" s="22">
        <v>1</v>
      </c>
      <c r="J1061" s="22">
        <v>0</v>
      </c>
      <c r="K1061" s="22">
        <v>0</v>
      </c>
      <c r="L1061" s="22">
        <v>0</v>
      </c>
      <c r="M1061" s="22">
        <v>1</v>
      </c>
      <c r="N1061" s="22">
        <v>0</v>
      </c>
      <c r="O1061" s="22"/>
      <c r="P1061" s="22">
        <v>83.1</v>
      </c>
      <c r="Q1061" s="22" t="str">
        <f t="shared" si="48"/>
        <v>Normal</v>
      </c>
      <c r="R1061" s="26" t="str">
        <f t="shared" si="49"/>
        <v>USR-10106045718TreatmentSouthMobilePaid SearchPremium110001083.1</v>
      </c>
      <c r="S1061" s="22" t="str">
        <f t="shared" si="50"/>
        <v>OK</v>
      </c>
    </row>
    <row r="1062" spans="1:19" ht="41.4">
      <c r="A1062" s="22" t="s">
        <v>1093</v>
      </c>
      <c r="B1062" s="25">
        <v>45756</v>
      </c>
      <c r="C1062" s="22" t="s">
        <v>723</v>
      </c>
      <c r="D1062" s="22" t="s">
        <v>23</v>
      </c>
      <c r="E1062" s="22" t="s">
        <v>24</v>
      </c>
      <c r="F1062" s="22" t="s">
        <v>41</v>
      </c>
      <c r="G1062" s="22" t="s">
        <v>26</v>
      </c>
      <c r="H1062" s="22">
        <v>0</v>
      </c>
      <c r="I1062" s="22">
        <v>0</v>
      </c>
      <c r="J1062" s="22">
        <v>0</v>
      </c>
      <c r="K1062" s="22">
        <v>0</v>
      </c>
      <c r="L1062" s="22">
        <v>0</v>
      </c>
      <c r="M1062" s="22">
        <v>0</v>
      </c>
      <c r="N1062" s="22">
        <v>0</v>
      </c>
      <c r="O1062" s="22"/>
      <c r="P1062" s="22">
        <v>50.3</v>
      </c>
      <c r="Q1062" s="22" t="str">
        <f t="shared" si="48"/>
        <v>Normal</v>
      </c>
      <c r="R1062" s="26" t="str">
        <f t="shared" si="49"/>
        <v>USR-10106145756TreatmentWestMobileSocialFree000000050.3</v>
      </c>
      <c r="S1062" s="22" t="str">
        <f t="shared" si="50"/>
        <v>OK</v>
      </c>
    </row>
    <row r="1063" spans="1:19" ht="55.2">
      <c r="A1063" s="22" t="s">
        <v>1094</v>
      </c>
      <c r="B1063" s="25">
        <v>45683</v>
      </c>
      <c r="C1063" s="22" t="s">
        <v>723</v>
      </c>
      <c r="D1063" s="22" t="s">
        <v>28</v>
      </c>
      <c r="E1063" s="22" t="s">
        <v>24</v>
      </c>
      <c r="F1063" s="22" t="s">
        <v>29</v>
      </c>
      <c r="G1063" s="22" t="s">
        <v>26</v>
      </c>
      <c r="H1063" s="22">
        <v>1</v>
      </c>
      <c r="I1063" s="22">
        <v>1</v>
      </c>
      <c r="J1063" s="22">
        <v>1</v>
      </c>
      <c r="K1063" s="22">
        <v>1</v>
      </c>
      <c r="L1063" s="22">
        <v>437.09</v>
      </c>
      <c r="M1063" s="22">
        <v>2</v>
      </c>
      <c r="N1063" s="22">
        <v>1</v>
      </c>
      <c r="O1063" s="22">
        <v>1</v>
      </c>
      <c r="P1063" s="22">
        <v>58.2</v>
      </c>
      <c r="Q1063" s="22" t="str">
        <f t="shared" si="48"/>
        <v>Normal</v>
      </c>
      <c r="R1063" s="26" t="str">
        <f t="shared" si="49"/>
        <v>USR-10106245683TreatmentEastMobilePaid SearchFree1111437.0921158.2</v>
      </c>
      <c r="S1063" s="22" t="str">
        <f t="shared" si="50"/>
        <v>OK</v>
      </c>
    </row>
    <row r="1064" spans="1:19" ht="41.4">
      <c r="A1064" s="22" t="s">
        <v>1095</v>
      </c>
      <c r="B1064" s="25">
        <v>45713</v>
      </c>
      <c r="C1064" s="22" t="s">
        <v>723</v>
      </c>
      <c r="D1064" s="22" t="s">
        <v>32</v>
      </c>
      <c r="E1064" s="22" t="s">
        <v>24</v>
      </c>
      <c r="F1064" s="22" t="s">
        <v>29</v>
      </c>
      <c r="G1064" s="22" t="s">
        <v>21</v>
      </c>
      <c r="H1064" s="22">
        <v>1</v>
      </c>
      <c r="I1064" s="22">
        <v>1</v>
      </c>
      <c r="J1064" s="22">
        <v>1</v>
      </c>
      <c r="K1064" s="22">
        <v>0</v>
      </c>
      <c r="L1064" s="22">
        <v>0</v>
      </c>
      <c r="M1064" s="22">
        <v>0</v>
      </c>
      <c r="N1064" s="22">
        <v>0</v>
      </c>
      <c r="O1064" s="22"/>
      <c r="P1064" s="22">
        <v>53.2</v>
      </c>
      <c r="Q1064" s="22" t="str">
        <f t="shared" si="48"/>
        <v>Normal</v>
      </c>
      <c r="R1064" s="26" t="str">
        <f t="shared" si="49"/>
        <v>USR-10106345713TreatmentSouthMobilePaid SearchBasic111000053.2</v>
      </c>
      <c r="S1064" s="22" t="str">
        <f t="shared" si="50"/>
        <v>OK</v>
      </c>
    </row>
    <row r="1065" spans="1:19" ht="41.4">
      <c r="A1065" s="22" t="s">
        <v>1096</v>
      </c>
      <c r="B1065" s="25">
        <v>45664</v>
      </c>
      <c r="C1065" s="22" t="s">
        <v>723</v>
      </c>
      <c r="D1065" s="22" t="s">
        <v>28</v>
      </c>
      <c r="E1065" s="22" t="s">
        <v>24</v>
      </c>
      <c r="F1065" s="22" t="s">
        <v>25</v>
      </c>
      <c r="G1065" s="22" t="s">
        <v>30</v>
      </c>
      <c r="H1065" s="22">
        <v>0</v>
      </c>
      <c r="I1065" s="22">
        <v>0</v>
      </c>
      <c r="J1065" s="22">
        <v>0</v>
      </c>
      <c r="K1065" s="22">
        <v>0</v>
      </c>
      <c r="L1065" s="22">
        <v>0</v>
      </c>
      <c r="M1065" s="22">
        <v>0</v>
      </c>
      <c r="N1065" s="22">
        <v>0</v>
      </c>
      <c r="O1065" s="22"/>
      <c r="P1065" s="22">
        <v>36.4</v>
      </c>
      <c r="Q1065" s="22" t="str">
        <f t="shared" si="48"/>
        <v>Normal</v>
      </c>
      <c r="R1065" s="26" t="str">
        <f t="shared" si="49"/>
        <v>USR-10106445664TreatmentEastMobileOrganicPremium000000036.4</v>
      </c>
      <c r="S1065" s="22" t="str">
        <f t="shared" si="50"/>
        <v>OK</v>
      </c>
    </row>
    <row r="1066" spans="1:19" ht="41.4">
      <c r="A1066" s="22" t="s">
        <v>1097</v>
      </c>
      <c r="B1066" s="25">
        <v>45724</v>
      </c>
      <c r="C1066" s="22" t="s">
        <v>723</v>
      </c>
      <c r="D1066" s="22" t="s">
        <v>32</v>
      </c>
      <c r="E1066" s="22" t="s">
        <v>24</v>
      </c>
      <c r="F1066" s="22" t="s">
        <v>41</v>
      </c>
      <c r="G1066" s="22" t="s">
        <v>21</v>
      </c>
      <c r="H1066" s="22">
        <v>1</v>
      </c>
      <c r="I1066" s="22">
        <v>1</v>
      </c>
      <c r="J1066" s="22">
        <v>1</v>
      </c>
      <c r="K1066" s="22">
        <v>0</v>
      </c>
      <c r="L1066" s="22">
        <v>0</v>
      </c>
      <c r="M1066" s="22">
        <v>0</v>
      </c>
      <c r="N1066" s="22">
        <v>0</v>
      </c>
      <c r="O1066" s="22"/>
      <c r="P1066" s="22">
        <v>72.7</v>
      </c>
      <c r="Q1066" s="22" t="str">
        <f t="shared" si="48"/>
        <v>Normal</v>
      </c>
      <c r="R1066" s="26" t="str">
        <f t="shared" si="49"/>
        <v>USR-10106545724TreatmentSouthMobileSocialBasic111000072.7</v>
      </c>
      <c r="S1066" s="22" t="str">
        <f t="shared" si="50"/>
        <v>OK</v>
      </c>
    </row>
    <row r="1067" spans="1:19" ht="41.4">
      <c r="A1067" s="22" t="s">
        <v>1098</v>
      </c>
      <c r="B1067" s="25">
        <v>45799</v>
      </c>
      <c r="C1067" s="22" t="s">
        <v>723</v>
      </c>
      <c r="D1067" s="22" t="s">
        <v>28</v>
      </c>
      <c r="E1067" s="22" t="s">
        <v>24</v>
      </c>
      <c r="F1067" s="22" t="s">
        <v>39</v>
      </c>
      <c r="G1067" s="22" t="s">
        <v>26</v>
      </c>
      <c r="H1067" s="22">
        <v>1</v>
      </c>
      <c r="I1067" s="22">
        <v>0</v>
      </c>
      <c r="J1067" s="22">
        <v>0</v>
      </c>
      <c r="K1067" s="22">
        <v>0</v>
      </c>
      <c r="L1067" s="22">
        <v>0</v>
      </c>
      <c r="M1067" s="22">
        <v>1</v>
      </c>
      <c r="N1067" s="22">
        <v>0</v>
      </c>
      <c r="O1067" s="22"/>
      <c r="P1067" s="22">
        <v>86.7</v>
      </c>
      <c r="Q1067" s="22" t="str">
        <f t="shared" si="48"/>
        <v>Normal</v>
      </c>
      <c r="R1067" s="26" t="str">
        <f t="shared" si="49"/>
        <v>USR-10106645799TreatmentEastMobileReferralFree100001086.7</v>
      </c>
      <c r="S1067" s="22" t="str">
        <f t="shared" si="50"/>
        <v>OK</v>
      </c>
    </row>
    <row r="1068" spans="1:19" ht="41.4">
      <c r="A1068" s="22" t="s">
        <v>1099</v>
      </c>
      <c r="B1068" s="25">
        <v>45765</v>
      </c>
      <c r="C1068" s="22" t="s">
        <v>723</v>
      </c>
      <c r="D1068" s="22" t="s">
        <v>28</v>
      </c>
      <c r="E1068" s="22" t="s">
        <v>24</v>
      </c>
      <c r="F1068" s="22" t="s">
        <v>29</v>
      </c>
      <c r="G1068" s="22" t="s">
        <v>30</v>
      </c>
      <c r="H1068" s="22">
        <v>1</v>
      </c>
      <c r="I1068" s="22">
        <v>0</v>
      </c>
      <c r="J1068" s="22">
        <v>0</v>
      </c>
      <c r="K1068" s="22">
        <v>0</v>
      </c>
      <c r="L1068" s="22">
        <v>0</v>
      </c>
      <c r="M1068" s="22">
        <v>0</v>
      </c>
      <c r="N1068" s="22">
        <v>0</v>
      </c>
      <c r="O1068" s="22"/>
      <c r="P1068" s="22">
        <v>48.2</v>
      </c>
      <c r="Q1068" s="22" t="str">
        <f t="shared" si="48"/>
        <v>Normal</v>
      </c>
      <c r="R1068" s="26" t="str">
        <f t="shared" si="49"/>
        <v>USR-10106745765TreatmentEastMobilePaid SearchPremium100000048.2</v>
      </c>
      <c r="S1068" s="22" t="str">
        <f t="shared" si="50"/>
        <v>OK</v>
      </c>
    </row>
    <row r="1069" spans="1:19" ht="41.4">
      <c r="A1069" s="22" t="s">
        <v>1100</v>
      </c>
      <c r="B1069" s="25">
        <v>45712</v>
      </c>
      <c r="C1069" s="22" t="s">
        <v>723</v>
      </c>
      <c r="D1069" s="22" t="s">
        <v>23</v>
      </c>
      <c r="E1069" s="22" t="s">
        <v>24</v>
      </c>
      <c r="F1069" s="22" t="s">
        <v>39</v>
      </c>
      <c r="G1069" s="22" t="s">
        <v>21</v>
      </c>
      <c r="H1069" s="22">
        <v>0</v>
      </c>
      <c r="I1069" s="22">
        <v>0</v>
      </c>
      <c r="J1069" s="22">
        <v>0</v>
      </c>
      <c r="K1069" s="22">
        <v>0</v>
      </c>
      <c r="L1069" s="22">
        <v>0</v>
      </c>
      <c r="M1069" s="22">
        <v>1</v>
      </c>
      <c r="N1069" s="22">
        <v>0</v>
      </c>
      <c r="O1069" s="22"/>
      <c r="P1069" s="22">
        <v>57.6</v>
      </c>
      <c r="Q1069" s="22" t="str">
        <f t="shared" si="48"/>
        <v>Normal</v>
      </c>
      <c r="R1069" s="26" t="str">
        <f t="shared" si="49"/>
        <v>USR-10106845712TreatmentWestMobileReferralBasic000001057.6</v>
      </c>
      <c r="S1069" s="22" t="str">
        <f t="shared" si="50"/>
        <v>OK</v>
      </c>
    </row>
    <row r="1070" spans="1:19" ht="41.4">
      <c r="A1070" s="22" t="s">
        <v>1101</v>
      </c>
      <c r="B1070" s="25">
        <v>45699</v>
      </c>
      <c r="C1070" s="22" t="s">
        <v>723</v>
      </c>
      <c r="D1070" s="22" t="s">
        <v>18</v>
      </c>
      <c r="E1070" s="22" t="s">
        <v>24</v>
      </c>
      <c r="F1070" s="22" t="s">
        <v>25</v>
      </c>
      <c r="G1070" s="22" t="s">
        <v>26</v>
      </c>
      <c r="H1070" s="22">
        <v>1</v>
      </c>
      <c r="I1070" s="22">
        <v>1</v>
      </c>
      <c r="J1070" s="22">
        <v>1</v>
      </c>
      <c r="K1070" s="22">
        <v>0</v>
      </c>
      <c r="L1070" s="22">
        <v>0</v>
      </c>
      <c r="M1070" s="22">
        <v>0</v>
      </c>
      <c r="N1070" s="22">
        <v>0</v>
      </c>
      <c r="O1070" s="22"/>
      <c r="P1070" s="22">
        <v>75.7</v>
      </c>
      <c r="Q1070" s="22" t="str">
        <f t="shared" si="48"/>
        <v>Normal</v>
      </c>
      <c r="R1070" s="26" t="str">
        <f t="shared" si="49"/>
        <v>USR-10106945699TreatmentNorthMobileOrganicFree111000075.7</v>
      </c>
      <c r="S1070" s="22" t="str">
        <f t="shared" si="50"/>
        <v>OK</v>
      </c>
    </row>
    <row r="1071" spans="1:19" ht="41.4">
      <c r="A1071" s="22" t="s">
        <v>1102</v>
      </c>
      <c r="B1071" s="25">
        <v>45727</v>
      </c>
      <c r="C1071" s="22" t="s">
        <v>723</v>
      </c>
      <c r="D1071" s="22" t="s">
        <v>23</v>
      </c>
      <c r="E1071" s="22" t="s">
        <v>19</v>
      </c>
      <c r="F1071" s="22" t="s">
        <v>29</v>
      </c>
      <c r="G1071" s="22" t="s">
        <v>26</v>
      </c>
      <c r="H1071" s="22">
        <v>1</v>
      </c>
      <c r="I1071" s="22">
        <v>0</v>
      </c>
      <c r="J1071" s="22">
        <v>0</v>
      </c>
      <c r="K1071" s="22">
        <v>0</v>
      </c>
      <c r="L1071" s="22">
        <v>0</v>
      </c>
      <c r="M1071" s="22">
        <v>2</v>
      </c>
      <c r="N1071" s="22">
        <v>0</v>
      </c>
      <c r="O1071" s="22"/>
      <c r="P1071" s="22">
        <v>48.6</v>
      </c>
      <c r="Q1071" s="22" t="str">
        <f t="shared" si="48"/>
        <v>Normal</v>
      </c>
      <c r="R1071" s="26" t="str">
        <f t="shared" si="49"/>
        <v>USR-10107045727TreatmentWestDesktopPaid SearchFree100002048.6</v>
      </c>
      <c r="S1071" s="22" t="str">
        <f t="shared" si="50"/>
        <v>OK</v>
      </c>
    </row>
    <row r="1072" spans="1:19" ht="41.4">
      <c r="A1072" s="22" t="s">
        <v>1103</v>
      </c>
      <c r="B1072" s="25">
        <v>45758</v>
      </c>
      <c r="C1072" s="22" t="s">
        <v>723</v>
      </c>
      <c r="D1072" s="22" t="s">
        <v>28</v>
      </c>
      <c r="E1072" s="22" t="s">
        <v>34</v>
      </c>
      <c r="F1072" s="22" t="s">
        <v>39</v>
      </c>
      <c r="G1072" s="22" t="s">
        <v>26</v>
      </c>
      <c r="H1072" s="22">
        <v>1</v>
      </c>
      <c r="I1072" s="22">
        <v>1</v>
      </c>
      <c r="J1072" s="22">
        <v>1</v>
      </c>
      <c r="K1072" s="22">
        <v>0</v>
      </c>
      <c r="L1072" s="22">
        <v>0</v>
      </c>
      <c r="M1072" s="22">
        <v>0</v>
      </c>
      <c r="N1072" s="22">
        <v>0</v>
      </c>
      <c r="O1072" s="22"/>
      <c r="P1072" s="22">
        <v>72</v>
      </c>
      <c r="Q1072" s="22" t="str">
        <f t="shared" si="48"/>
        <v>Normal</v>
      </c>
      <c r="R1072" s="26" t="str">
        <f t="shared" si="49"/>
        <v>USR-10107145758TreatmentEastTabletReferralFree111000072</v>
      </c>
      <c r="S1072" s="22" t="str">
        <f t="shared" si="50"/>
        <v>OK</v>
      </c>
    </row>
    <row r="1073" spans="1:19" ht="41.4">
      <c r="A1073" s="22" t="s">
        <v>1104</v>
      </c>
      <c r="B1073" s="25">
        <v>45727</v>
      </c>
      <c r="C1073" s="22" t="s">
        <v>723</v>
      </c>
      <c r="D1073" s="22" t="s">
        <v>18</v>
      </c>
      <c r="E1073" s="22" t="s">
        <v>24</v>
      </c>
      <c r="F1073" s="22" t="s">
        <v>25</v>
      </c>
      <c r="G1073" s="22" t="s">
        <v>26</v>
      </c>
      <c r="H1073" s="22">
        <v>0</v>
      </c>
      <c r="I1073" s="22">
        <v>0</v>
      </c>
      <c r="J1073" s="22">
        <v>0</v>
      </c>
      <c r="K1073" s="22">
        <v>0</v>
      </c>
      <c r="L1073" s="22">
        <v>0</v>
      </c>
      <c r="M1073" s="22">
        <v>0</v>
      </c>
      <c r="N1073" s="22">
        <v>0</v>
      </c>
      <c r="O1073" s="22"/>
      <c r="P1073" s="22">
        <v>72.2</v>
      </c>
      <c r="Q1073" s="22" t="str">
        <f t="shared" si="48"/>
        <v>Normal</v>
      </c>
      <c r="R1073" s="26" t="str">
        <f t="shared" si="49"/>
        <v>USR-10107245727TreatmentNorthMobileOrganicFree000000072.2</v>
      </c>
      <c r="S1073" s="22" t="str">
        <f t="shared" si="50"/>
        <v>OK</v>
      </c>
    </row>
    <row r="1074" spans="1:19" ht="41.4">
      <c r="A1074" s="22" t="s">
        <v>1105</v>
      </c>
      <c r="B1074" s="25">
        <v>45799</v>
      </c>
      <c r="C1074" s="22" t="s">
        <v>723</v>
      </c>
      <c r="D1074" s="22" t="s">
        <v>28</v>
      </c>
      <c r="E1074" s="22" t="s">
        <v>24</v>
      </c>
      <c r="F1074" s="22" t="s">
        <v>39</v>
      </c>
      <c r="G1074" s="22" t="s">
        <v>26</v>
      </c>
      <c r="H1074" s="22">
        <v>1</v>
      </c>
      <c r="I1074" s="22">
        <v>0</v>
      </c>
      <c r="J1074" s="22">
        <v>0</v>
      </c>
      <c r="K1074" s="22">
        <v>0</v>
      </c>
      <c r="L1074" s="22">
        <v>0</v>
      </c>
      <c r="M1074" s="22">
        <v>1</v>
      </c>
      <c r="N1074" s="22">
        <v>0</v>
      </c>
      <c r="O1074" s="22"/>
      <c r="P1074" s="22"/>
      <c r="Q1074" s="22" t="str">
        <f t="shared" si="48"/>
        <v>Normal</v>
      </c>
      <c r="R1074" s="26" t="str">
        <f t="shared" si="49"/>
        <v>USR-10107345799TreatmentEastMobileReferralFree1000010</v>
      </c>
      <c r="S1074" s="22" t="str">
        <f t="shared" si="50"/>
        <v>OK</v>
      </c>
    </row>
    <row r="1075" spans="1:19" ht="41.4">
      <c r="A1075" s="22" t="s">
        <v>1106</v>
      </c>
      <c r="B1075" s="25">
        <v>45710</v>
      </c>
      <c r="C1075" s="22" t="s">
        <v>723</v>
      </c>
      <c r="D1075" s="22" t="s">
        <v>32</v>
      </c>
      <c r="E1075" s="22" t="s">
        <v>19</v>
      </c>
      <c r="F1075" s="22" t="s">
        <v>25</v>
      </c>
      <c r="G1075" s="22" t="s">
        <v>26</v>
      </c>
      <c r="H1075" s="22">
        <v>1</v>
      </c>
      <c r="I1075" s="22">
        <v>1</v>
      </c>
      <c r="J1075" s="22">
        <v>1</v>
      </c>
      <c r="K1075" s="22">
        <v>1</v>
      </c>
      <c r="L1075" s="22">
        <v>331.53</v>
      </c>
      <c r="M1075" s="22">
        <v>2</v>
      </c>
      <c r="N1075" s="22">
        <v>0</v>
      </c>
      <c r="O1075" s="22">
        <v>4</v>
      </c>
      <c r="P1075" s="22">
        <v>56.8</v>
      </c>
      <c r="Q1075" s="22" t="str">
        <f t="shared" si="48"/>
        <v>Normal</v>
      </c>
      <c r="R1075" s="26" t="str">
        <f t="shared" si="49"/>
        <v>USR-10107445710TreatmentSouthDesktopOrganicFree1111331.5320456.8</v>
      </c>
      <c r="S1075" s="22" t="str">
        <f t="shared" si="50"/>
        <v>OK</v>
      </c>
    </row>
    <row r="1076" spans="1:19" ht="41.4">
      <c r="A1076" s="22" t="s">
        <v>1107</v>
      </c>
      <c r="B1076" s="25">
        <v>45670</v>
      </c>
      <c r="C1076" s="22" t="s">
        <v>723</v>
      </c>
      <c r="D1076" s="22" t="s">
        <v>28</v>
      </c>
      <c r="E1076" s="22" t="s">
        <v>24</v>
      </c>
      <c r="F1076" s="22" t="s">
        <v>29</v>
      </c>
      <c r="G1076" s="22" t="s">
        <v>21</v>
      </c>
      <c r="H1076" s="22">
        <v>1</v>
      </c>
      <c r="I1076" s="22">
        <v>0</v>
      </c>
      <c r="J1076" s="22">
        <v>0</v>
      </c>
      <c r="K1076" s="22">
        <v>0</v>
      </c>
      <c r="L1076" s="22">
        <v>0</v>
      </c>
      <c r="M1076" s="22">
        <v>0</v>
      </c>
      <c r="N1076" s="22">
        <v>0</v>
      </c>
      <c r="O1076" s="22"/>
      <c r="P1076" s="22">
        <v>62.5</v>
      </c>
      <c r="Q1076" s="22" t="str">
        <f t="shared" si="48"/>
        <v>Normal</v>
      </c>
      <c r="R1076" s="26" t="str">
        <f t="shared" si="49"/>
        <v>USR-10107545670TreatmentEastMobilePaid SearchBasic100000062.5</v>
      </c>
      <c r="S1076" s="22" t="str">
        <f t="shared" si="50"/>
        <v>OK</v>
      </c>
    </row>
    <row r="1077" spans="1:19" ht="41.4">
      <c r="A1077" s="22" t="s">
        <v>1108</v>
      </c>
      <c r="B1077" s="25">
        <v>45796</v>
      </c>
      <c r="C1077" s="22" t="s">
        <v>723</v>
      </c>
      <c r="D1077" s="22" t="s">
        <v>32</v>
      </c>
      <c r="E1077" s="22" t="s">
        <v>24</v>
      </c>
      <c r="F1077" s="22" t="s">
        <v>25</v>
      </c>
      <c r="G1077" s="22" t="s">
        <v>26</v>
      </c>
      <c r="H1077" s="22">
        <v>1</v>
      </c>
      <c r="I1077" s="22">
        <v>0</v>
      </c>
      <c r="J1077" s="22">
        <v>0</v>
      </c>
      <c r="K1077" s="22">
        <v>0</v>
      </c>
      <c r="L1077" s="22">
        <v>0</v>
      </c>
      <c r="M1077" s="22">
        <v>0</v>
      </c>
      <c r="N1077" s="22">
        <v>0</v>
      </c>
      <c r="O1077" s="22"/>
      <c r="P1077" s="22">
        <v>63.4</v>
      </c>
      <c r="Q1077" s="22" t="str">
        <f t="shared" si="48"/>
        <v>Normal</v>
      </c>
      <c r="R1077" s="26" t="str">
        <f t="shared" si="49"/>
        <v>USR-10107645796TreatmentSouthMobileOrganicFree100000063.4</v>
      </c>
      <c r="S1077" s="22" t="str">
        <f t="shared" si="50"/>
        <v>OK</v>
      </c>
    </row>
    <row r="1078" spans="1:19" ht="41.4">
      <c r="A1078" s="22" t="s">
        <v>1109</v>
      </c>
      <c r="B1078" s="25">
        <v>45724</v>
      </c>
      <c r="C1078" s="22" t="s">
        <v>723</v>
      </c>
      <c r="D1078" s="22" t="s">
        <v>18</v>
      </c>
      <c r="E1078" s="22" t="s">
        <v>34</v>
      </c>
      <c r="F1078" s="22" t="s">
        <v>25</v>
      </c>
      <c r="G1078" s="22" t="s">
        <v>21</v>
      </c>
      <c r="H1078" s="22">
        <v>1</v>
      </c>
      <c r="I1078" s="22">
        <v>1</v>
      </c>
      <c r="J1078" s="22">
        <v>1</v>
      </c>
      <c r="K1078" s="22">
        <v>1</v>
      </c>
      <c r="L1078" s="22">
        <v>774.78</v>
      </c>
      <c r="M1078" s="22">
        <v>0</v>
      </c>
      <c r="N1078" s="22">
        <v>0</v>
      </c>
      <c r="O1078" s="22">
        <v>3</v>
      </c>
      <c r="P1078" s="22">
        <v>46.8</v>
      </c>
      <c r="Q1078" s="22" t="str">
        <f t="shared" si="48"/>
        <v>Normal</v>
      </c>
      <c r="R1078" s="26" t="str">
        <f t="shared" si="49"/>
        <v>USR-10107745724TreatmentNorthTabletOrganicBasic1111774.7800346.8</v>
      </c>
      <c r="S1078" s="22" t="str">
        <f t="shared" si="50"/>
        <v>OK</v>
      </c>
    </row>
    <row r="1079" spans="1:19" ht="41.4">
      <c r="A1079" s="22" t="s">
        <v>1110</v>
      </c>
      <c r="B1079" s="25">
        <v>45767</v>
      </c>
      <c r="C1079" s="22" t="s">
        <v>723</v>
      </c>
      <c r="D1079" s="22" t="s">
        <v>32</v>
      </c>
      <c r="E1079" s="22" t="s">
        <v>24</v>
      </c>
      <c r="F1079" s="22" t="s">
        <v>25</v>
      </c>
      <c r="G1079" s="22" t="s">
        <v>26</v>
      </c>
      <c r="H1079" s="22">
        <v>1</v>
      </c>
      <c r="I1079" s="22">
        <v>1</v>
      </c>
      <c r="J1079" s="22">
        <v>1</v>
      </c>
      <c r="K1079" s="22">
        <v>1</v>
      </c>
      <c r="L1079" s="22">
        <v>422.02</v>
      </c>
      <c r="M1079" s="22">
        <v>0</v>
      </c>
      <c r="N1079" s="22">
        <v>0</v>
      </c>
      <c r="O1079" s="22">
        <v>8</v>
      </c>
      <c r="P1079" s="22">
        <v>86.5</v>
      </c>
      <c r="Q1079" s="22" t="str">
        <f t="shared" si="48"/>
        <v>Normal</v>
      </c>
      <c r="R1079" s="26" t="str">
        <f t="shared" si="49"/>
        <v>USR-10107845767TreatmentSouthMobileOrganicFree1111422.0200886.5</v>
      </c>
      <c r="S1079" s="22" t="str">
        <f t="shared" si="50"/>
        <v>OK</v>
      </c>
    </row>
    <row r="1080" spans="1:19" ht="41.4">
      <c r="A1080" s="22" t="s">
        <v>1111</v>
      </c>
      <c r="B1080" s="25">
        <v>45785</v>
      </c>
      <c r="C1080" s="22" t="s">
        <v>723</v>
      </c>
      <c r="D1080" s="22" t="s">
        <v>23</v>
      </c>
      <c r="E1080" s="22" t="s">
        <v>24</v>
      </c>
      <c r="F1080" s="22" t="s">
        <v>20</v>
      </c>
      <c r="G1080" s="22" t="s">
        <v>21</v>
      </c>
      <c r="H1080" s="22">
        <v>0</v>
      </c>
      <c r="I1080" s="22">
        <v>0</v>
      </c>
      <c r="J1080" s="22">
        <v>0</v>
      </c>
      <c r="K1080" s="22">
        <v>0</v>
      </c>
      <c r="L1080" s="22">
        <v>0</v>
      </c>
      <c r="M1080" s="22">
        <v>1</v>
      </c>
      <c r="N1080" s="22">
        <v>0</v>
      </c>
      <c r="O1080" s="22"/>
      <c r="P1080" s="22">
        <v>75.099999999999994</v>
      </c>
      <c r="Q1080" s="22" t="str">
        <f t="shared" si="48"/>
        <v>Normal</v>
      </c>
      <c r="R1080" s="26" t="str">
        <f t="shared" si="49"/>
        <v>USR-10107945785TreatmentWestMobileEmailBasic000001075.1</v>
      </c>
      <c r="S1080" s="22" t="str">
        <f t="shared" si="50"/>
        <v>OK</v>
      </c>
    </row>
    <row r="1081" spans="1:19" ht="41.4">
      <c r="A1081" s="22" t="s">
        <v>1112</v>
      </c>
      <c r="B1081" s="25">
        <v>45787</v>
      </c>
      <c r="C1081" s="22" t="s">
        <v>723</v>
      </c>
      <c r="D1081" s="22" t="s">
        <v>32</v>
      </c>
      <c r="E1081" s="22" t="s">
        <v>24</v>
      </c>
      <c r="F1081" s="22" t="s">
        <v>25</v>
      </c>
      <c r="G1081" s="22" t="s">
        <v>21</v>
      </c>
      <c r="H1081" s="22">
        <v>1</v>
      </c>
      <c r="I1081" s="22">
        <v>0</v>
      </c>
      <c r="J1081" s="22">
        <v>0</v>
      </c>
      <c r="K1081" s="22">
        <v>0</v>
      </c>
      <c r="L1081" s="22">
        <v>0</v>
      </c>
      <c r="M1081" s="22">
        <v>0</v>
      </c>
      <c r="N1081" s="22">
        <v>0</v>
      </c>
      <c r="O1081" s="22"/>
      <c r="P1081" s="22">
        <v>64.5</v>
      </c>
      <c r="Q1081" s="22" t="str">
        <f t="shared" si="48"/>
        <v>Normal</v>
      </c>
      <c r="R1081" s="26" t="str">
        <f t="shared" si="49"/>
        <v>USR-10108045787TreatmentSouthMobileOrganicBasic100000064.5</v>
      </c>
      <c r="S1081" s="22" t="str">
        <f t="shared" si="50"/>
        <v>OK</v>
      </c>
    </row>
    <row r="1082" spans="1:19" ht="41.4">
      <c r="A1082" s="22" t="s">
        <v>1113</v>
      </c>
      <c r="B1082" s="25">
        <v>45744</v>
      </c>
      <c r="C1082" s="22" t="s">
        <v>723</v>
      </c>
      <c r="D1082" s="22" t="s">
        <v>28</v>
      </c>
      <c r="E1082" s="22" t="s">
        <v>24</v>
      </c>
      <c r="F1082" s="22" t="s">
        <v>25</v>
      </c>
      <c r="G1082" s="22" t="s">
        <v>26</v>
      </c>
      <c r="H1082" s="22">
        <v>1</v>
      </c>
      <c r="I1082" s="22">
        <v>0</v>
      </c>
      <c r="J1082" s="22">
        <v>0</v>
      </c>
      <c r="K1082" s="22">
        <v>0</v>
      </c>
      <c r="L1082" s="22">
        <v>0</v>
      </c>
      <c r="M1082" s="22">
        <v>0</v>
      </c>
      <c r="N1082" s="22">
        <v>0</v>
      </c>
      <c r="O1082" s="22"/>
      <c r="P1082" s="22">
        <v>54.2</v>
      </c>
      <c r="Q1082" s="22" t="str">
        <f t="shared" si="48"/>
        <v>Normal</v>
      </c>
      <c r="R1082" s="26" t="str">
        <f t="shared" si="49"/>
        <v>USR-10108145744TreatmentEastMobileOrganicFree100000054.2</v>
      </c>
      <c r="S1082" s="22" t="str">
        <f t="shared" si="50"/>
        <v>OK</v>
      </c>
    </row>
    <row r="1083" spans="1:19" ht="41.4">
      <c r="A1083" s="22" t="s">
        <v>1114</v>
      </c>
      <c r="B1083" s="25">
        <v>45777</v>
      </c>
      <c r="C1083" s="22" t="s">
        <v>723</v>
      </c>
      <c r="D1083" s="22" t="s">
        <v>28</v>
      </c>
      <c r="E1083" s="22" t="s">
        <v>24</v>
      </c>
      <c r="F1083" s="22" t="s">
        <v>29</v>
      </c>
      <c r="G1083" s="22" t="s">
        <v>30</v>
      </c>
      <c r="H1083" s="22">
        <v>1</v>
      </c>
      <c r="I1083" s="22">
        <v>1</v>
      </c>
      <c r="J1083" s="22">
        <v>1</v>
      </c>
      <c r="K1083" s="22">
        <v>0</v>
      </c>
      <c r="L1083" s="22">
        <v>0</v>
      </c>
      <c r="M1083" s="22">
        <v>0</v>
      </c>
      <c r="N1083" s="22">
        <v>0</v>
      </c>
      <c r="O1083" s="22"/>
      <c r="P1083" s="22">
        <v>84.1</v>
      </c>
      <c r="Q1083" s="22" t="str">
        <f t="shared" si="48"/>
        <v>Normal</v>
      </c>
      <c r="R1083" s="26" t="str">
        <f t="shared" si="49"/>
        <v>USR-10108245777TreatmentEastMobilePaid SearchPremium111000084.1</v>
      </c>
      <c r="S1083" s="22" t="str">
        <f t="shared" si="50"/>
        <v>OK</v>
      </c>
    </row>
    <row r="1084" spans="1:19" ht="41.4">
      <c r="A1084" s="22" t="s">
        <v>1115</v>
      </c>
      <c r="B1084" s="25">
        <v>45696</v>
      </c>
      <c r="C1084" s="22" t="s">
        <v>723</v>
      </c>
      <c r="D1084" s="22" t="s">
        <v>18</v>
      </c>
      <c r="E1084" s="22" t="s">
        <v>24</v>
      </c>
      <c r="F1084" s="22" t="s">
        <v>25</v>
      </c>
      <c r="G1084" s="22" t="s">
        <v>21</v>
      </c>
      <c r="H1084" s="22">
        <v>0</v>
      </c>
      <c r="I1084" s="22">
        <v>0</v>
      </c>
      <c r="J1084" s="22">
        <v>0</v>
      </c>
      <c r="K1084" s="22">
        <v>0</v>
      </c>
      <c r="L1084" s="22">
        <v>0</v>
      </c>
      <c r="M1084" s="22">
        <v>1</v>
      </c>
      <c r="N1084" s="22">
        <v>0</v>
      </c>
      <c r="O1084" s="22"/>
      <c r="P1084" s="22">
        <v>49.1</v>
      </c>
      <c r="Q1084" s="22" t="str">
        <f t="shared" si="48"/>
        <v>Normal</v>
      </c>
      <c r="R1084" s="26" t="str">
        <f t="shared" si="49"/>
        <v>USR-10108345696TreatmentNorthMobileOrganicBasic000001049.1</v>
      </c>
      <c r="S1084" s="22" t="str">
        <f t="shared" si="50"/>
        <v>OK</v>
      </c>
    </row>
    <row r="1085" spans="1:19" ht="41.4">
      <c r="A1085" s="22" t="s">
        <v>1116</v>
      </c>
      <c r="B1085" s="25">
        <v>45723</v>
      </c>
      <c r="C1085" s="22" t="s">
        <v>723</v>
      </c>
      <c r="D1085" s="22" t="s">
        <v>32</v>
      </c>
      <c r="E1085" s="22" t="s">
        <v>24</v>
      </c>
      <c r="F1085" s="22" t="s">
        <v>39</v>
      </c>
      <c r="G1085" s="22" t="s">
        <v>30</v>
      </c>
      <c r="H1085" s="22">
        <v>0</v>
      </c>
      <c r="I1085" s="22">
        <v>0</v>
      </c>
      <c r="J1085" s="22">
        <v>0</v>
      </c>
      <c r="K1085" s="22">
        <v>0</v>
      </c>
      <c r="L1085" s="22">
        <v>0</v>
      </c>
      <c r="M1085" s="22">
        <v>0</v>
      </c>
      <c r="N1085" s="22">
        <v>0</v>
      </c>
      <c r="O1085" s="22"/>
      <c r="P1085" s="22">
        <v>92.7</v>
      </c>
      <c r="Q1085" s="22" t="str">
        <f t="shared" si="48"/>
        <v>Normal</v>
      </c>
      <c r="R1085" s="26" t="str">
        <f t="shared" si="49"/>
        <v>USR-10108445723TreatmentSouthMobileReferralPremium000000092.7</v>
      </c>
      <c r="S1085" s="22" t="str">
        <f t="shared" si="50"/>
        <v>OK</v>
      </c>
    </row>
    <row r="1086" spans="1:19" ht="41.4">
      <c r="A1086" s="22" t="s">
        <v>1117</v>
      </c>
      <c r="B1086" s="25">
        <v>45798</v>
      </c>
      <c r="C1086" s="22" t="s">
        <v>723</v>
      </c>
      <c r="D1086" s="22" t="s">
        <v>32</v>
      </c>
      <c r="E1086" s="22" t="s">
        <v>24</v>
      </c>
      <c r="F1086" s="22" t="s">
        <v>41</v>
      </c>
      <c r="G1086" s="22" t="s">
        <v>21</v>
      </c>
      <c r="H1086" s="22">
        <v>1</v>
      </c>
      <c r="I1086" s="22">
        <v>1</v>
      </c>
      <c r="J1086" s="22">
        <v>1</v>
      </c>
      <c r="K1086" s="22">
        <v>0</v>
      </c>
      <c r="L1086" s="22">
        <v>0</v>
      </c>
      <c r="M1086" s="22">
        <v>1</v>
      </c>
      <c r="N1086" s="22">
        <v>0</v>
      </c>
      <c r="O1086" s="22"/>
      <c r="P1086" s="22">
        <v>58.7</v>
      </c>
      <c r="Q1086" s="22" t="str">
        <f t="shared" si="48"/>
        <v>Normal</v>
      </c>
      <c r="R1086" s="26" t="str">
        <f t="shared" si="49"/>
        <v>USR-10108545798TreatmentSouthMobileSocialBasic111001058.7</v>
      </c>
      <c r="S1086" s="22" t="str">
        <f t="shared" si="50"/>
        <v>OK</v>
      </c>
    </row>
    <row r="1087" spans="1:19" ht="41.4">
      <c r="A1087" s="22" t="s">
        <v>1118</v>
      </c>
      <c r="B1087" s="25">
        <v>45759</v>
      </c>
      <c r="C1087" s="22" t="s">
        <v>723</v>
      </c>
      <c r="D1087" s="22" t="s">
        <v>32</v>
      </c>
      <c r="E1087" s="22" t="s">
        <v>24</v>
      </c>
      <c r="F1087" s="22" t="s">
        <v>41</v>
      </c>
      <c r="G1087" s="22" t="s">
        <v>26</v>
      </c>
      <c r="H1087" s="22">
        <v>1</v>
      </c>
      <c r="I1087" s="22">
        <v>1</v>
      </c>
      <c r="J1087" s="22">
        <v>1</v>
      </c>
      <c r="K1087" s="22">
        <v>0</v>
      </c>
      <c r="L1087" s="22">
        <v>0</v>
      </c>
      <c r="M1087" s="22">
        <v>0</v>
      </c>
      <c r="N1087" s="22">
        <v>0</v>
      </c>
      <c r="O1087" s="22"/>
      <c r="P1087" s="22">
        <v>59.3</v>
      </c>
      <c r="Q1087" s="22" t="str">
        <f t="shared" si="48"/>
        <v>Normal</v>
      </c>
      <c r="R1087" s="26" t="str">
        <f t="shared" si="49"/>
        <v>USR-10108645759TreatmentSouthMobileSocialFree111000059.3</v>
      </c>
      <c r="S1087" s="22" t="str">
        <f t="shared" si="50"/>
        <v>OK</v>
      </c>
    </row>
    <row r="1088" spans="1:19" ht="41.4">
      <c r="A1088" s="22" t="s">
        <v>1119</v>
      </c>
      <c r="B1088" s="25">
        <v>45690</v>
      </c>
      <c r="C1088" s="22" t="s">
        <v>723</v>
      </c>
      <c r="D1088" s="22" t="s">
        <v>32</v>
      </c>
      <c r="E1088" s="22" t="s">
        <v>24</v>
      </c>
      <c r="F1088" s="22" t="s">
        <v>29</v>
      </c>
      <c r="G1088" s="22" t="s">
        <v>26</v>
      </c>
      <c r="H1088" s="22">
        <v>1</v>
      </c>
      <c r="I1088" s="22">
        <v>0</v>
      </c>
      <c r="J1088" s="22">
        <v>0</v>
      </c>
      <c r="K1088" s="22">
        <v>0</v>
      </c>
      <c r="L1088" s="22">
        <v>0</v>
      </c>
      <c r="M1088" s="22">
        <v>0</v>
      </c>
      <c r="N1088" s="22">
        <v>0</v>
      </c>
      <c r="O1088" s="22"/>
      <c r="P1088" s="22">
        <v>62</v>
      </c>
      <c r="Q1088" s="22" t="str">
        <f t="shared" si="48"/>
        <v>Normal</v>
      </c>
      <c r="R1088" s="26" t="str">
        <f t="shared" si="49"/>
        <v>USR-10108745690TreatmentSouthMobilePaid SearchFree100000062</v>
      </c>
      <c r="S1088" s="22" t="str">
        <f t="shared" si="50"/>
        <v>OK</v>
      </c>
    </row>
    <row r="1089" spans="1:19" ht="41.4">
      <c r="A1089" s="22" t="s">
        <v>1120</v>
      </c>
      <c r="B1089" s="25">
        <v>45769</v>
      </c>
      <c r="C1089" s="22" t="s">
        <v>723</v>
      </c>
      <c r="D1089" s="22" t="s">
        <v>18</v>
      </c>
      <c r="E1089" s="22" t="s">
        <v>34</v>
      </c>
      <c r="F1089" s="22" t="s">
        <v>39</v>
      </c>
      <c r="G1089" s="22" t="s">
        <v>26</v>
      </c>
      <c r="H1089" s="22">
        <v>1</v>
      </c>
      <c r="I1089" s="22">
        <v>1</v>
      </c>
      <c r="J1089" s="22">
        <v>1</v>
      </c>
      <c r="K1089" s="22">
        <v>0</v>
      </c>
      <c r="L1089" s="22">
        <v>0</v>
      </c>
      <c r="M1089" s="22">
        <v>1</v>
      </c>
      <c r="N1089" s="22">
        <v>0</v>
      </c>
      <c r="O1089" s="22"/>
      <c r="P1089" s="22">
        <v>60.3</v>
      </c>
      <c r="Q1089" s="22" t="str">
        <f t="shared" si="48"/>
        <v>Normal</v>
      </c>
      <c r="R1089" s="26" t="str">
        <f t="shared" si="49"/>
        <v>USR-10108845769TreatmentNorthTabletReferralFree111001060.3</v>
      </c>
      <c r="S1089" s="22" t="str">
        <f t="shared" si="50"/>
        <v>OK</v>
      </c>
    </row>
    <row r="1090" spans="1:19" ht="41.4">
      <c r="A1090" s="22" t="s">
        <v>1121</v>
      </c>
      <c r="B1090" s="25">
        <v>45696</v>
      </c>
      <c r="C1090" s="22" t="s">
        <v>723</v>
      </c>
      <c r="D1090" s="22" t="s">
        <v>18</v>
      </c>
      <c r="E1090" s="22" t="s">
        <v>24</v>
      </c>
      <c r="F1090" s="22" t="s">
        <v>41</v>
      </c>
      <c r="G1090" s="22" t="s">
        <v>21</v>
      </c>
      <c r="H1090" s="22">
        <v>1</v>
      </c>
      <c r="I1090" s="22">
        <v>0</v>
      </c>
      <c r="J1090" s="22">
        <v>0</v>
      </c>
      <c r="K1090" s="22">
        <v>0</v>
      </c>
      <c r="L1090" s="22">
        <v>0</v>
      </c>
      <c r="M1090" s="22">
        <v>0</v>
      </c>
      <c r="N1090" s="22">
        <v>0</v>
      </c>
      <c r="O1090" s="22"/>
      <c r="P1090" s="22">
        <v>70.5</v>
      </c>
      <c r="Q1090" s="22" t="str">
        <f t="shared" si="48"/>
        <v>Normal</v>
      </c>
      <c r="R1090" s="26" t="str">
        <f t="shared" si="49"/>
        <v>USR-10108945696TreatmentNorthMobileSocialBasic100000070.5</v>
      </c>
      <c r="S1090" s="22" t="str">
        <f t="shared" si="50"/>
        <v>OK</v>
      </c>
    </row>
    <row r="1091" spans="1:19" ht="41.4">
      <c r="A1091" s="22" t="s">
        <v>1122</v>
      </c>
      <c r="B1091" s="25">
        <v>45681</v>
      </c>
      <c r="C1091" s="22" t="s">
        <v>723</v>
      </c>
      <c r="D1091" s="22" t="s">
        <v>32</v>
      </c>
      <c r="E1091" s="22" t="s">
        <v>19</v>
      </c>
      <c r="F1091" s="22" t="s">
        <v>20</v>
      </c>
      <c r="G1091" s="22" t="s">
        <v>26</v>
      </c>
      <c r="H1091" s="22">
        <v>1</v>
      </c>
      <c r="I1091" s="22">
        <v>0</v>
      </c>
      <c r="J1091" s="22">
        <v>0</v>
      </c>
      <c r="K1091" s="22">
        <v>0</v>
      </c>
      <c r="L1091" s="22">
        <v>0</v>
      </c>
      <c r="M1091" s="22">
        <v>0</v>
      </c>
      <c r="N1091" s="22">
        <v>0</v>
      </c>
      <c r="O1091" s="22"/>
      <c r="P1091" s="22">
        <v>36.799999999999997</v>
      </c>
      <c r="Q1091" s="22" t="str">
        <f t="shared" ref="Q1091:Q1154" si="51">IF(OR(L1091&lt;$V$40,L1091&gt;$V$41),"Outlier","Normal")</f>
        <v>Normal</v>
      </c>
      <c r="R1091" s="26" t="str">
        <f t="shared" ref="R1091:R1154" si="52">A1091&amp;B1091&amp;C1091&amp;D1091&amp;E1091&amp;F1091&amp;G1091&amp;H1091&amp;I1091&amp;J1091&amp;K1091&amp;L1091&amp;M1091&amp;N1091&amp;O1091&amp;P1091</f>
        <v>USR-10109045681TreatmentSouthDesktopEmailFree100000036.8</v>
      </c>
      <c r="S1091" s="22" t="str">
        <f t="shared" ref="S1091:S1154" si="53">IF(COUNTIF($R$2:$R$1409,R1091)=1,"OK",IF(COUNTIF($R$2:$R$1409,R1091)&gt;1,"Exact Duplicate","Review Required"))</f>
        <v>OK</v>
      </c>
    </row>
    <row r="1092" spans="1:19" ht="41.4">
      <c r="A1092" s="22" t="s">
        <v>1123</v>
      </c>
      <c r="B1092" s="25">
        <v>45789</v>
      </c>
      <c r="C1092" s="22" t="s">
        <v>723</v>
      </c>
      <c r="D1092" s="22" t="s">
        <v>32</v>
      </c>
      <c r="E1092" s="22" t="s">
        <v>24</v>
      </c>
      <c r="F1092" s="22" t="s">
        <v>29</v>
      </c>
      <c r="G1092" s="22" t="s">
        <v>21</v>
      </c>
      <c r="H1092" s="22">
        <v>0</v>
      </c>
      <c r="I1092" s="22">
        <v>0</v>
      </c>
      <c r="J1092" s="22">
        <v>0</v>
      </c>
      <c r="K1092" s="22">
        <v>0</v>
      </c>
      <c r="L1092" s="22">
        <v>0</v>
      </c>
      <c r="M1092" s="22">
        <v>1</v>
      </c>
      <c r="N1092" s="22">
        <v>0</v>
      </c>
      <c r="O1092" s="22"/>
      <c r="P1092" s="22">
        <v>73.2</v>
      </c>
      <c r="Q1092" s="22" t="str">
        <f t="shared" si="51"/>
        <v>Normal</v>
      </c>
      <c r="R1092" s="26" t="str">
        <f t="shared" si="52"/>
        <v>USR-10109145789TreatmentSouthMobilePaid SearchBasic000001073.2</v>
      </c>
      <c r="S1092" s="22" t="str">
        <f t="shared" si="53"/>
        <v>OK</v>
      </c>
    </row>
    <row r="1093" spans="1:19" ht="41.4">
      <c r="A1093" s="22" t="s">
        <v>1124</v>
      </c>
      <c r="B1093" s="25">
        <v>45746</v>
      </c>
      <c r="C1093" s="22" t="s">
        <v>723</v>
      </c>
      <c r="D1093" s="22" t="s">
        <v>18</v>
      </c>
      <c r="E1093" s="22" t="s">
        <v>24</v>
      </c>
      <c r="F1093" s="22" t="s">
        <v>25</v>
      </c>
      <c r="G1093" s="22" t="s">
        <v>21</v>
      </c>
      <c r="H1093" s="22">
        <v>0</v>
      </c>
      <c r="I1093" s="22">
        <v>0</v>
      </c>
      <c r="J1093" s="22">
        <v>0</v>
      </c>
      <c r="K1093" s="22">
        <v>0</v>
      </c>
      <c r="L1093" s="22">
        <v>0</v>
      </c>
      <c r="M1093" s="22">
        <v>0</v>
      </c>
      <c r="N1093" s="22">
        <v>0</v>
      </c>
      <c r="O1093" s="22"/>
      <c r="P1093" s="22">
        <v>70.099999999999994</v>
      </c>
      <c r="Q1093" s="22" t="str">
        <f t="shared" si="51"/>
        <v>Normal</v>
      </c>
      <c r="R1093" s="26" t="str">
        <f t="shared" si="52"/>
        <v>USR-10109245746TreatmentNorthMobileOrganicBasic000000070.1</v>
      </c>
      <c r="S1093" s="22" t="str">
        <f t="shared" si="53"/>
        <v>OK</v>
      </c>
    </row>
    <row r="1094" spans="1:19" ht="41.4">
      <c r="A1094" s="22" t="s">
        <v>1125</v>
      </c>
      <c r="B1094" s="25">
        <v>45659</v>
      </c>
      <c r="C1094" s="22" t="s">
        <v>723</v>
      </c>
      <c r="D1094" s="22" t="s">
        <v>32</v>
      </c>
      <c r="E1094" s="22" t="s">
        <v>19</v>
      </c>
      <c r="F1094" s="22" t="s">
        <v>29</v>
      </c>
      <c r="G1094" s="22" t="s">
        <v>21</v>
      </c>
      <c r="H1094" s="22">
        <v>1</v>
      </c>
      <c r="I1094" s="22">
        <v>0</v>
      </c>
      <c r="J1094" s="22">
        <v>0</v>
      </c>
      <c r="K1094" s="22">
        <v>0</v>
      </c>
      <c r="L1094" s="22">
        <v>0</v>
      </c>
      <c r="M1094" s="22">
        <v>0</v>
      </c>
      <c r="N1094" s="22">
        <v>0</v>
      </c>
      <c r="O1094" s="22"/>
      <c r="P1094" s="22">
        <v>76.400000000000006</v>
      </c>
      <c r="Q1094" s="22" t="str">
        <f t="shared" si="51"/>
        <v>Normal</v>
      </c>
      <c r="R1094" s="26" t="str">
        <f t="shared" si="52"/>
        <v>USR-10109345659TreatmentSouthDesktopPaid SearchBasic100000076.4</v>
      </c>
      <c r="S1094" s="22" t="str">
        <f t="shared" si="53"/>
        <v>OK</v>
      </c>
    </row>
    <row r="1095" spans="1:19" ht="41.4">
      <c r="A1095" s="22" t="s">
        <v>1126</v>
      </c>
      <c r="B1095" s="25">
        <v>45737</v>
      </c>
      <c r="C1095" s="22" t="s">
        <v>723</v>
      </c>
      <c r="D1095" s="22" t="s">
        <v>32</v>
      </c>
      <c r="E1095" s="22" t="s">
        <v>34</v>
      </c>
      <c r="F1095" s="22" t="s">
        <v>20</v>
      </c>
      <c r="G1095" s="22" t="s">
        <v>21</v>
      </c>
      <c r="H1095" s="22">
        <v>0</v>
      </c>
      <c r="I1095" s="22">
        <v>0</v>
      </c>
      <c r="J1095" s="22">
        <v>0</v>
      </c>
      <c r="K1095" s="22">
        <v>0</v>
      </c>
      <c r="L1095" s="22">
        <v>0</v>
      </c>
      <c r="M1095" s="22">
        <v>0</v>
      </c>
      <c r="N1095" s="22">
        <v>0</v>
      </c>
      <c r="O1095" s="22"/>
      <c r="P1095" s="22">
        <v>46.4</v>
      </c>
      <c r="Q1095" s="22" t="str">
        <f t="shared" si="51"/>
        <v>Normal</v>
      </c>
      <c r="R1095" s="26" t="str">
        <f t="shared" si="52"/>
        <v>USR-10109445737TreatmentSouthTabletEmailBasic000000046.4</v>
      </c>
      <c r="S1095" s="22" t="str">
        <f t="shared" si="53"/>
        <v>OK</v>
      </c>
    </row>
    <row r="1096" spans="1:19" ht="41.4">
      <c r="A1096" s="22" t="s">
        <v>1127</v>
      </c>
      <c r="B1096" s="25">
        <v>45682</v>
      </c>
      <c r="C1096" s="22" t="s">
        <v>723</v>
      </c>
      <c r="D1096" s="22" t="s">
        <v>23</v>
      </c>
      <c r="E1096" s="22" t="s">
        <v>24</v>
      </c>
      <c r="F1096" s="22" t="s">
        <v>25</v>
      </c>
      <c r="G1096" s="22" t="s">
        <v>26</v>
      </c>
      <c r="H1096" s="22">
        <v>1</v>
      </c>
      <c r="I1096" s="22">
        <v>1</v>
      </c>
      <c r="J1096" s="22">
        <v>1</v>
      </c>
      <c r="K1096" s="22">
        <v>0</v>
      </c>
      <c r="L1096" s="22">
        <v>0</v>
      </c>
      <c r="M1096" s="22">
        <v>1</v>
      </c>
      <c r="N1096" s="22">
        <v>0</v>
      </c>
      <c r="O1096" s="22"/>
      <c r="P1096" s="22">
        <v>81.3</v>
      </c>
      <c r="Q1096" s="22" t="str">
        <f t="shared" si="51"/>
        <v>Normal</v>
      </c>
      <c r="R1096" s="26" t="str">
        <f t="shared" si="52"/>
        <v>USR-10109545682TreatmentWestMobileOrganicFree111001081.3</v>
      </c>
      <c r="S1096" s="22" t="str">
        <f t="shared" si="53"/>
        <v>OK</v>
      </c>
    </row>
    <row r="1097" spans="1:19" ht="41.4">
      <c r="A1097" s="22" t="s">
        <v>1128</v>
      </c>
      <c r="B1097" s="25">
        <v>45669</v>
      </c>
      <c r="C1097" s="22" t="s">
        <v>723</v>
      </c>
      <c r="D1097" s="22" t="s">
        <v>32</v>
      </c>
      <c r="E1097" s="22" t="s">
        <v>34</v>
      </c>
      <c r="F1097" s="22" t="s">
        <v>41</v>
      </c>
      <c r="G1097" s="22" t="s">
        <v>26</v>
      </c>
      <c r="H1097" s="22">
        <v>1</v>
      </c>
      <c r="I1097" s="22">
        <v>1</v>
      </c>
      <c r="J1097" s="22">
        <v>1</v>
      </c>
      <c r="K1097" s="22">
        <v>0</v>
      </c>
      <c r="L1097" s="22">
        <v>0</v>
      </c>
      <c r="M1097" s="22">
        <v>0</v>
      </c>
      <c r="N1097" s="22">
        <v>0</v>
      </c>
      <c r="O1097" s="22"/>
      <c r="P1097" s="22">
        <v>55.3</v>
      </c>
      <c r="Q1097" s="22" t="str">
        <f t="shared" si="51"/>
        <v>Normal</v>
      </c>
      <c r="R1097" s="26" t="str">
        <f t="shared" si="52"/>
        <v>USR-10109645669TreatmentSouthTabletSocialFree111000055.3</v>
      </c>
      <c r="S1097" s="22" t="str">
        <f t="shared" si="53"/>
        <v>OK</v>
      </c>
    </row>
    <row r="1098" spans="1:19" ht="41.4">
      <c r="A1098" s="22" t="s">
        <v>1129</v>
      </c>
      <c r="B1098" s="25">
        <v>45734</v>
      </c>
      <c r="C1098" s="22" t="s">
        <v>723</v>
      </c>
      <c r="D1098" s="22" t="s">
        <v>28</v>
      </c>
      <c r="E1098" s="22" t="s">
        <v>19</v>
      </c>
      <c r="F1098" s="22" t="s">
        <v>39</v>
      </c>
      <c r="G1098" s="22" t="s">
        <v>26</v>
      </c>
      <c r="H1098" s="22">
        <v>1</v>
      </c>
      <c r="I1098" s="22">
        <v>0</v>
      </c>
      <c r="J1098" s="22">
        <v>0</v>
      </c>
      <c r="K1098" s="22">
        <v>0</v>
      </c>
      <c r="L1098" s="22">
        <v>0</v>
      </c>
      <c r="M1098" s="22">
        <v>0</v>
      </c>
      <c r="N1098" s="22">
        <v>0</v>
      </c>
      <c r="O1098" s="22"/>
      <c r="P1098" s="22">
        <v>44.7</v>
      </c>
      <c r="Q1098" s="22" t="str">
        <f t="shared" si="51"/>
        <v>Normal</v>
      </c>
      <c r="R1098" s="26" t="str">
        <f t="shared" si="52"/>
        <v>USR-10109745734TreatmentEastDesktopReferralFree100000044.7</v>
      </c>
      <c r="S1098" s="22" t="str">
        <f t="shared" si="53"/>
        <v>OK</v>
      </c>
    </row>
    <row r="1099" spans="1:19" ht="41.4">
      <c r="A1099" s="22" t="s">
        <v>1130</v>
      </c>
      <c r="B1099" s="25">
        <v>45742</v>
      </c>
      <c r="C1099" s="22" t="s">
        <v>723</v>
      </c>
      <c r="D1099" s="22" t="s">
        <v>28</v>
      </c>
      <c r="E1099" s="22" t="s">
        <v>24</v>
      </c>
      <c r="F1099" s="22" t="s">
        <v>29</v>
      </c>
      <c r="G1099" s="22" t="s">
        <v>21</v>
      </c>
      <c r="H1099" s="22">
        <v>1</v>
      </c>
      <c r="I1099" s="22">
        <v>0</v>
      </c>
      <c r="J1099" s="22">
        <v>0</v>
      </c>
      <c r="K1099" s="22">
        <v>0</v>
      </c>
      <c r="L1099" s="22">
        <v>0</v>
      </c>
      <c r="M1099" s="22">
        <v>0</v>
      </c>
      <c r="N1099" s="22">
        <v>0</v>
      </c>
      <c r="O1099" s="22"/>
      <c r="P1099" s="22">
        <v>67.2</v>
      </c>
      <c r="Q1099" s="22" t="str">
        <f t="shared" si="51"/>
        <v>Normal</v>
      </c>
      <c r="R1099" s="26" t="str">
        <f t="shared" si="52"/>
        <v>USR-10109845742TreatmentEastMobilePaid SearchBasic100000067.2</v>
      </c>
      <c r="S1099" s="22" t="str">
        <f t="shared" si="53"/>
        <v>OK</v>
      </c>
    </row>
    <row r="1100" spans="1:19" ht="41.4">
      <c r="A1100" s="22" t="s">
        <v>1131</v>
      </c>
      <c r="B1100" s="25">
        <v>45766</v>
      </c>
      <c r="C1100" s="22" t="s">
        <v>723</v>
      </c>
      <c r="D1100" s="22" t="s">
        <v>18</v>
      </c>
      <c r="E1100" s="22" t="s">
        <v>24</v>
      </c>
      <c r="F1100" s="22" t="s">
        <v>29</v>
      </c>
      <c r="G1100" s="22" t="s">
        <v>21</v>
      </c>
      <c r="H1100" s="22">
        <v>1</v>
      </c>
      <c r="I1100" s="22">
        <v>0</v>
      </c>
      <c r="J1100" s="22">
        <v>0</v>
      </c>
      <c r="K1100" s="22">
        <v>0</v>
      </c>
      <c r="L1100" s="22">
        <v>0</v>
      </c>
      <c r="M1100" s="22">
        <v>0</v>
      </c>
      <c r="N1100" s="22">
        <v>0</v>
      </c>
      <c r="O1100" s="22"/>
      <c r="P1100" s="22"/>
      <c r="Q1100" s="22" t="str">
        <f t="shared" si="51"/>
        <v>Normal</v>
      </c>
      <c r="R1100" s="26" t="str">
        <f t="shared" si="52"/>
        <v>USR-10109945766TreatmentNorthMobilePaid SearchBasic1000000</v>
      </c>
      <c r="S1100" s="22" t="str">
        <f t="shared" si="53"/>
        <v>OK</v>
      </c>
    </row>
    <row r="1101" spans="1:19" ht="41.4">
      <c r="A1101" s="22" t="s">
        <v>1132</v>
      </c>
      <c r="B1101" s="25">
        <v>45764</v>
      </c>
      <c r="C1101" s="22" t="s">
        <v>723</v>
      </c>
      <c r="D1101" s="22" t="s">
        <v>28</v>
      </c>
      <c r="E1101" s="22" t="s">
        <v>24</v>
      </c>
      <c r="F1101" s="22" t="s">
        <v>25</v>
      </c>
      <c r="G1101" s="22" t="s">
        <v>30</v>
      </c>
      <c r="H1101" s="22">
        <v>1</v>
      </c>
      <c r="I1101" s="22">
        <v>1</v>
      </c>
      <c r="J1101" s="22">
        <v>1</v>
      </c>
      <c r="K1101" s="22">
        <v>0</v>
      </c>
      <c r="L1101" s="22">
        <v>0</v>
      </c>
      <c r="M1101" s="22">
        <v>1</v>
      </c>
      <c r="N1101" s="22">
        <v>0</v>
      </c>
      <c r="O1101" s="22"/>
      <c r="P1101" s="22">
        <v>70.8</v>
      </c>
      <c r="Q1101" s="22" t="str">
        <f t="shared" si="51"/>
        <v>Normal</v>
      </c>
      <c r="R1101" s="26" t="str">
        <f t="shared" si="52"/>
        <v>USR-10110045764TreatmentEastMobileOrganicPremium111001070.8</v>
      </c>
      <c r="S1101" s="22" t="str">
        <f t="shared" si="53"/>
        <v>OK</v>
      </c>
    </row>
    <row r="1102" spans="1:19" ht="41.4">
      <c r="A1102" s="22" t="s">
        <v>1133</v>
      </c>
      <c r="B1102" s="25">
        <v>45803</v>
      </c>
      <c r="C1102" s="22" t="s">
        <v>723</v>
      </c>
      <c r="D1102" s="22" t="s">
        <v>32</v>
      </c>
      <c r="E1102" s="22" t="s">
        <v>24</v>
      </c>
      <c r="F1102" s="22" t="s">
        <v>29</v>
      </c>
      <c r="G1102" s="22" t="s">
        <v>26</v>
      </c>
      <c r="H1102" s="22">
        <v>1</v>
      </c>
      <c r="I1102" s="22">
        <v>0</v>
      </c>
      <c r="J1102" s="22">
        <v>0</v>
      </c>
      <c r="K1102" s="22">
        <v>0</v>
      </c>
      <c r="L1102" s="22">
        <v>0</v>
      </c>
      <c r="M1102" s="22">
        <v>0</v>
      </c>
      <c r="N1102" s="22">
        <v>0</v>
      </c>
      <c r="O1102" s="22"/>
      <c r="P1102" s="22">
        <v>71.3</v>
      </c>
      <c r="Q1102" s="22" t="str">
        <f t="shared" si="51"/>
        <v>Normal</v>
      </c>
      <c r="R1102" s="26" t="str">
        <f t="shared" si="52"/>
        <v>USR-10110145803TreatmentSouthMobilePaid SearchFree100000071.3</v>
      </c>
      <c r="S1102" s="22" t="str">
        <f t="shared" si="53"/>
        <v>OK</v>
      </c>
    </row>
    <row r="1103" spans="1:19" ht="41.4">
      <c r="A1103" s="22" t="s">
        <v>1134</v>
      </c>
      <c r="B1103" s="25">
        <v>45761</v>
      </c>
      <c r="C1103" s="22" t="s">
        <v>723</v>
      </c>
      <c r="D1103" s="22" t="s">
        <v>18</v>
      </c>
      <c r="E1103" s="22" t="s">
        <v>24</v>
      </c>
      <c r="F1103" s="22" t="s">
        <v>41</v>
      </c>
      <c r="G1103" s="22" t="s">
        <v>30</v>
      </c>
      <c r="H1103" s="22">
        <v>1</v>
      </c>
      <c r="I1103" s="22">
        <v>1</v>
      </c>
      <c r="J1103" s="22">
        <v>1</v>
      </c>
      <c r="K1103" s="22">
        <v>0</v>
      </c>
      <c r="L1103" s="22">
        <v>0</v>
      </c>
      <c r="M1103" s="22">
        <v>0</v>
      </c>
      <c r="N1103" s="22">
        <v>0</v>
      </c>
      <c r="O1103" s="22"/>
      <c r="P1103" s="22">
        <v>69.400000000000006</v>
      </c>
      <c r="Q1103" s="22" t="str">
        <f t="shared" si="51"/>
        <v>Normal</v>
      </c>
      <c r="R1103" s="26" t="str">
        <f t="shared" si="52"/>
        <v>USR-10110245761TreatmentNorthMobileSocialPremium111000069.4</v>
      </c>
      <c r="S1103" s="22" t="str">
        <f t="shared" si="53"/>
        <v>OK</v>
      </c>
    </row>
    <row r="1104" spans="1:19" ht="41.4">
      <c r="A1104" s="22" t="s">
        <v>1135</v>
      </c>
      <c r="B1104" s="25">
        <v>45680</v>
      </c>
      <c r="C1104" s="22" t="s">
        <v>723</v>
      </c>
      <c r="D1104" s="22" t="s">
        <v>32</v>
      </c>
      <c r="E1104" s="22" t="s">
        <v>24</v>
      </c>
      <c r="F1104" s="22" t="s">
        <v>25</v>
      </c>
      <c r="G1104" s="22" t="s">
        <v>21</v>
      </c>
      <c r="H1104" s="22">
        <v>1</v>
      </c>
      <c r="I1104" s="22">
        <v>1</v>
      </c>
      <c r="J1104" s="22">
        <v>0</v>
      </c>
      <c r="K1104" s="22">
        <v>0</v>
      </c>
      <c r="L1104" s="22">
        <v>0</v>
      </c>
      <c r="M1104" s="22">
        <v>0</v>
      </c>
      <c r="N1104" s="22">
        <v>0</v>
      </c>
      <c r="O1104" s="22"/>
      <c r="P1104" s="22">
        <v>58.9</v>
      </c>
      <c r="Q1104" s="22" t="str">
        <f t="shared" si="51"/>
        <v>Normal</v>
      </c>
      <c r="R1104" s="26" t="str">
        <f t="shared" si="52"/>
        <v>USR-10110345680TreatmentSouthMobileOrganicBasic110000058.9</v>
      </c>
      <c r="S1104" s="22" t="str">
        <f t="shared" si="53"/>
        <v>OK</v>
      </c>
    </row>
    <row r="1105" spans="1:19" ht="41.4">
      <c r="A1105" s="22" t="s">
        <v>1136</v>
      </c>
      <c r="B1105" s="25">
        <v>45663</v>
      </c>
      <c r="C1105" s="22" t="s">
        <v>723</v>
      </c>
      <c r="D1105" s="22" t="s">
        <v>28</v>
      </c>
      <c r="E1105" s="22" t="s">
        <v>24</v>
      </c>
      <c r="F1105" s="22" t="s">
        <v>39</v>
      </c>
      <c r="G1105" s="22" t="s">
        <v>26</v>
      </c>
      <c r="H1105" s="22">
        <v>0</v>
      </c>
      <c r="I1105" s="22">
        <v>0</v>
      </c>
      <c r="J1105" s="22">
        <v>0</v>
      </c>
      <c r="K1105" s="22">
        <v>0</v>
      </c>
      <c r="L1105" s="22">
        <v>0</v>
      </c>
      <c r="M1105" s="22">
        <v>0</v>
      </c>
      <c r="N1105" s="22">
        <v>0</v>
      </c>
      <c r="O1105" s="22"/>
      <c r="P1105" s="22">
        <v>70.7</v>
      </c>
      <c r="Q1105" s="22" t="str">
        <f t="shared" si="51"/>
        <v>Normal</v>
      </c>
      <c r="R1105" s="26" t="str">
        <f t="shared" si="52"/>
        <v>USR-10110445663TreatmentEastMobileReferralFree000000070.7</v>
      </c>
      <c r="S1105" s="22" t="str">
        <f t="shared" si="53"/>
        <v>OK</v>
      </c>
    </row>
    <row r="1106" spans="1:19" ht="41.4">
      <c r="A1106" s="22" t="s">
        <v>1137</v>
      </c>
      <c r="B1106" s="25">
        <v>45808</v>
      </c>
      <c r="C1106" s="22" t="s">
        <v>723</v>
      </c>
      <c r="D1106" s="22" t="s">
        <v>23</v>
      </c>
      <c r="E1106" s="22" t="s">
        <v>24</v>
      </c>
      <c r="F1106" s="22" t="s">
        <v>20</v>
      </c>
      <c r="G1106" s="22" t="s">
        <v>21</v>
      </c>
      <c r="H1106" s="22">
        <v>1</v>
      </c>
      <c r="I1106" s="22">
        <v>0</v>
      </c>
      <c r="J1106" s="22">
        <v>0</v>
      </c>
      <c r="K1106" s="22">
        <v>0</v>
      </c>
      <c r="L1106" s="22">
        <v>0</v>
      </c>
      <c r="M1106" s="22">
        <v>0</v>
      </c>
      <c r="N1106" s="22">
        <v>0</v>
      </c>
      <c r="O1106" s="22"/>
      <c r="P1106" s="22">
        <v>60.5</v>
      </c>
      <c r="Q1106" s="22" t="str">
        <f t="shared" si="51"/>
        <v>Normal</v>
      </c>
      <c r="R1106" s="26" t="str">
        <f t="shared" si="52"/>
        <v>USR-10110545808TreatmentWestMobileEmailBasic100000060.5</v>
      </c>
      <c r="S1106" s="22" t="str">
        <f t="shared" si="53"/>
        <v>OK</v>
      </c>
    </row>
    <row r="1107" spans="1:19" ht="41.4">
      <c r="A1107" s="22" t="s">
        <v>1138</v>
      </c>
      <c r="B1107" s="25">
        <v>45796</v>
      </c>
      <c r="C1107" s="22" t="s">
        <v>723</v>
      </c>
      <c r="D1107" s="22" t="s">
        <v>18</v>
      </c>
      <c r="E1107" s="22" t="s">
        <v>24</v>
      </c>
      <c r="F1107" s="22" t="s">
        <v>25</v>
      </c>
      <c r="G1107" s="22" t="s">
        <v>21</v>
      </c>
      <c r="H1107" s="22">
        <v>1</v>
      </c>
      <c r="I1107" s="22">
        <v>1</v>
      </c>
      <c r="J1107" s="22">
        <v>1</v>
      </c>
      <c r="K1107" s="22">
        <v>0</v>
      </c>
      <c r="L1107" s="22">
        <v>0</v>
      </c>
      <c r="M1107" s="22">
        <v>0</v>
      </c>
      <c r="N1107" s="22">
        <v>0</v>
      </c>
      <c r="O1107" s="22"/>
      <c r="P1107" s="22">
        <v>77.3</v>
      </c>
      <c r="Q1107" s="22" t="str">
        <f t="shared" si="51"/>
        <v>Normal</v>
      </c>
      <c r="R1107" s="26" t="str">
        <f t="shared" si="52"/>
        <v>USR-10110645796TreatmentNorthMobileOrganicBasic111000077.3</v>
      </c>
      <c r="S1107" s="22" t="str">
        <f t="shared" si="53"/>
        <v>OK</v>
      </c>
    </row>
    <row r="1108" spans="1:19" ht="41.4">
      <c r="A1108" s="22" t="s">
        <v>1139</v>
      </c>
      <c r="B1108" s="25">
        <v>45713</v>
      </c>
      <c r="C1108" s="22" t="s">
        <v>723</v>
      </c>
      <c r="D1108" s="22" t="s">
        <v>18</v>
      </c>
      <c r="E1108" s="22" t="s">
        <v>24</v>
      </c>
      <c r="F1108" s="22" t="s">
        <v>25</v>
      </c>
      <c r="G1108" s="22" t="s">
        <v>26</v>
      </c>
      <c r="H1108" s="22">
        <v>0</v>
      </c>
      <c r="I1108" s="22">
        <v>0</v>
      </c>
      <c r="J1108" s="22">
        <v>0</v>
      </c>
      <c r="K1108" s="22">
        <v>0</v>
      </c>
      <c r="L1108" s="22">
        <v>0</v>
      </c>
      <c r="M1108" s="22">
        <v>1</v>
      </c>
      <c r="N1108" s="22">
        <v>0</v>
      </c>
      <c r="O1108" s="22"/>
      <c r="P1108" s="22">
        <v>39.5</v>
      </c>
      <c r="Q1108" s="22" t="str">
        <f t="shared" si="51"/>
        <v>Normal</v>
      </c>
      <c r="R1108" s="26" t="str">
        <f t="shared" si="52"/>
        <v>USR-10110745713TreatmentNorthMobileOrganicFree000001039.5</v>
      </c>
      <c r="S1108" s="22" t="str">
        <f t="shared" si="53"/>
        <v>OK</v>
      </c>
    </row>
    <row r="1109" spans="1:19" ht="41.4">
      <c r="A1109" s="22" t="s">
        <v>1140</v>
      </c>
      <c r="B1109" s="25">
        <v>45667</v>
      </c>
      <c r="C1109" s="22" t="s">
        <v>723</v>
      </c>
      <c r="D1109" s="22" t="s">
        <v>32</v>
      </c>
      <c r="E1109" s="22" t="s">
        <v>34</v>
      </c>
      <c r="F1109" s="22" t="s">
        <v>25</v>
      </c>
      <c r="G1109" s="22" t="s">
        <v>21</v>
      </c>
      <c r="H1109" s="22">
        <v>1</v>
      </c>
      <c r="I1109" s="22">
        <v>0</v>
      </c>
      <c r="J1109" s="22">
        <v>0</v>
      </c>
      <c r="K1109" s="22">
        <v>0</v>
      </c>
      <c r="L1109" s="22">
        <v>0</v>
      </c>
      <c r="M1109" s="22">
        <v>0</v>
      </c>
      <c r="N1109" s="22">
        <v>0</v>
      </c>
      <c r="O1109" s="22"/>
      <c r="P1109" s="22">
        <v>68.099999999999994</v>
      </c>
      <c r="Q1109" s="22" t="str">
        <f t="shared" si="51"/>
        <v>Normal</v>
      </c>
      <c r="R1109" s="26" t="str">
        <f t="shared" si="52"/>
        <v>USR-10110845667TreatmentSouthTabletOrganicBasic100000068.1</v>
      </c>
      <c r="S1109" s="22" t="str">
        <f t="shared" si="53"/>
        <v>OK</v>
      </c>
    </row>
    <row r="1110" spans="1:19" ht="41.4">
      <c r="A1110" s="22" t="s">
        <v>1141</v>
      </c>
      <c r="B1110" s="25">
        <v>45790</v>
      </c>
      <c r="C1110" s="22" t="s">
        <v>723</v>
      </c>
      <c r="D1110" s="22" t="s">
        <v>18</v>
      </c>
      <c r="E1110" s="22" t="s">
        <v>34</v>
      </c>
      <c r="F1110" s="22" t="s">
        <v>29</v>
      </c>
      <c r="G1110" s="22" t="s">
        <v>26</v>
      </c>
      <c r="H1110" s="22">
        <v>0</v>
      </c>
      <c r="I1110" s="22">
        <v>0</v>
      </c>
      <c r="J1110" s="22">
        <v>0</v>
      </c>
      <c r="K1110" s="22">
        <v>0</v>
      </c>
      <c r="L1110" s="22">
        <v>0</v>
      </c>
      <c r="M1110" s="22">
        <v>0</v>
      </c>
      <c r="N1110" s="22">
        <v>0</v>
      </c>
      <c r="O1110" s="22"/>
      <c r="P1110" s="22">
        <v>80.3</v>
      </c>
      <c r="Q1110" s="22" t="str">
        <f t="shared" si="51"/>
        <v>Normal</v>
      </c>
      <c r="R1110" s="26" t="str">
        <f t="shared" si="52"/>
        <v>USR-10110945790TreatmentNorthTabletPaid SearchFree000000080.3</v>
      </c>
      <c r="S1110" s="22" t="str">
        <f t="shared" si="53"/>
        <v>OK</v>
      </c>
    </row>
    <row r="1111" spans="1:19" ht="41.4">
      <c r="A1111" s="22" t="s">
        <v>1142</v>
      </c>
      <c r="B1111" s="25">
        <v>45774</v>
      </c>
      <c r="C1111" s="22" t="s">
        <v>723</v>
      </c>
      <c r="D1111" s="22" t="s">
        <v>23</v>
      </c>
      <c r="E1111" s="22" t="s">
        <v>19</v>
      </c>
      <c r="F1111" s="22" t="s">
        <v>25</v>
      </c>
      <c r="G1111" s="22" t="s">
        <v>30</v>
      </c>
      <c r="H1111" s="22">
        <v>1</v>
      </c>
      <c r="I1111" s="22">
        <v>0</v>
      </c>
      <c r="J1111" s="22">
        <v>0</v>
      </c>
      <c r="K1111" s="22">
        <v>0</v>
      </c>
      <c r="L1111" s="22">
        <v>0</v>
      </c>
      <c r="M1111" s="22">
        <v>0</v>
      </c>
      <c r="N1111" s="22">
        <v>0</v>
      </c>
      <c r="O1111" s="22"/>
      <c r="P1111" s="22">
        <v>77.7</v>
      </c>
      <c r="Q1111" s="22" t="str">
        <f t="shared" si="51"/>
        <v>Normal</v>
      </c>
      <c r="R1111" s="26" t="str">
        <f t="shared" si="52"/>
        <v>USR-10111045774TreatmentWestDesktopOrganicPremium100000077.7</v>
      </c>
      <c r="S1111" s="22" t="str">
        <f t="shared" si="53"/>
        <v>OK</v>
      </c>
    </row>
    <row r="1112" spans="1:19" ht="41.4">
      <c r="A1112" s="22" t="s">
        <v>1143</v>
      </c>
      <c r="B1112" s="25">
        <v>45750</v>
      </c>
      <c r="C1112" s="22" t="s">
        <v>723</v>
      </c>
      <c r="D1112" s="22" t="s">
        <v>32</v>
      </c>
      <c r="E1112" s="22" t="s">
        <v>24</v>
      </c>
      <c r="F1112" s="22" t="s">
        <v>25</v>
      </c>
      <c r="G1112" s="22" t="s">
        <v>26</v>
      </c>
      <c r="H1112" s="22">
        <v>1</v>
      </c>
      <c r="I1112" s="22">
        <v>0</v>
      </c>
      <c r="J1112" s="22">
        <v>0</v>
      </c>
      <c r="K1112" s="22">
        <v>0</v>
      </c>
      <c r="L1112" s="22">
        <v>0</v>
      </c>
      <c r="M1112" s="22">
        <v>1</v>
      </c>
      <c r="N1112" s="22">
        <v>0</v>
      </c>
      <c r="O1112" s="22"/>
      <c r="P1112" s="22">
        <v>66.2</v>
      </c>
      <c r="Q1112" s="22" t="str">
        <f t="shared" si="51"/>
        <v>Normal</v>
      </c>
      <c r="R1112" s="26" t="str">
        <f t="shared" si="52"/>
        <v>USR-10111145750TreatmentSouthMobileOrganicFree100001066.2</v>
      </c>
      <c r="S1112" s="22" t="str">
        <f t="shared" si="53"/>
        <v>OK</v>
      </c>
    </row>
    <row r="1113" spans="1:19" ht="41.4">
      <c r="A1113" s="22" t="s">
        <v>1144</v>
      </c>
      <c r="B1113" s="25">
        <v>45742</v>
      </c>
      <c r="C1113" s="22" t="s">
        <v>723</v>
      </c>
      <c r="D1113" s="22" t="s">
        <v>32</v>
      </c>
      <c r="E1113" s="22" t="s">
        <v>24</v>
      </c>
      <c r="F1113" s="22" t="s">
        <v>25</v>
      </c>
      <c r="G1113" s="22" t="s">
        <v>26</v>
      </c>
      <c r="H1113" s="22">
        <v>1</v>
      </c>
      <c r="I1113" s="22">
        <v>1</v>
      </c>
      <c r="J1113" s="22">
        <v>1</v>
      </c>
      <c r="K1113" s="22">
        <v>0</v>
      </c>
      <c r="L1113" s="22">
        <v>0</v>
      </c>
      <c r="M1113" s="22">
        <v>1</v>
      </c>
      <c r="N1113" s="22">
        <v>0</v>
      </c>
      <c r="O1113" s="22"/>
      <c r="P1113" s="22">
        <v>43.9</v>
      </c>
      <c r="Q1113" s="22" t="str">
        <f t="shared" si="51"/>
        <v>Normal</v>
      </c>
      <c r="R1113" s="26" t="str">
        <f t="shared" si="52"/>
        <v>USR-10111245742TreatmentSouthMobileOrganicFree111001043.9</v>
      </c>
      <c r="S1113" s="22" t="str">
        <f t="shared" si="53"/>
        <v>OK</v>
      </c>
    </row>
    <row r="1114" spans="1:19" ht="41.4">
      <c r="A1114" s="22" t="s">
        <v>1145</v>
      </c>
      <c r="B1114" s="25">
        <v>45688</v>
      </c>
      <c r="C1114" s="22" t="s">
        <v>723</v>
      </c>
      <c r="D1114" s="22" t="s">
        <v>32</v>
      </c>
      <c r="E1114" s="22" t="s">
        <v>24</v>
      </c>
      <c r="F1114" s="22" t="s">
        <v>25</v>
      </c>
      <c r="G1114" s="22" t="s">
        <v>21</v>
      </c>
      <c r="H1114" s="22">
        <v>1</v>
      </c>
      <c r="I1114" s="22">
        <v>1</v>
      </c>
      <c r="J1114" s="22">
        <v>1</v>
      </c>
      <c r="K1114" s="22">
        <v>0</v>
      </c>
      <c r="L1114" s="22">
        <v>0</v>
      </c>
      <c r="M1114" s="22">
        <v>2</v>
      </c>
      <c r="N1114" s="22">
        <v>0</v>
      </c>
      <c r="O1114" s="22"/>
      <c r="P1114" s="22">
        <v>59.1</v>
      </c>
      <c r="Q1114" s="22" t="str">
        <f t="shared" si="51"/>
        <v>Normal</v>
      </c>
      <c r="R1114" s="26" t="str">
        <f t="shared" si="52"/>
        <v>USR-10111345688TreatmentSouthMobileOrganicBasic111002059.1</v>
      </c>
      <c r="S1114" s="22" t="str">
        <f t="shared" si="53"/>
        <v>OK</v>
      </c>
    </row>
    <row r="1115" spans="1:19" ht="41.4">
      <c r="A1115" s="22" t="s">
        <v>1146</v>
      </c>
      <c r="B1115" s="25">
        <v>45682</v>
      </c>
      <c r="C1115" s="22" t="s">
        <v>723</v>
      </c>
      <c r="D1115" s="22" t="s">
        <v>32</v>
      </c>
      <c r="E1115" s="22" t="s">
        <v>24</v>
      </c>
      <c r="F1115" s="22" t="s">
        <v>41</v>
      </c>
      <c r="G1115" s="22" t="s">
        <v>26</v>
      </c>
      <c r="H1115" s="22">
        <v>1</v>
      </c>
      <c r="I1115" s="22">
        <v>1</v>
      </c>
      <c r="J1115" s="22">
        <v>1</v>
      </c>
      <c r="K1115" s="22">
        <v>1</v>
      </c>
      <c r="L1115" s="22">
        <v>416.94</v>
      </c>
      <c r="M1115" s="22">
        <v>1</v>
      </c>
      <c r="N1115" s="22">
        <v>0</v>
      </c>
      <c r="O1115" s="22">
        <v>11</v>
      </c>
      <c r="P1115" s="22">
        <v>67</v>
      </c>
      <c r="Q1115" s="22" t="str">
        <f t="shared" si="51"/>
        <v>Normal</v>
      </c>
      <c r="R1115" s="26" t="str">
        <f t="shared" si="52"/>
        <v>USR-10111445682TreatmentSouthMobileSocialFree1111416.94101167</v>
      </c>
      <c r="S1115" s="22" t="str">
        <f t="shared" si="53"/>
        <v>OK</v>
      </c>
    </row>
    <row r="1116" spans="1:19" ht="41.4">
      <c r="A1116" s="22" t="s">
        <v>1147</v>
      </c>
      <c r="B1116" s="25">
        <v>45694</v>
      </c>
      <c r="C1116" s="22" t="s">
        <v>723</v>
      </c>
      <c r="D1116" s="22" t="s">
        <v>23</v>
      </c>
      <c r="E1116" s="22" t="s">
        <v>24</v>
      </c>
      <c r="F1116" s="22" t="s">
        <v>39</v>
      </c>
      <c r="G1116" s="22" t="s">
        <v>21</v>
      </c>
      <c r="H1116" s="22">
        <v>1</v>
      </c>
      <c r="I1116" s="22">
        <v>0</v>
      </c>
      <c r="J1116" s="22">
        <v>0</v>
      </c>
      <c r="K1116" s="22">
        <v>0</v>
      </c>
      <c r="L1116" s="22">
        <v>0</v>
      </c>
      <c r="M1116" s="22">
        <v>0</v>
      </c>
      <c r="N1116" s="22">
        <v>0</v>
      </c>
      <c r="O1116" s="22"/>
      <c r="P1116" s="22">
        <v>47.9</v>
      </c>
      <c r="Q1116" s="22" t="str">
        <f t="shared" si="51"/>
        <v>Normal</v>
      </c>
      <c r="R1116" s="26" t="str">
        <f t="shared" si="52"/>
        <v>USR-10111545694TreatmentWestMobileReferralBasic100000047.9</v>
      </c>
      <c r="S1116" s="22" t="str">
        <f t="shared" si="53"/>
        <v>OK</v>
      </c>
    </row>
    <row r="1117" spans="1:19" ht="41.4">
      <c r="A1117" s="22" t="s">
        <v>1148</v>
      </c>
      <c r="B1117" s="25">
        <v>45726</v>
      </c>
      <c r="C1117" s="22" t="s">
        <v>723</v>
      </c>
      <c r="D1117" s="22" t="s">
        <v>28</v>
      </c>
      <c r="E1117" s="22" t="s">
        <v>24</v>
      </c>
      <c r="F1117" s="22" t="s">
        <v>29</v>
      </c>
      <c r="G1117" s="22" t="s">
        <v>26</v>
      </c>
      <c r="H1117" s="22">
        <v>1</v>
      </c>
      <c r="I1117" s="22">
        <v>1</v>
      </c>
      <c r="J1117" s="22">
        <v>0</v>
      </c>
      <c r="K1117" s="22">
        <v>0</v>
      </c>
      <c r="L1117" s="22">
        <v>0</v>
      </c>
      <c r="M1117" s="22">
        <v>0</v>
      </c>
      <c r="N1117" s="22">
        <v>0</v>
      </c>
      <c r="O1117" s="22"/>
      <c r="P1117" s="22">
        <v>41.5</v>
      </c>
      <c r="Q1117" s="22" t="str">
        <f t="shared" si="51"/>
        <v>Normal</v>
      </c>
      <c r="R1117" s="26" t="str">
        <f t="shared" si="52"/>
        <v>USR-10111645726TreatmentEastMobilePaid SearchFree110000041.5</v>
      </c>
      <c r="S1117" s="22" t="str">
        <f t="shared" si="53"/>
        <v>OK</v>
      </c>
    </row>
    <row r="1118" spans="1:19" ht="41.4">
      <c r="A1118" s="22" t="s">
        <v>1149</v>
      </c>
      <c r="B1118" s="25">
        <v>45683</v>
      </c>
      <c r="C1118" s="22" t="s">
        <v>723</v>
      </c>
      <c r="D1118" s="22" t="s">
        <v>23</v>
      </c>
      <c r="E1118" s="22" t="s">
        <v>24</v>
      </c>
      <c r="F1118" s="22" t="s">
        <v>25</v>
      </c>
      <c r="G1118" s="22" t="s">
        <v>21</v>
      </c>
      <c r="H1118" s="22">
        <v>1</v>
      </c>
      <c r="I1118" s="22">
        <v>1</v>
      </c>
      <c r="J1118" s="22">
        <v>1</v>
      </c>
      <c r="K1118" s="22">
        <v>0</v>
      </c>
      <c r="L1118" s="22">
        <v>0</v>
      </c>
      <c r="M1118" s="22">
        <v>3</v>
      </c>
      <c r="N1118" s="22">
        <v>0</v>
      </c>
      <c r="O1118" s="22"/>
      <c r="P1118" s="22">
        <v>30.6</v>
      </c>
      <c r="Q1118" s="22" t="str">
        <f t="shared" si="51"/>
        <v>Normal</v>
      </c>
      <c r="R1118" s="26" t="str">
        <f t="shared" si="52"/>
        <v>USR-10111745683TreatmentWestMobileOrganicBasic111003030.6</v>
      </c>
      <c r="S1118" s="22" t="str">
        <f t="shared" si="53"/>
        <v>OK</v>
      </c>
    </row>
    <row r="1119" spans="1:19" ht="41.4">
      <c r="A1119" s="22" t="s">
        <v>1150</v>
      </c>
      <c r="B1119" s="25">
        <v>45658</v>
      </c>
      <c r="C1119" s="22" t="s">
        <v>723</v>
      </c>
      <c r="D1119" s="22" t="s">
        <v>28</v>
      </c>
      <c r="E1119" s="22" t="s">
        <v>24</v>
      </c>
      <c r="F1119" s="22" t="s">
        <v>29</v>
      </c>
      <c r="G1119" s="22" t="s">
        <v>26</v>
      </c>
      <c r="H1119" s="22">
        <v>1</v>
      </c>
      <c r="I1119" s="22">
        <v>1</v>
      </c>
      <c r="J1119" s="22">
        <v>0</v>
      </c>
      <c r="K1119" s="22">
        <v>0</v>
      </c>
      <c r="L1119" s="22">
        <v>0</v>
      </c>
      <c r="M1119" s="22">
        <v>0</v>
      </c>
      <c r="N1119" s="22">
        <v>0</v>
      </c>
      <c r="O1119" s="22"/>
      <c r="P1119" s="22">
        <v>91.5</v>
      </c>
      <c r="Q1119" s="22" t="str">
        <f t="shared" si="51"/>
        <v>Normal</v>
      </c>
      <c r="R1119" s="26" t="str">
        <f t="shared" si="52"/>
        <v>USR-10111845658TreatmentEastMobilePaid SearchFree110000091.5</v>
      </c>
      <c r="S1119" s="22" t="str">
        <f t="shared" si="53"/>
        <v>OK</v>
      </c>
    </row>
    <row r="1120" spans="1:19" ht="41.4">
      <c r="A1120" s="22" t="s">
        <v>1151</v>
      </c>
      <c r="B1120" s="25">
        <v>45775</v>
      </c>
      <c r="C1120" s="22" t="s">
        <v>723</v>
      </c>
      <c r="D1120" s="22" t="s">
        <v>18</v>
      </c>
      <c r="E1120" s="22" t="s">
        <v>19</v>
      </c>
      <c r="F1120" s="22" t="s">
        <v>41</v>
      </c>
      <c r="G1120" s="22" t="s">
        <v>21</v>
      </c>
      <c r="H1120" s="22">
        <v>1</v>
      </c>
      <c r="I1120" s="22">
        <v>0</v>
      </c>
      <c r="J1120" s="22">
        <v>0</v>
      </c>
      <c r="K1120" s="22">
        <v>0</v>
      </c>
      <c r="L1120" s="22">
        <v>0</v>
      </c>
      <c r="M1120" s="22">
        <v>0</v>
      </c>
      <c r="N1120" s="22">
        <v>0</v>
      </c>
      <c r="O1120" s="22"/>
      <c r="P1120" s="22">
        <v>80.8</v>
      </c>
      <c r="Q1120" s="22" t="str">
        <f t="shared" si="51"/>
        <v>Normal</v>
      </c>
      <c r="R1120" s="26" t="str">
        <f t="shared" si="52"/>
        <v>USR-10111945775TreatmentNorthDesktopSocialBasic100000080.8</v>
      </c>
      <c r="S1120" s="22" t="str">
        <f t="shared" si="53"/>
        <v>OK</v>
      </c>
    </row>
    <row r="1121" spans="1:19" ht="41.4">
      <c r="A1121" s="22" t="s">
        <v>1152</v>
      </c>
      <c r="B1121" s="25">
        <v>45751</v>
      </c>
      <c r="C1121" s="22" t="s">
        <v>723</v>
      </c>
      <c r="D1121" s="22" t="s">
        <v>18</v>
      </c>
      <c r="E1121" s="22" t="s">
        <v>24</v>
      </c>
      <c r="F1121" s="22" t="s">
        <v>25</v>
      </c>
      <c r="G1121" s="22" t="s">
        <v>30</v>
      </c>
      <c r="H1121" s="22">
        <v>1</v>
      </c>
      <c r="I1121" s="22">
        <v>0</v>
      </c>
      <c r="J1121" s="22">
        <v>0</v>
      </c>
      <c r="K1121" s="22">
        <v>0</v>
      </c>
      <c r="L1121" s="22">
        <v>0</v>
      </c>
      <c r="M1121" s="22">
        <v>0</v>
      </c>
      <c r="N1121" s="22">
        <v>0</v>
      </c>
      <c r="O1121" s="22"/>
      <c r="P1121" s="22">
        <v>68.099999999999994</v>
      </c>
      <c r="Q1121" s="22" t="str">
        <f t="shared" si="51"/>
        <v>Normal</v>
      </c>
      <c r="R1121" s="26" t="str">
        <f t="shared" si="52"/>
        <v>USR-10112045751TreatmentNorthMobileOrganicPremium100000068.1</v>
      </c>
      <c r="S1121" s="22" t="str">
        <f t="shared" si="53"/>
        <v>OK</v>
      </c>
    </row>
    <row r="1122" spans="1:19" ht="41.4">
      <c r="A1122" s="22" t="s">
        <v>1153</v>
      </c>
      <c r="B1122" s="25">
        <v>45718</v>
      </c>
      <c r="C1122" s="22" t="s">
        <v>723</v>
      </c>
      <c r="D1122" s="22" t="s">
        <v>28</v>
      </c>
      <c r="E1122" s="22" t="s">
        <v>24</v>
      </c>
      <c r="F1122" s="22" t="s">
        <v>29</v>
      </c>
      <c r="G1122" s="22" t="s">
        <v>26</v>
      </c>
      <c r="H1122" s="22">
        <v>1</v>
      </c>
      <c r="I1122" s="22">
        <v>0</v>
      </c>
      <c r="J1122" s="22">
        <v>0</v>
      </c>
      <c r="K1122" s="22">
        <v>0</v>
      </c>
      <c r="L1122" s="22">
        <v>0</v>
      </c>
      <c r="M1122" s="22">
        <v>0</v>
      </c>
      <c r="N1122" s="22">
        <v>0</v>
      </c>
      <c r="O1122" s="22"/>
      <c r="P1122" s="22">
        <v>80.3</v>
      </c>
      <c r="Q1122" s="22" t="str">
        <f t="shared" si="51"/>
        <v>Normal</v>
      </c>
      <c r="R1122" s="26" t="str">
        <f t="shared" si="52"/>
        <v>USR-10112145718TreatmentEastMobilePaid SearchFree100000080.3</v>
      </c>
      <c r="S1122" s="22" t="str">
        <f t="shared" si="53"/>
        <v>OK</v>
      </c>
    </row>
    <row r="1123" spans="1:19" ht="41.4">
      <c r="A1123" s="22" t="s">
        <v>1154</v>
      </c>
      <c r="B1123" s="25">
        <v>45735</v>
      </c>
      <c r="C1123" s="22" t="s">
        <v>723</v>
      </c>
      <c r="D1123" s="22" t="s">
        <v>32</v>
      </c>
      <c r="E1123" s="22" t="s">
        <v>34</v>
      </c>
      <c r="F1123" s="22" t="s">
        <v>25</v>
      </c>
      <c r="G1123" s="22" t="s">
        <v>21</v>
      </c>
      <c r="H1123" s="22">
        <v>1</v>
      </c>
      <c r="I1123" s="22">
        <v>0</v>
      </c>
      <c r="J1123" s="22">
        <v>0</v>
      </c>
      <c r="K1123" s="22">
        <v>0</v>
      </c>
      <c r="L1123" s="22">
        <v>0</v>
      </c>
      <c r="M1123" s="22">
        <v>0</v>
      </c>
      <c r="N1123" s="22">
        <v>0</v>
      </c>
      <c r="O1123" s="22"/>
      <c r="P1123" s="22">
        <v>44.4</v>
      </c>
      <c r="Q1123" s="22" t="str">
        <f t="shared" si="51"/>
        <v>Normal</v>
      </c>
      <c r="R1123" s="26" t="str">
        <f t="shared" si="52"/>
        <v>USR-10112245735TreatmentSouthTabletOrganicBasic100000044.4</v>
      </c>
      <c r="S1123" s="22" t="str">
        <f t="shared" si="53"/>
        <v>OK</v>
      </c>
    </row>
    <row r="1124" spans="1:19" ht="41.4">
      <c r="A1124" s="22" t="s">
        <v>1155</v>
      </c>
      <c r="B1124" s="25">
        <v>45677</v>
      </c>
      <c r="C1124" s="22" t="s">
        <v>723</v>
      </c>
      <c r="D1124" s="22" t="s">
        <v>32</v>
      </c>
      <c r="E1124" s="22" t="s">
        <v>19</v>
      </c>
      <c r="F1124" s="22" t="s">
        <v>25</v>
      </c>
      <c r="G1124" s="22" t="s">
        <v>21</v>
      </c>
      <c r="H1124" s="22">
        <v>0</v>
      </c>
      <c r="I1124" s="22">
        <v>0</v>
      </c>
      <c r="J1124" s="22">
        <v>0</v>
      </c>
      <c r="K1124" s="22">
        <v>0</v>
      </c>
      <c r="L1124" s="22">
        <v>0</v>
      </c>
      <c r="M1124" s="22">
        <v>0</v>
      </c>
      <c r="N1124" s="22">
        <v>0</v>
      </c>
      <c r="O1124" s="22"/>
      <c r="P1124" s="22">
        <v>51.9</v>
      </c>
      <c r="Q1124" s="22" t="str">
        <f t="shared" si="51"/>
        <v>Normal</v>
      </c>
      <c r="R1124" s="26" t="str">
        <f t="shared" si="52"/>
        <v>USR-10112345677TreatmentSouthDesktopOrganicBasic000000051.9</v>
      </c>
      <c r="S1124" s="22" t="str">
        <f t="shared" si="53"/>
        <v>OK</v>
      </c>
    </row>
    <row r="1125" spans="1:19" ht="41.4">
      <c r="A1125" s="22" t="s">
        <v>1156</v>
      </c>
      <c r="B1125" s="25">
        <v>45750</v>
      </c>
      <c r="C1125" s="22" t="s">
        <v>723</v>
      </c>
      <c r="D1125" s="22" t="s">
        <v>28</v>
      </c>
      <c r="E1125" s="22" t="s">
        <v>24</v>
      </c>
      <c r="F1125" s="22" t="s">
        <v>29</v>
      </c>
      <c r="G1125" s="22" t="s">
        <v>26</v>
      </c>
      <c r="H1125" s="22">
        <v>1</v>
      </c>
      <c r="I1125" s="22">
        <v>1</v>
      </c>
      <c r="J1125" s="22">
        <v>0</v>
      </c>
      <c r="K1125" s="22">
        <v>0</v>
      </c>
      <c r="L1125" s="22">
        <v>0</v>
      </c>
      <c r="M1125" s="22">
        <v>0</v>
      </c>
      <c r="N1125" s="22">
        <v>0</v>
      </c>
      <c r="O1125" s="22"/>
      <c r="P1125" s="22">
        <v>49.8</v>
      </c>
      <c r="Q1125" s="22" t="str">
        <f t="shared" si="51"/>
        <v>Normal</v>
      </c>
      <c r="R1125" s="26" t="str">
        <f t="shared" si="52"/>
        <v>USR-10112445750TreatmentEastMobilePaid SearchFree110000049.8</v>
      </c>
      <c r="S1125" s="22" t="str">
        <f t="shared" si="53"/>
        <v>OK</v>
      </c>
    </row>
    <row r="1126" spans="1:19" ht="41.4">
      <c r="A1126" s="22" t="s">
        <v>1157</v>
      </c>
      <c r="B1126" s="25">
        <v>45668</v>
      </c>
      <c r="C1126" s="22" t="s">
        <v>723</v>
      </c>
      <c r="D1126" s="22" t="s">
        <v>28</v>
      </c>
      <c r="E1126" s="22" t="s">
        <v>19</v>
      </c>
      <c r="F1126" s="22" t="s">
        <v>41</v>
      </c>
      <c r="G1126" s="22" t="s">
        <v>26</v>
      </c>
      <c r="H1126" s="22">
        <v>1</v>
      </c>
      <c r="I1126" s="22">
        <v>1</v>
      </c>
      <c r="J1126" s="22">
        <v>1</v>
      </c>
      <c r="K1126" s="22">
        <v>0</v>
      </c>
      <c r="L1126" s="22">
        <v>0</v>
      </c>
      <c r="M1126" s="22">
        <v>3</v>
      </c>
      <c r="N1126" s="22">
        <v>0</v>
      </c>
      <c r="O1126" s="22"/>
      <c r="P1126" s="22">
        <v>62.1</v>
      </c>
      <c r="Q1126" s="22" t="str">
        <f t="shared" si="51"/>
        <v>Normal</v>
      </c>
      <c r="R1126" s="26" t="str">
        <f t="shared" si="52"/>
        <v>USR-10112545668TreatmentEastDesktopSocialFree111003062.1</v>
      </c>
      <c r="S1126" s="22" t="str">
        <f t="shared" si="53"/>
        <v>OK</v>
      </c>
    </row>
    <row r="1127" spans="1:19" ht="41.4">
      <c r="A1127" s="22" t="s">
        <v>1158</v>
      </c>
      <c r="B1127" s="25">
        <v>45690</v>
      </c>
      <c r="C1127" s="22" t="s">
        <v>723</v>
      </c>
      <c r="D1127" s="22" t="s">
        <v>23</v>
      </c>
      <c r="E1127" s="22" t="s">
        <v>19</v>
      </c>
      <c r="F1127" s="22" t="s">
        <v>41</v>
      </c>
      <c r="G1127" s="22" t="s">
        <v>21</v>
      </c>
      <c r="H1127" s="22">
        <v>1</v>
      </c>
      <c r="I1127" s="22">
        <v>0</v>
      </c>
      <c r="J1127" s="22">
        <v>0</v>
      </c>
      <c r="K1127" s="22">
        <v>0</v>
      </c>
      <c r="L1127" s="22">
        <v>0</v>
      </c>
      <c r="M1127" s="22">
        <v>0</v>
      </c>
      <c r="N1127" s="22">
        <v>0</v>
      </c>
      <c r="O1127" s="22"/>
      <c r="P1127" s="22">
        <v>91.3</v>
      </c>
      <c r="Q1127" s="22" t="str">
        <f t="shared" si="51"/>
        <v>Normal</v>
      </c>
      <c r="R1127" s="26" t="str">
        <f t="shared" si="52"/>
        <v>USR-10112645690TreatmentWestDesktopSocialBasic100000091.3</v>
      </c>
      <c r="S1127" s="22" t="str">
        <f t="shared" si="53"/>
        <v>OK</v>
      </c>
    </row>
    <row r="1128" spans="1:19" ht="41.4">
      <c r="A1128" s="22" t="s">
        <v>1159</v>
      </c>
      <c r="B1128" s="25">
        <v>45748</v>
      </c>
      <c r="C1128" s="22" t="s">
        <v>723</v>
      </c>
      <c r="D1128" s="22" t="s">
        <v>32</v>
      </c>
      <c r="E1128" s="22" t="s">
        <v>24</v>
      </c>
      <c r="F1128" s="22" t="s">
        <v>25</v>
      </c>
      <c r="G1128" s="22" t="s">
        <v>21</v>
      </c>
      <c r="H1128" s="22">
        <v>1</v>
      </c>
      <c r="I1128" s="22">
        <v>0</v>
      </c>
      <c r="J1128" s="22">
        <v>0</v>
      </c>
      <c r="K1128" s="22">
        <v>0</v>
      </c>
      <c r="L1128" s="22">
        <v>0</v>
      </c>
      <c r="M1128" s="22">
        <v>0</v>
      </c>
      <c r="N1128" s="22">
        <v>0</v>
      </c>
      <c r="O1128" s="22"/>
      <c r="P1128" s="22">
        <v>66.400000000000006</v>
      </c>
      <c r="Q1128" s="22" t="str">
        <f t="shared" si="51"/>
        <v>Normal</v>
      </c>
      <c r="R1128" s="26" t="str">
        <f t="shared" si="52"/>
        <v>USR-10112745748TreatmentSouthMobileOrganicBasic100000066.4</v>
      </c>
      <c r="S1128" s="22" t="str">
        <f t="shared" si="53"/>
        <v>OK</v>
      </c>
    </row>
    <row r="1129" spans="1:19" ht="41.4">
      <c r="A1129" s="22" t="s">
        <v>1160</v>
      </c>
      <c r="B1129" s="25">
        <v>45799</v>
      </c>
      <c r="C1129" s="22" t="s">
        <v>723</v>
      </c>
      <c r="D1129" s="22" t="s">
        <v>28</v>
      </c>
      <c r="E1129" s="22" t="s">
        <v>24</v>
      </c>
      <c r="F1129" s="22" t="s">
        <v>25</v>
      </c>
      <c r="G1129" s="22" t="s">
        <v>21</v>
      </c>
      <c r="H1129" s="22">
        <v>1</v>
      </c>
      <c r="I1129" s="22">
        <v>0</v>
      </c>
      <c r="J1129" s="22">
        <v>0</v>
      </c>
      <c r="K1129" s="22">
        <v>0</v>
      </c>
      <c r="L1129" s="22">
        <v>0</v>
      </c>
      <c r="M1129" s="22">
        <v>0</v>
      </c>
      <c r="N1129" s="22">
        <v>0</v>
      </c>
      <c r="O1129" s="22"/>
      <c r="P1129" s="22">
        <v>41.5</v>
      </c>
      <c r="Q1129" s="22" t="str">
        <f t="shared" si="51"/>
        <v>Normal</v>
      </c>
      <c r="R1129" s="26" t="str">
        <f t="shared" si="52"/>
        <v>USR-10112845799TreatmentEastMobileOrganicBasic100000041.5</v>
      </c>
      <c r="S1129" s="22" t="str">
        <f t="shared" si="53"/>
        <v>OK</v>
      </c>
    </row>
    <row r="1130" spans="1:19" ht="41.4">
      <c r="A1130" s="22" t="s">
        <v>1161</v>
      </c>
      <c r="B1130" s="25">
        <v>45708</v>
      </c>
      <c r="C1130" s="22" t="s">
        <v>723</v>
      </c>
      <c r="D1130" s="22" t="s">
        <v>23</v>
      </c>
      <c r="E1130" s="22" t="s">
        <v>24</v>
      </c>
      <c r="F1130" s="22" t="s">
        <v>25</v>
      </c>
      <c r="G1130" s="22" t="s">
        <v>21</v>
      </c>
      <c r="H1130" s="22">
        <v>0</v>
      </c>
      <c r="I1130" s="22">
        <v>0</v>
      </c>
      <c r="J1130" s="22">
        <v>0</v>
      </c>
      <c r="K1130" s="22">
        <v>0</v>
      </c>
      <c r="L1130" s="22">
        <v>0</v>
      </c>
      <c r="M1130" s="22">
        <v>0</v>
      </c>
      <c r="N1130" s="22">
        <v>0</v>
      </c>
      <c r="O1130" s="22"/>
      <c r="P1130" s="22">
        <v>77.099999999999994</v>
      </c>
      <c r="Q1130" s="22" t="str">
        <f t="shared" si="51"/>
        <v>Normal</v>
      </c>
      <c r="R1130" s="26" t="str">
        <f t="shared" si="52"/>
        <v>USR-10112945708TreatmentWestMobileOrganicBasic000000077.1</v>
      </c>
      <c r="S1130" s="22" t="str">
        <f t="shared" si="53"/>
        <v>OK</v>
      </c>
    </row>
    <row r="1131" spans="1:19" ht="41.4">
      <c r="A1131" s="22" t="s">
        <v>1162</v>
      </c>
      <c r="B1131" s="25">
        <v>45737</v>
      </c>
      <c r="C1131" s="22" t="s">
        <v>723</v>
      </c>
      <c r="D1131" s="22" t="s">
        <v>23</v>
      </c>
      <c r="E1131" s="22" t="s">
        <v>24</v>
      </c>
      <c r="F1131" s="22" t="s">
        <v>25</v>
      </c>
      <c r="G1131" s="22" t="s">
        <v>26</v>
      </c>
      <c r="H1131" s="22">
        <v>1</v>
      </c>
      <c r="I1131" s="22">
        <v>0</v>
      </c>
      <c r="J1131" s="22">
        <v>0</v>
      </c>
      <c r="K1131" s="22">
        <v>0</v>
      </c>
      <c r="L1131" s="22">
        <v>0</v>
      </c>
      <c r="M1131" s="22">
        <v>0</v>
      </c>
      <c r="N1131" s="22">
        <v>0</v>
      </c>
      <c r="O1131" s="22"/>
      <c r="P1131" s="22">
        <v>63.2</v>
      </c>
      <c r="Q1131" s="22" t="str">
        <f t="shared" si="51"/>
        <v>Normal</v>
      </c>
      <c r="R1131" s="26" t="str">
        <f t="shared" si="52"/>
        <v>USR-10113045737TreatmentWestMobileOrganicFree100000063.2</v>
      </c>
      <c r="S1131" s="22" t="str">
        <f t="shared" si="53"/>
        <v>OK</v>
      </c>
    </row>
    <row r="1132" spans="1:19" ht="41.4">
      <c r="A1132" s="22" t="s">
        <v>1163</v>
      </c>
      <c r="B1132" s="25">
        <v>45778</v>
      </c>
      <c r="C1132" s="22" t="s">
        <v>723</v>
      </c>
      <c r="D1132" s="22" t="s">
        <v>23</v>
      </c>
      <c r="E1132" s="22" t="s">
        <v>19</v>
      </c>
      <c r="F1132" s="22" t="s">
        <v>39</v>
      </c>
      <c r="G1132" s="22" t="s">
        <v>26</v>
      </c>
      <c r="H1132" s="22">
        <v>1</v>
      </c>
      <c r="I1132" s="22">
        <v>1</v>
      </c>
      <c r="J1132" s="22">
        <v>1</v>
      </c>
      <c r="K1132" s="22">
        <v>0</v>
      </c>
      <c r="L1132" s="22">
        <v>0</v>
      </c>
      <c r="M1132" s="22">
        <v>3</v>
      </c>
      <c r="N1132" s="22">
        <v>0</v>
      </c>
      <c r="O1132" s="22"/>
      <c r="P1132" s="22">
        <v>75.7</v>
      </c>
      <c r="Q1132" s="22" t="str">
        <f t="shared" si="51"/>
        <v>Normal</v>
      </c>
      <c r="R1132" s="26" t="str">
        <f t="shared" si="52"/>
        <v>USR-10113145778TreatmentWestDesktopReferralFree111003075.7</v>
      </c>
      <c r="S1132" s="22" t="str">
        <f t="shared" si="53"/>
        <v>OK</v>
      </c>
    </row>
    <row r="1133" spans="1:19" ht="41.4">
      <c r="A1133" s="22" t="s">
        <v>1164</v>
      </c>
      <c r="B1133" s="25">
        <v>45663</v>
      </c>
      <c r="C1133" s="22" t="s">
        <v>723</v>
      </c>
      <c r="D1133" s="22" t="s">
        <v>23</v>
      </c>
      <c r="E1133" s="22" t="s">
        <v>24</v>
      </c>
      <c r="F1133" s="22" t="s">
        <v>29</v>
      </c>
      <c r="G1133" s="22" t="s">
        <v>21</v>
      </c>
      <c r="H1133" s="22">
        <v>0</v>
      </c>
      <c r="I1133" s="22">
        <v>0</v>
      </c>
      <c r="J1133" s="22">
        <v>0</v>
      </c>
      <c r="K1133" s="22">
        <v>0</v>
      </c>
      <c r="L1133" s="22">
        <v>0</v>
      </c>
      <c r="M1133" s="22">
        <v>0</v>
      </c>
      <c r="N1133" s="22">
        <v>0</v>
      </c>
      <c r="O1133" s="22"/>
      <c r="P1133" s="22">
        <v>62.9</v>
      </c>
      <c r="Q1133" s="22" t="str">
        <f t="shared" si="51"/>
        <v>Normal</v>
      </c>
      <c r="R1133" s="26" t="str">
        <f t="shared" si="52"/>
        <v>USR-10113245663TreatmentWestMobilePaid SearchBasic000000062.9</v>
      </c>
      <c r="S1133" s="22" t="str">
        <f t="shared" si="53"/>
        <v>OK</v>
      </c>
    </row>
    <row r="1134" spans="1:19" ht="55.2">
      <c r="A1134" s="22" t="s">
        <v>1165</v>
      </c>
      <c r="B1134" s="25">
        <v>45759</v>
      </c>
      <c r="C1134" s="22" t="s">
        <v>723</v>
      </c>
      <c r="D1134" s="22" t="s">
        <v>18</v>
      </c>
      <c r="E1134" s="22" t="s">
        <v>19</v>
      </c>
      <c r="F1134" s="22" t="s">
        <v>29</v>
      </c>
      <c r="G1134" s="22" t="s">
        <v>30</v>
      </c>
      <c r="H1134" s="22">
        <v>1</v>
      </c>
      <c r="I1134" s="22">
        <v>0</v>
      </c>
      <c r="J1134" s="22">
        <v>0</v>
      </c>
      <c r="K1134" s="22">
        <v>0</v>
      </c>
      <c r="L1134" s="22">
        <v>0</v>
      </c>
      <c r="M1134" s="22">
        <v>3</v>
      </c>
      <c r="N1134" s="22">
        <v>0</v>
      </c>
      <c r="O1134" s="22"/>
      <c r="P1134" s="22">
        <v>64.599999999999994</v>
      </c>
      <c r="Q1134" s="22" t="str">
        <f t="shared" si="51"/>
        <v>Normal</v>
      </c>
      <c r="R1134" s="26" t="str">
        <f t="shared" si="52"/>
        <v>USR-10113345759TreatmentNorthDesktopPaid SearchPremium100003064.6</v>
      </c>
      <c r="S1134" s="22" t="str">
        <f t="shared" si="53"/>
        <v>OK</v>
      </c>
    </row>
    <row r="1135" spans="1:19" ht="41.4">
      <c r="A1135" s="22" t="s">
        <v>1166</v>
      </c>
      <c r="B1135" s="25">
        <v>45765</v>
      </c>
      <c r="C1135" s="22" t="s">
        <v>723</v>
      </c>
      <c r="D1135" s="22" t="s">
        <v>18</v>
      </c>
      <c r="E1135" s="22" t="s">
        <v>24</v>
      </c>
      <c r="F1135" s="22"/>
      <c r="G1135" s="22" t="s">
        <v>21</v>
      </c>
      <c r="H1135" s="22">
        <v>1</v>
      </c>
      <c r="I1135" s="22">
        <v>0</v>
      </c>
      <c r="J1135" s="22">
        <v>0</v>
      </c>
      <c r="K1135" s="22">
        <v>0</v>
      </c>
      <c r="L1135" s="22">
        <v>0</v>
      </c>
      <c r="M1135" s="22">
        <v>0</v>
      </c>
      <c r="N1135" s="22">
        <v>0</v>
      </c>
      <c r="O1135" s="22"/>
      <c r="P1135" s="22">
        <v>76.599999999999994</v>
      </c>
      <c r="Q1135" s="22" t="str">
        <f t="shared" si="51"/>
        <v>Normal</v>
      </c>
      <c r="R1135" s="26" t="str">
        <f t="shared" si="52"/>
        <v>USR-10113445765TreatmentNorthMobileBasic100000076.6</v>
      </c>
      <c r="S1135" s="22" t="str">
        <f t="shared" si="53"/>
        <v>OK</v>
      </c>
    </row>
    <row r="1136" spans="1:19" ht="41.4">
      <c r="A1136" s="22" t="s">
        <v>1167</v>
      </c>
      <c r="B1136" s="25">
        <v>45740</v>
      </c>
      <c r="C1136" s="22" t="s">
        <v>723</v>
      </c>
      <c r="D1136" s="22" t="s">
        <v>28</v>
      </c>
      <c r="E1136" s="22" t="s">
        <v>24</v>
      </c>
      <c r="F1136" s="22" t="s">
        <v>41</v>
      </c>
      <c r="G1136" s="22" t="s">
        <v>21</v>
      </c>
      <c r="H1136" s="22">
        <v>1</v>
      </c>
      <c r="I1136" s="22">
        <v>0</v>
      </c>
      <c r="J1136" s="22">
        <v>0</v>
      </c>
      <c r="K1136" s="22">
        <v>0</v>
      </c>
      <c r="L1136" s="22">
        <v>0</v>
      </c>
      <c r="M1136" s="22">
        <v>0</v>
      </c>
      <c r="N1136" s="22">
        <v>0</v>
      </c>
      <c r="O1136" s="22"/>
      <c r="P1136" s="22">
        <v>74.8</v>
      </c>
      <c r="Q1136" s="22" t="str">
        <f t="shared" si="51"/>
        <v>Normal</v>
      </c>
      <c r="R1136" s="26" t="str">
        <f t="shared" si="52"/>
        <v>USR-10113545740TreatmentEastMobileSocialBasic100000074.8</v>
      </c>
      <c r="S1136" s="22" t="str">
        <f t="shared" si="53"/>
        <v>OK</v>
      </c>
    </row>
    <row r="1137" spans="1:19" ht="41.4">
      <c r="A1137" s="22" t="s">
        <v>1168</v>
      </c>
      <c r="B1137" s="25">
        <v>45734</v>
      </c>
      <c r="C1137" s="22" t="s">
        <v>723</v>
      </c>
      <c r="D1137" s="22" t="s">
        <v>28</v>
      </c>
      <c r="E1137" s="22" t="s">
        <v>19</v>
      </c>
      <c r="F1137" s="22" t="s">
        <v>20</v>
      </c>
      <c r="G1137" s="22" t="s">
        <v>30</v>
      </c>
      <c r="H1137" s="22">
        <v>1</v>
      </c>
      <c r="I1137" s="22">
        <v>0</v>
      </c>
      <c r="J1137" s="22">
        <v>0</v>
      </c>
      <c r="K1137" s="22">
        <v>0</v>
      </c>
      <c r="L1137" s="22">
        <v>0</v>
      </c>
      <c r="M1137" s="22">
        <v>2</v>
      </c>
      <c r="N1137" s="22">
        <v>0</v>
      </c>
      <c r="O1137" s="22"/>
      <c r="P1137" s="22">
        <v>38.1</v>
      </c>
      <c r="Q1137" s="22" t="str">
        <f t="shared" si="51"/>
        <v>Normal</v>
      </c>
      <c r="R1137" s="26" t="str">
        <f t="shared" si="52"/>
        <v>USR-10113645734TreatmentEastDesktopEmailPremium100002038.1</v>
      </c>
      <c r="S1137" s="22" t="str">
        <f t="shared" si="53"/>
        <v>OK</v>
      </c>
    </row>
    <row r="1138" spans="1:19" ht="41.4">
      <c r="A1138" s="22" t="s">
        <v>1169</v>
      </c>
      <c r="B1138" s="25">
        <v>45777</v>
      </c>
      <c r="C1138" s="22" t="s">
        <v>723</v>
      </c>
      <c r="D1138" s="22" t="s">
        <v>32</v>
      </c>
      <c r="E1138" s="22" t="s">
        <v>34</v>
      </c>
      <c r="F1138" s="22" t="s">
        <v>29</v>
      </c>
      <c r="G1138" s="22" t="s">
        <v>21</v>
      </c>
      <c r="H1138" s="22">
        <v>1</v>
      </c>
      <c r="I1138" s="22">
        <v>1</v>
      </c>
      <c r="J1138" s="22">
        <v>0</v>
      </c>
      <c r="K1138" s="22">
        <v>0</v>
      </c>
      <c r="L1138" s="22">
        <v>0</v>
      </c>
      <c r="M1138" s="22">
        <v>0</v>
      </c>
      <c r="N1138" s="22">
        <v>0</v>
      </c>
      <c r="O1138" s="22"/>
      <c r="P1138" s="22">
        <v>60.2</v>
      </c>
      <c r="Q1138" s="22" t="str">
        <f t="shared" si="51"/>
        <v>Normal</v>
      </c>
      <c r="R1138" s="26" t="str">
        <f t="shared" si="52"/>
        <v>USR-10113745777TreatmentSouthTabletPaid SearchBasic110000060.2</v>
      </c>
      <c r="S1138" s="22" t="str">
        <f t="shared" si="53"/>
        <v>OK</v>
      </c>
    </row>
    <row r="1139" spans="1:19" ht="41.4">
      <c r="A1139" s="22" t="s">
        <v>1170</v>
      </c>
      <c r="B1139" s="25">
        <v>45682</v>
      </c>
      <c r="C1139" s="22" t="s">
        <v>723</v>
      </c>
      <c r="D1139" s="22" t="s">
        <v>23</v>
      </c>
      <c r="E1139" s="22" t="s">
        <v>24</v>
      </c>
      <c r="F1139" s="22" t="s">
        <v>20</v>
      </c>
      <c r="G1139" s="22" t="s">
        <v>26</v>
      </c>
      <c r="H1139" s="22">
        <v>1</v>
      </c>
      <c r="I1139" s="22">
        <v>1</v>
      </c>
      <c r="J1139" s="22">
        <v>0</v>
      </c>
      <c r="K1139" s="22">
        <v>0</v>
      </c>
      <c r="L1139" s="22">
        <v>0</v>
      </c>
      <c r="M1139" s="22">
        <v>0</v>
      </c>
      <c r="N1139" s="22">
        <v>0</v>
      </c>
      <c r="O1139" s="22"/>
      <c r="P1139" s="22">
        <v>73.5</v>
      </c>
      <c r="Q1139" s="22" t="str">
        <f t="shared" si="51"/>
        <v>Normal</v>
      </c>
      <c r="R1139" s="26" t="str">
        <f t="shared" si="52"/>
        <v>USR-10113845682TreatmentWestMobileEmailFree110000073.5</v>
      </c>
      <c r="S1139" s="22" t="str">
        <f t="shared" si="53"/>
        <v>OK</v>
      </c>
    </row>
    <row r="1140" spans="1:19" ht="41.4">
      <c r="A1140" s="22" t="s">
        <v>1171</v>
      </c>
      <c r="B1140" s="25">
        <v>45757</v>
      </c>
      <c r="C1140" s="22" t="s">
        <v>723</v>
      </c>
      <c r="D1140" s="22" t="s">
        <v>32</v>
      </c>
      <c r="E1140" s="22" t="s">
        <v>24</v>
      </c>
      <c r="F1140" s="22" t="s">
        <v>25</v>
      </c>
      <c r="G1140" s="22" t="s">
        <v>26</v>
      </c>
      <c r="H1140" s="22">
        <v>1</v>
      </c>
      <c r="I1140" s="22">
        <v>0</v>
      </c>
      <c r="J1140" s="22">
        <v>0</v>
      </c>
      <c r="K1140" s="22">
        <v>0</v>
      </c>
      <c r="L1140" s="22">
        <v>0</v>
      </c>
      <c r="M1140" s="22">
        <v>0</v>
      </c>
      <c r="N1140" s="22">
        <v>0</v>
      </c>
      <c r="O1140" s="22"/>
      <c r="P1140" s="22">
        <v>70.900000000000006</v>
      </c>
      <c r="Q1140" s="22" t="str">
        <f t="shared" si="51"/>
        <v>Normal</v>
      </c>
      <c r="R1140" s="26" t="str">
        <f t="shared" si="52"/>
        <v>USR-10113945757TreatmentSouthMobileOrganicFree100000070.9</v>
      </c>
      <c r="S1140" s="22" t="str">
        <f t="shared" si="53"/>
        <v>OK</v>
      </c>
    </row>
    <row r="1141" spans="1:19" ht="41.4">
      <c r="A1141" s="22" t="s">
        <v>1172</v>
      </c>
      <c r="B1141" s="25">
        <v>45667</v>
      </c>
      <c r="C1141" s="22" t="s">
        <v>723</v>
      </c>
      <c r="D1141" s="22" t="s">
        <v>23</v>
      </c>
      <c r="E1141" s="22" t="s">
        <v>24</v>
      </c>
      <c r="F1141" s="22" t="s">
        <v>41</v>
      </c>
      <c r="G1141" s="22" t="s">
        <v>26</v>
      </c>
      <c r="H1141" s="22">
        <v>1</v>
      </c>
      <c r="I1141" s="22">
        <v>0</v>
      </c>
      <c r="J1141" s="22">
        <v>0</v>
      </c>
      <c r="K1141" s="22">
        <v>0</v>
      </c>
      <c r="L1141" s="22">
        <v>0</v>
      </c>
      <c r="M1141" s="22">
        <v>0</v>
      </c>
      <c r="N1141" s="22">
        <v>0</v>
      </c>
      <c r="O1141" s="22"/>
      <c r="P1141" s="22">
        <v>63.7</v>
      </c>
      <c r="Q1141" s="22" t="str">
        <f t="shared" si="51"/>
        <v>Normal</v>
      </c>
      <c r="R1141" s="26" t="str">
        <f t="shared" si="52"/>
        <v>USR-10114045667TreatmentWestMobileSocialFree100000063.7</v>
      </c>
      <c r="S1141" s="22" t="str">
        <f t="shared" si="53"/>
        <v>OK</v>
      </c>
    </row>
    <row r="1142" spans="1:19" ht="41.4">
      <c r="A1142" s="22" t="s">
        <v>1173</v>
      </c>
      <c r="B1142" s="25">
        <v>45699</v>
      </c>
      <c r="C1142" s="22" t="s">
        <v>723</v>
      </c>
      <c r="D1142" s="22" t="s">
        <v>32</v>
      </c>
      <c r="E1142" s="22" t="s">
        <v>24</v>
      </c>
      <c r="F1142" s="22" t="s">
        <v>29</v>
      </c>
      <c r="G1142" s="22" t="s">
        <v>26</v>
      </c>
      <c r="H1142" s="22">
        <v>1</v>
      </c>
      <c r="I1142" s="22">
        <v>0</v>
      </c>
      <c r="J1142" s="22">
        <v>0</v>
      </c>
      <c r="K1142" s="22">
        <v>0</v>
      </c>
      <c r="L1142" s="22">
        <v>0</v>
      </c>
      <c r="M1142" s="22">
        <v>0</v>
      </c>
      <c r="N1142" s="22">
        <v>0</v>
      </c>
      <c r="O1142" s="22"/>
      <c r="P1142" s="22">
        <v>86.5</v>
      </c>
      <c r="Q1142" s="22" t="str">
        <f t="shared" si="51"/>
        <v>Normal</v>
      </c>
      <c r="R1142" s="26" t="str">
        <f t="shared" si="52"/>
        <v>USR-10114145699TreatmentSouthMobilePaid SearchFree100000086.5</v>
      </c>
      <c r="S1142" s="22" t="str">
        <f t="shared" si="53"/>
        <v>OK</v>
      </c>
    </row>
    <row r="1143" spans="1:19" ht="41.4">
      <c r="A1143" s="22" t="s">
        <v>1174</v>
      </c>
      <c r="B1143" s="25">
        <v>45778</v>
      </c>
      <c r="C1143" s="22" t="s">
        <v>723</v>
      </c>
      <c r="D1143" s="22" t="s">
        <v>28</v>
      </c>
      <c r="E1143" s="22" t="s">
        <v>24</v>
      </c>
      <c r="F1143" s="22" t="s">
        <v>41</v>
      </c>
      <c r="G1143" s="22" t="s">
        <v>21</v>
      </c>
      <c r="H1143" s="22">
        <v>1</v>
      </c>
      <c r="I1143" s="22">
        <v>1</v>
      </c>
      <c r="J1143" s="22">
        <v>1</v>
      </c>
      <c r="K1143" s="22">
        <v>1</v>
      </c>
      <c r="L1143" s="22">
        <v>921.72</v>
      </c>
      <c r="M1143" s="22">
        <v>3</v>
      </c>
      <c r="N1143" s="22">
        <v>0</v>
      </c>
      <c r="O1143" s="22">
        <v>7</v>
      </c>
      <c r="P1143" s="22">
        <v>74.599999999999994</v>
      </c>
      <c r="Q1143" s="22" t="str">
        <f t="shared" si="51"/>
        <v>Normal</v>
      </c>
      <c r="R1143" s="26" t="str">
        <f t="shared" si="52"/>
        <v>USR-10114245778TreatmentEastMobileSocialBasic1111921.7230774.6</v>
      </c>
      <c r="S1143" s="22" t="str">
        <f t="shared" si="53"/>
        <v>OK</v>
      </c>
    </row>
    <row r="1144" spans="1:19" ht="41.4">
      <c r="A1144" s="22" t="s">
        <v>1175</v>
      </c>
      <c r="B1144" s="25">
        <v>45675</v>
      </c>
      <c r="C1144" s="22" t="s">
        <v>723</v>
      </c>
      <c r="D1144" s="22" t="s">
        <v>28</v>
      </c>
      <c r="E1144" s="22" t="s">
        <v>24</v>
      </c>
      <c r="F1144" s="22" t="s">
        <v>25</v>
      </c>
      <c r="G1144" s="22" t="s">
        <v>26</v>
      </c>
      <c r="H1144" s="22">
        <v>1</v>
      </c>
      <c r="I1144" s="22">
        <v>0</v>
      </c>
      <c r="J1144" s="22">
        <v>0</v>
      </c>
      <c r="K1144" s="22">
        <v>0</v>
      </c>
      <c r="L1144" s="22">
        <v>0</v>
      </c>
      <c r="M1144" s="22">
        <v>0</v>
      </c>
      <c r="N1144" s="22">
        <v>0</v>
      </c>
      <c r="O1144" s="22"/>
      <c r="P1144" s="22">
        <v>46.6</v>
      </c>
      <c r="Q1144" s="22" t="str">
        <f t="shared" si="51"/>
        <v>Normal</v>
      </c>
      <c r="R1144" s="26" t="str">
        <f t="shared" si="52"/>
        <v>USR-10114345675TreatmentEastMobileOrganicFree100000046.6</v>
      </c>
      <c r="S1144" s="22" t="str">
        <f t="shared" si="53"/>
        <v>OK</v>
      </c>
    </row>
    <row r="1145" spans="1:19" ht="41.4">
      <c r="A1145" s="22" t="s">
        <v>1176</v>
      </c>
      <c r="B1145" s="25">
        <v>45659</v>
      </c>
      <c r="C1145" s="22" t="s">
        <v>723</v>
      </c>
      <c r="D1145" s="22" t="s">
        <v>18</v>
      </c>
      <c r="E1145" s="22" t="s">
        <v>24</v>
      </c>
      <c r="F1145" s="22" t="s">
        <v>29</v>
      </c>
      <c r="G1145" s="22" t="s">
        <v>26</v>
      </c>
      <c r="H1145" s="22">
        <v>0</v>
      </c>
      <c r="I1145" s="22">
        <v>0</v>
      </c>
      <c r="J1145" s="22">
        <v>0</v>
      </c>
      <c r="K1145" s="22">
        <v>0</v>
      </c>
      <c r="L1145" s="22">
        <v>0</v>
      </c>
      <c r="M1145" s="22">
        <v>0</v>
      </c>
      <c r="N1145" s="22">
        <v>0</v>
      </c>
      <c r="O1145" s="22"/>
      <c r="P1145" s="22">
        <v>61.2</v>
      </c>
      <c r="Q1145" s="22" t="str">
        <f t="shared" si="51"/>
        <v>Normal</v>
      </c>
      <c r="R1145" s="26" t="str">
        <f t="shared" si="52"/>
        <v>USR-10114445659TreatmentNorthMobilePaid SearchFree000000061.2</v>
      </c>
      <c r="S1145" s="22" t="str">
        <f t="shared" si="53"/>
        <v>OK</v>
      </c>
    </row>
    <row r="1146" spans="1:19" ht="41.4">
      <c r="A1146" s="22" t="s">
        <v>1177</v>
      </c>
      <c r="B1146" s="25">
        <v>45788</v>
      </c>
      <c r="C1146" s="22" t="s">
        <v>723</v>
      </c>
      <c r="D1146" s="22" t="s">
        <v>23</v>
      </c>
      <c r="E1146" s="22" t="s">
        <v>24</v>
      </c>
      <c r="F1146" s="22" t="s">
        <v>25</v>
      </c>
      <c r="G1146" s="22" t="s">
        <v>26</v>
      </c>
      <c r="H1146" s="22">
        <v>1</v>
      </c>
      <c r="I1146" s="22">
        <v>1</v>
      </c>
      <c r="J1146" s="22">
        <v>1</v>
      </c>
      <c r="K1146" s="22">
        <v>1</v>
      </c>
      <c r="L1146" s="22">
        <v>290.39</v>
      </c>
      <c r="M1146" s="22">
        <v>0</v>
      </c>
      <c r="N1146" s="22">
        <v>0</v>
      </c>
      <c r="O1146" s="22">
        <v>4</v>
      </c>
      <c r="P1146" s="22">
        <v>54.4</v>
      </c>
      <c r="Q1146" s="22" t="str">
        <f t="shared" si="51"/>
        <v>Normal</v>
      </c>
      <c r="R1146" s="26" t="str">
        <f t="shared" si="52"/>
        <v>USR-10114545788TreatmentWestMobileOrganicFree1111290.3900454.4</v>
      </c>
      <c r="S1146" s="22" t="str">
        <f t="shared" si="53"/>
        <v>OK</v>
      </c>
    </row>
    <row r="1147" spans="1:19" ht="41.4">
      <c r="A1147" s="22" t="s">
        <v>1178</v>
      </c>
      <c r="B1147" s="25">
        <v>45738</v>
      </c>
      <c r="C1147" s="22" t="s">
        <v>723</v>
      </c>
      <c r="D1147" s="22" t="s">
        <v>18</v>
      </c>
      <c r="E1147" s="22" t="s">
        <v>24</v>
      </c>
      <c r="F1147" s="22" t="s">
        <v>39</v>
      </c>
      <c r="G1147" s="22" t="s">
        <v>26</v>
      </c>
      <c r="H1147" s="22">
        <v>1</v>
      </c>
      <c r="I1147" s="22">
        <v>1</v>
      </c>
      <c r="J1147" s="22">
        <v>1</v>
      </c>
      <c r="K1147" s="22">
        <v>0</v>
      </c>
      <c r="L1147" s="22">
        <v>0</v>
      </c>
      <c r="M1147" s="22">
        <v>0</v>
      </c>
      <c r="N1147" s="22">
        <v>0</v>
      </c>
      <c r="O1147" s="22"/>
      <c r="P1147" s="22">
        <v>72</v>
      </c>
      <c r="Q1147" s="22" t="str">
        <f t="shared" si="51"/>
        <v>Normal</v>
      </c>
      <c r="R1147" s="26" t="str">
        <f t="shared" si="52"/>
        <v>USR-10114645738TreatmentNorthMobileReferralFree111000072</v>
      </c>
      <c r="S1147" s="22" t="str">
        <f t="shared" si="53"/>
        <v>OK</v>
      </c>
    </row>
    <row r="1148" spans="1:19" ht="55.2">
      <c r="A1148" s="22" t="s">
        <v>1179</v>
      </c>
      <c r="B1148" s="25">
        <v>45779</v>
      </c>
      <c r="C1148" s="22" t="s">
        <v>723</v>
      </c>
      <c r="D1148" s="22" t="s">
        <v>32</v>
      </c>
      <c r="E1148" s="22" t="s">
        <v>24</v>
      </c>
      <c r="F1148" s="22" t="s">
        <v>41</v>
      </c>
      <c r="G1148" s="22" t="s">
        <v>30</v>
      </c>
      <c r="H1148" s="22">
        <v>1</v>
      </c>
      <c r="I1148" s="22">
        <v>1</v>
      </c>
      <c r="J1148" s="22">
        <v>1</v>
      </c>
      <c r="K1148" s="22">
        <v>1</v>
      </c>
      <c r="L1148" s="22">
        <v>1858.85</v>
      </c>
      <c r="M1148" s="22">
        <v>0</v>
      </c>
      <c r="N1148" s="22">
        <v>0</v>
      </c>
      <c r="O1148" s="22">
        <v>8</v>
      </c>
      <c r="P1148" s="22">
        <v>88.6</v>
      </c>
      <c r="Q1148" s="22" t="str">
        <f t="shared" si="51"/>
        <v>Normal</v>
      </c>
      <c r="R1148" s="26" t="str">
        <f t="shared" si="52"/>
        <v>USR-10114745779TreatmentSouthMobileSocialPremium11111858.8500888.6</v>
      </c>
      <c r="S1148" s="22" t="str">
        <f t="shared" si="53"/>
        <v>OK</v>
      </c>
    </row>
    <row r="1149" spans="1:19" ht="41.4">
      <c r="A1149" s="22" t="s">
        <v>1180</v>
      </c>
      <c r="B1149" s="25">
        <v>45803</v>
      </c>
      <c r="C1149" s="22" t="s">
        <v>723</v>
      </c>
      <c r="D1149" s="22" t="s">
        <v>28</v>
      </c>
      <c r="E1149" s="22" t="s">
        <v>19</v>
      </c>
      <c r="F1149" s="22"/>
      <c r="G1149" s="22" t="s">
        <v>21</v>
      </c>
      <c r="H1149" s="22">
        <v>1</v>
      </c>
      <c r="I1149" s="22">
        <v>0</v>
      </c>
      <c r="J1149" s="22">
        <v>0</v>
      </c>
      <c r="K1149" s="22">
        <v>0</v>
      </c>
      <c r="L1149" s="22">
        <v>0</v>
      </c>
      <c r="M1149" s="22">
        <v>0</v>
      </c>
      <c r="N1149" s="22">
        <v>0</v>
      </c>
      <c r="O1149" s="22"/>
      <c r="P1149" s="22">
        <v>77.599999999999994</v>
      </c>
      <c r="Q1149" s="22" t="str">
        <f t="shared" si="51"/>
        <v>Normal</v>
      </c>
      <c r="R1149" s="26" t="str">
        <f t="shared" si="52"/>
        <v>USR-10114845803TreatmentEastDesktopBasic100000077.6</v>
      </c>
      <c r="S1149" s="22" t="str">
        <f t="shared" si="53"/>
        <v>OK</v>
      </c>
    </row>
    <row r="1150" spans="1:19" ht="41.4">
      <c r="A1150" s="22" t="s">
        <v>1181</v>
      </c>
      <c r="B1150" s="25">
        <v>45729</v>
      </c>
      <c r="C1150" s="22" t="s">
        <v>723</v>
      </c>
      <c r="D1150" s="22" t="s">
        <v>32</v>
      </c>
      <c r="E1150" s="22" t="s">
        <v>24</v>
      </c>
      <c r="F1150" s="22" t="s">
        <v>25</v>
      </c>
      <c r="G1150" s="22" t="s">
        <v>21</v>
      </c>
      <c r="H1150" s="22">
        <v>1</v>
      </c>
      <c r="I1150" s="22">
        <v>0</v>
      </c>
      <c r="J1150" s="22">
        <v>0</v>
      </c>
      <c r="K1150" s="22">
        <v>0</v>
      </c>
      <c r="L1150" s="22">
        <v>0</v>
      </c>
      <c r="M1150" s="22">
        <v>1</v>
      </c>
      <c r="N1150" s="22">
        <v>0</v>
      </c>
      <c r="O1150" s="22"/>
      <c r="P1150" s="22">
        <v>44.3</v>
      </c>
      <c r="Q1150" s="22" t="str">
        <f t="shared" si="51"/>
        <v>Normal</v>
      </c>
      <c r="R1150" s="26" t="str">
        <f t="shared" si="52"/>
        <v>USR-10114945729TreatmentSouthMobileOrganicBasic100001044.3</v>
      </c>
      <c r="S1150" s="22" t="str">
        <f t="shared" si="53"/>
        <v>OK</v>
      </c>
    </row>
    <row r="1151" spans="1:19" ht="41.4">
      <c r="A1151" s="22" t="s">
        <v>1182</v>
      </c>
      <c r="B1151" s="25">
        <v>45794</v>
      </c>
      <c r="C1151" s="22" t="s">
        <v>723</v>
      </c>
      <c r="D1151" s="22" t="s">
        <v>32</v>
      </c>
      <c r="E1151" s="22" t="s">
        <v>19</v>
      </c>
      <c r="F1151" s="22" t="s">
        <v>29</v>
      </c>
      <c r="G1151" s="22" t="s">
        <v>26</v>
      </c>
      <c r="H1151" s="22">
        <v>1</v>
      </c>
      <c r="I1151" s="22">
        <v>1</v>
      </c>
      <c r="J1151" s="22">
        <v>0</v>
      </c>
      <c r="K1151" s="22">
        <v>0</v>
      </c>
      <c r="L1151" s="22">
        <v>0</v>
      </c>
      <c r="M1151" s="22">
        <v>0</v>
      </c>
      <c r="N1151" s="22">
        <v>0</v>
      </c>
      <c r="O1151" s="22"/>
      <c r="P1151" s="22">
        <v>49</v>
      </c>
      <c r="Q1151" s="22" t="str">
        <f t="shared" si="51"/>
        <v>Normal</v>
      </c>
      <c r="R1151" s="26" t="str">
        <f t="shared" si="52"/>
        <v>USR-10115045794TreatmentSouthDesktopPaid SearchFree110000049</v>
      </c>
      <c r="S1151" s="22" t="str">
        <f t="shared" si="53"/>
        <v>OK</v>
      </c>
    </row>
    <row r="1152" spans="1:19" ht="41.4">
      <c r="A1152" s="22" t="s">
        <v>1183</v>
      </c>
      <c r="B1152" s="25">
        <v>45729</v>
      </c>
      <c r="C1152" s="22" t="s">
        <v>723</v>
      </c>
      <c r="D1152" s="22" t="s">
        <v>18</v>
      </c>
      <c r="E1152" s="22" t="s">
        <v>19</v>
      </c>
      <c r="F1152" s="22" t="s">
        <v>39</v>
      </c>
      <c r="G1152" s="22" t="s">
        <v>30</v>
      </c>
      <c r="H1152" s="22">
        <v>1</v>
      </c>
      <c r="I1152" s="22">
        <v>0</v>
      </c>
      <c r="J1152" s="22">
        <v>0</v>
      </c>
      <c r="K1152" s="22">
        <v>0</v>
      </c>
      <c r="L1152" s="22">
        <v>0</v>
      </c>
      <c r="M1152" s="22">
        <v>0</v>
      </c>
      <c r="N1152" s="22">
        <v>0</v>
      </c>
      <c r="O1152" s="22"/>
      <c r="P1152" s="22">
        <v>53.9</v>
      </c>
      <c r="Q1152" s="22" t="str">
        <f t="shared" si="51"/>
        <v>Normal</v>
      </c>
      <c r="R1152" s="26" t="str">
        <f t="shared" si="52"/>
        <v>USR-10115145729TreatmentNorthDesktopReferralPremium100000053.9</v>
      </c>
      <c r="S1152" s="22" t="str">
        <f t="shared" si="53"/>
        <v>OK</v>
      </c>
    </row>
    <row r="1153" spans="1:19" ht="41.4">
      <c r="A1153" s="22" t="s">
        <v>1184</v>
      </c>
      <c r="B1153" s="25">
        <v>45699</v>
      </c>
      <c r="C1153" s="22" t="s">
        <v>723</v>
      </c>
      <c r="D1153" s="22" t="s">
        <v>28</v>
      </c>
      <c r="E1153" s="22" t="s">
        <v>19</v>
      </c>
      <c r="F1153" s="22" t="s">
        <v>25</v>
      </c>
      <c r="G1153" s="22" t="s">
        <v>21</v>
      </c>
      <c r="H1153" s="22">
        <v>1</v>
      </c>
      <c r="I1153" s="22">
        <v>0</v>
      </c>
      <c r="J1153" s="22">
        <v>0</v>
      </c>
      <c r="K1153" s="22">
        <v>0</v>
      </c>
      <c r="L1153" s="22">
        <v>0</v>
      </c>
      <c r="M1153" s="22">
        <v>1</v>
      </c>
      <c r="N1153" s="22">
        <v>0</v>
      </c>
      <c r="O1153" s="22"/>
      <c r="P1153" s="22">
        <v>69</v>
      </c>
      <c r="Q1153" s="22" t="str">
        <f t="shared" si="51"/>
        <v>Normal</v>
      </c>
      <c r="R1153" s="26" t="str">
        <f t="shared" si="52"/>
        <v>USR-10115245699TreatmentEastDesktopOrganicBasic100001069</v>
      </c>
      <c r="S1153" s="22" t="str">
        <f t="shared" si="53"/>
        <v>OK</v>
      </c>
    </row>
    <row r="1154" spans="1:19" ht="41.4">
      <c r="A1154" s="22" t="s">
        <v>1185</v>
      </c>
      <c r="B1154" s="25">
        <v>45717</v>
      </c>
      <c r="C1154" s="22" t="s">
        <v>723</v>
      </c>
      <c r="D1154" s="22" t="s">
        <v>23</v>
      </c>
      <c r="E1154" s="22" t="s">
        <v>24</v>
      </c>
      <c r="F1154" s="22" t="s">
        <v>41</v>
      </c>
      <c r="G1154" s="22" t="s">
        <v>26</v>
      </c>
      <c r="H1154" s="22">
        <v>0</v>
      </c>
      <c r="I1154" s="22">
        <v>0</v>
      </c>
      <c r="J1154" s="22">
        <v>0</v>
      </c>
      <c r="K1154" s="22">
        <v>0</v>
      </c>
      <c r="L1154" s="22">
        <v>0</v>
      </c>
      <c r="M1154" s="22">
        <v>0</v>
      </c>
      <c r="N1154" s="22">
        <v>0</v>
      </c>
      <c r="O1154" s="22"/>
      <c r="P1154" s="22">
        <v>37.4</v>
      </c>
      <c r="Q1154" s="22" t="str">
        <f t="shared" si="51"/>
        <v>Normal</v>
      </c>
      <c r="R1154" s="26" t="str">
        <f t="shared" si="52"/>
        <v>USR-10115345717TreatmentWestMobileSocialFree000000037.4</v>
      </c>
      <c r="S1154" s="22" t="str">
        <f t="shared" si="53"/>
        <v>OK</v>
      </c>
    </row>
    <row r="1155" spans="1:19" ht="41.4">
      <c r="A1155" s="22" t="s">
        <v>1186</v>
      </c>
      <c r="B1155" s="25">
        <v>45762</v>
      </c>
      <c r="C1155" s="22" t="s">
        <v>723</v>
      </c>
      <c r="D1155" s="22" t="s">
        <v>23</v>
      </c>
      <c r="E1155" s="22" t="s">
        <v>24</v>
      </c>
      <c r="F1155" s="22" t="s">
        <v>25</v>
      </c>
      <c r="G1155" s="22" t="s">
        <v>21</v>
      </c>
      <c r="H1155" s="22">
        <v>0</v>
      </c>
      <c r="I1155" s="22">
        <v>0</v>
      </c>
      <c r="J1155" s="22">
        <v>0</v>
      </c>
      <c r="K1155" s="22">
        <v>0</v>
      </c>
      <c r="L1155" s="22">
        <v>0</v>
      </c>
      <c r="M1155" s="22">
        <v>0</v>
      </c>
      <c r="N1155" s="22">
        <v>0</v>
      </c>
      <c r="O1155" s="22"/>
      <c r="P1155" s="22">
        <v>59</v>
      </c>
      <c r="Q1155" s="22" t="str">
        <f t="shared" ref="Q1155:Q1218" si="54">IF(OR(L1155&lt;$V$40,L1155&gt;$V$41),"Outlier","Normal")</f>
        <v>Normal</v>
      </c>
      <c r="R1155" s="26" t="str">
        <f t="shared" ref="R1155:R1218" si="55">A1155&amp;B1155&amp;C1155&amp;D1155&amp;E1155&amp;F1155&amp;G1155&amp;H1155&amp;I1155&amp;J1155&amp;K1155&amp;L1155&amp;M1155&amp;N1155&amp;O1155&amp;P1155</f>
        <v>USR-10115445762TreatmentWestMobileOrganicBasic000000059</v>
      </c>
      <c r="S1155" s="22" t="str">
        <f t="shared" ref="S1155:S1218" si="56">IF(COUNTIF($R$2:$R$1409,R1155)=1,"OK",IF(COUNTIF($R$2:$R$1409,R1155)&gt;1,"Exact Duplicate","Review Required"))</f>
        <v>OK</v>
      </c>
    </row>
    <row r="1156" spans="1:19" ht="41.4">
      <c r="A1156" s="22" t="s">
        <v>1187</v>
      </c>
      <c r="B1156" s="25">
        <v>45690</v>
      </c>
      <c r="C1156" s="22" t="s">
        <v>723</v>
      </c>
      <c r="D1156" s="22" t="s">
        <v>28</v>
      </c>
      <c r="E1156" s="22" t="s">
        <v>24</v>
      </c>
      <c r="F1156" s="22" t="s">
        <v>25</v>
      </c>
      <c r="G1156" s="22" t="s">
        <v>30</v>
      </c>
      <c r="H1156" s="22">
        <v>1</v>
      </c>
      <c r="I1156" s="22">
        <v>0</v>
      </c>
      <c r="J1156" s="22">
        <v>0</v>
      </c>
      <c r="K1156" s="22">
        <v>0</v>
      </c>
      <c r="L1156" s="22">
        <v>0</v>
      </c>
      <c r="M1156" s="22">
        <v>0</v>
      </c>
      <c r="N1156" s="22">
        <v>0</v>
      </c>
      <c r="O1156" s="22"/>
      <c r="P1156" s="22">
        <v>60.8</v>
      </c>
      <c r="Q1156" s="22" t="str">
        <f t="shared" si="54"/>
        <v>Normal</v>
      </c>
      <c r="R1156" s="26" t="str">
        <f t="shared" si="55"/>
        <v>USR-10115545690TreatmentEastMobileOrganicPremium100000060.8</v>
      </c>
      <c r="S1156" s="22" t="str">
        <f t="shared" si="56"/>
        <v>OK</v>
      </c>
    </row>
    <row r="1157" spans="1:19" ht="41.4">
      <c r="A1157" s="22" t="s">
        <v>1188</v>
      </c>
      <c r="B1157" s="25">
        <v>45796</v>
      </c>
      <c r="C1157" s="22" t="s">
        <v>723</v>
      </c>
      <c r="D1157" s="22" t="s">
        <v>32</v>
      </c>
      <c r="E1157" s="22" t="s">
        <v>24</v>
      </c>
      <c r="F1157" s="22" t="s">
        <v>20</v>
      </c>
      <c r="G1157" s="22" t="s">
        <v>26</v>
      </c>
      <c r="H1157" s="22">
        <v>1</v>
      </c>
      <c r="I1157" s="22">
        <v>0</v>
      </c>
      <c r="J1157" s="22">
        <v>0</v>
      </c>
      <c r="K1157" s="22">
        <v>0</v>
      </c>
      <c r="L1157" s="22">
        <v>0</v>
      </c>
      <c r="M1157" s="22">
        <v>0</v>
      </c>
      <c r="N1157" s="22">
        <v>0</v>
      </c>
      <c r="O1157" s="22"/>
      <c r="P1157" s="22">
        <v>57.5</v>
      </c>
      <c r="Q1157" s="22" t="str">
        <f t="shared" si="54"/>
        <v>Normal</v>
      </c>
      <c r="R1157" s="26" t="str">
        <f t="shared" si="55"/>
        <v>USR-10115645796TreatmentSouthMobileEmailFree100000057.5</v>
      </c>
      <c r="S1157" s="22" t="str">
        <f t="shared" si="56"/>
        <v>OK</v>
      </c>
    </row>
    <row r="1158" spans="1:19" ht="41.4">
      <c r="A1158" s="22" t="s">
        <v>1189</v>
      </c>
      <c r="B1158" s="25">
        <v>45662</v>
      </c>
      <c r="C1158" s="22" t="s">
        <v>723</v>
      </c>
      <c r="D1158" s="22" t="s">
        <v>23</v>
      </c>
      <c r="E1158" s="22" t="s">
        <v>24</v>
      </c>
      <c r="F1158" s="22" t="s">
        <v>39</v>
      </c>
      <c r="G1158" s="22" t="s">
        <v>26</v>
      </c>
      <c r="H1158" s="22">
        <v>0</v>
      </c>
      <c r="I1158" s="22">
        <v>0</v>
      </c>
      <c r="J1158" s="22">
        <v>0</v>
      </c>
      <c r="K1158" s="22">
        <v>0</v>
      </c>
      <c r="L1158" s="22">
        <v>0</v>
      </c>
      <c r="M1158" s="22">
        <v>0</v>
      </c>
      <c r="N1158" s="22">
        <v>0</v>
      </c>
      <c r="O1158" s="22"/>
      <c r="P1158" s="22">
        <v>84.2</v>
      </c>
      <c r="Q1158" s="22" t="str">
        <f t="shared" si="54"/>
        <v>Normal</v>
      </c>
      <c r="R1158" s="26" t="str">
        <f t="shared" si="55"/>
        <v>USR-10115745662TreatmentWestMobileReferralFree000000084.2</v>
      </c>
      <c r="S1158" s="22" t="str">
        <f t="shared" si="56"/>
        <v>OK</v>
      </c>
    </row>
    <row r="1159" spans="1:19" ht="41.4">
      <c r="A1159" s="22" t="s">
        <v>1190</v>
      </c>
      <c r="B1159" s="25">
        <v>45724</v>
      </c>
      <c r="C1159" s="22" t="s">
        <v>723</v>
      </c>
      <c r="D1159" s="22" t="s">
        <v>32</v>
      </c>
      <c r="E1159" s="22" t="s">
        <v>24</v>
      </c>
      <c r="F1159" s="22" t="s">
        <v>29</v>
      </c>
      <c r="G1159" s="22" t="s">
        <v>26</v>
      </c>
      <c r="H1159" s="22">
        <v>1</v>
      </c>
      <c r="I1159" s="22">
        <v>1</v>
      </c>
      <c r="J1159" s="22">
        <v>0</v>
      </c>
      <c r="K1159" s="22">
        <v>0</v>
      </c>
      <c r="L1159" s="22">
        <v>0</v>
      </c>
      <c r="M1159" s="22">
        <v>0</v>
      </c>
      <c r="N1159" s="22">
        <v>0</v>
      </c>
      <c r="O1159" s="22"/>
      <c r="P1159" s="22">
        <v>27.4</v>
      </c>
      <c r="Q1159" s="22" t="str">
        <f t="shared" si="54"/>
        <v>Normal</v>
      </c>
      <c r="R1159" s="26" t="str">
        <f t="shared" si="55"/>
        <v>USR-10115845724TreatmentSouthMobilePaid SearchFree110000027.4</v>
      </c>
      <c r="S1159" s="22" t="str">
        <f t="shared" si="56"/>
        <v>OK</v>
      </c>
    </row>
    <row r="1160" spans="1:19" ht="41.4">
      <c r="A1160" s="22" t="s">
        <v>1191</v>
      </c>
      <c r="B1160" s="25">
        <v>45728</v>
      </c>
      <c r="C1160" s="22" t="s">
        <v>723</v>
      </c>
      <c r="D1160" s="22" t="s">
        <v>23</v>
      </c>
      <c r="E1160" s="22" t="s">
        <v>24</v>
      </c>
      <c r="F1160" s="22" t="s">
        <v>20</v>
      </c>
      <c r="G1160" s="22" t="s">
        <v>21</v>
      </c>
      <c r="H1160" s="22">
        <v>1</v>
      </c>
      <c r="I1160" s="22">
        <v>0</v>
      </c>
      <c r="J1160" s="22">
        <v>0</v>
      </c>
      <c r="K1160" s="22">
        <v>0</v>
      </c>
      <c r="L1160" s="22">
        <v>0</v>
      </c>
      <c r="M1160" s="22">
        <v>1</v>
      </c>
      <c r="N1160" s="22">
        <v>0</v>
      </c>
      <c r="O1160" s="22"/>
      <c r="P1160" s="22">
        <v>67.599999999999994</v>
      </c>
      <c r="Q1160" s="22" t="str">
        <f t="shared" si="54"/>
        <v>Normal</v>
      </c>
      <c r="R1160" s="26" t="str">
        <f t="shared" si="55"/>
        <v>USR-10115945728TreatmentWestMobileEmailBasic100001067.6</v>
      </c>
      <c r="S1160" s="22" t="str">
        <f t="shared" si="56"/>
        <v>OK</v>
      </c>
    </row>
    <row r="1161" spans="1:19" ht="41.4">
      <c r="A1161" s="22" t="s">
        <v>1192</v>
      </c>
      <c r="B1161" s="25">
        <v>45681</v>
      </c>
      <c r="C1161" s="22" t="s">
        <v>723</v>
      </c>
      <c r="D1161" s="22" t="s">
        <v>23</v>
      </c>
      <c r="E1161" s="22" t="s">
        <v>24</v>
      </c>
      <c r="F1161" s="22" t="s">
        <v>25</v>
      </c>
      <c r="G1161" s="22" t="s">
        <v>26</v>
      </c>
      <c r="H1161" s="22">
        <v>0</v>
      </c>
      <c r="I1161" s="22">
        <v>0</v>
      </c>
      <c r="J1161" s="22">
        <v>0</v>
      </c>
      <c r="K1161" s="22">
        <v>0</v>
      </c>
      <c r="L1161" s="22">
        <v>0</v>
      </c>
      <c r="M1161" s="22">
        <v>0</v>
      </c>
      <c r="N1161" s="22">
        <v>0</v>
      </c>
      <c r="O1161" s="22"/>
      <c r="P1161" s="22">
        <v>68.400000000000006</v>
      </c>
      <c r="Q1161" s="22" t="str">
        <f t="shared" si="54"/>
        <v>Normal</v>
      </c>
      <c r="R1161" s="26" t="str">
        <f t="shared" si="55"/>
        <v>USR-10116045681TreatmentWestMobileOrganicFree000000068.4</v>
      </c>
      <c r="S1161" s="22" t="str">
        <f t="shared" si="56"/>
        <v>OK</v>
      </c>
    </row>
    <row r="1162" spans="1:19" ht="41.4">
      <c r="A1162" s="22" t="s">
        <v>1193</v>
      </c>
      <c r="B1162" s="25">
        <v>45799</v>
      </c>
      <c r="C1162" s="22" t="s">
        <v>723</v>
      </c>
      <c r="D1162" s="22" t="s">
        <v>32</v>
      </c>
      <c r="E1162" s="22" t="s">
        <v>24</v>
      </c>
      <c r="F1162" s="22" t="s">
        <v>29</v>
      </c>
      <c r="G1162" s="22" t="s">
        <v>21</v>
      </c>
      <c r="H1162" s="22">
        <v>1</v>
      </c>
      <c r="I1162" s="22">
        <v>1</v>
      </c>
      <c r="J1162" s="22">
        <v>1</v>
      </c>
      <c r="K1162" s="22">
        <v>0</v>
      </c>
      <c r="L1162" s="22">
        <v>0</v>
      </c>
      <c r="M1162" s="22">
        <v>0</v>
      </c>
      <c r="N1162" s="22">
        <v>0</v>
      </c>
      <c r="O1162" s="22"/>
      <c r="P1162" s="22">
        <v>66.5</v>
      </c>
      <c r="Q1162" s="22" t="str">
        <f t="shared" si="54"/>
        <v>Normal</v>
      </c>
      <c r="R1162" s="26" t="str">
        <f t="shared" si="55"/>
        <v>USR-10116145799TreatmentSouthMobilePaid SearchBasic111000066.5</v>
      </c>
      <c r="S1162" s="22" t="str">
        <f t="shared" si="56"/>
        <v>OK</v>
      </c>
    </row>
    <row r="1163" spans="1:19" ht="41.4">
      <c r="A1163" s="22" t="s">
        <v>1194</v>
      </c>
      <c r="B1163" s="25">
        <v>45743</v>
      </c>
      <c r="C1163" s="22" t="s">
        <v>723</v>
      </c>
      <c r="D1163" s="22" t="s">
        <v>32</v>
      </c>
      <c r="E1163" s="22" t="s">
        <v>24</v>
      </c>
      <c r="F1163" s="22" t="s">
        <v>29</v>
      </c>
      <c r="G1163" s="22" t="s">
        <v>26</v>
      </c>
      <c r="H1163" s="22">
        <v>1</v>
      </c>
      <c r="I1163" s="22">
        <v>0</v>
      </c>
      <c r="J1163" s="22">
        <v>0</v>
      </c>
      <c r="K1163" s="22">
        <v>0</v>
      </c>
      <c r="L1163" s="22">
        <v>0</v>
      </c>
      <c r="M1163" s="22">
        <v>0</v>
      </c>
      <c r="N1163" s="22">
        <v>0</v>
      </c>
      <c r="O1163" s="22"/>
      <c r="P1163" s="22">
        <v>38.200000000000003</v>
      </c>
      <c r="Q1163" s="22" t="str">
        <f t="shared" si="54"/>
        <v>Normal</v>
      </c>
      <c r="R1163" s="26" t="str">
        <f t="shared" si="55"/>
        <v>USR-10116245743TreatmentSouthMobilePaid SearchFree100000038.2</v>
      </c>
      <c r="S1163" s="22" t="str">
        <f t="shared" si="56"/>
        <v>OK</v>
      </c>
    </row>
    <row r="1164" spans="1:19" ht="41.4">
      <c r="A1164" s="22" t="s">
        <v>1195</v>
      </c>
      <c r="B1164" s="25">
        <v>45659</v>
      </c>
      <c r="C1164" s="22" t="s">
        <v>723</v>
      </c>
      <c r="D1164" s="22" t="s">
        <v>23</v>
      </c>
      <c r="E1164" s="22" t="s">
        <v>24</v>
      </c>
      <c r="F1164" s="22" t="s">
        <v>41</v>
      </c>
      <c r="G1164" s="22" t="s">
        <v>26</v>
      </c>
      <c r="H1164" s="22">
        <v>0</v>
      </c>
      <c r="I1164" s="22">
        <v>0</v>
      </c>
      <c r="J1164" s="22">
        <v>0</v>
      </c>
      <c r="K1164" s="22">
        <v>0</v>
      </c>
      <c r="L1164" s="22">
        <v>0</v>
      </c>
      <c r="M1164" s="22">
        <v>1</v>
      </c>
      <c r="N1164" s="22">
        <v>0</v>
      </c>
      <c r="O1164" s="22"/>
      <c r="P1164" s="22">
        <v>66.7</v>
      </c>
      <c r="Q1164" s="22" t="str">
        <f t="shared" si="54"/>
        <v>Normal</v>
      </c>
      <c r="R1164" s="26" t="str">
        <f t="shared" si="55"/>
        <v>USR-10116345659TreatmentWestMobileSocialFree000001066.7</v>
      </c>
      <c r="S1164" s="22" t="str">
        <f t="shared" si="56"/>
        <v>OK</v>
      </c>
    </row>
    <row r="1165" spans="1:19" ht="41.4">
      <c r="A1165" s="22" t="s">
        <v>1196</v>
      </c>
      <c r="B1165" s="25">
        <v>45712</v>
      </c>
      <c r="C1165" s="22" t="s">
        <v>723</v>
      </c>
      <c r="D1165" s="22" t="s">
        <v>18</v>
      </c>
      <c r="E1165" s="22" t="s">
        <v>24</v>
      </c>
      <c r="F1165" s="22" t="s">
        <v>29</v>
      </c>
      <c r="G1165" s="22" t="s">
        <v>26</v>
      </c>
      <c r="H1165" s="22">
        <v>0</v>
      </c>
      <c r="I1165" s="22">
        <v>0</v>
      </c>
      <c r="J1165" s="22">
        <v>0</v>
      </c>
      <c r="K1165" s="22">
        <v>0</v>
      </c>
      <c r="L1165" s="22">
        <v>0</v>
      </c>
      <c r="M1165" s="22">
        <v>1</v>
      </c>
      <c r="N1165" s="22">
        <v>0</v>
      </c>
      <c r="O1165" s="22"/>
      <c r="P1165" s="22">
        <v>73.7</v>
      </c>
      <c r="Q1165" s="22" t="str">
        <f t="shared" si="54"/>
        <v>Normal</v>
      </c>
      <c r="R1165" s="26" t="str">
        <f t="shared" si="55"/>
        <v>USR-10116445712TreatmentNorthMobilePaid SearchFree000001073.7</v>
      </c>
      <c r="S1165" s="22" t="str">
        <f t="shared" si="56"/>
        <v>OK</v>
      </c>
    </row>
    <row r="1166" spans="1:19" ht="41.4">
      <c r="A1166" s="22" t="s">
        <v>1197</v>
      </c>
      <c r="B1166" s="25">
        <v>45717</v>
      </c>
      <c r="C1166" s="22" t="s">
        <v>723</v>
      </c>
      <c r="D1166" s="22" t="s">
        <v>23</v>
      </c>
      <c r="E1166" s="22" t="s">
        <v>19</v>
      </c>
      <c r="F1166" s="22" t="s">
        <v>25</v>
      </c>
      <c r="G1166" s="22" t="s">
        <v>21</v>
      </c>
      <c r="H1166" s="22">
        <v>1</v>
      </c>
      <c r="I1166" s="22">
        <v>1</v>
      </c>
      <c r="J1166" s="22">
        <v>1</v>
      </c>
      <c r="K1166" s="22">
        <v>0</v>
      </c>
      <c r="L1166" s="22">
        <v>0</v>
      </c>
      <c r="M1166" s="22">
        <v>0</v>
      </c>
      <c r="N1166" s="22">
        <v>0</v>
      </c>
      <c r="O1166" s="22"/>
      <c r="P1166" s="22">
        <v>63.9</v>
      </c>
      <c r="Q1166" s="22" t="str">
        <f t="shared" si="54"/>
        <v>Normal</v>
      </c>
      <c r="R1166" s="26" t="str">
        <f t="shared" si="55"/>
        <v>USR-10116545717TreatmentWestDesktopOrganicBasic111000063.9</v>
      </c>
      <c r="S1166" s="22" t="str">
        <f t="shared" si="56"/>
        <v>OK</v>
      </c>
    </row>
    <row r="1167" spans="1:19" ht="41.4">
      <c r="A1167" s="22" t="s">
        <v>1198</v>
      </c>
      <c r="B1167" s="25">
        <v>45742</v>
      </c>
      <c r="C1167" s="22" t="s">
        <v>723</v>
      </c>
      <c r="D1167" s="22" t="s">
        <v>32</v>
      </c>
      <c r="E1167" s="22" t="s">
        <v>34</v>
      </c>
      <c r="F1167" s="22" t="s">
        <v>25</v>
      </c>
      <c r="G1167" s="22" t="s">
        <v>21</v>
      </c>
      <c r="H1167" s="22">
        <v>1</v>
      </c>
      <c r="I1167" s="22">
        <v>0</v>
      </c>
      <c r="J1167" s="22">
        <v>0</v>
      </c>
      <c r="K1167" s="22">
        <v>0</v>
      </c>
      <c r="L1167" s="22">
        <v>0</v>
      </c>
      <c r="M1167" s="22">
        <v>1</v>
      </c>
      <c r="N1167" s="22">
        <v>0</v>
      </c>
      <c r="O1167" s="22"/>
      <c r="P1167" s="22">
        <v>82.6</v>
      </c>
      <c r="Q1167" s="22" t="str">
        <f t="shared" si="54"/>
        <v>Normal</v>
      </c>
      <c r="R1167" s="26" t="str">
        <f t="shared" si="55"/>
        <v>USR-10116645742TreatmentSouthTabletOrganicBasic100001082.6</v>
      </c>
      <c r="S1167" s="22" t="str">
        <f t="shared" si="56"/>
        <v>OK</v>
      </c>
    </row>
    <row r="1168" spans="1:19" ht="41.4">
      <c r="A1168" s="22" t="s">
        <v>1199</v>
      </c>
      <c r="B1168" s="25">
        <v>45802</v>
      </c>
      <c r="C1168" s="22" t="s">
        <v>723</v>
      </c>
      <c r="D1168" s="22" t="s">
        <v>28</v>
      </c>
      <c r="E1168" s="22" t="s">
        <v>24</v>
      </c>
      <c r="F1168" s="22" t="s">
        <v>29</v>
      </c>
      <c r="G1168" s="22" t="s">
        <v>26</v>
      </c>
      <c r="H1168" s="22">
        <v>0</v>
      </c>
      <c r="I1168" s="22">
        <v>0</v>
      </c>
      <c r="J1168" s="22">
        <v>0</v>
      </c>
      <c r="K1168" s="22">
        <v>0</v>
      </c>
      <c r="L1168" s="22">
        <v>0</v>
      </c>
      <c r="M1168" s="22">
        <v>1</v>
      </c>
      <c r="N1168" s="22">
        <v>0</v>
      </c>
      <c r="O1168" s="22"/>
      <c r="P1168" s="22">
        <v>58.3</v>
      </c>
      <c r="Q1168" s="22" t="str">
        <f t="shared" si="54"/>
        <v>Normal</v>
      </c>
      <c r="R1168" s="26" t="str">
        <f t="shared" si="55"/>
        <v>USR-10116745802TreatmentEastMobilePaid SearchFree000001058.3</v>
      </c>
      <c r="S1168" s="22" t="str">
        <f t="shared" si="56"/>
        <v>OK</v>
      </c>
    </row>
    <row r="1169" spans="1:19" ht="55.2">
      <c r="A1169" s="22" t="s">
        <v>1200</v>
      </c>
      <c r="B1169" s="25">
        <v>45713</v>
      </c>
      <c r="C1169" s="22" t="s">
        <v>723</v>
      </c>
      <c r="D1169" s="22" t="s">
        <v>23</v>
      </c>
      <c r="E1169" s="22" t="s">
        <v>24</v>
      </c>
      <c r="F1169" s="22" t="s">
        <v>39</v>
      </c>
      <c r="G1169" s="22" t="s">
        <v>30</v>
      </c>
      <c r="H1169" s="22">
        <v>1</v>
      </c>
      <c r="I1169" s="22">
        <v>1</v>
      </c>
      <c r="J1169" s="22">
        <v>1</v>
      </c>
      <c r="K1169" s="22">
        <v>1</v>
      </c>
      <c r="L1169" s="22">
        <v>1547.06</v>
      </c>
      <c r="M1169" s="22">
        <v>0</v>
      </c>
      <c r="N1169" s="22">
        <v>1</v>
      </c>
      <c r="O1169" s="22">
        <v>2</v>
      </c>
      <c r="P1169" s="22">
        <v>72.900000000000006</v>
      </c>
      <c r="Q1169" s="22" t="str">
        <f t="shared" si="54"/>
        <v>Normal</v>
      </c>
      <c r="R1169" s="26" t="str">
        <f t="shared" si="55"/>
        <v>USR-10116845713TreatmentWestMobileReferralPremium11111547.0601272.9</v>
      </c>
      <c r="S1169" s="22" t="str">
        <f t="shared" si="56"/>
        <v>OK</v>
      </c>
    </row>
    <row r="1170" spans="1:19" ht="41.4">
      <c r="A1170" s="22" t="s">
        <v>1201</v>
      </c>
      <c r="B1170" s="25">
        <v>45739</v>
      </c>
      <c r="C1170" s="22" t="s">
        <v>723</v>
      </c>
      <c r="D1170" s="22" t="s">
        <v>32</v>
      </c>
      <c r="E1170" s="22" t="s">
        <v>24</v>
      </c>
      <c r="F1170" s="22" t="s">
        <v>41</v>
      </c>
      <c r="G1170" s="22" t="s">
        <v>26</v>
      </c>
      <c r="H1170" s="22">
        <v>1</v>
      </c>
      <c r="I1170" s="22">
        <v>1</v>
      </c>
      <c r="J1170" s="22">
        <v>1</v>
      </c>
      <c r="K1170" s="22">
        <v>0</v>
      </c>
      <c r="L1170" s="22">
        <v>0</v>
      </c>
      <c r="M1170" s="22">
        <v>2</v>
      </c>
      <c r="N1170" s="22">
        <v>0</v>
      </c>
      <c r="O1170" s="22"/>
      <c r="P1170" s="22">
        <v>53.5</v>
      </c>
      <c r="Q1170" s="22" t="str">
        <f t="shared" si="54"/>
        <v>Normal</v>
      </c>
      <c r="R1170" s="26" t="str">
        <f t="shared" si="55"/>
        <v>USR-10116945739TreatmentSouthMobileSocialFree111002053.5</v>
      </c>
      <c r="S1170" s="22" t="str">
        <f t="shared" si="56"/>
        <v>OK</v>
      </c>
    </row>
    <row r="1171" spans="1:19" ht="41.4">
      <c r="A1171" s="22" t="s">
        <v>1202</v>
      </c>
      <c r="B1171" s="25">
        <v>45768</v>
      </c>
      <c r="C1171" s="22" t="s">
        <v>723</v>
      </c>
      <c r="D1171" s="22" t="s">
        <v>23</v>
      </c>
      <c r="E1171" s="22" t="s">
        <v>24</v>
      </c>
      <c r="F1171" s="22" t="s">
        <v>39</v>
      </c>
      <c r="G1171" s="22" t="s">
        <v>26</v>
      </c>
      <c r="H1171" s="22">
        <v>1</v>
      </c>
      <c r="I1171" s="22">
        <v>0</v>
      </c>
      <c r="J1171" s="22">
        <v>0</v>
      </c>
      <c r="K1171" s="22">
        <v>0</v>
      </c>
      <c r="L1171" s="22">
        <v>0</v>
      </c>
      <c r="M1171" s="22">
        <v>0</v>
      </c>
      <c r="N1171" s="22">
        <v>0</v>
      </c>
      <c r="O1171" s="22"/>
      <c r="P1171" s="22">
        <v>54.8</v>
      </c>
      <c r="Q1171" s="22" t="str">
        <f t="shared" si="54"/>
        <v>Normal</v>
      </c>
      <c r="R1171" s="26" t="str">
        <f t="shared" si="55"/>
        <v>USR-10117045768TreatmentWestMobileReferralFree100000054.8</v>
      </c>
      <c r="S1171" s="22" t="str">
        <f t="shared" si="56"/>
        <v>OK</v>
      </c>
    </row>
    <row r="1172" spans="1:19" ht="41.4">
      <c r="A1172" s="22" t="s">
        <v>1203</v>
      </c>
      <c r="B1172" s="25">
        <v>45798</v>
      </c>
      <c r="C1172" s="22" t="s">
        <v>723</v>
      </c>
      <c r="D1172" s="22" t="s">
        <v>18</v>
      </c>
      <c r="E1172" s="22" t="s">
        <v>24</v>
      </c>
      <c r="F1172" s="22" t="s">
        <v>25</v>
      </c>
      <c r="G1172" s="22" t="s">
        <v>30</v>
      </c>
      <c r="H1172" s="22">
        <v>1</v>
      </c>
      <c r="I1172" s="22">
        <v>0</v>
      </c>
      <c r="J1172" s="22">
        <v>0</v>
      </c>
      <c r="K1172" s="22">
        <v>0</v>
      </c>
      <c r="L1172" s="22">
        <v>0</v>
      </c>
      <c r="M1172" s="22">
        <v>0</v>
      </c>
      <c r="N1172" s="22">
        <v>0</v>
      </c>
      <c r="O1172" s="22"/>
      <c r="P1172" s="22">
        <v>69.5</v>
      </c>
      <c r="Q1172" s="22" t="str">
        <f t="shared" si="54"/>
        <v>Normal</v>
      </c>
      <c r="R1172" s="26" t="str">
        <f t="shared" si="55"/>
        <v>USR-10117145798TreatmentNorthMobileOrganicPremium100000069.5</v>
      </c>
      <c r="S1172" s="22" t="str">
        <f t="shared" si="56"/>
        <v>OK</v>
      </c>
    </row>
    <row r="1173" spans="1:19" ht="41.4">
      <c r="A1173" s="22" t="s">
        <v>1204</v>
      </c>
      <c r="B1173" s="25">
        <v>45772</v>
      </c>
      <c r="C1173" s="22" t="s">
        <v>723</v>
      </c>
      <c r="D1173" s="22" t="s">
        <v>18</v>
      </c>
      <c r="E1173" s="22" t="s">
        <v>19</v>
      </c>
      <c r="F1173" s="22" t="s">
        <v>41</v>
      </c>
      <c r="G1173" s="22" t="s">
        <v>26</v>
      </c>
      <c r="H1173" s="22">
        <v>1</v>
      </c>
      <c r="I1173" s="22">
        <v>0</v>
      </c>
      <c r="J1173" s="22">
        <v>0</v>
      </c>
      <c r="K1173" s="22">
        <v>0</v>
      </c>
      <c r="L1173" s="22">
        <v>0</v>
      </c>
      <c r="M1173" s="22">
        <v>1</v>
      </c>
      <c r="N1173" s="22">
        <v>0</v>
      </c>
      <c r="O1173" s="22"/>
      <c r="P1173" s="22">
        <v>71.3</v>
      </c>
      <c r="Q1173" s="22" t="str">
        <f t="shared" si="54"/>
        <v>Normal</v>
      </c>
      <c r="R1173" s="26" t="str">
        <f t="shared" si="55"/>
        <v>USR-10117245772TreatmentNorthDesktopSocialFree100001071.3</v>
      </c>
      <c r="S1173" s="22" t="str">
        <f t="shared" si="56"/>
        <v>OK</v>
      </c>
    </row>
    <row r="1174" spans="1:19" ht="41.4">
      <c r="A1174" s="22" t="s">
        <v>1205</v>
      </c>
      <c r="B1174" s="25">
        <v>45800</v>
      </c>
      <c r="C1174" s="22" t="s">
        <v>723</v>
      </c>
      <c r="D1174" s="22" t="s">
        <v>23</v>
      </c>
      <c r="E1174" s="22" t="s">
        <v>24</v>
      </c>
      <c r="F1174" s="22" t="s">
        <v>39</v>
      </c>
      <c r="G1174" s="22" t="s">
        <v>21</v>
      </c>
      <c r="H1174" s="22">
        <v>1</v>
      </c>
      <c r="I1174" s="22">
        <v>0</v>
      </c>
      <c r="J1174" s="22">
        <v>0</v>
      </c>
      <c r="K1174" s="22">
        <v>0</v>
      </c>
      <c r="L1174" s="22">
        <v>0</v>
      </c>
      <c r="M1174" s="22">
        <v>1</v>
      </c>
      <c r="N1174" s="22">
        <v>0</v>
      </c>
      <c r="O1174" s="22"/>
      <c r="P1174" s="22">
        <v>57.5</v>
      </c>
      <c r="Q1174" s="22" t="str">
        <f t="shared" si="54"/>
        <v>Normal</v>
      </c>
      <c r="R1174" s="26" t="str">
        <f t="shared" si="55"/>
        <v>USR-10117345800TreatmentWestMobileReferralBasic100001057.5</v>
      </c>
      <c r="S1174" s="22" t="str">
        <f t="shared" si="56"/>
        <v>OK</v>
      </c>
    </row>
    <row r="1175" spans="1:19" ht="41.4">
      <c r="A1175" s="22" t="s">
        <v>1206</v>
      </c>
      <c r="B1175" s="25">
        <v>45734</v>
      </c>
      <c r="C1175" s="22" t="s">
        <v>723</v>
      </c>
      <c r="D1175" s="22" t="s">
        <v>32</v>
      </c>
      <c r="E1175" s="22" t="s">
        <v>24</v>
      </c>
      <c r="F1175" s="22" t="s">
        <v>20</v>
      </c>
      <c r="G1175" s="22" t="s">
        <v>26</v>
      </c>
      <c r="H1175" s="22">
        <v>1</v>
      </c>
      <c r="I1175" s="22">
        <v>0</v>
      </c>
      <c r="J1175" s="22">
        <v>0</v>
      </c>
      <c r="K1175" s="22">
        <v>0</v>
      </c>
      <c r="L1175" s="22">
        <v>0</v>
      </c>
      <c r="M1175" s="22">
        <v>4</v>
      </c>
      <c r="N1175" s="22">
        <v>0</v>
      </c>
      <c r="O1175" s="22"/>
      <c r="P1175" s="22">
        <v>50.9</v>
      </c>
      <c r="Q1175" s="22" t="str">
        <f t="shared" si="54"/>
        <v>Normal</v>
      </c>
      <c r="R1175" s="26" t="str">
        <f t="shared" si="55"/>
        <v>USR-10117445734TreatmentSouthMobileEmailFree100004050.9</v>
      </c>
      <c r="S1175" s="22" t="str">
        <f t="shared" si="56"/>
        <v>OK</v>
      </c>
    </row>
    <row r="1176" spans="1:19" ht="41.4">
      <c r="A1176" s="22" t="s">
        <v>1207</v>
      </c>
      <c r="B1176" s="25">
        <v>45660</v>
      </c>
      <c r="C1176" s="22" t="s">
        <v>723</v>
      </c>
      <c r="D1176" s="22" t="s">
        <v>32</v>
      </c>
      <c r="E1176" s="22" t="s">
        <v>34</v>
      </c>
      <c r="F1176" s="22" t="s">
        <v>25</v>
      </c>
      <c r="G1176" s="22" t="s">
        <v>26</v>
      </c>
      <c r="H1176" s="22">
        <v>1</v>
      </c>
      <c r="I1176" s="22">
        <v>1</v>
      </c>
      <c r="J1176" s="22">
        <v>1</v>
      </c>
      <c r="K1176" s="22">
        <v>0</v>
      </c>
      <c r="L1176" s="22">
        <v>0</v>
      </c>
      <c r="M1176" s="22">
        <v>0</v>
      </c>
      <c r="N1176" s="22">
        <v>0</v>
      </c>
      <c r="O1176" s="22"/>
      <c r="P1176" s="22">
        <v>69.3</v>
      </c>
      <c r="Q1176" s="22" t="str">
        <f t="shared" si="54"/>
        <v>Normal</v>
      </c>
      <c r="R1176" s="26" t="str">
        <f t="shared" si="55"/>
        <v>USR-10117545660TreatmentSouthTabletOrganicFree111000069.3</v>
      </c>
      <c r="S1176" s="22" t="str">
        <f t="shared" si="56"/>
        <v>OK</v>
      </c>
    </row>
    <row r="1177" spans="1:19" ht="41.4">
      <c r="A1177" s="22" t="s">
        <v>1208</v>
      </c>
      <c r="B1177" s="25">
        <v>45696</v>
      </c>
      <c r="C1177" s="22" t="s">
        <v>723</v>
      </c>
      <c r="D1177" s="22" t="s">
        <v>23</v>
      </c>
      <c r="E1177" s="22" t="s">
        <v>19</v>
      </c>
      <c r="F1177" s="22" t="s">
        <v>25</v>
      </c>
      <c r="G1177" s="22" t="s">
        <v>26</v>
      </c>
      <c r="H1177" s="22">
        <v>1</v>
      </c>
      <c r="I1177" s="22">
        <v>0</v>
      </c>
      <c r="J1177" s="22">
        <v>0</v>
      </c>
      <c r="K1177" s="22">
        <v>0</v>
      </c>
      <c r="L1177" s="22">
        <v>0</v>
      </c>
      <c r="M1177" s="22">
        <v>0</v>
      </c>
      <c r="N1177" s="22">
        <v>0</v>
      </c>
      <c r="O1177" s="22"/>
      <c r="P1177" s="22">
        <v>50.1</v>
      </c>
      <c r="Q1177" s="22" t="str">
        <f t="shared" si="54"/>
        <v>Normal</v>
      </c>
      <c r="R1177" s="26" t="str">
        <f t="shared" si="55"/>
        <v>USR-10117645696TreatmentWestDesktopOrganicFree100000050.1</v>
      </c>
      <c r="S1177" s="22" t="str">
        <f t="shared" si="56"/>
        <v>OK</v>
      </c>
    </row>
    <row r="1178" spans="1:19" ht="41.4">
      <c r="A1178" s="22" t="s">
        <v>1209</v>
      </c>
      <c r="B1178" s="25">
        <v>45692</v>
      </c>
      <c r="C1178" s="22" t="s">
        <v>723</v>
      </c>
      <c r="D1178" s="22" t="s">
        <v>28</v>
      </c>
      <c r="E1178" s="22"/>
      <c r="F1178" s="22" t="s">
        <v>29</v>
      </c>
      <c r="G1178" s="22" t="s">
        <v>21</v>
      </c>
      <c r="H1178" s="22">
        <v>0</v>
      </c>
      <c r="I1178" s="22">
        <v>0</v>
      </c>
      <c r="J1178" s="22">
        <v>0</v>
      </c>
      <c r="K1178" s="22">
        <v>0</v>
      </c>
      <c r="L1178" s="22">
        <v>0</v>
      </c>
      <c r="M1178" s="22">
        <v>0</v>
      </c>
      <c r="N1178" s="22">
        <v>0</v>
      </c>
      <c r="O1178" s="22"/>
      <c r="P1178" s="22">
        <v>69.7</v>
      </c>
      <c r="Q1178" s="22" t="str">
        <f t="shared" si="54"/>
        <v>Normal</v>
      </c>
      <c r="R1178" s="26" t="str">
        <f t="shared" si="55"/>
        <v>USR-10117745692TreatmentEastPaid SearchBasic000000069.7</v>
      </c>
      <c r="S1178" s="22" t="str">
        <f t="shared" si="56"/>
        <v>OK</v>
      </c>
    </row>
    <row r="1179" spans="1:19" ht="41.4">
      <c r="A1179" s="22" t="s">
        <v>1210</v>
      </c>
      <c r="B1179" s="25">
        <v>45673</v>
      </c>
      <c r="C1179" s="22" t="s">
        <v>723</v>
      </c>
      <c r="D1179" s="22" t="s">
        <v>18</v>
      </c>
      <c r="E1179" s="22" t="s">
        <v>24</v>
      </c>
      <c r="F1179" s="22" t="s">
        <v>29</v>
      </c>
      <c r="G1179" s="22" t="s">
        <v>26</v>
      </c>
      <c r="H1179" s="22">
        <v>0</v>
      </c>
      <c r="I1179" s="22">
        <v>0</v>
      </c>
      <c r="J1179" s="22">
        <v>0</v>
      </c>
      <c r="K1179" s="22">
        <v>0</v>
      </c>
      <c r="L1179" s="22">
        <v>0</v>
      </c>
      <c r="M1179" s="22">
        <v>0</v>
      </c>
      <c r="N1179" s="22">
        <v>0</v>
      </c>
      <c r="O1179" s="22"/>
      <c r="P1179" s="22">
        <v>63.5</v>
      </c>
      <c r="Q1179" s="22" t="str">
        <f t="shared" si="54"/>
        <v>Normal</v>
      </c>
      <c r="R1179" s="26" t="str">
        <f t="shared" si="55"/>
        <v>USR-10117845673TreatmentNorthMobilePaid SearchFree000000063.5</v>
      </c>
      <c r="S1179" s="22" t="str">
        <f t="shared" si="56"/>
        <v>OK</v>
      </c>
    </row>
    <row r="1180" spans="1:19" ht="55.2">
      <c r="A1180" s="22" t="s">
        <v>1211</v>
      </c>
      <c r="B1180" s="25">
        <v>45751</v>
      </c>
      <c r="C1180" s="22" t="s">
        <v>723</v>
      </c>
      <c r="D1180" s="22" t="s">
        <v>23</v>
      </c>
      <c r="E1180" s="22" t="s">
        <v>19</v>
      </c>
      <c r="F1180" s="22" t="s">
        <v>29</v>
      </c>
      <c r="G1180" s="22" t="s">
        <v>26</v>
      </c>
      <c r="H1180" s="22">
        <v>1</v>
      </c>
      <c r="I1180" s="22">
        <v>1</v>
      </c>
      <c r="J1180" s="22">
        <v>1</v>
      </c>
      <c r="K1180" s="22">
        <v>1</v>
      </c>
      <c r="L1180" s="22">
        <v>265.58999999999997</v>
      </c>
      <c r="M1180" s="22">
        <v>1</v>
      </c>
      <c r="N1180" s="22">
        <v>0</v>
      </c>
      <c r="O1180" s="22">
        <v>8</v>
      </c>
      <c r="P1180" s="22">
        <v>80.400000000000006</v>
      </c>
      <c r="Q1180" s="22" t="str">
        <f t="shared" si="54"/>
        <v>Normal</v>
      </c>
      <c r="R1180" s="26" t="str">
        <f t="shared" si="55"/>
        <v>USR-10117945751TreatmentWestDesktopPaid SearchFree1111265.5910880.4</v>
      </c>
      <c r="S1180" s="22" t="str">
        <f t="shared" si="56"/>
        <v>OK</v>
      </c>
    </row>
    <row r="1181" spans="1:19" ht="41.4">
      <c r="A1181" s="22" t="s">
        <v>1212</v>
      </c>
      <c r="B1181" s="25">
        <v>45680</v>
      </c>
      <c r="C1181" s="22" t="s">
        <v>723</v>
      </c>
      <c r="D1181" s="22" t="s">
        <v>18</v>
      </c>
      <c r="E1181" s="22" t="s">
        <v>19</v>
      </c>
      <c r="F1181" s="22" t="s">
        <v>29</v>
      </c>
      <c r="G1181" s="22" t="s">
        <v>26</v>
      </c>
      <c r="H1181" s="22">
        <v>0</v>
      </c>
      <c r="I1181" s="22">
        <v>0</v>
      </c>
      <c r="J1181" s="22">
        <v>0</v>
      </c>
      <c r="K1181" s="22">
        <v>0</v>
      </c>
      <c r="L1181" s="22">
        <v>0</v>
      </c>
      <c r="M1181" s="22">
        <v>0</v>
      </c>
      <c r="N1181" s="22">
        <v>0</v>
      </c>
      <c r="O1181" s="22"/>
      <c r="P1181" s="22">
        <v>58.9</v>
      </c>
      <c r="Q1181" s="22" t="str">
        <f t="shared" si="54"/>
        <v>Normal</v>
      </c>
      <c r="R1181" s="26" t="str">
        <f t="shared" si="55"/>
        <v>USR-10118045680TreatmentNorthDesktopPaid SearchFree000000058.9</v>
      </c>
      <c r="S1181" s="22" t="str">
        <f t="shared" si="56"/>
        <v>OK</v>
      </c>
    </row>
    <row r="1182" spans="1:19" ht="41.4">
      <c r="A1182" s="22" t="s">
        <v>1213</v>
      </c>
      <c r="B1182" s="25">
        <v>45738</v>
      </c>
      <c r="C1182" s="22" t="s">
        <v>723</v>
      </c>
      <c r="D1182" s="22" t="s">
        <v>32</v>
      </c>
      <c r="E1182" s="22" t="s">
        <v>19</v>
      </c>
      <c r="F1182" s="22" t="s">
        <v>29</v>
      </c>
      <c r="G1182" s="22" t="s">
        <v>26</v>
      </c>
      <c r="H1182" s="22">
        <v>1</v>
      </c>
      <c r="I1182" s="22">
        <v>0</v>
      </c>
      <c r="J1182" s="22">
        <v>0</v>
      </c>
      <c r="K1182" s="22">
        <v>0</v>
      </c>
      <c r="L1182" s="22">
        <v>0</v>
      </c>
      <c r="M1182" s="22">
        <v>0</v>
      </c>
      <c r="N1182" s="22">
        <v>0</v>
      </c>
      <c r="O1182" s="22"/>
      <c r="P1182" s="22">
        <v>56.8</v>
      </c>
      <c r="Q1182" s="22" t="str">
        <f t="shared" si="54"/>
        <v>Normal</v>
      </c>
      <c r="R1182" s="26" t="str">
        <f t="shared" si="55"/>
        <v>USR-10118145738TreatmentSouthDesktopPaid SearchFree100000056.8</v>
      </c>
      <c r="S1182" s="22" t="str">
        <f t="shared" si="56"/>
        <v>OK</v>
      </c>
    </row>
    <row r="1183" spans="1:19" ht="41.4">
      <c r="A1183" s="22" t="s">
        <v>1214</v>
      </c>
      <c r="B1183" s="25">
        <v>45690</v>
      </c>
      <c r="C1183" s="22" t="s">
        <v>723</v>
      </c>
      <c r="D1183" s="22" t="s">
        <v>28</v>
      </c>
      <c r="E1183" s="22" t="s">
        <v>34</v>
      </c>
      <c r="F1183" s="22" t="s">
        <v>41</v>
      </c>
      <c r="G1183" s="22" t="s">
        <v>30</v>
      </c>
      <c r="H1183" s="22">
        <v>0</v>
      </c>
      <c r="I1183" s="22">
        <v>0</v>
      </c>
      <c r="J1183" s="22">
        <v>0</v>
      </c>
      <c r="K1183" s="22">
        <v>0</v>
      </c>
      <c r="L1183" s="22">
        <v>0</v>
      </c>
      <c r="M1183" s="22">
        <v>0</v>
      </c>
      <c r="N1183" s="22">
        <v>0</v>
      </c>
      <c r="O1183" s="22"/>
      <c r="P1183" s="22">
        <v>73.900000000000006</v>
      </c>
      <c r="Q1183" s="22" t="str">
        <f t="shared" si="54"/>
        <v>Normal</v>
      </c>
      <c r="R1183" s="26" t="str">
        <f t="shared" si="55"/>
        <v>USR-10118245690TreatmentEastTabletSocialPremium000000073.9</v>
      </c>
      <c r="S1183" s="22" t="str">
        <f t="shared" si="56"/>
        <v>OK</v>
      </c>
    </row>
    <row r="1184" spans="1:19" ht="41.4">
      <c r="A1184" s="22" t="s">
        <v>1215</v>
      </c>
      <c r="B1184" s="25">
        <v>45688</v>
      </c>
      <c r="C1184" s="22" t="s">
        <v>723</v>
      </c>
      <c r="D1184" s="22" t="s">
        <v>18</v>
      </c>
      <c r="E1184" s="22" t="s">
        <v>19</v>
      </c>
      <c r="F1184" s="22" t="s">
        <v>29</v>
      </c>
      <c r="G1184" s="22" t="s">
        <v>26</v>
      </c>
      <c r="H1184" s="22">
        <v>0</v>
      </c>
      <c r="I1184" s="22">
        <v>0</v>
      </c>
      <c r="J1184" s="22">
        <v>0</v>
      </c>
      <c r="K1184" s="22">
        <v>0</v>
      </c>
      <c r="L1184" s="22">
        <v>0</v>
      </c>
      <c r="M1184" s="22">
        <v>0</v>
      </c>
      <c r="N1184" s="22">
        <v>0</v>
      </c>
      <c r="O1184" s="22"/>
      <c r="P1184" s="22">
        <v>76.3</v>
      </c>
      <c r="Q1184" s="22" t="str">
        <f t="shared" si="54"/>
        <v>Normal</v>
      </c>
      <c r="R1184" s="26" t="str">
        <f t="shared" si="55"/>
        <v>USR-10118345688TreatmentNorthDesktopPaid SearchFree000000076.3</v>
      </c>
      <c r="S1184" s="22" t="str">
        <f t="shared" si="56"/>
        <v>OK</v>
      </c>
    </row>
    <row r="1185" spans="1:19" ht="41.4">
      <c r="A1185" s="22" t="s">
        <v>1216</v>
      </c>
      <c r="B1185" s="25">
        <v>45804</v>
      </c>
      <c r="C1185" s="22" t="s">
        <v>723</v>
      </c>
      <c r="D1185" s="22" t="s">
        <v>23</v>
      </c>
      <c r="E1185" s="22" t="s">
        <v>24</v>
      </c>
      <c r="F1185" s="22" t="s">
        <v>25</v>
      </c>
      <c r="G1185" s="22" t="s">
        <v>21</v>
      </c>
      <c r="H1185" s="22">
        <v>1</v>
      </c>
      <c r="I1185" s="22">
        <v>0</v>
      </c>
      <c r="J1185" s="22">
        <v>0</v>
      </c>
      <c r="K1185" s="22">
        <v>0</v>
      </c>
      <c r="L1185" s="22">
        <v>0</v>
      </c>
      <c r="M1185" s="22">
        <v>0</v>
      </c>
      <c r="N1185" s="22">
        <v>0</v>
      </c>
      <c r="O1185" s="22"/>
      <c r="P1185" s="22">
        <v>56.9</v>
      </c>
      <c r="Q1185" s="22" t="str">
        <f t="shared" si="54"/>
        <v>Normal</v>
      </c>
      <c r="R1185" s="26" t="str">
        <f t="shared" si="55"/>
        <v>USR-10118445804TreatmentWestMobileOrganicBasic100000056.9</v>
      </c>
      <c r="S1185" s="22" t="str">
        <f t="shared" si="56"/>
        <v>OK</v>
      </c>
    </row>
    <row r="1186" spans="1:19" ht="41.4">
      <c r="A1186" s="22" t="s">
        <v>1217</v>
      </c>
      <c r="B1186" s="25">
        <v>45784</v>
      </c>
      <c r="C1186" s="22" t="s">
        <v>723</v>
      </c>
      <c r="D1186" s="22" t="s">
        <v>18</v>
      </c>
      <c r="E1186" s="22" t="s">
        <v>24</v>
      </c>
      <c r="F1186" s="22" t="s">
        <v>25</v>
      </c>
      <c r="G1186" s="22" t="s">
        <v>30</v>
      </c>
      <c r="H1186" s="22">
        <v>1</v>
      </c>
      <c r="I1186" s="22">
        <v>0</v>
      </c>
      <c r="J1186" s="22">
        <v>0</v>
      </c>
      <c r="K1186" s="22">
        <v>0</v>
      </c>
      <c r="L1186" s="22">
        <v>0</v>
      </c>
      <c r="M1186" s="22">
        <v>2</v>
      </c>
      <c r="N1186" s="22">
        <v>0</v>
      </c>
      <c r="O1186" s="22"/>
      <c r="P1186" s="22">
        <v>49.4</v>
      </c>
      <c r="Q1186" s="22" t="str">
        <f t="shared" si="54"/>
        <v>Normal</v>
      </c>
      <c r="R1186" s="26" t="str">
        <f t="shared" si="55"/>
        <v>USR-10118545784TreatmentNorthMobileOrganicPremium100002049.4</v>
      </c>
      <c r="S1186" s="22" t="str">
        <f t="shared" si="56"/>
        <v>OK</v>
      </c>
    </row>
    <row r="1187" spans="1:19" ht="41.4">
      <c r="A1187" s="22" t="s">
        <v>1218</v>
      </c>
      <c r="B1187" s="25">
        <v>45785</v>
      </c>
      <c r="C1187" s="22" t="s">
        <v>723</v>
      </c>
      <c r="D1187" s="22" t="s">
        <v>18</v>
      </c>
      <c r="E1187" s="22" t="s">
        <v>19</v>
      </c>
      <c r="F1187" s="22" t="s">
        <v>29</v>
      </c>
      <c r="G1187" s="22" t="s">
        <v>21</v>
      </c>
      <c r="H1187" s="22">
        <v>1</v>
      </c>
      <c r="I1187" s="22">
        <v>0</v>
      </c>
      <c r="J1187" s="22">
        <v>0</v>
      </c>
      <c r="K1187" s="22">
        <v>0</v>
      </c>
      <c r="L1187" s="22">
        <v>0</v>
      </c>
      <c r="M1187" s="22">
        <v>0</v>
      </c>
      <c r="N1187" s="22">
        <v>0</v>
      </c>
      <c r="O1187" s="22"/>
      <c r="P1187" s="22">
        <v>86.7</v>
      </c>
      <c r="Q1187" s="22" t="str">
        <f t="shared" si="54"/>
        <v>Normal</v>
      </c>
      <c r="R1187" s="26" t="str">
        <f t="shared" si="55"/>
        <v>USR-10118645785TreatmentNorthDesktopPaid SearchBasic100000086.7</v>
      </c>
      <c r="S1187" s="22" t="str">
        <f t="shared" si="56"/>
        <v>OK</v>
      </c>
    </row>
    <row r="1188" spans="1:19" ht="41.4">
      <c r="A1188" s="22" t="s">
        <v>1219</v>
      </c>
      <c r="B1188" s="25">
        <v>45672</v>
      </c>
      <c r="C1188" s="22" t="s">
        <v>723</v>
      </c>
      <c r="D1188" s="22" t="s">
        <v>23</v>
      </c>
      <c r="E1188" s="22" t="s">
        <v>19</v>
      </c>
      <c r="F1188" s="22" t="s">
        <v>20</v>
      </c>
      <c r="G1188" s="22" t="s">
        <v>26</v>
      </c>
      <c r="H1188" s="22">
        <v>1</v>
      </c>
      <c r="I1188" s="22">
        <v>0</v>
      </c>
      <c r="J1188" s="22">
        <v>0</v>
      </c>
      <c r="K1188" s="22">
        <v>0</v>
      </c>
      <c r="L1188" s="22">
        <v>0</v>
      </c>
      <c r="M1188" s="22">
        <v>3</v>
      </c>
      <c r="N1188" s="22">
        <v>0</v>
      </c>
      <c r="O1188" s="22"/>
      <c r="P1188" s="22">
        <v>69</v>
      </c>
      <c r="Q1188" s="22" t="str">
        <f t="shared" si="54"/>
        <v>Normal</v>
      </c>
      <c r="R1188" s="26" t="str">
        <f t="shared" si="55"/>
        <v>USR-10118745672TreatmentWestDesktopEmailFree100003069</v>
      </c>
      <c r="S1188" s="22" t="str">
        <f t="shared" si="56"/>
        <v>OK</v>
      </c>
    </row>
    <row r="1189" spans="1:19" ht="41.4">
      <c r="A1189" s="22" t="s">
        <v>1220</v>
      </c>
      <c r="B1189" s="25">
        <v>45675</v>
      </c>
      <c r="C1189" s="22" t="s">
        <v>723</v>
      </c>
      <c r="D1189" s="22" t="s">
        <v>18</v>
      </c>
      <c r="E1189" s="22" t="s">
        <v>24</v>
      </c>
      <c r="F1189" s="22" t="s">
        <v>29</v>
      </c>
      <c r="G1189" s="22" t="s">
        <v>26</v>
      </c>
      <c r="H1189" s="22">
        <v>0</v>
      </c>
      <c r="I1189" s="22">
        <v>0</v>
      </c>
      <c r="J1189" s="22">
        <v>0</v>
      </c>
      <c r="K1189" s="22">
        <v>0</v>
      </c>
      <c r="L1189" s="22">
        <v>0</v>
      </c>
      <c r="M1189" s="22">
        <v>0</v>
      </c>
      <c r="N1189" s="22">
        <v>0</v>
      </c>
      <c r="O1189" s="22"/>
      <c r="P1189" s="22">
        <v>84.5</v>
      </c>
      <c r="Q1189" s="22" t="str">
        <f t="shared" si="54"/>
        <v>Normal</v>
      </c>
      <c r="R1189" s="26" t="str">
        <f t="shared" si="55"/>
        <v>USR-10118845675TreatmentNorthMobilePaid SearchFree000000084.5</v>
      </c>
      <c r="S1189" s="22" t="str">
        <f t="shared" si="56"/>
        <v>OK</v>
      </c>
    </row>
    <row r="1190" spans="1:19" ht="41.4">
      <c r="A1190" s="22" t="s">
        <v>1221</v>
      </c>
      <c r="B1190" s="25">
        <v>45763</v>
      </c>
      <c r="C1190" s="22" t="s">
        <v>723</v>
      </c>
      <c r="D1190" s="22" t="s">
        <v>28</v>
      </c>
      <c r="E1190" s="22"/>
      <c r="F1190" s="22" t="s">
        <v>39</v>
      </c>
      <c r="G1190" s="22" t="s">
        <v>26</v>
      </c>
      <c r="H1190" s="22">
        <v>1</v>
      </c>
      <c r="I1190" s="22">
        <v>0</v>
      </c>
      <c r="J1190" s="22">
        <v>0</v>
      </c>
      <c r="K1190" s="22">
        <v>0</v>
      </c>
      <c r="L1190" s="22">
        <v>0</v>
      </c>
      <c r="M1190" s="22">
        <v>0</v>
      </c>
      <c r="N1190" s="22">
        <v>0</v>
      </c>
      <c r="O1190" s="22"/>
      <c r="P1190" s="22">
        <v>66.3</v>
      </c>
      <c r="Q1190" s="22" t="str">
        <f t="shared" si="54"/>
        <v>Normal</v>
      </c>
      <c r="R1190" s="26" t="str">
        <f t="shared" si="55"/>
        <v>USR-10118945763TreatmentEastReferralFree100000066.3</v>
      </c>
      <c r="S1190" s="22" t="str">
        <f t="shared" si="56"/>
        <v>OK</v>
      </c>
    </row>
    <row r="1191" spans="1:19" ht="41.4">
      <c r="A1191" s="22" t="s">
        <v>1222</v>
      </c>
      <c r="B1191" s="25">
        <v>45704</v>
      </c>
      <c r="C1191" s="22" t="s">
        <v>723</v>
      </c>
      <c r="D1191" s="22" t="s">
        <v>28</v>
      </c>
      <c r="E1191" s="22" t="s">
        <v>19</v>
      </c>
      <c r="F1191" s="22" t="s">
        <v>29</v>
      </c>
      <c r="G1191" s="22" t="s">
        <v>26</v>
      </c>
      <c r="H1191" s="22">
        <v>0</v>
      </c>
      <c r="I1191" s="22">
        <v>0</v>
      </c>
      <c r="J1191" s="22">
        <v>0</v>
      </c>
      <c r="K1191" s="22">
        <v>0</v>
      </c>
      <c r="L1191" s="22">
        <v>0</v>
      </c>
      <c r="M1191" s="22">
        <v>0</v>
      </c>
      <c r="N1191" s="22">
        <v>0</v>
      </c>
      <c r="O1191" s="22"/>
      <c r="P1191" s="22">
        <v>52.2</v>
      </c>
      <c r="Q1191" s="22" t="str">
        <f t="shared" si="54"/>
        <v>Normal</v>
      </c>
      <c r="R1191" s="26" t="str">
        <f t="shared" si="55"/>
        <v>USR-10119045704TreatmentEastDesktopPaid SearchFree000000052.2</v>
      </c>
      <c r="S1191" s="22" t="str">
        <f t="shared" si="56"/>
        <v>OK</v>
      </c>
    </row>
    <row r="1192" spans="1:19" ht="41.4">
      <c r="A1192" s="22" t="s">
        <v>1223</v>
      </c>
      <c r="B1192" s="25">
        <v>45764</v>
      </c>
      <c r="C1192" s="22" t="s">
        <v>723</v>
      </c>
      <c r="D1192" s="22" t="s">
        <v>32</v>
      </c>
      <c r="E1192" s="22" t="s">
        <v>19</v>
      </c>
      <c r="F1192" s="22" t="s">
        <v>39</v>
      </c>
      <c r="G1192" s="22" t="s">
        <v>30</v>
      </c>
      <c r="H1192" s="22">
        <v>1</v>
      </c>
      <c r="I1192" s="22">
        <v>1</v>
      </c>
      <c r="J1192" s="22">
        <v>1</v>
      </c>
      <c r="K1192" s="22">
        <v>0</v>
      </c>
      <c r="L1192" s="22">
        <v>0</v>
      </c>
      <c r="M1192" s="22">
        <v>0</v>
      </c>
      <c r="N1192" s="22">
        <v>0</v>
      </c>
      <c r="O1192" s="22"/>
      <c r="P1192" s="22">
        <v>81.2</v>
      </c>
      <c r="Q1192" s="22" t="str">
        <f t="shared" si="54"/>
        <v>Normal</v>
      </c>
      <c r="R1192" s="26" t="str">
        <f t="shared" si="55"/>
        <v>USR-10119145764TreatmentSouthDesktopReferralPremium111000081.2</v>
      </c>
      <c r="S1192" s="22" t="str">
        <f t="shared" si="56"/>
        <v>OK</v>
      </c>
    </row>
    <row r="1193" spans="1:19" ht="41.4">
      <c r="A1193" s="22" t="s">
        <v>1224</v>
      </c>
      <c r="B1193" s="25">
        <v>45777</v>
      </c>
      <c r="C1193" s="22" t="s">
        <v>723</v>
      </c>
      <c r="D1193" s="22" t="s">
        <v>32</v>
      </c>
      <c r="E1193" s="22" t="s">
        <v>24</v>
      </c>
      <c r="F1193" s="22" t="s">
        <v>25</v>
      </c>
      <c r="G1193" s="22" t="s">
        <v>21</v>
      </c>
      <c r="H1193" s="22">
        <v>0</v>
      </c>
      <c r="I1193" s="22">
        <v>0</v>
      </c>
      <c r="J1193" s="22">
        <v>0</v>
      </c>
      <c r="K1193" s="22">
        <v>0</v>
      </c>
      <c r="L1193" s="22">
        <v>0</v>
      </c>
      <c r="M1193" s="22">
        <v>0</v>
      </c>
      <c r="N1193" s="22">
        <v>0</v>
      </c>
      <c r="O1193" s="22"/>
      <c r="P1193" s="22">
        <v>53.9</v>
      </c>
      <c r="Q1193" s="22" t="str">
        <f t="shared" si="54"/>
        <v>Normal</v>
      </c>
      <c r="R1193" s="26" t="str">
        <f t="shared" si="55"/>
        <v>USR-10119245777TreatmentSouthMobileOrganicBasic000000053.9</v>
      </c>
      <c r="S1193" s="22" t="str">
        <f t="shared" si="56"/>
        <v>OK</v>
      </c>
    </row>
    <row r="1194" spans="1:19" ht="41.4">
      <c r="A1194" s="22" t="s">
        <v>1225</v>
      </c>
      <c r="B1194" s="25">
        <v>45686</v>
      </c>
      <c r="C1194" s="22" t="s">
        <v>723</v>
      </c>
      <c r="D1194" s="22" t="s">
        <v>23</v>
      </c>
      <c r="E1194" s="22" t="s">
        <v>24</v>
      </c>
      <c r="F1194" s="22" t="s">
        <v>41</v>
      </c>
      <c r="G1194" s="22" t="s">
        <v>30</v>
      </c>
      <c r="H1194" s="22">
        <v>0</v>
      </c>
      <c r="I1194" s="22">
        <v>0</v>
      </c>
      <c r="J1194" s="22">
        <v>0</v>
      </c>
      <c r="K1194" s="22">
        <v>0</v>
      </c>
      <c r="L1194" s="22">
        <v>0</v>
      </c>
      <c r="M1194" s="22">
        <v>0</v>
      </c>
      <c r="N1194" s="22">
        <v>0</v>
      </c>
      <c r="O1194" s="22"/>
      <c r="P1194" s="22">
        <v>39.1</v>
      </c>
      <c r="Q1194" s="22" t="str">
        <f t="shared" si="54"/>
        <v>Normal</v>
      </c>
      <c r="R1194" s="26" t="str">
        <f t="shared" si="55"/>
        <v>USR-10119345686TreatmentWestMobileSocialPremium000000039.1</v>
      </c>
      <c r="S1194" s="22" t="str">
        <f t="shared" si="56"/>
        <v>OK</v>
      </c>
    </row>
    <row r="1195" spans="1:19" ht="41.4">
      <c r="A1195" s="22" t="s">
        <v>1226</v>
      </c>
      <c r="B1195" s="25">
        <v>45668</v>
      </c>
      <c r="C1195" s="22" t="s">
        <v>723</v>
      </c>
      <c r="D1195" s="22" t="s">
        <v>18</v>
      </c>
      <c r="E1195" s="22" t="s">
        <v>24</v>
      </c>
      <c r="F1195" s="22" t="s">
        <v>41</v>
      </c>
      <c r="G1195" s="22" t="s">
        <v>21</v>
      </c>
      <c r="H1195" s="22">
        <v>0</v>
      </c>
      <c r="I1195" s="22">
        <v>0</v>
      </c>
      <c r="J1195" s="22">
        <v>0</v>
      </c>
      <c r="K1195" s="22">
        <v>0</v>
      </c>
      <c r="L1195" s="22">
        <v>0</v>
      </c>
      <c r="M1195" s="22">
        <v>0</v>
      </c>
      <c r="N1195" s="22">
        <v>0</v>
      </c>
      <c r="O1195" s="22"/>
      <c r="P1195" s="22">
        <v>57.3</v>
      </c>
      <c r="Q1195" s="22" t="str">
        <f t="shared" si="54"/>
        <v>Normal</v>
      </c>
      <c r="R1195" s="26" t="str">
        <f t="shared" si="55"/>
        <v>USR-10119445668TreatmentNorthMobileSocialBasic000000057.3</v>
      </c>
      <c r="S1195" s="22" t="str">
        <f t="shared" si="56"/>
        <v>OK</v>
      </c>
    </row>
    <row r="1196" spans="1:19" ht="41.4">
      <c r="A1196" s="22" t="s">
        <v>1227</v>
      </c>
      <c r="B1196" s="25">
        <v>45755</v>
      </c>
      <c r="C1196" s="22" t="s">
        <v>723</v>
      </c>
      <c r="D1196" s="22" t="s">
        <v>28</v>
      </c>
      <c r="E1196" s="22" t="s">
        <v>19</v>
      </c>
      <c r="F1196" s="22" t="s">
        <v>29</v>
      </c>
      <c r="G1196" s="22" t="s">
        <v>30</v>
      </c>
      <c r="H1196" s="22">
        <v>1</v>
      </c>
      <c r="I1196" s="22">
        <v>0</v>
      </c>
      <c r="J1196" s="22">
        <v>0</v>
      </c>
      <c r="K1196" s="22">
        <v>0</v>
      </c>
      <c r="L1196" s="22">
        <v>0</v>
      </c>
      <c r="M1196" s="22">
        <v>1</v>
      </c>
      <c r="N1196" s="22">
        <v>0</v>
      </c>
      <c r="O1196" s="22"/>
      <c r="P1196" s="22">
        <v>65.900000000000006</v>
      </c>
      <c r="Q1196" s="22" t="str">
        <f t="shared" si="54"/>
        <v>Normal</v>
      </c>
      <c r="R1196" s="26" t="str">
        <f t="shared" si="55"/>
        <v>USR-10119545755TreatmentEastDesktopPaid SearchPremium100001065.9</v>
      </c>
      <c r="S1196" s="22" t="str">
        <f t="shared" si="56"/>
        <v>OK</v>
      </c>
    </row>
    <row r="1197" spans="1:19" ht="41.4">
      <c r="A1197" s="22" t="s">
        <v>1228</v>
      </c>
      <c r="B1197" s="25">
        <v>45710</v>
      </c>
      <c r="C1197" s="22" t="s">
        <v>723</v>
      </c>
      <c r="D1197" s="22" t="s">
        <v>18</v>
      </c>
      <c r="E1197" s="22"/>
      <c r="F1197" s="22" t="s">
        <v>41</v>
      </c>
      <c r="G1197" s="22" t="s">
        <v>26</v>
      </c>
      <c r="H1197" s="22">
        <v>1</v>
      </c>
      <c r="I1197" s="22">
        <v>0</v>
      </c>
      <c r="J1197" s="22">
        <v>0</v>
      </c>
      <c r="K1197" s="22">
        <v>0</v>
      </c>
      <c r="L1197" s="22">
        <v>0</v>
      </c>
      <c r="M1197" s="22">
        <v>1</v>
      </c>
      <c r="N1197" s="22">
        <v>0</v>
      </c>
      <c r="O1197" s="22"/>
      <c r="P1197" s="22">
        <v>34.200000000000003</v>
      </c>
      <c r="Q1197" s="22" t="str">
        <f t="shared" si="54"/>
        <v>Normal</v>
      </c>
      <c r="R1197" s="26" t="str">
        <f t="shared" si="55"/>
        <v>USR-10119645710TreatmentNorthSocialFree100001034.2</v>
      </c>
      <c r="S1197" s="22" t="str">
        <f t="shared" si="56"/>
        <v>OK</v>
      </c>
    </row>
    <row r="1198" spans="1:19" ht="41.4">
      <c r="A1198" s="22" t="s">
        <v>1229</v>
      </c>
      <c r="B1198" s="25">
        <v>45739</v>
      </c>
      <c r="C1198" s="22" t="s">
        <v>723</v>
      </c>
      <c r="D1198" s="22" t="s">
        <v>32</v>
      </c>
      <c r="E1198" s="22" t="s">
        <v>24</v>
      </c>
      <c r="F1198" s="22" t="s">
        <v>25</v>
      </c>
      <c r="G1198" s="22" t="s">
        <v>26</v>
      </c>
      <c r="H1198" s="22">
        <v>0</v>
      </c>
      <c r="I1198" s="22">
        <v>0</v>
      </c>
      <c r="J1198" s="22">
        <v>0</v>
      </c>
      <c r="K1198" s="22">
        <v>0</v>
      </c>
      <c r="L1198" s="22">
        <v>0</v>
      </c>
      <c r="M1198" s="22">
        <v>0</v>
      </c>
      <c r="N1198" s="22">
        <v>0</v>
      </c>
      <c r="O1198" s="22"/>
      <c r="P1198" s="22">
        <v>47.2</v>
      </c>
      <c r="Q1198" s="22" t="str">
        <f t="shared" si="54"/>
        <v>Normal</v>
      </c>
      <c r="R1198" s="26" t="str">
        <f t="shared" si="55"/>
        <v>USR-10119745739TreatmentSouthMobileOrganicFree000000047.2</v>
      </c>
      <c r="S1198" s="22" t="str">
        <f t="shared" si="56"/>
        <v>OK</v>
      </c>
    </row>
    <row r="1199" spans="1:19" ht="41.4">
      <c r="A1199" s="22" t="s">
        <v>1230</v>
      </c>
      <c r="B1199" s="25">
        <v>45800</v>
      </c>
      <c r="C1199" s="22" t="s">
        <v>723</v>
      </c>
      <c r="D1199" s="22" t="s">
        <v>32</v>
      </c>
      <c r="E1199" s="22" t="s">
        <v>34</v>
      </c>
      <c r="F1199" s="22" t="s">
        <v>29</v>
      </c>
      <c r="G1199" s="22" t="s">
        <v>26</v>
      </c>
      <c r="H1199" s="22">
        <v>1</v>
      </c>
      <c r="I1199" s="22">
        <v>0</v>
      </c>
      <c r="J1199" s="22">
        <v>0</v>
      </c>
      <c r="K1199" s="22">
        <v>0</v>
      </c>
      <c r="L1199" s="22">
        <v>0</v>
      </c>
      <c r="M1199" s="22">
        <v>1</v>
      </c>
      <c r="N1199" s="22">
        <v>0</v>
      </c>
      <c r="O1199" s="22"/>
      <c r="P1199" s="22">
        <v>55</v>
      </c>
      <c r="Q1199" s="22" t="str">
        <f t="shared" si="54"/>
        <v>Normal</v>
      </c>
      <c r="R1199" s="26" t="str">
        <f t="shared" si="55"/>
        <v>USR-10119845800TreatmentSouthTabletPaid SearchFree100001055</v>
      </c>
      <c r="S1199" s="22" t="str">
        <f t="shared" si="56"/>
        <v>OK</v>
      </c>
    </row>
    <row r="1200" spans="1:19" ht="41.4">
      <c r="A1200" s="22" t="s">
        <v>1231</v>
      </c>
      <c r="B1200" s="25">
        <v>45774</v>
      </c>
      <c r="C1200" s="22" t="s">
        <v>723</v>
      </c>
      <c r="D1200" s="22" t="s">
        <v>23</v>
      </c>
      <c r="E1200" s="22" t="s">
        <v>24</v>
      </c>
      <c r="F1200" s="22" t="s">
        <v>39</v>
      </c>
      <c r="G1200" s="22" t="s">
        <v>21</v>
      </c>
      <c r="H1200" s="22">
        <v>1</v>
      </c>
      <c r="I1200" s="22">
        <v>1</v>
      </c>
      <c r="J1200" s="22">
        <v>1</v>
      </c>
      <c r="K1200" s="22">
        <v>0</v>
      </c>
      <c r="L1200" s="22">
        <v>0</v>
      </c>
      <c r="M1200" s="22">
        <v>0</v>
      </c>
      <c r="N1200" s="22">
        <v>0</v>
      </c>
      <c r="O1200" s="22"/>
      <c r="P1200" s="22">
        <v>76.400000000000006</v>
      </c>
      <c r="Q1200" s="22" t="str">
        <f t="shared" si="54"/>
        <v>Normal</v>
      </c>
      <c r="R1200" s="26" t="str">
        <f t="shared" si="55"/>
        <v>USR-10119945774TreatmentWestMobileReferralBasic111000076.4</v>
      </c>
      <c r="S1200" s="22" t="str">
        <f t="shared" si="56"/>
        <v>OK</v>
      </c>
    </row>
    <row r="1201" spans="1:19" ht="41.4">
      <c r="A1201" s="22" t="s">
        <v>1232</v>
      </c>
      <c r="B1201" s="25">
        <v>45803</v>
      </c>
      <c r="C1201" s="22" t="s">
        <v>723</v>
      </c>
      <c r="D1201" s="22" t="s">
        <v>18</v>
      </c>
      <c r="E1201" s="22" t="s">
        <v>24</v>
      </c>
      <c r="F1201" s="22" t="s">
        <v>39</v>
      </c>
      <c r="G1201" s="22" t="s">
        <v>26</v>
      </c>
      <c r="H1201" s="22">
        <v>1</v>
      </c>
      <c r="I1201" s="22">
        <v>0</v>
      </c>
      <c r="J1201" s="22">
        <v>0</v>
      </c>
      <c r="K1201" s="22">
        <v>0</v>
      </c>
      <c r="L1201" s="22">
        <v>0</v>
      </c>
      <c r="M1201" s="22">
        <v>0</v>
      </c>
      <c r="N1201" s="22">
        <v>0</v>
      </c>
      <c r="O1201" s="22"/>
      <c r="P1201" s="22">
        <v>70.8</v>
      </c>
      <c r="Q1201" s="22" t="str">
        <f t="shared" si="54"/>
        <v>Normal</v>
      </c>
      <c r="R1201" s="26" t="str">
        <f t="shared" si="55"/>
        <v>USR-10120045803TreatmentNorthMobileReferralFree100000070.8</v>
      </c>
      <c r="S1201" s="22" t="str">
        <f t="shared" si="56"/>
        <v>OK</v>
      </c>
    </row>
    <row r="1202" spans="1:19" ht="41.4">
      <c r="A1202" s="22" t="s">
        <v>1233</v>
      </c>
      <c r="B1202" s="25">
        <v>45722</v>
      </c>
      <c r="C1202" s="22" t="s">
        <v>723</v>
      </c>
      <c r="D1202" s="22" t="s">
        <v>28</v>
      </c>
      <c r="E1202" s="22" t="s">
        <v>24</v>
      </c>
      <c r="F1202" s="22" t="s">
        <v>29</v>
      </c>
      <c r="G1202" s="22" t="s">
        <v>21</v>
      </c>
      <c r="H1202" s="22">
        <v>1</v>
      </c>
      <c r="I1202" s="22">
        <v>1</v>
      </c>
      <c r="J1202" s="22">
        <v>0</v>
      </c>
      <c r="K1202" s="22">
        <v>0</v>
      </c>
      <c r="L1202" s="22">
        <v>0</v>
      </c>
      <c r="M1202" s="22">
        <v>1</v>
      </c>
      <c r="N1202" s="22">
        <v>0</v>
      </c>
      <c r="O1202" s="22"/>
      <c r="P1202" s="22">
        <v>58</v>
      </c>
      <c r="Q1202" s="22" t="str">
        <f t="shared" si="54"/>
        <v>Normal</v>
      </c>
      <c r="R1202" s="26" t="str">
        <f t="shared" si="55"/>
        <v>USR-10120145722TreatmentEastMobilePaid SearchBasic110001058</v>
      </c>
      <c r="S1202" s="22" t="str">
        <f t="shared" si="56"/>
        <v>OK</v>
      </c>
    </row>
    <row r="1203" spans="1:19" ht="41.4">
      <c r="A1203" s="22" t="s">
        <v>1234</v>
      </c>
      <c r="B1203" s="25">
        <v>45750</v>
      </c>
      <c r="C1203" s="22" t="s">
        <v>723</v>
      </c>
      <c r="D1203" s="22" t="s">
        <v>23</v>
      </c>
      <c r="E1203" s="22" t="s">
        <v>24</v>
      </c>
      <c r="F1203" s="22" t="s">
        <v>25</v>
      </c>
      <c r="G1203" s="22" t="s">
        <v>21</v>
      </c>
      <c r="H1203" s="22">
        <v>1</v>
      </c>
      <c r="I1203" s="22">
        <v>1</v>
      </c>
      <c r="J1203" s="22">
        <v>1</v>
      </c>
      <c r="K1203" s="22">
        <v>0</v>
      </c>
      <c r="L1203" s="22">
        <v>0</v>
      </c>
      <c r="M1203" s="22">
        <v>1</v>
      </c>
      <c r="N1203" s="22">
        <v>0</v>
      </c>
      <c r="O1203" s="22"/>
      <c r="P1203" s="22">
        <v>70.8</v>
      </c>
      <c r="Q1203" s="22" t="str">
        <f t="shared" si="54"/>
        <v>Normal</v>
      </c>
      <c r="R1203" s="26" t="str">
        <f t="shared" si="55"/>
        <v>USR-10120245750TreatmentWestMobileOrganicBasic111001070.8</v>
      </c>
      <c r="S1203" s="22" t="str">
        <f t="shared" si="56"/>
        <v>OK</v>
      </c>
    </row>
    <row r="1204" spans="1:19" ht="41.4">
      <c r="A1204" s="22" t="s">
        <v>1235</v>
      </c>
      <c r="B1204" s="25">
        <v>45689</v>
      </c>
      <c r="C1204" s="22" t="s">
        <v>723</v>
      </c>
      <c r="D1204" s="22" t="s">
        <v>28</v>
      </c>
      <c r="E1204" s="22" t="s">
        <v>19</v>
      </c>
      <c r="F1204" s="22" t="s">
        <v>29</v>
      </c>
      <c r="G1204" s="22" t="s">
        <v>26</v>
      </c>
      <c r="H1204" s="22">
        <v>1</v>
      </c>
      <c r="I1204" s="22">
        <v>0</v>
      </c>
      <c r="J1204" s="22">
        <v>0</v>
      </c>
      <c r="K1204" s="22">
        <v>0</v>
      </c>
      <c r="L1204" s="22">
        <v>0</v>
      </c>
      <c r="M1204" s="22">
        <v>3</v>
      </c>
      <c r="N1204" s="22">
        <v>0</v>
      </c>
      <c r="O1204" s="22"/>
      <c r="P1204" s="22">
        <v>60</v>
      </c>
      <c r="Q1204" s="22" t="str">
        <f t="shared" si="54"/>
        <v>Normal</v>
      </c>
      <c r="R1204" s="26" t="str">
        <f t="shared" si="55"/>
        <v>USR-10120345689TreatmentEastDesktopPaid SearchFree100003060</v>
      </c>
      <c r="S1204" s="22" t="str">
        <f t="shared" si="56"/>
        <v>OK</v>
      </c>
    </row>
    <row r="1205" spans="1:19" ht="41.4">
      <c r="A1205" s="22" t="s">
        <v>1236</v>
      </c>
      <c r="B1205" s="25">
        <v>45778</v>
      </c>
      <c r="C1205" s="22" t="s">
        <v>723</v>
      </c>
      <c r="D1205" s="22" t="s">
        <v>23</v>
      </c>
      <c r="E1205" s="22" t="s">
        <v>24</v>
      </c>
      <c r="F1205" s="22" t="s">
        <v>39</v>
      </c>
      <c r="G1205" s="22" t="s">
        <v>30</v>
      </c>
      <c r="H1205" s="22">
        <v>1</v>
      </c>
      <c r="I1205" s="22">
        <v>1</v>
      </c>
      <c r="J1205" s="22">
        <v>1</v>
      </c>
      <c r="K1205" s="22">
        <v>0</v>
      </c>
      <c r="L1205" s="22">
        <v>0</v>
      </c>
      <c r="M1205" s="22">
        <v>3</v>
      </c>
      <c r="N1205" s="22">
        <v>0</v>
      </c>
      <c r="O1205" s="22"/>
      <c r="P1205" s="22">
        <v>58.1</v>
      </c>
      <c r="Q1205" s="22" t="str">
        <f t="shared" si="54"/>
        <v>Normal</v>
      </c>
      <c r="R1205" s="26" t="str">
        <f t="shared" si="55"/>
        <v>USR-10120445778TreatmentWestMobileReferralPremium111003058.1</v>
      </c>
      <c r="S1205" s="22" t="str">
        <f t="shared" si="56"/>
        <v>OK</v>
      </c>
    </row>
    <row r="1206" spans="1:19" ht="41.4">
      <c r="A1206" s="22" t="s">
        <v>1237</v>
      </c>
      <c r="B1206" s="25">
        <v>45760</v>
      </c>
      <c r="C1206" s="22" t="s">
        <v>723</v>
      </c>
      <c r="D1206" s="22" t="s">
        <v>18</v>
      </c>
      <c r="E1206" s="22" t="s">
        <v>24</v>
      </c>
      <c r="F1206" s="22" t="s">
        <v>41</v>
      </c>
      <c r="G1206" s="22" t="s">
        <v>30</v>
      </c>
      <c r="H1206" s="22">
        <v>0</v>
      </c>
      <c r="I1206" s="22">
        <v>0</v>
      </c>
      <c r="J1206" s="22">
        <v>0</v>
      </c>
      <c r="K1206" s="22">
        <v>0</v>
      </c>
      <c r="L1206" s="22">
        <v>0</v>
      </c>
      <c r="M1206" s="22">
        <v>0</v>
      </c>
      <c r="N1206" s="22">
        <v>0</v>
      </c>
      <c r="O1206" s="22"/>
      <c r="P1206" s="22">
        <v>59.7</v>
      </c>
      <c r="Q1206" s="22" t="str">
        <f t="shared" si="54"/>
        <v>Normal</v>
      </c>
      <c r="R1206" s="26" t="str">
        <f t="shared" si="55"/>
        <v>USR-10120545760TreatmentNorthMobileSocialPremium000000059.7</v>
      </c>
      <c r="S1206" s="22" t="str">
        <f t="shared" si="56"/>
        <v>OK</v>
      </c>
    </row>
    <row r="1207" spans="1:19" ht="41.4">
      <c r="A1207" s="22" t="s">
        <v>1238</v>
      </c>
      <c r="B1207" s="25">
        <v>45682</v>
      </c>
      <c r="C1207" s="22" t="s">
        <v>723</v>
      </c>
      <c r="D1207" s="22" t="s">
        <v>28</v>
      </c>
      <c r="E1207" s="22" t="s">
        <v>24</v>
      </c>
      <c r="F1207" s="22" t="s">
        <v>41</v>
      </c>
      <c r="G1207" s="22" t="s">
        <v>26</v>
      </c>
      <c r="H1207" s="22">
        <v>0</v>
      </c>
      <c r="I1207" s="22">
        <v>0</v>
      </c>
      <c r="J1207" s="22">
        <v>0</v>
      </c>
      <c r="K1207" s="22">
        <v>0</v>
      </c>
      <c r="L1207" s="22">
        <v>0</v>
      </c>
      <c r="M1207" s="22">
        <v>0</v>
      </c>
      <c r="N1207" s="22">
        <v>0</v>
      </c>
      <c r="O1207" s="22"/>
      <c r="P1207" s="22">
        <v>47.7</v>
      </c>
      <c r="Q1207" s="22" t="str">
        <f t="shared" si="54"/>
        <v>Normal</v>
      </c>
      <c r="R1207" s="26" t="str">
        <f t="shared" si="55"/>
        <v>USR-10120645682TreatmentEastMobileSocialFree000000047.7</v>
      </c>
      <c r="S1207" s="22" t="str">
        <f t="shared" si="56"/>
        <v>OK</v>
      </c>
    </row>
    <row r="1208" spans="1:19" ht="41.4">
      <c r="A1208" s="22" t="s">
        <v>1239</v>
      </c>
      <c r="B1208" s="25">
        <v>45733</v>
      </c>
      <c r="C1208" s="22" t="s">
        <v>723</v>
      </c>
      <c r="D1208" s="22" t="s">
        <v>18</v>
      </c>
      <c r="E1208" s="22" t="s">
        <v>24</v>
      </c>
      <c r="F1208" s="22" t="s">
        <v>25</v>
      </c>
      <c r="G1208" s="22" t="s">
        <v>26</v>
      </c>
      <c r="H1208" s="22">
        <v>0</v>
      </c>
      <c r="I1208" s="22">
        <v>0</v>
      </c>
      <c r="J1208" s="22">
        <v>0</v>
      </c>
      <c r="K1208" s="22">
        <v>0</v>
      </c>
      <c r="L1208" s="22">
        <v>0</v>
      </c>
      <c r="M1208" s="22">
        <v>0</v>
      </c>
      <c r="N1208" s="22">
        <v>0</v>
      </c>
      <c r="O1208" s="22"/>
      <c r="P1208" s="22">
        <v>59.1</v>
      </c>
      <c r="Q1208" s="22" t="str">
        <f t="shared" si="54"/>
        <v>Normal</v>
      </c>
      <c r="R1208" s="26" t="str">
        <f t="shared" si="55"/>
        <v>USR-10120745733TreatmentNorthMobileOrganicFree000000059.1</v>
      </c>
      <c r="S1208" s="22" t="str">
        <f t="shared" si="56"/>
        <v>OK</v>
      </c>
    </row>
    <row r="1209" spans="1:19" ht="41.4">
      <c r="A1209" s="22" t="s">
        <v>1240</v>
      </c>
      <c r="B1209" s="25">
        <v>45709</v>
      </c>
      <c r="C1209" s="22" t="s">
        <v>723</v>
      </c>
      <c r="D1209" s="22" t="s">
        <v>23</v>
      </c>
      <c r="E1209" s="22" t="s">
        <v>19</v>
      </c>
      <c r="F1209" s="22" t="s">
        <v>41</v>
      </c>
      <c r="G1209" s="22" t="s">
        <v>21</v>
      </c>
      <c r="H1209" s="22">
        <v>1</v>
      </c>
      <c r="I1209" s="22">
        <v>0</v>
      </c>
      <c r="J1209" s="22">
        <v>0</v>
      </c>
      <c r="K1209" s="22">
        <v>0</v>
      </c>
      <c r="L1209" s="22">
        <v>0</v>
      </c>
      <c r="M1209" s="22">
        <v>1</v>
      </c>
      <c r="N1209" s="22">
        <v>0</v>
      </c>
      <c r="O1209" s="22"/>
      <c r="P1209" s="22">
        <v>68.7</v>
      </c>
      <c r="Q1209" s="22" t="str">
        <f t="shared" si="54"/>
        <v>Normal</v>
      </c>
      <c r="R1209" s="26" t="str">
        <f t="shared" si="55"/>
        <v>USR-10120845709TreatmentWestDesktopSocialBasic100001068.7</v>
      </c>
      <c r="S1209" s="22" t="str">
        <f t="shared" si="56"/>
        <v>OK</v>
      </c>
    </row>
    <row r="1210" spans="1:19" ht="41.4">
      <c r="A1210" s="22" t="s">
        <v>1241</v>
      </c>
      <c r="B1210" s="25">
        <v>45755</v>
      </c>
      <c r="C1210" s="22" t="s">
        <v>723</v>
      </c>
      <c r="D1210" s="22" t="s">
        <v>28</v>
      </c>
      <c r="E1210" s="22" t="s">
        <v>34</v>
      </c>
      <c r="F1210" s="22" t="s">
        <v>25</v>
      </c>
      <c r="G1210" s="22" t="s">
        <v>21</v>
      </c>
      <c r="H1210" s="22">
        <v>0</v>
      </c>
      <c r="I1210" s="22">
        <v>0</v>
      </c>
      <c r="J1210" s="22">
        <v>0</v>
      </c>
      <c r="K1210" s="22">
        <v>0</v>
      </c>
      <c r="L1210" s="22">
        <v>0</v>
      </c>
      <c r="M1210" s="22">
        <v>0</v>
      </c>
      <c r="N1210" s="22">
        <v>0</v>
      </c>
      <c r="O1210" s="22"/>
      <c r="P1210" s="22">
        <v>34.700000000000003</v>
      </c>
      <c r="Q1210" s="22" t="str">
        <f t="shared" si="54"/>
        <v>Normal</v>
      </c>
      <c r="R1210" s="26" t="str">
        <f t="shared" si="55"/>
        <v>USR-10120945755TreatmentEastTabletOrganicBasic000000034.7</v>
      </c>
      <c r="S1210" s="22" t="str">
        <f t="shared" si="56"/>
        <v>OK</v>
      </c>
    </row>
    <row r="1211" spans="1:19" ht="41.4">
      <c r="A1211" s="22" t="s">
        <v>1242</v>
      </c>
      <c r="B1211" s="25">
        <v>45712</v>
      </c>
      <c r="C1211" s="22" t="s">
        <v>723</v>
      </c>
      <c r="D1211" s="22" t="s">
        <v>23</v>
      </c>
      <c r="E1211" s="22" t="s">
        <v>24</v>
      </c>
      <c r="F1211" s="22" t="s">
        <v>25</v>
      </c>
      <c r="G1211" s="22" t="s">
        <v>21</v>
      </c>
      <c r="H1211" s="22">
        <v>1</v>
      </c>
      <c r="I1211" s="22">
        <v>0</v>
      </c>
      <c r="J1211" s="22">
        <v>0</v>
      </c>
      <c r="K1211" s="22">
        <v>0</v>
      </c>
      <c r="L1211" s="22">
        <v>0</v>
      </c>
      <c r="M1211" s="22">
        <v>0</v>
      </c>
      <c r="N1211" s="22">
        <v>0</v>
      </c>
      <c r="O1211" s="22"/>
      <c r="P1211" s="22">
        <v>62</v>
      </c>
      <c r="Q1211" s="22" t="str">
        <f t="shared" si="54"/>
        <v>Normal</v>
      </c>
      <c r="R1211" s="26" t="str">
        <f t="shared" si="55"/>
        <v>USR-10121045712TreatmentWestMobileOrganicBasic100000062</v>
      </c>
      <c r="S1211" s="22" t="str">
        <f t="shared" si="56"/>
        <v>Exact Duplicate</v>
      </c>
    </row>
    <row r="1212" spans="1:19" ht="41.4">
      <c r="A1212" s="22" t="s">
        <v>1243</v>
      </c>
      <c r="B1212" s="25">
        <v>45806</v>
      </c>
      <c r="C1212" s="22" t="s">
        <v>723</v>
      </c>
      <c r="D1212" s="22" t="s">
        <v>32</v>
      </c>
      <c r="E1212" s="22" t="s">
        <v>24</v>
      </c>
      <c r="F1212" s="22" t="s">
        <v>25</v>
      </c>
      <c r="G1212" s="22" t="s">
        <v>26</v>
      </c>
      <c r="H1212" s="22">
        <v>1</v>
      </c>
      <c r="I1212" s="22">
        <v>1</v>
      </c>
      <c r="J1212" s="22">
        <v>0</v>
      </c>
      <c r="K1212" s="22">
        <v>0</v>
      </c>
      <c r="L1212" s="22">
        <v>0</v>
      </c>
      <c r="M1212" s="22">
        <v>0</v>
      </c>
      <c r="N1212" s="22">
        <v>0</v>
      </c>
      <c r="O1212" s="22"/>
      <c r="P1212" s="22">
        <v>56</v>
      </c>
      <c r="Q1212" s="22" t="str">
        <f t="shared" si="54"/>
        <v>Normal</v>
      </c>
      <c r="R1212" s="26" t="str">
        <f t="shared" si="55"/>
        <v>USR-10121145806TreatmentSouthMobileOrganicFree110000056</v>
      </c>
      <c r="S1212" s="22" t="str">
        <f t="shared" si="56"/>
        <v>OK</v>
      </c>
    </row>
    <row r="1213" spans="1:19" ht="41.4">
      <c r="A1213" s="22" t="s">
        <v>1244</v>
      </c>
      <c r="B1213" s="25">
        <v>45807</v>
      </c>
      <c r="C1213" s="22" t="s">
        <v>723</v>
      </c>
      <c r="D1213" s="22" t="s">
        <v>18</v>
      </c>
      <c r="E1213" s="22" t="s">
        <v>24</v>
      </c>
      <c r="F1213" s="22" t="s">
        <v>20</v>
      </c>
      <c r="G1213" s="22" t="s">
        <v>21</v>
      </c>
      <c r="H1213" s="22">
        <v>1</v>
      </c>
      <c r="I1213" s="22">
        <v>0</v>
      </c>
      <c r="J1213" s="22">
        <v>0</v>
      </c>
      <c r="K1213" s="22">
        <v>0</v>
      </c>
      <c r="L1213" s="22">
        <v>0</v>
      </c>
      <c r="M1213" s="22">
        <v>1</v>
      </c>
      <c r="N1213" s="22">
        <v>0</v>
      </c>
      <c r="O1213" s="22"/>
      <c r="P1213" s="22">
        <v>65.8</v>
      </c>
      <c r="Q1213" s="22" t="str">
        <f t="shared" si="54"/>
        <v>Normal</v>
      </c>
      <c r="R1213" s="26" t="str">
        <f t="shared" si="55"/>
        <v>USR-10121245807TreatmentNorthMobileEmailBasic100001065.8</v>
      </c>
      <c r="S1213" s="22" t="str">
        <f t="shared" si="56"/>
        <v>OK</v>
      </c>
    </row>
    <row r="1214" spans="1:19" ht="41.4">
      <c r="A1214" s="22" t="s">
        <v>1245</v>
      </c>
      <c r="B1214" s="25">
        <v>45681</v>
      </c>
      <c r="C1214" s="22" t="s">
        <v>723</v>
      </c>
      <c r="D1214" s="22" t="s">
        <v>18</v>
      </c>
      <c r="E1214" s="22" t="s">
        <v>19</v>
      </c>
      <c r="F1214" s="22" t="s">
        <v>25</v>
      </c>
      <c r="G1214" s="22" t="s">
        <v>30</v>
      </c>
      <c r="H1214" s="22">
        <v>0</v>
      </c>
      <c r="I1214" s="22">
        <v>0</v>
      </c>
      <c r="J1214" s="22">
        <v>0</v>
      </c>
      <c r="K1214" s="22">
        <v>0</v>
      </c>
      <c r="L1214" s="22">
        <v>0</v>
      </c>
      <c r="M1214" s="22">
        <v>0</v>
      </c>
      <c r="N1214" s="22">
        <v>0</v>
      </c>
      <c r="O1214" s="22"/>
      <c r="P1214" s="22">
        <v>54.7</v>
      </c>
      <c r="Q1214" s="22" t="str">
        <f t="shared" si="54"/>
        <v>Normal</v>
      </c>
      <c r="R1214" s="26" t="str">
        <f t="shared" si="55"/>
        <v>USR-10121345681TreatmentNorthDesktopOrganicPremium000000054.7</v>
      </c>
      <c r="S1214" s="22" t="str">
        <f t="shared" si="56"/>
        <v>OK</v>
      </c>
    </row>
    <row r="1215" spans="1:19" ht="41.4">
      <c r="A1215" s="22" t="s">
        <v>1246</v>
      </c>
      <c r="B1215" s="25">
        <v>45789</v>
      </c>
      <c r="C1215" s="22" t="s">
        <v>723</v>
      </c>
      <c r="D1215" s="22" t="s">
        <v>32</v>
      </c>
      <c r="E1215" s="22" t="s">
        <v>24</v>
      </c>
      <c r="F1215" s="22" t="s">
        <v>25</v>
      </c>
      <c r="G1215" s="22" t="s">
        <v>21</v>
      </c>
      <c r="H1215" s="22">
        <v>1</v>
      </c>
      <c r="I1215" s="22">
        <v>1</v>
      </c>
      <c r="J1215" s="22">
        <v>0</v>
      </c>
      <c r="K1215" s="22">
        <v>0</v>
      </c>
      <c r="L1215" s="22">
        <v>0</v>
      </c>
      <c r="M1215" s="22">
        <v>0</v>
      </c>
      <c r="N1215" s="22">
        <v>0</v>
      </c>
      <c r="O1215" s="22"/>
      <c r="P1215" s="22">
        <v>64.099999999999994</v>
      </c>
      <c r="Q1215" s="22" t="str">
        <f t="shared" si="54"/>
        <v>Normal</v>
      </c>
      <c r="R1215" s="26" t="str">
        <f t="shared" si="55"/>
        <v>USR-10121445789TreatmentSouthMobileOrganicBasic110000064.1</v>
      </c>
      <c r="S1215" s="22" t="str">
        <f t="shared" si="56"/>
        <v>OK</v>
      </c>
    </row>
    <row r="1216" spans="1:19" ht="41.4">
      <c r="A1216" s="22" t="s">
        <v>1247</v>
      </c>
      <c r="B1216" s="25">
        <v>45744</v>
      </c>
      <c r="C1216" s="22" t="s">
        <v>723</v>
      </c>
      <c r="D1216" s="22" t="s">
        <v>32</v>
      </c>
      <c r="E1216" s="22" t="s">
        <v>24</v>
      </c>
      <c r="F1216" s="22" t="s">
        <v>25</v>
      </c>
      <c r="G1216" s="22" t="s">
        <v>21</v>
      </c>
      <c r="H1216" s="22">
        <v>1</v>
      </c>
      <c r="I1216" s="22">
        <v>1</v>
      </c>
      <c r="J1216" s="22">
        <v>1</v>
      </c>
      <c r="K1216" s="22">
        <v>0</v>
      </c>
      <c r="L1216" s="22">
        <v>0</v>
      </c>
      <c r="M1216" s="22">
        <v>0</v>
      </c>
      <c r="N1216" s="22">
        <v>0</v>
      </c>
      <c r="O1216" s="22"/>
      <c r="P1216" s="22">
        <v>71.599999999999994</v>
      </c>
      <c r="Q1216" s="22" t="str">
        <f t="shared" si="54"/>
        <v>Normal</v>
      </c>
      <c r="R1216" s="26" t="str">
        <f t="shared" si="55"/>
        <v>USR-10121545744TreatmentSouthMobileOrganicBasic111000071.6</v>
      </c>
      <c r="S1216" s="22" t="str">
        <f t="shared" si="56"/>
        <v>OK</v>
      </c>
    </row>
    <row r="1217" spans="1:19" ht="41.4">
      <c r="A1217" s="22" t="s">
        <v>1248</v>
      </c>
      <c r="B1217" s="25">
        <v>45761</v>
      </c>
      <c r="C1217" s="22" t="s">
        <v>723</v>
      </c>
      <c r="D1217" s="22" t="s">
        <v>18</v>
      </c>
      <c r="E1217" s="22" t="s">
        <v>24</v>
      </c>
      <c r="F1217" s="22" t="s">
        <v>39</v>
      </c>
      <c r="G1217" s="22" t="s">
        <v>21</v>
      </c>
      <c r="H1217" s="22">
        <v>1</v>
      </c>
      <c r="I1217" s="22">
        <v>0</v>
      </c>
      <c r="J1217" s="22">
        <v>0</v>
      </c>
      <c r="K1217" s="22">
        <v>0</v>
      </c>
      <c r="L1217" s="22">
        <v>0</v>
      </c>
      <c r="M1217" s="22">
        <v>0</v>
      </c>
      <c r="N1217" s="22">
        <v>0</v>
      </c>
      <c r="O1217" s="22"/>
      <c r="P1217" s="22">
        <v>78.400000000000006</v>
      </c>
      <c r="Q1217" s="22" t="str">
        <f t="shared" si="54"/>
        <v>Normal</v>
      </c>
      <c r="R1217" s="26" t="str">
        <f t="shared" si="55"/>
        <v>USR-10121645761TreatmentNorthMobileReferralBasic100000078.4</v>
      </c>
      <c r="S1217" s="22" t="str">
        <f t="shared" si="56"/>
        <v>OK</v>
      </c>
    </row>
    <row r="1218" spans="1:19" ht="41.4">
      <c r="A1218" s="22" t="s">
        <v>1249</v>
      </c>
      <c r="B1218" s="25">
        <v>45685</v>
      </c>
      <c r="C1218" s="22" t="s">
        <v>723</v>
      </c>
      <c r="D1218" s="22" t="s">
        <v>28</v>
      </c>
      <c r="E1218" s="22" t="s">
        <v>34</v>
      </c>
      <c r="F1218" s="22" t="s">
        <v>39</v>
      </c>
      <c r="G1218" s="22" t="s">
        <v>21</v>
      </c>
      <c r="H1218" s="22">
        <v>0</v>
      </c>
      <c r="I1218" s="22">
        <v>0</v>
      </c>
      <c r="J1218" s="22">
        <v>0</v>
      </c>
      <c r="K1218" s="22">
        <v>0</v>
      </c>
      <c r="L1218" s="22">
        <v>0</v>
      </c>
      <c r="M1218" s="22">
        <v>0</v>
      </c>
      <c r="N1218" s="22">
        <v>0</v>
      </c>
      <c r="O1218" s="22"/>
      <c r="P1218" s="22">
        <v>49.3</v>
      </c>
      <c r="Q1218" s="22" t="str">
        <f t="shared" si="54"/>
        <v>Normal</v>
      </c>
      <c r="R1218" s="26" t="str">
        <f t="shared" si="55"/>
        <v>USR-10121745685TreatmentEastTabletReferralBasic000000049.3</v>
      </c>
      <c r="S1218" s="22" t="str">
        <f t="shared" si="56"/>
        <v>OK</v>
      </c>
    </row>
    <row r="1219" spans="1:19" ht="41.4">
      <c r="A1219" s="22" t="s">
        <v>1250</v>
      </c>
      <c r="B1219" s="25">
        <v>45798</v>
      </c>
      <c r="C1219" s="22" t="s">
        <v>723</v>
      </c>
      <c r="D1219" s="22" t="s">
        <v>18</v>
      </c>
      <c r="E1219" s="22" t="s">
        <v>24</v>
      </c>
      <c r="F1219" s="22" t="s">
        <v>25</v>
      </c>
      <c r="G1219" s="22" t="s">
        <v>21</v>
      </c>
      <c r="H1219" s="22">
        <v>0</v>
      </c>
      <c r="I1219" s="22">
        <v>0</v>
      </c>
      <c r="J1219" s="22">
        <v>0</v>
      </c>
      <c r="K1219" s="22">
        <v>0</v>
      </c>
      <c r="L1219" s="22">
        <v>0</v>
      </c>
      <c r="M1219" s="22">
        <v>0</v>
      </c>
      <c r="N1219" s="22">
        <v>0</v>
      </c>
      <c r="O1219" s="22"/>
      <c r="P1219" s="22">
        <v>52.8</v>
      </c>
      <c r="Q1219" s="22" t="str">
        <f t="shared" ref="Q1219:Q1282" si="57">IF(OR(L1219&lt;$V$40,L1219&gt;$V$41),"Outlier","Normal")</f>
        <v>Normal</v>
      </c>
      <c r="R1219" s="26" t="str">
        <f t="shared" ref="R1219:R1282" si="58">A1219&amp;B1219&amp;C1219&amp;D1219&amp;E1219&amp;F1219&amp;G1219&amp;H1219&amp;I1219&amp;J1219&amp;K1219&amp;L1219&amp;M1219&amp;N1219&amp;O1219&amp;P1219</f>
        <v>USR-10121845798TreatmentNorthMobileOrganicBasic000000052.8</v>
      </c>
      <c r="S1219" s="22" t="str">
        <f t="shared" ref="S1219:S1282" si="59">IF(COUNTIF($R$2:$R$1409,R1219)=1,"OK",IF(COUNTIF($R$2:$R$1409,R1219)&gt;1,"Exact Duplicate","Review Required"))</f>
        <v>OK</v>
      </c>
    </row>
    <row r="1220" spans="1:19" ht="41.4">
      <c r="A1220" s="22" t="s">
        <v>1251</v>
      </c>
      <c r="B1220" s="25">
        <v>45788</v>
      </c>
      <c r="C1220" s="22" t="s">
        <v>723</v>
      </c>
      <c r="D1220" s="22" t="s">
        <v>23</v>
      </c>
      <c r="E1220" s="22" t="s">
        <v>19</v>
      </c>
      <c r="F1220" s="22" t="s">
        <v>25</v>
      </c>
      <c r="G1220" s="22" t="s">
        <v>26</v>
      </c>
      <c r="H1220" s="22">
        <v>0</v>
      </c>
      <c r="I1220" s="22">
        <v>0</v>
      </c>
      <c r="J1220" s="22">
        <v>0</v>
      </c>
      <c r="K1220" s="22">
        <v>0</v>
      </c>
      <c r="L1220" s="22">
        <v>0</v>
      </c>
      <c r="M1220" s="22">
        <v>0</v>
      </c>
      <c r="N1220" s="22">
        <v>0</v>
      </c>
      <c r="O1220" s="22"/>
      <c r="P1220" s="22">
        <v>58.5</v>
      </c>
      <c r="Q1220" s="22" t="str">
        <f t="shared" si="57"/>
        <v>Normal</v>
      </c>
      <c r="R1220" s="26" t="str">
        <f t="shared" si="58"/>
        <v>USR-10121945788TreatmentWestDesktopOrganicFree000000058.5</v>
      </c>
      <c r="S1220" s="22" t="str">
        <f t="shared" si="59"/>
        <v>OK</v>
      </c>
    </row>
    <row r="1221" spans="1:19" ht="41.4">
      <c r="A1221" s="22" t="s">
        <v>1252</v>
      </c>
      <c r="B1221" s="25">
        <v>45690</v>
      </c>
      <c r="C1221" s="22" t="s">
        <v>723</v>
      </c>
      <c r="D1221" s="22" t="s">
        <v>32</v>
      </c>
      <c r="E1221" s="22" t="s">
        <v>24</v>
      </c>
      <c r="F1221" s="22" t="s">
        <v>29</v>
      </c>
      <c r="G1221" s="22" t="s">
        <v>26</v>
      </c>
      <c r="H1221" s="22">
        <v>1</v>
      </c>
      <c r="I1221" s="22">
        <v>0</v>
      </c>
      <c r="J1221" s="22">
        <v>0</v>
      </c>
      <c r="K1221" s="22">
        <v>0</v>
      </c>
      <c r="L1221" s="22">
        <v>0</v>
      </c>
      <c r="M1221" s="22">
        <v>0</v>
      </c>
      <c r="N1221" s="22">
        <v>0</v>
      </c>
      <c r="O1221" s="22"/>
      <c r="P1221" s="22">
        <v>55.9</v>
      </c>
      <c r="Q1221" s="22" t="str">
        <f t="shared" si="57"/>
        <v>Normal</v>
      </c>
      <c r="R1221" s="26" t="str">
        <f t="shared" si="58"/>
        <v>USR-10122045690TreatmentSouthMobilePaid SearchFree100000055.9</v>
      </c>
      <c r="S1221" s="22" t="str">
        <f t="shared" si="59"/>
        <v>OK</v>
      </c>
    </row>
    <row r="1222" spans="1:19" ht="41.4">
      <c r="A1222" s="22" t="s">
        <v>1253</v>
      </c>
      <c r="B1222" s="25">
        <v>45714</v>
      </c>
      <c r="C1222" s="22" t="s">
        <v>723</v>
      </c>
      <c r="D1222" s="22" t="s">
        <v>18</v>
      </c>
      <c r="E1222" s="22" t="s">
        <v>24</v>
      </c>
      <c r="F1222" s="22" t="s">
        <v>41</v>
      </c>
      <c r="G1222" s="22" t="s">
        <v>26</v>
      </c>
      <c r="H1222" s="22">
        <v>1</v>
      </c>
      <c r="I1222" s="22">
        <v>1</v>
      </c>
      <c r="J1222" s="22">
        <v>1</v>
      </c>
      <c r="K1222" s="22">
        <v>1</v>
      </c>
      <c r="L1222" s="22">
        <v>351.43</v>
      </c>
      <c r="M1222" s="22">
        <v>1</v>
      </c>
      <c r="N1222" s="22">
        <v>0</v>
      </c>
      <c r="O1222" s="22">
        <v>6</v>
      </c>
      <c r="P1222" s="22">
        <v>74.900000000000006</v>
      </c>
      <c r="Q1222" s="22" t="str">
        <f t="shared" si="57"/>
        <v>Normal</v>
      </c>
      <c r="R1222" s="26" t="str">
        <f t="shared" si="58"/>
        <v>USR-10122145714TreatmentNorthMobileSocialFree1111351.4310674.9</v>
      </c>
      <c r="S1222" s="22" t="str">
        <f t="shared" si="59"/>
        <v>OK</v>
      </c>
    </row>
    <row r="1223" spans="1:19" ht="41.4">
      <c r="A1223" s="22" t="s">
        <v>1254</v>
      </c>
      <c r="B1223" s="25">
        <v>45715</v>
      </c>
      <c r="C1223" s="22" t="s">
        <v>723</v>
      </c>
      <c r="D1223" s="22" t="s">
        <v>32</v>
      </c>
      <c r="E1223" s="22" t="s">
        <v>19</v>
      </c>
      <c r="F1223" s="22" t="s">
        <v>39</v>
      </c>
      <c r="G1223" s="22" t="s">
        <v>26</v>
      </c>
      <c r="H1223" s="22">
        <v>1</v>
      </c>
      <c r="I1223" s="22">
        <v>1</v>
      </c>
      <c r="J1223" s="22">
        <v>1</v>
      </c>
      <c r="K1223" s="22">
        <v>1</v>
      </c>
      <c r="L1223" s="22">
        <v>352.42</v>
      </c>
      <c r="M1223" s="22">
        <v>0</v>
      </c>
      <c r="N1223" s="22">
        <v>0</v>
      </c>
      <c r="O1223" s="22">
        <v>4</v>
      </c>
      <c r="P1223" s="22">
        <v>58.5</v>
      </c>
      <c r="Q1223" s="22" t="str">
        <f t="shared" si="57"/>
        <v>Normal</v>
      </c>
      <c r="R1223" s="26" t="str">
        <f t="shared" si="58"/>
        <v>USR-10122245715TreatmentSouthDesktopReferralFree1111352.4200458.5</v>
      </c>
      <c r="S1223" s="22" t="str">
        <f t="shared" si="59"/>
        <v>OK</v>
      </c>
    </row>
    <row r="1224" spans="1:19" ht="41.4">
      <c r="A1224" s="22" t="s">
        <v>1255</v>
      </c>
      <c r="B1224" s="25">
        <v>45725</v>
      </c>
      <c r="C1224" s="22" t="s">
        <v>723</v>
      </c>
      <c r="D1224" s="22" t="s">
        <v>23</v>
      </c>
      <c r="E1224" s="22" t="s">
        <v>24</v>
      </c>
      <c r="F1224" s="22" t="s">
        <v>25</v>
      </c>
      <c r="G1224" s="22" t="s">
        <v>26</v>
      </c>
      <c r="H1224" s="22">
        <v>0</v>
      </c>
      <c r="I1224" s="22">
        <v>0</v>
      </c>
      <c r="J1224" s="22">
        <v>0</v>
      </c>
      <c r="K1224" s="22">
        <v>0</v>
      </c>
      <c r="L1224" s="22">
        <v>0</v>
      </c>
      <c r="M1224" s="22">
        <v>0</v>
      </c>
      <c r="N1224" s="22">
        <v>0</v>
      </c>
      <c r="O1224" s="22"/>
      <c r="P1224" s="22">
        <v>63.5</v>
      </c>
      <c r="Q1224" s="22" t="str">
        <f t="shared" si="57"/>
        <v>Normal</v>
      </c>
      <c r="R1224" s="26" t="str">
        <f t="shared" si="58"/>
        <v>USR-10122345725TreatmentWestMobileOrganicFree000000063.5</v>
      </c>
      <c r="S1224" s="22" t="str">
        <f t="shared" si="59"/>
        <v>OK</v>
      </c>
    </row>
    <row r="1225" spans="1:19" ht="41.4">
      <c r="A1225" s="22" t="s">
        <v>1256</v>
      </c>
      <c r="B1225" s="25">
        <v>45695</v>
      </c>
      <c r="C1225" s="22" t="s">
        <v>723</v>
      </c>
      <c r="D1225" s="22" t="s">
        <v>18</v>
      </c>
      <c r="E1225" s="22" t="s">
        <v>24</v>
      </c>
      <c r="F1225" s="22" t="s">
        <v>29</v>
      </c>
      <c r="G1225" s="22" t="s">
        <v>21</v>
      </c>
      <c r="H1225" s="22">
        <v>1</v>
      </c>
      <c r="I1225" s="22">
        <v>0</v>
      </c>
      <c r="J1225" s="22">
        <v>0</v>
      </c>
      <c r="K1225" s="22">
        <v>0</v>
      </c>
      <c r="L1225" s="22">
        <v>0</v>
      </c>
      <c r="M1225" s="22">
        <v>1</v>
      </c>
      <c r="N1225" s="22">
        <v>0</v>
      </c>
      <c r="O1225" s="22"/>
      <c r="P1225" s="22">
        <v>64.8</v>
      </c>
      <c r="Q1225" s="22" t="str">
        <f t="shared" si="57"/>
        <v>Normal</v>
      </c>
      <c r="R1225" s="26" t="str">
        <f t="shared" si="58"/>
        <v>USR-10122445695TreatmentNorthMobilePaid SearchBasic100001064.8</v>
      </c>
      <c r="S1225" s="22" t="str">
        <f t="shared" si="59"/>
        <v>OK</v>
      </c>
    </row>
    <row r="1226" spans="1:19" ht="41.4">
      <c r="A1226" s="22" t="s">
        <v>1257</v>
      </c>
      <c r="B1226" s="25">
        <v>45688</v>
      </c>
      <c r="C1226" s="22" t="s">
        <v>723</v>
      </c>
      <c r="D1226" s="22" t="s">
        <v>23</v>
      </c>
      <c r="E1226" s="22" t="s">
        <v>24</v>
      </c>
      <c r="F1226" s="22" t="s">
        <v>41</v>
      </c>
      <c r="G1226" s="22" t="s">
        <v>26</v>
      </c>
      <c r="H1226" s="22">
        <v>0</v>
      </c>
      <c r="I1226" s="22">
        <v>0</v>
      </c>
      <c r="J1226" s="22">
        <v>0</v>
      </c>
      <c r="K1226" s="22">
        <v>0</v>
      </c>
      <c r="L1226" s="22">
        <v>0</v>
      </c>
      <c r="M1226" s="22">
        <v>0</v>
      </c>
      <c r="N1226" s="22">
        <v>0</v>
      </c>
      <c r="O1226" s="22"/>
      <c r="P1226" s="22">
        <v>63.3</v>
      </c>
      <c r="Q1226" s="22" t="str">
        <f t="shared" si="57"/>
        <v>Normal</v>
      </c>
      <c r="R1226" s="26" t="str">
        <f t="shared" si="58"/>
        <v>USR-10122545688TreatmentWestMobileSocialFree000000063.3</v>
      </c>
      <c r="S1226" s="22" t="str">
        <f t="shared" si="59"/>
        <v>OK</v>
      </c>
    </row>
    <row r="1227" spans="1:19" ht="55.2">
      <c r="A1227" s="22" t="s">
        <v>1258</v>
      </c>
      <c r="B1227" s="25">
        <v>45702</v>
      </c>
      <c r="C1227" s="22" t="s">
        <v>723</v>
      </c>
      <c r="D1227" s="22" t="s">
        <v>18</v>
      </c>
      <c r="E1227" s="22" t="s">
        <v>34</v>
      </c>
      <c r="F1227" s="22" t="s">
        <v>29</v>
      </c>
      <c r="G1227" s="22" t="s">
        <v>21</v>
      </c>
      <c r="H1227" s="22">
        <v>1</v>
      </c>
      <c r="I1227" s="22">
        <v>1</v>
      </c>
      <c r="J1227" s="22">
        <v>1</v>
      </c>
      <c r="K1227" s="22">
        <v>1</v>
      </c>
      <c r="L1227" s="22">
        <v>1074.1600000000001</v>
      </c>
      <c r="M1227" s="22">
        <v>0</v>
      </c>
      <c r="N1227" s="22">
        <v>0</v>
      </c>
      <c r="O1227" s="22">
        <v>8</v>
      </c>
      <c r="P1227" s="22">
        <v>83.7</v>
      </c>
      <c r="Q1227" s="22" t="str">
        <f t="shared" si="57"/>
        <v>Normal</v>
      </c>
      <c r="R1227" s="26" t="str">
        <f t="shared" si="58"/>
        <v>USR-10122645702TreatmentNorthTabletPaid SearchBasic11111074.1600883.7</v>
      </c>
      <c r="S1227" s="22" t="str">
        <f t="shared" si="59"/>
        <v>OK</v>
      </c>
    </row>
    <row r="1228" spans="1:19" ht="41.4">
      <c r="A1228" s="22" t="s">
        <v>1259</v>
      </c>
      <c r="B1228" s="25">
        <v>45700</v>
      </c>
      <c r="C1228" s="22" t="s">
        <v>723</v>
      </c>
      <c r="D1228" s="22" t="s">
        <v>32</v>
      </c>
      <c r="E1228" s="22" t="s">
        <v>19</v>
      </c>
      <c r="F1228" s="22" t="s">
        <v>41</v>
      </c>
      <c r="G1228" s="22" t="s">
        <v>21</v>
      </c>
      <c r="H1228" s="22">
        <v>0</v>
      </c>
      <c r="I1228" s="22">
        <v>0</v>
      </c>
      <c r="J1228" s="22">
        <v>0</v>
      </c>
      <c r="K1228" s="22">
        <v>0</v>
      </c>
      <c r="L1228" s="22">
        <v>0</v>
      </c>
      <c r="M1228" s="22">
        <v>0</v>
      </c>
      <c r="N1228" s="22">
        <v>0</v>
      </c>
      <c r="O1228" s="22"/>
      <c r="P1228" s="22">
        <v>88.7</v>
      </c>
      <c r="Q1228" s="22" t="str">
        <f t="shared" si="57"/>
        <v>Normal</v>
      </c>
      <c r="R1228" s="26" t="str">
        <f t="shared" si="58"/>
        <v>USR-10122745700TreatmentSouthDesktopSocialBasic000000088.7</v>
      </c>
      <c r="S1228" s="22" t="str">
        <f t="shared" si="59"/>
        <v>OK</v>
      </c>
    </row>
    <row r="1229" spans="1:19" ht="41.4">
      <c r="A1229" s="22" t="s">
        <v>1260</v>
      </c>
      <c r="B1229" s="25">
        <v>45739</v>
      </c>
      <c r="C1229" s="22" t="s">
        <v>723</v>
      </c>
      <c r="D1229" s="22" t="s">
        <v>28</v>
      </c>
      <c r="E1229" s="22"/>
      <c r="F1229" s="22" t="s">
        <v>29</v>
      </c>
      <c r="G1229" s="22" t="s">
        <v>26</v>
      </c>
      <c r="H1229" s="22">
        <v>1</v>
      </c>
      <c r="I1229" s="22">
        <v>0</v>
      </c>
      <c r="J1229" s="22">
        <v>0</v>
      </c>
      <c r="K1229" s="22">
        <v>0</v>
      </c>
      <c r="L1229" s="22">
        <v>0</v>
      </c>
      <c r="M1229" s="22">
        <v>1</v>
      </c>
      <c r="N1229" s="22">
        <v>0</v>
      </c>
      <c r="O1229" s="22"/>
      <c r="P1229" s="22">
        <v>61.5</v>
      </c>
      <c r="Q1229" s="22" t="str">
        <f t="shared" si="57"/>
        <v>Normal</v>
      </c>
      <c r="R1229" s="26" t="str">
        <f t="shared" si="58"/>
        <v>USR-10122845739TreatmentEastPaid SearchFree100001061.5</v>
      </c>
      <c r="S1229" s="22" t="str">
        <f t="shared" si="59"/>
        <v>OK</v>
      </c>
    </row>
    <row r="1230" spans="1:19" ht="41.4">
      <c r="A1230" s="22" t="s">
        <v>1261</v>
      </c>
      <c r="B1230" s="25">
        <v>45734</v>
      </c>
      <c r="C1230" s="22" t="s">
        <v>723</v>
      </c>
      <c r="D1230" s="22" t="s">
        <v>23</v>
      </c>
      <c r="E1230" s="22" t="s">
        <v>24</v>
      </c>
      <c r="F1230" s="22" t="s">
        <v>29</v>
      </c>
      <c r="G1230" s="22" t="s">
        <v>26</v>
      </c>
      <c r="H1230" s="22">
        <v>0</v>
      </c>
      <c r="I1230" s="22">
        <v>0</v>
      </c>
      <c r="J1230" s="22">
        <v>0</v>
      </c>
      <c r="K1230" s="22">
        <v>0</v>
      </c>
      <c r="L1230" s="22">
        <v>0</v>
      </c>
      <c r="M1230" s="22">
        <v>0</v>
      </c>
      <c r="N1230" s="22">
        <v>0</v>
      </c>
      <c r="O1230" s="22"/>
      <c r="P1230" s="22">
        <v>45.3</v>
      </c>
      <c r="Q1230" s="22" t="str">
        <f t="shared" si="57"/>
        <v>Normal</v>
      </c>
      <c r="R1230" s="26" t="str">
        <f t="shared" si="58"/>
        <v>USR-10122945734TreatmentWestMobilePaid SearchFree000000045.3</v>
      </c>
      <c r="S1230" s="22" t="str">
        <f t="shared" si="59"/>
        <v>OK</v>
      </c>
    </row>
    <row r="1231" spans="1:19" ht="41.4">
      <c r="A1231" s="22" t="s">
        <v>1262</v>
      </c>
      <c r="B1231" s="25">
        <v>45794</v>
      </c>
      <c r="C1231" s="22" t="s">
        <v>723</v>
      </c>
      <c r="D1231" s="22" t="s">
        <v>18</v>
      </c>
      <c r="E1231" s="22" t="s">
        <v>24</v>
      </c>
      <c r="F1231" s="22" t="s">
        <v>41</v>
      </c>
      <c r="G1231" s="22" t="s">
        <v>26</v>
      </c>
      <c r="H1231" s="22">
        <v>1</v>
      </c>
      <c r="I1231" s="22">
        <v>0</v>
      </c>
      <c r="J1231" s="22">
        <v>0</v>
      </c>
      <c r="K1231" s="22">
        <v>0</v>
      </c>
      <c r="L1231" s="22">
        <v>0</v>
      </c>
      <c r="M1231" s="22">
        <v>0</v>
      </c>
      <c r="N1231" s="22">
        <v>0</v>
      </c>
      <c r="O1231" s="22"/>
      <c r="P1231" s="22">
        <v>37.299999999999997</v>
      </c>
      <c r="Q1231" s="22" t="str">
        <f t="shared" si="57"/>
        <v>Normal</v>
      </c>
      <c r="R1231" s="26" t="str">
        <f t="shared" si="58"/>
        <v>USR-10123045794TreatmentNorthMobileSocialFree100000037.3</v>
      </c>
      <c r="S1231" s="22" t="str">
        <f t="shared" si="59"/>
        <v>OK</v>
      </c>
    </row>
    <row r="1232" spans="1:19" ht="41.4">
      <c r="A1232" s="22" t="s">
        <v>1263</v>
      </c>
      <c r="B1232" s="25">
        <v>45742</v>
      </c>
      <c r="C1232" s="22" t="s">
        <v>723</v>
      </c>
      <c r="D1232" s="22" t="s">
        <v>23</v>
      </c>
      <c r="E1232" s="22" t="s">
        <v>19</v>
      </c>
      <c r="F1232" s="22" t="s">
        <v>41</v>
      </c>
      <c r="G1232" s="22" t="s">
        <v>30</v>
      </c>
      <c r="H1232" s="22">
        <v>1</v>
      </c>
      <c r="I1232" s="22">
        <v>0</v>
      </c>
      <c r="J1232" s="22">
        <v>0</v>
      </c>
      <c r="K1232" s="22">
        <v>0</v>
      </c>
      <c r="L1232" s="22">
        <v>0</v>
      </c>
      <c r="M1232" s="22">
        <v>1</v>
      </c>
      <c r="N1232" s="22">
        <v>0</v>
      </c>
      <c r="O1232" s="22"/>
      <c r="P1232" s="22">
        <v>76.099999999999994</v>
      </c>
      <c r="Q1232" s="22" t="str">
        <f t="shared" si="57"/>
        <v>Normal</v>
      </c>
      <c r="R1232" s="26" t="str">
        <f t="shared" si="58"/>
        <v>USR-10123145742TreatmentWestDesktopSocialPremium100001076.1</v>
      </c>
      <c r="S1232" s="22" t="str">
        <f t="shared" si="59"/>
        <v>OK</v>
      </c>
    </row>
    <row r="1233" spans="1:19" ht="41.4">
      <c r="A1233" s="22" t="s">
        <v>1264</v>
      </c>
      <c r="B1233" s="25">
        <v>45746</v>
      </c>
      <c r="C1233" s="22" t="s">
        <v>723</v>
      </c>
      <c r="D1233" s="22" t="s">
        <v>28</v>
      </c>
      <c r="E1233" s="22" t="s">
        <v>24</v>
      </c>
      <c r="F1233" s="22" t="s">
        <v>25</v>
      </c>
      <c r="G1233" s="22" t="s">
        <v>26</v>
      </c>
      <c r="H1233" s="22">
        <v>1</v>
      </c>
      <c r="I1233" s="22">
        <v>1</v>
      </c>
      <c r="J1233" s="22">
        <v>1</v>
      </c>
      <c r="K1233" s="22">
        <v>0</v>
      </c>
      <c r="L1233" s="22">
        <v>0</v>
      </c>
      <c r="M1233" s="22">
        <v>1</v>
      </c>
      <c r="N1233" s="22">
        <v>0</v>
      </c>
      <c r="O1233" s="22"/>
      <c r="P1233" s="22">
        <v>72.5</v>
      </c>
      <c r="Q1233" s="22" t="str">
        <f t="shared" si="57"/>
        <v>Normal</v>
      </c>
      <c r="R1233" s="26" t="str">
        <f t="shared" si="58"/>
        <v>USR-10123245746TreatmentEastMobileOrganicFree111001072.5</v>
      </c>
      <c r="S1233" s="22" t="str">
        <f t="shared" si="59"/>
        <v>Exact Duplicate</v>
      </c>
    </row>
    <row r="1234" spans="1:19" ht="41.4">
      <c r="A1234" s="22" t="s">
        <v>1265</v>
      </c>
      <c r="B1234" s="25">
        <v>45713</v>
      </c>
      <c r="C1234" s="22" t="s">
        <v>723</v>
      </c>
      <c r="D1234" s="22" t="s">
        <v>28</v>
      </c>
      <c r="E1234" s="22" t="s">
        <v>19</v>
      </c>
      <c r="F1234" s="22" t="s">
        <v>25</v>
      </c>
      <c r="G1234" s="22" t="s">
        <v>26</v>
      </c>
      <c r="H1234" s="22">
        <v>1</v>
      </c>
      <c r="I1234" s="22">
        <v>0</v>
      </c>
      <c r="J1234" s="22">
        <v>0</v>
      </c>
      <c r="K1234" s="22">
        <v>0</v>
      </c>
      <c r="L1234" s="22">
        <v>0</v>
      </c>
      <c r="M1234" s="22">
        <v>0</v>
      </c>
      <c r="N1234" s="22">
        <v>0</v>
      </c>
      <c r="O1234" s="22"/>
      <c r="P1234" s="22">
        <v>62.3</v>
      </c>
      <c r="Q1234" s="22" t="str">
        <f t="shared" si="57"/>
        <v>Normal</v>
      </c>
      <c r="R1234" s="26" t="str">
        <f t="shared" si="58"/>
        <v>USR-10123345713TreatmentEastDesktopOrganicFree100000062.3</v>
      </c>
      <c r="S1234" s="22" t="str">
        <f t="shared" si="59"/>
        <v>OK</v>
      </c>
    </row>
    <row r="1235" spans="1:19" ht="41.4">
      <c r="A1235" s="22" t="s">
        <v>1266</v>
      </c>
      <c r="B1235" s="25">
        <v>45717</v>
      </c>
      <c r="C1235" s="22" t="s">
        <v>723</v>
      </c>
      <c r="D1235" s="22" t="s">
        <v>28</v>
      </c>
      <c r="E1235" s="22" t="s">
        <v>19</v>
      </c>
      <c r="F1235" s="22" t="s">
        <v>41</v>
      </c>
      <c r="G1235" s="22" t="s">
        <v>26</v>
      </c>
      <c r="H1235" s="22">
        <v>0</v>
      </c>
      <c r="I1235" s="22">
        <v>0</v>
      </c>
      <c r="J1235" s="22">
        <v>0</v>
      </c>
      <c r="K1235" s="22">
        <v>0</v>
      </c>
      <c r="L1235" s="22">
        <v>0</v>
      </c>
      <c r="M1235" s="22">
        <v>0</v>
      </c>
      <c r="N1235" s="22">
        <v>0</v>
      </c>
      <c r="O1235" s="22"/>
      <c r="P1235" s="22">
        <v>62.7</v>
      </c>
      <c r="Q1235" s="22" t="str">
        <f t="shared" si="57"/>
        <v>Normal</v>
      </c>
      <c r="R1235" s="26" t="str">
        <f t="shared" si="58"/>
        <v>USR-10123445717TreatmentEastDesktopSocialFree000000062.7</v>
      </c>
      <c r="S1235" s="22" t="str">
        <f t="shared" si="59"/>
        <v>OK</v>
      </c>
    </row>
    <row r="1236" spans="1:19" ht="41.4">
      <c r="A1236" s="22" t="s">
        <v>1267</v>
      </c>
      <c r="B1236" s="25">
        <v>45804</v>
      </c>
      <c r="C1236" s="22" t="s">
        <v>723</v>
      </c>
      <c r="D1236" s="22" t="s">
        <v>18</v>
      </c>
      <c r="E1236" s="22" t="s">
        <v>24</v>
      </c>
      <c r="F1236" s="22" t="s">
        <v>29</v>
      </c>
      <c r="G1236" s="22" t="s">
        <v>21</v>
      </c>
      <c r="H1236" s="22">
        <v>0</v>
      </c>
      <c r="I1236" s="22">
        <v>0</v>
      </c>
      <c r="J1236" s="22">
        <v>0</v>
      </c>
      <c r="K1236" s="22">
        <v>0</v>
      </c>
      <c r="L1236" s="22">
        <v>0</v>
      </c>
      <c r="M1236" s="22">
        <v>0</v>
      </c>
      <c r="N1236" s="22">
        <v>0</v>
      </c>
      <c r="O1236" s="22"/>
      <c r="P1236" s="22">
        <v>82.4</v>
      </c>
      <c r="Q1236" s="22" t="str">
        <f t="shared" si="57"/>
        <v>Normal</v>
      </c>
      <c r="R1236" s="26" t="str">
        <f t="shared" si="58"/>
        <v>USR-10123545804TreatmentNorthMobilePaid SearchBasic000000082.4</v>
      </c>
      <c r="S1236" s="22" t="str">
        <f t="shared" si="59"/>
        <v>OK</v>
      </c>
    </row>
    <row r="1237" spans="1:19" ht="41.4">
      <c r="A1237" s="22" t="s">
        <v>1268</v>
      </c>
      <c r="B1237" s="25">
        <v>45693</v>
      </c>
      <c r="C1237" s="22" t="s">
        <v>723</v>
      </c>
      <c r="D1237" s="22" t="s">
        <v>23</v>
      </c>
      <c r="E1237" s="22" t="s">
        <v>24</v>
      </c>
      <c r="F1237" s="22"/>
      <c r="G1237" s="22" t="s">
        <v>30</v>
      </c>
      <c r="H1237" s="22">
        <v>1</v>
      </c>
      <c r="I1237" s="22">
        <v>0</v>
      </c>
      <c r="J1237" s="22">
        <v>0</v>
      </c>
      <c r="K1237" s="22">
        <v>0</v>
      </c>
      <c r="L1237" s="22">
        <v>0</v>
      </c>
      <c r="M1237" s="22">
        <v>0</v>
      </c>
      <c r="N1237" s="22">
        <v>0</v>
      </c>
      <c r="O1237" s="22"/>
      <c r="P1237" s="22">
        <v>78.900000000000006</v>
      </c>
      <c r="Q1237" s="22" t="str">
        <f t="shared" si="57"/>
        <v>Normal</v>
      </c>
      <c r="R1237" s="26" t="str">
        <f t="shared" si="58"/>
        <v>USR-10123645693TreatmentWestMobilePremium100000078.9</v>
      </c>
      <c r="S1237" s="22" t="str">
        <f t="shared" si="59"/>
        <v>OK</v>
      </c>
    </row>
    <row r="1238" spans="1:19" ht="41.4">
      <c r="A1238" s="22" t="s">
        <v>1269</v>
      </c>
      <c r="B1238" s="25">
        <v>45682</v>
      </c>
      <c r="C1238" s="22" t="s">
        <v>723</v>
      </c>
      <c r="D1238" s="22" t="s">
        <v>23</v>
      </c>
      <c r="E1238" s="22" t="s">
        <v>19</v>
      </c>
      <c r="F1238" s="22" t="s">
        <v>20</v>
      </c>
      <c r="G1238" s="22" t="s">
        <v>26</v>
      </c>
      <c r="H1238" s="22">
        <v>1</v>
      </c>
      <c r="I1238" s="22">
        <v>1</v>
      </c>
      <c r="J1238" s="22">
        <v>1</v>
      </c>
      <c r="K1238" s="22">
        <v>1</v>
      </c>
      <c r="L1238" s="22">
        <v>618.91</v>
      </c>
      <c r="M1238" s="22">
        <v>0</v>
      </c>
      <c r="N1238" s="22">
        <v>0</v>
      </c>
      <c r="O1238" s="22">
        <v>4</v>
      </c>
      <c r="P1238" s="22">
        <v>67.8</v>
      </c>
      <c r="Q1238" s="22" t="str">
        <f t="shared" si="57"/>
        <v>Normal</v>
      </c>
      <c r="R1238" s="26" t="str">
        <f t="shared" si="58"/>
        <v>USR-10123745682TreatmentWestDesktopEmailFree1111618.9100467.8</v>
      </c>
      <c r="S1238" s="22" t="str">
        <f t="shared" si="59"/>
        <v>OK</v>
      </c>
    </row>
    <row r="1239" spans="1:19" ht="41.4">
      <c r="A1239" s="22" t="s">
        <v>1270</v>
      </c>
      <c r="B1239" s="25">
        <v>45757</v>
      </c>
      <c r="C1239" s="22" t="s">
        <v>723</v>
      </c>
      <c r="D1239" s="22" t="s">
        <v>28</v>
      </c>
      <c r="E1239" s="22" t="s">
        <v>24</v>
      </c>
      <c r="F1239" s="22" t="s">
        <v>25</v>
      </c>
      <c r="G1239" s="22" t="s">
        <v>30</v>
      </c>
      <c r="H1239" s="22">
        <v>1</v>
      </c>
      <c r="I1239" s="22">
        <v>0</v>
      </c>
      <c r="J1239" s="22">
        <v>0</v>
      </c>
      <c r="K1239" s="22">
        <v>0</v>
      </c>
      <c r="L1239" s="22">
        <v>0</v>
      </c>
      <c r="M1239" s="22">
        <v>0</v>
      </c>
      <c r="N1239" s="22">
        <v>0</v>
      </c>
      <c r="O1239" s="22"/>
      <c r="P1239" s="22">
        <v>68.8</v>
      </c>
      <c r="Q1239" s="22" t="str">
        <f t="shared" si="57"/>
        <v>Normal</v>
      </c>
      <c r="R1239" s="26" t="str">
        <f t="shared" si="58"/>
        <v>USR-10123845757TreatmentEastMobileOrganicPremium100000068.8</v>
      </c>
      <c r="S1239" s="22" t="str">
        <f t="shared" si="59"/>
        <v>OK</v>
      </c>
    </row>
    <row r="1240" spans="1:19" ht="41.4">
      <c r="A1240" s="22" t="s">
        <v>1271</v>
      </c>
      <c r="B1240" s="25">
        <v>45667</v>
      </c>
      <c r="C1240" s="22" t="s">
        <v>723</v>
      </c>
      <c r="D1240" s="22" t="s">
        <v>28</v>
      </c>
      <c r="E1240" s="22" t="s">
        <v>24</v>
      </c>
      <c r="F1240" s="22" t="s">
        <v>25</v>
      </c>
      <c r="G1240" s="22" t="s">
        <v>30</v>
      </c>
      <c r="H1240" s="22">
        <v>1</v>
      </c>
      <c r="I1240" s="22">
        <v>0</v>
      </c>
      <c r="J1240" s="22">
        <v>0</v>
      </c>
      <c r="K1240" s="22">
        <v>0</v>
      </c>
      <c r="L1240" s="22">
        <v>0</v>
      </c>
      <c r="M1240" s="22">
        <v>0</v>
      </c>
      <c r="N1240" s="22">
        <v>0</v>
      </c>
      <c r="O1240" s="22"/>
      <c r="P1240" s="22">
        <v>67.7</v>
      </c>
      <c r="Q1240" s="22" t="str">
        <f t="shared" si="57"/>
        <v>Normal</v>
      </c>
      <c r="R1240" s="26" t="str">
        <f t="shared" si="58"/>
        <v>USR-10123945667TreatmentEastMobileOrganicPremium100000067.7</v>
      </c>
      <c r="S1240" s="22" t="str">
        <f t="shared" si="59"/>
        <v>OK</v>
      </c>
    </row>
    <row r="1241" spans="1:19" ht="41.4">
      <c r="A1241" s="22" t="s">
        <v>1272</v>
      </c>
      <c r="B1241" s="25">
        <v>45711</v>
      </c>
      <c r="C1241" s="22" t="s">
        <v>723</v>
      </c>
      <c r="D1241" s="22" t="s">
        <v>28</v>
      </c>
      <c r="E1241" s="22" t="s">
        <v>24</v>
      </c>
      <c r="F1241" s="22"/>
      <c r="G1241" s="22" t="s">
        <v>26</v>
      </c>
      <c r="H1241" s="22">
        <v>0</v>
      </c>
      <c r="I1241" s="22">
        <v>0</v>
      </c>
      <c r="J1241" s="22">
        <v>0</v>
      </c>
      <c r="K1241" s="22">
        <v>0</v>
      </c>
      <c r="L1241" s="22">
        <v>0</v>
      </c>
      <c r="M1241" s="22">
        <v>0</v>
      </c>
      <c r="N1241" s="22">
        <v>0</v>
      </c>
      <c r="O1241" s="22"/>
      <c r="P1241" s="22">
        <v>88</v>
      </c>
      <c r="Q1241" s="22" t="str">
        <f t="shared" si="57"/>
        <v>Normal</v>
      </c>
      <c r="R1241" s="26" t="str">
        <f t="shared" si="58"/>
        <v>USR-10124045711TreatmentEastMobileFree000000088</v>
      </c>
      <c r="S1241" s="22" t="str">
        <f t="shared" si="59"/>
        <v>OK</v>
      </c>
    </row>
    <row r="1242" spans="1:19" ht="41.4">
      <c r="A1242" s="22" t="s">
        <v>1273</v>
      </c>
      <c r="B1242" s="25">
        <v>45800</v>
      </c>
      <c r="C1242" s="22" t="s">
        <v>723</v>
      </c>
      <c r="D1242" s="22" t="s">
        <v>23</v>
      </c>
      <c r="E1242" s="22" t="s">
        <v>19</v>
      </c>
      <c r="F1242" s="22" t="s">
        <v>25</v>
      </c>
      <c r="G1242" s="22" t="s">
        <v>21</v>
      </c>
      <c r="H1242" s="22">
        <v>1</v>
      </c>
      <c r="I1242" s="22">
        <v>1</v>
      </c>
      <c r="J1242" s="22">
        <v>0</v>
      </c>
      <c r="K1242" s="22">
        <v>0</v>
      </c>
      <c r="L1242" s="22">
        <v>0</v>
      </c>
      <c r="M1242" s="22">
        <v>0</v>
      </c>
      <c r="N1242" s="22">
        <v>0</v>
      </c>
      <c r="O1242" s="22"/>
      <c r="P1242" s="22">
        <v>80.099999999999994</v>
      </c>
      <c r="Q1242" s="22" t="str">
        <f t="shared" si="57"/>
        <v>Normal</v>
      </c>
      <c r="R1242" s="26" t="str">
        <f t="shared" si="58"/>
        <v>USR-10124145800TreatmentWestDesktopOrganicBasic110000080.1</v>
      </c>
      <c r="S1242" s="22" t="str">
        <f t="shared" si="59"/>
        <v>OK</v>
      </c>
    </row>
    <row r="1243" spans="1:19" ht="41.4">
      <c r="A1243" s="22" t="s">
        <v>1274</v>
      </c>
      <c r="B1243" s="25">
        <v>45724</v>
      </c>
      <c r="C1243" s="22" t="s">
        <v>723</v>
      </c>
      <c r="D1243" s="22" t="s">
        <v>18</v>
      </c>
      <c r="E1243" s="22" t="s">
        <v>34</v>
      </c>
      <c r="F1243" s="22" t="s">
        <v>20</v>
      </c>
      <c r="G1243" s="22" t="s">
        <v>21</v>
      </c>
      <c r="H1243" s="22">
        <v>0</v>
      </c>
      <c r="I1243" s="22">
        <v>0</v>
      </c>
      <c r="J1243" s="22">
        <v>0</v>
      </c>
      <c r="K1243" s="22">
        <v>0</v>
      </c>
      <c r="L1243" s="22">
        <v>0</v>
      </c>
      <c r="M1243" s="22">
        <v>1</v>
      </c>
      <c r="N1243" s="22">
        <v>0</v>
      </c>
      <c r="O1243" s="22"/>
      <c r="P1243" s="22">
        <v>48.2</v>
      </c>
      <c r="Q1243" s="22" t="str">
        <f t="shared" si="57"/>
        <v>Normal</v>
      </c>
      <c r="R1243" s="26" t="str">
        <f t="shared" si="58"/>
        <v>USR-10124245724TreatmentNorthTabletEmailBasic000001048.2</v>
      </c>
      <c r="S1243" s="22" t="str">
        <f t="shared" si="59"/>
        <v>OK</v>
      </c>
    </row>
    <row r="1244" spans="1:19" ht="41.4">
      <c r="A1244" s="22" t="s">
        <v>1275</v>
      </c>
      <c r="B1244" s="25">
        <v>45798</v>
      </c>
      <c r="C1244" s="22" t="s">
        <v>723</v>
      </c>
      <c r="D1244" s="22" t="s">
        <v>28</v>
      </c>
      <c r="E1244" s="22" t="s">
        <v>24</v>
      </c>
      <c r="F1244" s="22" t="s">
        <v>25</v>
      </c>
      <c r="G1244" s="22" t="s">
        <v>21</v>
      </c>
      <c r="H1244" s="22">
        <v>1</v>
      </c>
      <c r="I1244" s="22">
        <v>0</v>
      </c>
      <c r="J1244" s="22">
        <v>0</v>
      </c>
      <c r="K1244" s="22">
        <v>0</v>
      </c>
      <c r="L1244" s="22">
        <v>0</v>
      </c>
      <c r="M1244" s="22">
        <v>0</v>
      </c>
      <c r="N1244" s="22">
        <v>0</v>
      </c>
      <c r="O1244" s="22"/>
      <c r="P1244" s="22">
        <v>52.7</v>
      </c>
      <c r="Q1244" s="22" t="str">
        <f t="shared" si="57"/>
        <v>Normal</v>
      </c>
      <c r="R1244" s="26" t="str">
        <f t="shared" si="58"/>
        <v>USR-10124345798TreatmentEastMobileOrganicBasic100000052.7</v>
      </c>
      <c r="S1244" s="22" t="str">
        <f t="shared" si="59"/>
        <v>OK</v>
      </c>
    </row>
    <row r="1245" spans="1:19" ht="41.4">
      <c r="A1245" s="22" t="s">
        <v>1276</v>
      </c>
      <c r="B1245" s="25">
        <v>45769</v>
      </c>
      <c r="C1245" s="22" t="s">
        <v>723</v>
      </c>
      <c r="D1245" s="22" t="s">
        <v>18</v>
      </c>
      <c r="E1245" s="22" t="s">
        <v>24</v>
      </c>
      <c r="F1245" s="22" t="s">
        <v>20</v>
      </c>
      <c r="G1245" s="22" t="s">
        <v>21</v>
      </c>
      <c r="H1245" s="22">
        <v>1</v>
      </c>
      <c r="I1245" s="22">
        <v>1</v>
      </c>
      <c r="J1245" s="22">
        <v>0</v>
      </c>
      <c r="K1245" s="22">
        <v>0</v>
      </c>
      <c r="L1245" s="22">
        <v>0</v>
      </c>
      <c r="M1245" s="22">
        <v>0</v>
      </c>
      <c r="N1245" s="22">
        <v>0</v>
      </c>
      <c r="O1245" s="22"/>
      <c r="P1245" s="22">
        <v>59.9</v>
      </c>
      <c r="Q1245" s="22" t="str">
        <f t="shared" si="57"/>
        <v>Normal</v>
      </c>
      <c r="R1245" s="26" t="str">
        <f t="shared" si="58"/>
        <v>USR-10124445769TreatmentNorthMobileEmailBasic110000059.9</v>
      </c>
      <c r="S1245" s="22" t="str">
        <f t="shared" si="59"/>
        <v>OK</v>
      </c>
    </row>
    <row r="1246" spans="1:19" ht="41.4">
      <c r="A1246" s="22" t="s">
        <v>1277</v>
      </c>
      <c r="B1246" s="25">
        <v>45763</v>
      </c>
      <c r="C1246" s="22" t="s">
        <v>723</v>
      </c>
      <c r="D1246" s="22" t="s">
        <v>18</v>
      </c>
      <c r="E1246" s="22" t="s">
        <v>24</v>
      </c>
      <c r="F1246" s="22" t="s">
        <v>20</v>
      </c>
      <c r="G1246" s="22" t="s">
        <v>30</v>
      </c>
      <c r="H1246" s="22">
        <v>1</v>
      </c>
      <c r="I1246" s="22">
        <v>0</v>
      </c>
      <c r="J1246" s="22">
        <v>0</v>
      </c>
      <c r="K1246" s="22">
        <v>0</v>
      </c>
      <c r="L1246" s="22">
        <v>0</v>
      </c>
      <c r="M1246" s="22">
        <v>0</v>
      </c>
      <c r="N1246" s="22">
        <v>0</v>
      </c>
      <c r="O1246" s="22"/>
      <c r="P1246" s="22">
        <v>49.5</v>
      </c>
      <c r="Q1246" s="22" t="str">
        <f t="shared" si="57"/>
        <v>Normal</v>
      </c>
      <c r="R1246" s="26" t="str">
        <f t="shared" si="58"/>
        <v>USR-10124545763TreatmentNorthMobileEmailPremium100000049.5</v>
      </c>
      <c r="S1246" s="22" t="str">
        <f t="shared" si="59"/>
        <v>OK</v>
      </c>
    </row>
    <row r="1247" spans="1:19" ht="41.4">
      <c r="A1247" s="22" t="s">
        <v>1278</v>
      </c>
      <c r="B1247" s="25">
        <v>45785</v>
      </c>
      <c r="C1247" s="22" t="s">
        <v>723</v>
      </c>
      <c r="D1247" s="22" t="s">
        <v>18</v>
      </c>
      <c r="E1247" s="22" t="s">
        <v>34</v>
      </c>
      <c r="F1247" s="22" t="s">
        <v>25</v>
      </c>
      <c r="G1247" s="22" t="s">
        <v>26</v>
      </c>
      <c r="H1247" s="22">
        <v>1</v>
      </c>
      <c r="I1247" s="22">
        <v>0</v>
      </c>
      <c r="J1247" s="22">
        <v>0</v>
      </c>
      <c r="K1247" s="22">
        <v>0</v>
      </c>
      <c r="L1247" s="22">
        <v>0</v>
      </c>
      <c r="M1247" s="22">
        <v>0</v>
      </c>
      <c r="N1247" s="22">
        <v>0</v>
      </c>
      <c r="O1247" s="22"/>
      <c r="P1247" s="22">
        <v>41.5</v>
      </c>
      <c r="Q1247" s="22" t="str">
        <f t="shared" si="57"/>
        <v>Normal</v>
      </c>
      <c r="R1247" s="26" t="str">
        <f t="shared" si="58"/>
        <v>USR-10124645785TreatmentNorthTabletOrganicFree100000041.5</v>
      </c>
      <c r="S1247" s="22" t="str">
        <f t="shared" si="59"/>
        <v>OK</v>
      </c>
    </row>
    <row r="1248" spans="1:19" ht="41.4">
      <c r="A1248" s="22" t="s">
        <v>1279</v>
      </c>
      <c r="B1248" s="25">
        <v>45799</v>
      </c>
      <c r="C1248" s="22" t="s">
        <v>723</v>
      </c>
      <c r="D1248" s="22" t="s">
        <v>18</v>
      </c>
      <c r="E1248" s="22" t="s">
        <v>24</v>
      </c>
      <c r="F1248" s="22" t="s">
        <v>29</v>
      </c>
      <c r="G1248" s="22" t="s">
        <v>21</v>
      </c>
      <c r="H1248" s="22">
        <v>1</v>
      </c>
      <c r="I1248" s="22">
        <v>0</v>
      </c>
      <c r="J1248" s="22">
        <v>0</v>
      </c>
      <c r="K1248" s="22">
        <v>0</v>
      </c>
      <c r="L1248" s="22">
        <v>0</v>
      </c>
      <c r="M1248" s="22">
        <v>0</v>
      </c>
      <c r="N1248" s="22">
        <v>0</v>
      </c>
      <c r="O1248" s="22"/>
      <c r="P1248" s="22">
        <v>71.2</v>
      </c>
      <c r="Q1248" s="22" t="str">
        <f t="shared" si="57"/>
        <v>Normal</v>
      </c>
      <c r="R1248" s="26" t="str">
        <f t="shared" si="58"/>
        <v>USR-10124745799TreatmentNorthMobilePaid SearchBasic100000071.2</v>
      </c>
      <c r="S1248" s="22" t="str">
        <f t="shared" si="59"/>
        <v>OK</v>
      </c>
    </row>
    <row r="1249" spans="1:19" ht="41.4">
      <c r="A1249" s="22" t="s">
        <v>1280</v>
      </c>
      <c r="B1249" s="25">
        <v>45737</v>
      </c>
      <c r="C1249" s="22" t="s">
        <v>723</v>
      </c>
      <c r="D1249" s="22" t="s">
        <v>18</v>
      </c>
      <c r="E1249" s="22" t="s">
        <v>24</v>
      </c>
      <c r="F1249" s="22" t="s">
        <v>39</v>
      </c>
      <c r="G1249" s="22" t="s">
        <v>21</v>
      </c>
      <c r="H1249" s="22">
        <v>1</v>
      </c>
      <c r="I1249" s="22">
        <v>1</v>
      </c>
      <c r="J1249" s="22">
        <v>1</v>
      </c>
      <c r="K1249" s="22">
        <v>0</v>
      </c>
      <c r="L1249" s="22">
        <v>0</v>
      </c>
      <c r="M1249" s="22">
        <v>0</v>
      </c>
      <c r="N1249" s="22">
        <v>0</v>
      </c>
      <c r="O1249" s="22"/>
      <c r="P1249" s="22">
        <v>65.8</v>
      </c>
      <c r="Q1249" s="22" t="str">
        <f t="shared" si="57"/>
        <v>Normal</v>
      </c>
      <c r="R1249" s="26" t="str">
        <f t="shared" si="58"/>
        <v>USR-10124845737TreatmentNorthMobileReferralBasic111000065.8</v>
      </c>
      <c r="S1249" s="22" t="str">
        <f t="shared" si="59"/>
        <v>OK</v>
      </c>
    </row>
    <row r="1250" spans="1:19" ht="41.4">
      <c r="A1250" s="22" t="s">
        <v>1281</v>
      </c>
      <c r="B1250" s="25">
        <v>45738</v>
      </c>
      <c r="C1250" s="22" t="s">
        <v>723</v>
      </c>
      <c r="D1250" s="22" t="s">
        <v>28</v>
      </c>
      <c r="E1250" s="22" t="s">
        <v>24</v>
      </c>
      <c r="F1250" s="22" t="s">
        <v>25</v>
      </c>
      <c r="G1250" s="22" t="s">
        <v>21</v>
      </c>
      <c r="H1250" s="22">
        <v>1</v>
      </c>
      <c r="I1250" s="22">
        <v>0</v>
      </c>
      <c r="J1250" s="22">
        <v>0</v>
      </c>
      <c r="K1250" s="22">
        <v>0</v>
      </c>
      <c r="L1250" s="22">
        <v>0</v>
      </c>
      <c r="M1250" s="22">
        <v>1</v>
      </c>
      <c r="N1250" s="22">
        <v>0</v>
      </c>
      <c r="O1250" s="22"/>
      <c r="P1250" s="22">
        <v>55.1</v>
      </c>
      <c r="Q1250" s="22" t="str">
        <f t="shared" si="57"/>
        <v>Normal</v>
      </c>
      <c r="R1250" s="26" t="str">
        <f t="shared" si="58"/>
        <v>USR-10124945738TreatmentEastMobileOrganicBasic100001055.1</v>
      </c>
      <c r="S1250" s="22" t="str">
        <f t="shared" si="59"/>
        <v>OK</v>
      </c>
    </row>
    <row r="1251" spans="1:19" ht="41.4">
      <c r="A1251" s="22" t="s">
        <v>1282</v>
      </c>
      <c r="B1251" s="25">
        <v>45667</v>
      </c>
      <c r="C1251" s="22" t="s">
        <v>723</v>
      </c>
      <c r="D1251" s="22" t="s">
        <v>23</v>
      </c>
      <c r="E1251" s="22" t="s">
        <v>19</v>
      </c>
      <c r="F1251" s="22" t="s">
        <v>41</v>
      </c>
      <c r="G1251" s="22" t="s">
        <v>26</v>
      </c>
      <c r="H1251" s="22">
        <v>1</v>
      </c>
      <c r="I1251" s="22">
        <v>0</v>
      </c>
      <c r="J1251" s="22">
        <v>0</v>
      </c>
      <c r="K1251" s="22">
        <v>0</v>
      </c>
      <c r="L1251" s="22">
        <v>0</v>
      </c>
      <c r="M1251" s="22">
        <v>0</v>
      </c>
      <c r="N1251" s="22">
        <v>0</v>
      </c>
      <c r="O1251" s="22"/>
      <c r="P1251" s="22">
        <v>54.6</v>
      </c>
      <c r="Q1251" s="22" t="str">
        <f t="shared" si="57"/>
        <v>Normal</v>
      </c>
      <c r="R1251" s="26" t="str">
        <f t="shared" si="58"/>
        <v>USR-10125045667TreatmentWestDesktopSocialFree100000054.6</v>
      </c>
      <c r="S1251" s="22" t="str">
        <f t="shared" si="59"/>
        <v>OK</v>
      </c>
    </row>
    <row r="1252" spans="1:19" ht="41.4">
      <c r="A1252" s="22" t="s">
        <v>1283</v>
      </c>
      <c r="B1252" s="25">
        <v>45689</v>
      </c>
      <c r="C1252" s="22" t="s">
        <v>723</v>
      </c>
      <c r="D1252" s="22" t="s">
        <v>28</v>
      </c>
      <c r="E1252" s="22" t="s">
        <v>24</v>
      </c>
      <c r="F1252" s="22" t="s">
        <v>25</v>
      </c>
      <c r="G1252" s="22" t="s">
        <v>21</v>
      </c>
      <c r="H1252" s="22">
        <v>1</v>
      </c>
      <c r="I1252" s="22">
        <v>1</v>
      </c>
      <c r="J1252" s="22">
        <v>1</v>
      </c>
      <c r="K1252" s="22">
        <v>1</v>
      </c>
      <c r="L1252" s="22">
        <v>923.67</v>
      </c>
      <c r="M1252" s="22">
        <v>0</v>
      </c>
      <c r="N1252" s="22">
        <v>0</v>
      </c>
      <c r="O1252" s="22">
        <v>4</v>
      </c>
      <c r="P1252" s="22">
        <v>81.900000000000006</v>
      </c>
      <c r="Q1252" s="22" t="str">
        <f t="shared" si="57"/>
        <v>Normal</v>
      </c>
      <c r="R1252" s="26" t="str">
        <f t="shared" si="58"/>
        <v>USR-10125145689TreatmentEastMobileOrganicBasic1111923.6700481.9</v>
      </c>
      <c r="S1252" s="22" t="str">
        <f t="shared" si="59"/>
        <v>OK</v>
      </c>
    </row>
    <row r="1253" spans="1:19" ht="41.4">
      <c r="A1253" s="22" t="s">
        <v>1284</v>
      </c>
      <c r="B1253" s="25">
        <v>45747</v>
      </c>
      <c r="C1253" s="22" t="s">
        <v>723</v>
      </c>
      <c r="D1253" s="22" t="s">
        <v>32</v>
      </c>
      <c r="E1253" s="22" t="s">
        <v>24</v>
      </c>
      <c r="F1253" s="22" t="s">
        <v>29</v>
      </c>
      <c r="G1253" s="22" t="s">
        <v>21</v>
      </c>
      <c r="H1253" s="22">
        <v>1</v>
      </c>
      <c r="I1253" s="22">
        <v>1</v>
      </c>
      <c r="J1253" s="22">
        <v>0</v>
      </c>
      <c r="K1253" s="22">
        <v>0</v>
      </c>
      <c r="L1253" s="22">
        <v>0</v>
      </c>
      <c r="M1253" s="22">
        <v>3</v>
      </c>
      <c r="N1253" s="22">
        <v>0</v>
      </c>
      <c r="O1253" s="22"/>
      <c r="P1253" s="22">
        <v>63.2</v>
      </c>
      <c r="Q1253" s="22" t="str">
        <f t="shared" si="57"/>
        <v>Normal</v>
      </c>
      <c r="R1253" s="26" t="str">
        <f t="shared" si="58"/>
        <v>USR-10125245747TreatmentSouthMobilePaid SearchBasic110003063.2</v>
      </c>
      <c r="S1253" s="22" t="str">
        <f t="shared" si="59"/>
        <v>OK</v>
      </c>
    </row>
    <row r="1254" spans="1:19" ht="41.4">
      <c r="A1254" s="22" t="s">
        <v>1285</v>
      </c>
      <c r="B1254" s="25">
        <v>45772</v>
      </c>
      <c r="C1254" s="22" t="s">
        <v>723</v>
      </c>
      <c r="D1254" s="22" t="s">
        <v>18</v>
      </c>
      <c r="E1254" s="22" t="s">
        <v>24</v>
      </c>
      <c r="F1254" s="22" t="s">
        <v>29</v>
      </c>
      <c r="G1254" s="22" t="s">
        <v>26</v>
      </c>
      <c r="H1254" s="22">
        <v>1</v>
      </c>
      <c r="I1254" s="22">
        <v>0</v>
      </c>
      <c r="J1254" s="22">
        <v>0</v>
      </c>
      <c r="K1254" s="22">
        <v>0</v>
      </c>
      <c r="L1254" s="22">
        <v>0</v>
      </c>
      <c r="M1254" s="22">
        <v>0</v>
      </c>
      <c r="N1254" s="22">
        <v>0</v>
      </c>
      <c r="O1254" s="22"/>
      <c r="P1254" s="22">
        <v>55.4</v>
      </c>
      <c r="Q1254" s="22" t="str">
        <f t="shared" si="57"/>
        <v>Normal</v>
      </c>
      <c r="R1254" s="26" t="str">
        <f t="shared" si="58"/>
        <v>USR-10125345772TreatmentNorthMobilePaid SearchFree100000055.4</v>
      </c>
      <c r="S1254" s="22" t="str">
        <f t="shared" si="59"/>
        <v>OK</v>
      </c>
    </row>
    <row r="1255" spans="1:19" ht="41.4">
      <c r="A1255" s="22" t="s">
        <v>1286</v>
      </c>
      <c r="B1255" s="25">
        <v>45779</v>
      </c>
      <c r="C1255" s="22" t="s">
        <v>723</v>
      </c>
      <c r="D1255" s="22" t="s">
        <v>23</v>
      </c>
      <c r="E1255" s="22" t="s">
        <v>24</v>
      </c>
      <c r="F1255" s="22" t="s">
        <v>41</v>
      </c>
      <c r="G1255" s="22" t="s">
        <v>21</v>
      </c>
      <c r="H1255" s="22">
        <v>0</v>
      </c>
      <c r="I1255" s="22">
        <v>0</v>
      </c>
      <c r="J1255" s="22">
        <v>0</v>
      </c>
      <c r="K1255" s="22">
        <v>0</v>
      </c>
      <c r="L1255" s="22">
        <v>0</v>
      </c>
      <c r="M1255" s="22">
        <v>0</v>
      </c>
      <c r="N1255" s="22">
        <v>0</v>
      </c>
      <c r="O1255" s="22"/>
      <c r="P1255" s="22">
        <v>87.5</v>
      </c>
      <c r="Q1255" s="22" t="str">
        <f t="shared" si="57"/>
        <v>Normal</v>
      </c>
      <c r="R1255" s="26" t="str">
        <f t="shared" si="58"/>
        <v>USR-10125445779TreatmentWestMobileSocialBasic000000087.5</v>
      </c>
      <c r="S1255" s="22" t="str">
        <f t="shared" si="59"/>
        <v>OK</v>
      </c>
    </row>
    <row r="1256" spans="1:19" ht="41.4">
      <c r="A1256" s="22" t="s">
        <v>1287</v>
      </c>
      <c r="B1256" s="25">
        <v>45724</v>
      </c>
      <c r="C1256" s="22" t="s">
        <v>723</v>
      </c>
      <c r="D1256" s="22" t="s">
        <v>32</v>
      </c>
      <c r="E1256" s="22" t="s">
        <v>19</v>
      </c>
      <c r="F1256" s="22" t="s">
        <v>41</v>
      </c>
      <c r="G1256" s="22" t="s">
        <v>21</v>
      </c>
      <c r="H1256" s="22">
        <v>1</v>
      </c>
      <c r="I1256" s="22">
        <v>0</v>
      </c>
      <c r="J1256" s="22">
        <v>0</v>
      </c>
      <c r="K1256" s="22">
        <v>0</v>
      </c>
      <c r="L1256" s="22">
        <v>0</v>
      </c>
      <c r="M1256" s="22">
        <v>0</v>
      </c>
      <c r="N1256" s="22">
        <v>0</v>
      </c>
      <c r="O1256" s="22"/>
      <c r="P1256" s="22">
        <v>48.5</v>
      </c>
      <c r="Q1256" s="22" t="str">
        <f t="shared" si="57"/>
        <v>Normal</v>
      </c>
      <c r="R1256" s="26" t="str">
        <f t="shared" si="58"/>
        <v>USR-10125545724TreatmentSouthDesktopSocialBasic100000048.5</v>
      </c>
      <c r="S1256" s="22" t="str">
        <f t="shared" si="59"/>
        <v>OK</v>
      </c>
    </row>
    <row r="1257" spans="1:19" ht="41.4">
      <c r="A1257" s="22" t="s">
        <v>1288</v>
      </c>
      <c r="B1257" s="25">
        <v>45684</v>
      </c>
      <c r="C1257" s="22" t="s">
        <v>723</v>
      </c>
      <c r="D1257" s="22" t="s">
        <v>28</v>
      </c>
      <c r="E1257" s="22" t="s">
        <v>19</v>
      </c>
      <c r="F1257" s="22"/>
      <c r="G1257" s="22" t="s">
        <v>26</v>
      </c>
      <c r="H1257" s="22">
        <v>1</v>
      </c>
      <c r="I1257" s="22">
        <v>1</v>
      </c>
      <c r="J1257" s="22">
        <v>1</v>
      </c>
      <c r="K1257" s="22">
        <v>1</v>
      </c>
      <c r="L1257" s="22">
        <v>420.27</v>
      </c>
      <c r="M1257" s="22">
        <v>0</v>
      </c>
      <c r="N1257" s="22">
        <v>0</v>
      </c>
      <c r="O1257" s="22">
        <v>6</v>
      </c>
      <c r="P1257" s="22">
        <v>58.4</v>
      </c>
      <c r="Q1257" s="22" t="str">
        <f t="shared" si="57"/>
        <v>Normal</v>
      </c>
      <c r="R1257" s="26" t="str">
        <f t="shared" si="58"/>
        <v>USR-10125645684TreatmentEastDesktopFree1111420.2700658.4</v>
      </c>
      <c r="S1257" s="22" t="str">
        <f t="shared" si="59"/>
        <v>OK</v>
      </c>
    </row>
    <row r="1258" spans="1:19" ht="41.4">
      <c r="A1258" s="22" t="s">
        <v>1289</v>
      </c>
      <c r="B1258" s="25">
        <v>45774</v>
      </c>
      <c r="C1258" s="22" t="s">
        <v>723</v>
      </c>
      <c r="D1258" s="22" t="s">
        <v>23</v>
      </c>
      <c r="E1258" s="22" t="s">
        <v>24</v>
      </c>
      <c r="F1258" s="22" t="s">
        <v>29</v>
      </c>
      <c r="G1258" s="22" t="s">
        <v>26</v>
      </c>
      <c r="H1258" s="22">
        <v>0</v>
      </c>
      <c r="I1258" s="22">
        <v>0</v>
      </c>
      <c r="J1258" s="22">
        <v>0</v>
      </c>
      <c r="K1258" s="22">
        <v>0</v>
      </c>
      <c r="L1258" s="22">
        <v>0</v>
      </c>
      <c r="M1258" s="22">
        <v>0</v>
      </c>
      <c r="N1258" s="22">
        <v>0</v>
      </c>
      <c r="O1258" s="22"/>
      <c r="P1258" s="22">
        <v>59.5</v>
      </c>
      <c r="Q1258" s="22" t="str">
        <f t="shared" si="57"/>
        <v>Normal</v>
      </c>
      <c r="R1258" s="26" t="str">
        <f t="shared" si="58"/>
        <v>USR-10125745774TreatmentWestMobilePaid SearchFree000000059.5</v>
      </c>
      <c r="S1258" s="22" t="str">
        <f t="shared" si="59"/>
        <v>OK</v>
      </c>
    </row>
    <row r="1259" spans="1:19" ht="41.4">
      <c r="A1259" s="22" t="s">
        <v>1290</v>
      </c>
      <c r="B1259" s="25">
        <v>45673</v>
      </c>
      <c r="C1259" s="22" t="s">
        <v>723</v>
      </c>
      <c r="D1259" s="22" t="s">
        <v>23</v>
      </c>
      <c r="E1259" s="22" t="s">
        <v>19</v>
      </c>
      <c r="F1259" s="22" t="s">
        <v>29</v>
      </c>
      <c r="G1259" s="22" t="s">
        <v>21</v>
      </c>
      <c r="H1259" s="22">
        <v>1</v>
      </c>
      <c r="I1259" s="22">
        <v>0</v>
      </c>
      <c r="J1259" s="22">
        <v>0</v>
      </c>
      <c r="K1259" s="22">
        <v>0</v>
      </c>
      <c r="L1259" s="22">
        <v>0</v>
      </c>
      <c r="M1259" s="22">
        <v>0</v>
      </c>
      <c r="N1259" s="22">
        <v>0</v>
      </c>
      <c r="O1259" s="22"/>
      <c r="P1259" s="22">
        <v>93.2</v>
      </c>
      <c r="Q1259" s="22" t="str">
        <f t="shared" si="57"/>
        <v>Normal</v>
      </c>
      <c r="R1259" s="26" t="str">
        <f t="shared" si="58"/>
        <v>USR-10125845673TreatmentWestDesktopPaid SearchBasic100000093.2</v>
      </c>
      <c r="S1259" s="22" t="str">
        <f t="shared" si="59"/>
        <v>OK</v>
      </c>
    </row>
    <row r="1260" spans="1:19" ht="41.4">
      <c r="A1260" s="22" t="s">
        <v>1291</v>
      </c>
      <c r="B1260" s="25">
        <v>45675</v>
      </c>
      <c r="C1260" s="22" t="s">
        <v>723</v>
      </c>
      <c r="D1260" s="22" t="s">
        <v>23</v>
      </c>
      <c r="E1260" s="22" t="s">
        <v>19</v>
      </c>
      <c r="F1260" s="22" t="s">
        <v>29</v>
      </c>
      <c r="G1260" s="22" t="s">
        <v>21</v>
      </c>
      <c r="H1260" s="22">
        <v>1</v>
      </c>
      <c r="I1260" s="22">
        <v>0</v>
      </c>
      <c r="J1260" s="22">
        <v>0</v>
      </c>
      <c r="K1260" s="22">
        <v>0</v>
      </c>
      <c r="L1260" s="22">
        <v>0</v>
      </c>
      <c r="M1260" s="22">
        <v>0</v>
      </c>
      <c r="N1260" s="22">
        <v>0</v>
      </c>
      <c r="O1260" s="22"/>
      <c r="P1260" s="22">
        <v>59</v>
      </c>
      <c r="Q1260" s="22" t="str">
        <f t="shared" si="57"/>
        <v>Normal</v>
      </c>
      <c r="R1260" s="26" t="str">
        <f t="shared" si="58"/>
        <v>USR-10125945675TreatmentWestDesktopPaid SearchBasic100000059</v>
      </c>
      <c r="S1260" s="22" t="str">
        <f t="shared" si="59"/>
        <v>OK</v>
      </c>
    </row>
    <row r="1261" spans="1:19" ht="41.4">
      <c r="A1261" s="22" t="s">
        <v>1292</v>
      </c>
      <c r="B1261" s="25">
        <v>45737</v>
      </c>
      <c r="C1261" s="22" t="s">
        <v>723</v>
      </c>
      <c r="D1261" s="22" t="s">
        <v>18</v>
      </c>
      <c r="E1261" s="22" t="s">
        <v>24</v>
      </c>
      <c r="F1261" s="22" t="s">
        <v>25</v>
      </c>
      <c r="G1261" s="22" t="s">
        <v>26</v>
      </c>
      <c r="H1261" s="22">
        <v>1</v>
      </c>
      <c r="I1261" s="22">
        <v>0</v>
      </c>
      <c r="J1261" s="22">
        <v>0</v>
      </c>
      <c r="K1261" s="22">
        <v>0</v>
      </c>
      <c r="L1261" s="22">
        <v>0</v>
      </c>
      <c r="M1261" s="22">
        <v>0</v>
      </c>
      <c r="N1261" s="22">
        <v>0</v>
      </c>
      <c r="O1261" s="22"/>
      <c r="P1261" s="22">
        <v>37</v>
      </c>
      <c r="Q1261" s="22" t="str">
        <f t="shared" si="57"/>
        <v>Normal</v>
      </c>
      <c r="R1261" s="26" t="str">
        <f t="shared" si="58"/>
        <v>USR-10126045737TreatmentNorthMobileOrganicFree100000037</v>
      </c>
      <c r="S1261" s="22" t="str">
        <f t="shared" si="59"/>
        <v>OK</v>
      </c>
    </row>
    <row r="1262" spans="1:19" ht="41.4">
      <c r="A1262" s="22" t="s">
        <v>1293</v>
      </c>
      <c r="B1262" s="25">
        <v>45749</v>
      </c>
      <c r="C1262" s="22" t="s">
        <v>723</v>
      </c>
      <c r="D1262" s="22" t="s">
        <v>18</v>
      </c>
      <c r="E1262" s="22" t="s">
        <v>19</v>
      </c>
      <c r="F1262" s="22" t="s">
        <v>29</v>
      </c>
      <c r="G1262" s="22" t="s">
        <v>26</v>
      </c>
      <c r="H1262" s="22">
        <v>1</v>
      </c>
      <c r="I1262" s="22">
        <v>0</v>
      </c>
      <c r="J1262" s="22">
        <v>0</v>
      </c>
      <c r="K1262" s="22">
        <v>0</v>
      </c>
      <c r="L1262" s="22">
        <v>0</v>
      </c>
      <c r="M1262" s="22">
        <v>0</v>
      </c>
      <c r="N1262" s="22">
        <v>0</v>
      </c>
      <c r="O1262" s="22"/>
      <c r="P1262" s="22">
        <v>47.5</v>
      </c>
      <c r="Q1262" s="22" t="str">
        <f t="shared" si="57"/>
        <v>Normal</v>
      </c>
      <c r="R1262" s="26" t="str">
        <f t="shared" si="58"/>
        <v>USR-10126145749TreatmentNorthDesktopPaid SearchFree100000047.5</v>
      </c>
      <c r="S1262" s="22" t="str">
        <f t="shared" si="59"/>
        <v>OK</v>
      </c>
    </row>
    <row r="1263" spans="1:19" ht="41.4">
      <c r="A1263" s="22" t="s">
        <v>1294</v>
      </c>
      <c r="B1263" s="25">
        <v>45704</v>
      </c>
      <c r="C1263" s="22" t="s">
        <v>723</v>
      </c>
      <c r="D1263" s="22" t="s">
        <v>23</v>
      </c>
      <c r="E1263" s="22" t="s">
        <v>19</v>
      </c>
      <c r="F1263" s="22" t="s">
        <v>25</v>
      </c>
      <c r="G1263" s="22" t="s">
        <v>26</v>
      </c>
      <c r="H1263" s="22">
        <v>1</v>
      </c>
      <c r="I1263" s="22">
        <v>1</v>
      </c>
      <c r="J1263" s="22">
        <v>1</v>
      </c>
      <c r="K1263" s="22">
        <v>0</v>
      </c>
      <c r="L1263" s="22">
        <v>0</v>
      </c>
      <c r="M1263" s="22">
        <v>0</v>
      </c>
      <c r="N1263" s="22">
        <v>0</v>
      </c>
      <c r="O1263" s="22"/>
      <c r="P1263" s="22">
        <v>78.7</v>
      </c>
      <c r="Q1263" s="22" t="str">
        <f t="shared" si="57"/>
        <v>Normal</v>
      </c>
      <c r="R1263" s="26" t="str">
        <f t="shared" si="58"/>
        <v>USR-10126245704TreatmentWestDesktopOrganicFree111000078.7</v>
      </c>
      <c r="S1263" s="22" t="str">
        <f t="shared" si="59"/>
        <v>OK</v>
      </c>
    </row>
    <row r="1264" spans="1:19" ht="41.4">
      <c r="A1264" s="22" t="s">
        <v>1295</v>
      </c>
      <c r="B1264" s="25">
        <v>45706</v>
      </c>
      <c r="C1264" s="22" t="s">
        <v>723</v>
      </c>
      <c r="D1264" s="22" t="s">
        <v>18</v>
      </c>
      <c r="E1264" s="22" t="s">
        <v>24</v>
      </c>
      <c r="F1264" s="22" t="s">
        <v>41</v>
      </c>
      <c r="G1264" s="22" t="s">
        <v>26</v>
      </c>
      <c r="H1264" s="22">
        <v>1</v>
      </c>
      <c r="I1264" s="22">
        <v>0</v>
      </c>
      <c r="J1264" s="22">
        <v>0</v>
      </c>
      <c r="K1264" s="22">
        <v>0</v>
      </c>
      <c r="L1264" s="22">
        <v>0</v>
      </c>
      <c r="M1264" s="22">
        <v>0</v>
      </c>
      <c r="N1264" s="22">
        <v>0</v>
      </c>
      <c r="O1264" s="22"/>
      <c r="P1264" s="22">
        <v>49.6</v>
      </c>
      <c r="Q1264" s="22" t="str">
        <f t="shared" si="57"/>
        <v>Normal</v>
      </c>
      <c r="R1264" s="26" t="str">
        <f t="shared" si="58"/>
        <v>USR-10126345706TreatmentNorthMobileSocialFree100000049.6</v>
      </c>
      <c r="S1264" s="22" t="str">
        <f t="shared" si="59"/>
        <v>OK</v>
      </c>
    </row>
    <row r="1265" spans="1:19" ht="41.4">
      <c r="A1265" s="22" t="s">
        <v>1296</v>
      </c>
      <c r="B1265" s="25">
        <v>45666</v>
      </c>
      <c r="C1265" s="22" t="s">
        <v>723</v>
      </c>
      <c r="D1265" s="22" t="s">
        <v>28</v>
      </c>
      <c r="E1265" s="22" t="s">
        <v>24</v>
      </c>
      <c r="F1265" s="22" t="s">
        <v>25</v>
      </c>
      <c r="G1265" s="22" t="s">
        <v>26</v>
      </c>
      <c r="H1265" s="22">
        <v>1</v>
      </c>
      <c r="I1265" s="22">
        <v>0</v>
      </c>
      <c r="J1265" s="22">
        <v>0</v>
      </c>
      <c r="K1265" s="22">
        <v>0</v>
      </c>
      <c r="L1265" s="22">
        <v>0</v>
      </c>
      <c r="M1265" s="22">
        <v>0</v>
      </c>
      <c r="N1265" s="22">
        <v>0</v>
      </c>
      <c r="O1265" s="22"/>
      <c r="P1265" s="22">
        <v>58</v>
      </c>
      <c r="Q1265" s="22" t="str">
        <f t="shared" si="57"/>
        <v>Normal</v>
      </c>
      <c r="R1265" s="26" t="str">
        <f t="shared" si="58"/>
        <v>USR-10126445666TreatmentEastMobileOrganicFree100000058</v>
      </c>
      <c r="S1265" s="22" t="str">
        <f t="shared" si="59"/>
        <v>OK</v>
      </c>
    </row>
    <row r="1266" spans="1:19" ht="41.4">
      <c r="A1266" s="22" t="s">
        <v>1297</v>
      </c>
      <c r="B1266" s="25">
        <v>45706</v>
      </c>
      <c r="C1266" s="22" t="s">
        <v>723</v>
      </c>
      <c r="D1266" s="22" t="s">
        <v>18</v>
      </c>
      <c r="E1266" s="22" t="s">
        <v>19</v>
      </c>
      <c r="F1266" s="22" t="s">
        <v>29</v>
      </c>
      <c r="G1266" s="22" t="s">
        <v>26</v>
      </c>
      <c r="H1266" s="22">
        <v>1</v>
      </c>
      <c r="I1266" s="22">
        <v>0</v>
      </c>
      <c r="J1266" s="22">
        <v>0</v>
      </c>
      <c r="K1266" s="22">
        <v>0</v>
      </c>
      <c r="L1266" s="22">
        <v>0</v>
      </c>
      <c r="M1266" s="22">
        <v>1</v>
      </c>
      <c r="N1266" s="22">
        <v>0</v>
      </c>
      <c r="O1266" s="22"/>
      <c r="P1266" s="22">
        <v>54.4</v>
      </c>
      <c r="Q1266" s="22" t="str">
        <f t="shared" si="57"/>
        <v>Normal</v>
      </c>
      <c r="R1266" s="26" t="str">
        <f t="shared" si="58"/>
        <v>USR-10126545706TreatmentNorthDesktopPaid SearchFree100001054.4</v>
      </c>
      <c r="S1266" s="22" t="str">
        <f t="shared" si="59"/>
        <v>OK</v>
      </c>
    </row>
    <row r="1267" spans="1:19" ht="41.4">
      <c r="A1267" s="22" t="s">
        <v>1298</v>
      </c>
      <c r="B1267" s="25">
        <v>45667</v>
      </c>
      <c r="C1267" s="22" t="s">
        <v>723</v>
      </c>
      <c r="D1267" s="22" t="s">
        <v>28</v>
      </c>
      <c r="E1267" s="22" t="s">
        <v>24</v>
      </c>
      <c r="F1267" s="22" t="s">
        <v>39</v>
      </c>
      <c r="G1267" s="22" t="s">
        <v>26</v>
      </c>
      <c r="H1267" s="22">
        <v>0</v>
      </c>
      <c r="I1267" s="22">
        <v>0</v>
      </c>
      <c r="J1267" s="22">
        <v>0</v>
      </c>
      <c r="K1267" s="22">
        <v>0</v>
      </c>
      <c r="L1267" s="22">
        <v>0</v>
      </c>
      <c r="M1267" s="22">
        <v>0</v>
      </c>
      <c r="N1267" s="22">
        <v>0</v>
      </c>
      <c r="O1267" s="22"/>
      <c r="P1267" s="22">
        <v>33.700000000000003</v>
      </c>
      <c r="Q1267" s="22" t="str">
        <f t="shared" si="57"/>
        <v>Normal</v>
      </c>
      <c r="R1267" s="26" t="str">
        <f t="shared" si="58"/>
        <v>USR-10126645667TreatmentEastMobileReferralFree000000033.7</v>
      </c>
      <c r="S1267" s="22" t="str">
        <f t="shared" si="59"/>
        <v>OK</v>
      </c>
    </row>
    <row r="1268" spans="1:19" ht="41.4">
      <c r="A1268" s="22" t="s">
        <v>1299</v>
      </c>
      <c r="B1268" s="25">
        <v>45724</v>
      </c>
      <c r="C1268" s="22" t="s">
        <v>723</v>
      </c>
      <c r="D1268" s="22" t="s">
        <v>23</v>
      </c>
      <c r="E1268" s="22" t="s">
        <v>24</v>
      </c>
      <c r="F1268" s="22" t="s">
        <v>20</v>
      </c>
      <c r="G1268" s="22" t="s">
        <v>26</v>
      </c>
      <c r="H1268" s="22">
        <v>1</v>
      </c>
      <c r="I1268" s="22">
        <v>0</v>
      </c>
      <c r="J1268" s="22">
        <v>0</v>
      </c>
      <c r="K1268" s="22">
        <v>0</v>
      </c>
      <c r="L1268" s="22">
        <v>0</v>
      </c>
      <c r="M1268" s="22">
        <v>0</v>
      </c>
      <c r="N1268" s="22">
        <v>0</v>
      </c>
      <c r="O1268" s="22"/>
      <c r="P1268" s="22">
        <v>72.7</v>
      </c>
      <c r="Q1268" s="22" t="str">
        <f t="shared" si="57"/>
        <v>Normal</v>
      </c>
      <c r="R1268" s="26" t="str">
        <f t="shared" si="58"/>
        <v>USR-10126745724TreatmentWestMobileEmailFree100000072.7</v>
      </c>
      <c r="S1268" s="22" t="str">
        <f t="shared" si="59"/>
        <v>OK</v>
      </c>
    </row>
    <row r="1269" spans="1:19" ht="41.4">
      <c r="A1269" s="22" t="s">
        <v>1300</v>
      </c>
      <c r="B1269" s="25">
        <v>45763</v>
      </c>
      <c r="C1269" s="22" t="s">
        <v>723</v>
      </c>
      <c r="D1269" s="22" t="s">
        <v>28</v>
      </c>
      <c r="E1269" s="22" t="s">
        <v>19</v>
      </c>
      <c r="F1269" s="22" t="s">
        <v>29</v>
      </c>
      <c r="G1269" s="22" t="s">
        <v>21</v>
      </c>
      <c r="H1269" s="22">
        <v>0</v>
      </c>
      <c r="I1269" s="22">
        <v>0</v>
      </c>
      <c r="J1269" s="22">
        <v>0</v>
      </c>
      <c r="K1269" s="22">
        <v>0</v>
      </c>
      <c r="L1269" s="22">
        <v>0</v>
      </c>
      <c r="M1269" s="22">
        <v>0</v>
      </c>
      <c r="N1269" s="22">
        <v>0</v>
      </c>
      <c r="O1269" s="22"/>
      <c r="P1269" s="22">
        <v>64.7</v>
      </c>
      <c r="Q1269" s="22" t="str">
        <f t="shared" si="57"/>
        <v>Normal</v>
      </c>
      <c r="R1269" s="26" t="str">
        <f t="shared" si="58"/>
        <v>USR-10126845763TreatmentEastDesktopPaid SearchBasic000000064.7</v>
      </c>
      <c r="S1269" s="22" t="str">
        <f t="shared" si="59"/>
        <v>OK</v>
      </c>
    </row>
    <row r="1270" spans="1:19" ht="41.4">
      <c r="A1270" s="22" t="s">
        <v>1301</v>
      </c>
      <c r="B1270" s="25">
        <v>45707</v>
      </c>
      <c r="C1270" s="22" t="s">
        <v>723</v>
      </c>
      <c r="D1270" s="22" t="s">
        <v>23</v>
      </c>
      <c r="E1270" s="22" t="s">
        <v>19</v>
      </c>
      <c r="F1270" s="22" t="s">
        <v>29</v>
      </c>
      <c r="G1270" s="22" t="s">
        <v>30</v>
      </c>
      <c r="H1270" s="22">
        <v>0</v>
      </c>
      <c r="I1270" s="22">
        <v>0</v>
      </c>
      <c r="J1270" s="22">
        <v>0</v>
      </c>
      <c r="K1270" s="22">
        <v>0</v>
      </c>
      <c r="L1270" s="22">
        <v>0</v>
      </c>
      <c r="M1270" s="22">
        <v>1</v>
      </c>
      <c r="N1270" s="22">
        <v>0</v>
      </c>
      <c r="O1270" s="22"/>
      <c r="P1270" s="22">
        <v>48.6</v>
      </c>
      <c r="Q1270" s="22" t="str">
        <f t="shared" si="57"/>
        <v>Normal</v>
      </c>
      <c r="R1270" s="26" t="str">
        <f t="shared" si="58"/>
        <v>USR-10126945707TreatmentWestDesktopPaid SearchPremium000001048.6</v>
      </c>
      <c r="S1270" s="22" t="str">
        <f t="shared" si="59"/>
        <v>OK</v>
      </c>
    </row>
    <row r="1271" spans="1:19" ht="41.4">
      <c r="A1271" s="22" t="s">
        <v>1302</v>
      </c>
      <c r="B1271" s="25">
        <v>45732</v>
      </c>
      <c r="C1271" s="22" t="s">
        <v>723</v>
      </c>
      <c r="D1271" s="22" t="s">
        <v>28</v>
      </c>
      <c r="E1271" s="22" t="s">
        <v>19</v>
      </c>
      <c r="F1271" s="22" t="s">
        <v>41</v>
      </c>
      <c r="G1271" s="22" t="s">
        <v>26</v>
      </c>
      <c r="H1271" s="22">
        <v>1</v>
      </c>
      <c r="I1271" s="22">
        <v>1</v>
      </c>
      <c r="J1271" s="22">
        <v>0</v>
      </c>
      <c r="K1271" s="22">
        <v>0</v>
      </c>
      <c r="L1271" s="22">
        <v>0</v>
      </c>
      <c r="M1271" s="22">
        <v>0</v>
      </c>
      <c r="N1271" s="22">
        <v>0</v>
      </c>
      <c r="O1271" s="22"/>
      <c r="P1271" s="22">
        <v>66.2</v>
      </c>
      <c r="Q1271" s="22" t="str">
        <f t="shared" si="57"/>
        <v>Normal</v>
      </c>
      <c r="R1271" s="26" t="str">
        <f t="shared" si="58"/>
        <v>USR-10127045732TreatmentEastDesktopSocialFree110000066.2</v>
      </c>
      <c r="S1271" s="22" t="str">
        <f t="shared" si="59"/>
        <v>OK</v>
      </c>
    </row>
    <row r="1272" spans="1:19" ht="41.4">
      <c r="A1272" s="22" t="s">
        <v>1303</v>
      </c>
      <c r="B1272" s="25">
        <v>45691</v>
      </c>
      <c r="C1272" s="22" t="s">
        <v>723</v>
      </c>
      <c r="D1272" s="22" t="s">
        <v>23</v>
      </c>
      <c r="E1272" s="22"/>
      <c r="F1272" s="22" t="s">
        <v>39</v>
      </c>
      <c r="G1272" s="22" t="s">
        <v>21</v>
      </c>
      <c r="H1272" s="22">
        <v>1</v>
      </c>
      <c r="I1272" s="22">
        <v>0</v>
      </c>
      <c r="J1272" s="22">
        <v>0</v>
      </c>
      <c r="K1272" s="22">
        <v>0</v>
      </c>
      <c r="L1272" s="22">
        <v>0</v>
      </c>
      <c r="M1272" s="22">
        <v>1</v>
      </c>
      <c r="N1272" s="22">
        <v>0</v>
      </c>
      <c r="O1272" s="22"/>
      <c r="P1272" s="22">
        <v>60.7</v>
      </c>
      <c r="Q1272" s="22" t="str">
        <f t="shared" si="57"/>
        <v>Normal</v>
      </c>
      <c r="R1272" s="26" t="str">
        <f t="shared" si="58"/>
        <v>USR-10127145691TreatmentWestReferralBasic100001060.7</v>
      </c>
      <c r="S1272" s="22" t="str">
        <f t="shared" si="59"/>
        <v>OK</v>
      </c>
    </row>
    <row r="1273" spans="1:19" ht="41.4">
      <c r="A1273" s="22" t="s">
        <v>1304</v>
      </c>
      <c r="B1273" s="25">
        <v>45728</v>
      </c>
      <c r="C1273" s="22" t="s">
        <v>723</v>
      </c>
      <c r="D1273" s="22" t="s">
        <v>23</v>
      </c>
      <c r="E1273" s="22" t="s">
        <v>24</v>
      </c>
      <c r="F1273" s="22" t="s">
        <v>29</v>
      </c>
      <c r="G1273" s="22" t="s">
        <v>21</v>
      </c>
      <c r="H1273" s="22">
        <v>1</v>
      </c>
      <c r="I1273" s="22">
        <v>0</v>
      </c>
      <c r="J1273" s="22">
        <v>0</v>
      </c>
      <c r="K1273" s="22">
        <v>0</v>
      </c>
      <c r="L1273" s="22">
        <v>0</v>
      </c>
      <c r="M1273" s="22">
        <v>0</v>
      </c>
      <c r="N1273" s="22">
        <v>0</v>
      </c>
      <c r="O1273" s="22"/>
      <c r="P1273" s="22">
        <v>36.5</v>
      </c>
      <c r="Q1273" s="22" t="str">
        <f t="shared" si="57"/>
        <v>Normal</v>
      </c>
      <c r="R1273" s="26" t="str">
        <f t="shared" si="58"/>
        <v>USR-10127245728TreatmentWestMobilePaid SearchBasic100000036.5</v>
      </c>
      <c r="S1273" s="22" t="str">
        <f t="shared" si="59"/>
        <v>OK</v>
      </c>
    </row>
    <row r="1274" spans="1:19" ht="41.4">
      <c r="A1274" s="22" t="s">
        <v>1305</v>
      </c>
      <c r="B1274" s="25">
        <v>45786</v>
      </c>
      <c r="C1274" s="22" t="s">
        <v>723</v>
      </c>
      <c r="D1274" s="22" t="s">
        <v>23</v>
      </c>
      <c r="E1274" s="22" t="s">
        <v>24</v>
      </c>
      <c r="F1274" s="22" t="s">
        <v>41</v>
      </c>
      <c r="G1274" s="22" t="s">
        <v>26</v>
      </c>
      <c r="H1274" s="22">
        <v>1</v>
      </c>
      <c r="I1274" s="22">
        <v>1</v>
      </c>
      <c r="J1274" s="22">
        <v>1</v>
      </c>
      <c r="K1274" s="22">
        <v>0</v>
      </c>
      <c r="L1274" s="22">
        <v>0</v>
      </c>
      <c r="M1274" s="22">
        <v>3</v>
      </c>
      <c r="N1274" s="22">
        <v>0</v>
      </c>
      <c r="O1274" s="22"/>
      <c r="P1274" s="22">
        <v>69.7</v>
      </c>
      <c r="Q1274" s="22" t="str">
        <f t="shared" si="57"/>
        <v>Normal</v>
      </c>
      <c r="R1274" s="26" t="str">
        <f t="shared" si="58"/>
        <v>USR-10127345786TreatmentWestMobileSocialFree111003069.7</v>
      </c>
      <c r="S1274" s="22" t="str">
        <f t="shared" si="59"/>
        <v>OK</v>
      </c>
    </row>
    <row r="1275" spans="1:19" ht="41.4">
      <c r="A1275" s="22" t="s">
        <v>1306</v>
      </c>
      <c r="B1275" s="25">
        <v>45676</v>
      </c>
      <c r="C1275" s="22" t="s">
        <v>723</v>
      </c>
      <c r="D1275" s="22" t="s">
        <v>32</v>
      </c>
      <c r="E1275" s="22" t="s">
        <v>19</v>
      </c>
      <c r="F1275" s="22" t="s">
        <v>41</v>
      </c>
      <c r="G1275" s="22" t="s">
        <v>30</v>
      </c>
      <c r="H1275" s="22">
        <v>1</v>
      </c>
      <c r="I1275" s="22">
        <v>0</v>
      </c>
      <c r="J1275" s="22">
        <v>0</v>
      </c>
      <c r="K1275" s="22">
        <v>0</v>
      </c>
      <c r="L1275" s="22">
        <v>0</v>
      </c>
      <c r="M1275" s="22">
        <v>0</v>
      </c>
      <c r="N1275" s="22">
        <v>0</v>
      </c>
      <c r="O1275" s="22"/>
      <c r="P1275" s="22">
        <v>81.8</v>
      </c>
      <c r="Q1275" s="22" t="str">
        <f t="shared" si="57"/>
        <v>Normal</v>
      </c>
      <c r="R1275" s="26" t="str">
        <f t="shared" si="58"/>
        <v>USR-10127445676TreatmentSouthDesktopSocialPremium100000081.8</v>
      </c>
      <c r="S1275" s="22" t="str">
        <f t="shared" si="59"/>
        <v>OK</v>
      </c>
    </row>
    <row r="1276" spans="1:19" ht="41.4">
      <c r="A1276" s="22" t="s">
        <v>1307</v>
      </c>
      <c r="B1276" s="25">
        <v>45681</v>
      </c>
      <c r="C1276" s="22" t="s">
        <v>723</v>
      </c>
      <c r="D1276" s="22" t="s">
        <v>23</v>
      </c>
      <c r="E1276" s="22" t="s">
        <v>24</v>
      </c>
      <c r="F1276" s="22" t="s">
        <v>39</v>
      </c>
      <c r="G1276" s="22" t="s">
        <v>26</v>
      </c>
      <c r="H1276" s="22">
        <v>1</v>
      </c>
      <c r="I1276" s="22">
        <v>1</v>
      </c>
      <c r="J1276" s="22">
        <v>1</v>
      </c>
      <c r="K1276" s="22">
        <v>0</v>
      </c>
      <c r="L1276" s="22">
        <v>0</v>
      </c>
      <c r="M1276" s="22">
        <v>1</v>
      </c>
      <c r="N1276" s="22">
        <v>0</v>
      </c>
      <c r="O1276" s="22"/>
      <c r="P1276" s="22">
        <v>78.3</v>
      </c>
      <c r="Q1276" s="22" t="str">
        <f t="shared" si="57"/>
        <v>Normal</v>
      </c>
      <c r="R1276" s="26" t="str">
        <f t="shared" si="58"/>
        <v>USR-10127545681TreatmentWestMobileReferralFree111001078.3</v>
      </c>
      <c r="S1276" s="22" t="str">
        <f t="shared" si="59"/>
        <v>OK</v>
      </c>
    </row>
    <row r="1277" spans="1:19" ht="41.4">
      <c r="A1277" s="22" t="s">
        <v>1308</v>
      </c>
      <c r="B1277" s="25">
        <v>45719</v>
      </c>
      <c r="C1277" s="22" t="s">
        <v>723</v>
      </c>
      <c r="D1277" s="22" t="s">
        <v>28</v>
      </c>
      <c r="E1277" s="22" t="s">
        <v>24</v>
      </c>
      <c r="F1277" s="22" t="s">
        <v>39</v>
      </c>
      <c r="G1277" s="22" t="s">
        <v>26</v>
      </c>
      <c r="H1277" s="22">
        <v>1</v>
      </c>
      <c r="I1277" s="22">
        <v>1</v>
      </c>
      <c r="J1277" s="22">
        <v>0</v>
      </c>
      <c r="K1277" s="22">
        <v>0</v>
      </c>
      <c r="L1277" s="22">
        <v>0</v>
      </c>
      <c r="M1277" s="22">
        <v>0</v>
      </c>
      <c r="N1277" s="22">
        <v>0</v>
      </c>
      <c r="O1277" s="22"/>
      <c r="P1277" s="22">
        <v>79.400000000000006</v>
      </c>
      <c r="Q1277" s="22" t="str">
        <f t="shared" si="57"/>
        <v>Normal</v>
      </c>
      <c r="R1277" s="26" t="str">
        <f t="shared" si="58"/>
        <v>USR-10127645719TreatmentEastMobileReferralFree110000079.4</v>
      </c>
      <c r="S1277" s="22" t="str">
        <f t="shared" si="59"/>
        <v>OK</v>
      </c>
    </row>
    <row r="1278" spans="1:19" ht="41.4">
      <c r="A1278" s="22" t="s">
        <v>1309</v>
      </c>
      <c r="B1278" s="25">
        <v>45804</v>
      </c>
      <c r="C1278" s="22" t="s">
        <v>723</v>
      </c>
      <c r="D1278" s="22" t="s">
        <v>18</v>
      </c>
      <c r="E1278" s="22" t="s">
        <v>19</v>
      </c>
      <c r="F1278" s="22" t="s">
        <v>39</v>
      </c>
      <c r="G1278" s="22" t="s">
        <v>26</v>
      </c>
      <c r="H1278" s="22">
        <v>1</v>
      </c>
      <c r="I1278" s="22">
        <v>1</v>
      </c>
      <c r="J1278" s="22">
        <v>1</v>
      </c>
      <c r="K1278" s="22">
        <v>0</v>
      </c>
      <c r="L1278" s="22">
        <v>0</v>
      </c>
      <c r="M1278" s="22">
        <v>0</v>
      </c>
      <c r="N1278" s="22">
        <v>0</v>
      </c>
      <c r="O1278" s="22"/>
      <c r="P1278" s="22">
        <v>54.9</v>
      </c>
      <c r="Q1278" s="22" t="str">
        <f t="shared" si="57"/>
        <v>Normal</v>
      </c>
      <c r="R1278" s="26" t="str">
        <f t="shared" si="58"/>
        <v>USR-10127745804TreatmentNorthDesktopReferralFree111000054.9</v>
      </c>
      <c r="S1278" s="22" t="str">
        <f t="shared" si="59"/>
        <v>OK</v>
      </c>
    </row>
    <row r="1279" spans="1:19" ht="41.4">
      <c r="A1279" s="22" t="s">
        <v>1310</v>
      </c>
      <c r="B1279" s="25">
        <v>45770</v>
      </c>
      <c r="C1279" s="22" t="s">
        <v>723</v>
      </c>
      <c r="D1279" s="22" t="s">
        <v>23</v>
      </c>
      <c r="E1279" s="22" t="s">
        <v>19</v>
      </c>
      <c r="F1279" s="22" t="s">
        <v>25</v>
      </c>
      <c r="G1279" s="22" t="s">
        <v>21</v>
      </c>
      <c r="H1279" s="22">
        <v>1</v>
      </c>
      <c r="I1279" s="22">
        <v>0</v>
      </c>
      <c r="J1279" s="22">
        <v>0</v>
      </c>
      <c r="K1279" s="22">
        <v>0</v>
      </c>
      <c r="L1279" s="22">
        <v>0</v>
      </c>
      <c r="M1279" s="22">
        <v>0</v>
      </c>
      <c r="N1279" s="22">
        <v>0</v>
      </c>
      <c r="O1279" s="22"/>
      <c r="P1279" s="22">
        <v>54.9</v>
      </c>
      <c r="Q1279" s="22" t="str">
        <f t="shared" si="57"/>
        <v>Normal</v>
      </c>
      <c r="R1279" s="26" t="str">
        <f t="shared" si="58"/>
        <v>USR-10127845770TreatmentWestDesktopOrganicBasic100000054.9</v>
      </c>
      <c r="S1279" s="22" t="str">
        <f t="shared" si="59"/>
        <v>OK</v>
      </c>
    </row>
    <row r="1280" spans="1:19" ht="41.4">
      <c r="A1280" s="22" t="s">
        <v>1311</v>
      </c>
      <c r="B1280" s="25">
        <v>45698</v>
      </c>
      <c r="C1280" s="22" t="s">
        <v>723</v>
      </c>
      <c r="D1280" s="22" t="s">
        <v>28</v>
      </c>
      <c r="E1280" s="22" t="s">
        <v>19</v>
      </c>
      <c r="F1280" s="22" t="s">
        <v>41</v>
      </c>
      <c r="G1280" s="22" t="s">
        <v>26</v>
      </c>
      <c r="H1280" s="22">
        <v>0</v>
      </c>
      <c r="I1280" s="22">
        <v>0</v>
      </c>
      <c r="J1280" s="22">
        <v>0</v>
      </c>
      <c r="K1280" s="22">
        <v>0</v>
      </c>
      <c r="L1280" s="22">
        <v>0</v>
      </c>
      <c r="M1280" s="22">
        <v>0</v>
      </c>
      <c r="N1280" s="22">
        <v>0</v>
      </c>
      <c r="O1280" s="22"/>
      <c r="P1280" s="22">
        <v>28.7</v>
      </c>
      <c r="Q1280" s="22" t="str">
        <f t="shared" si="57"/>
        <v>Normal</v>
      </c>
      <c r="R1280" s="26" t="str">
        <f t="shared" si="58"/>
        <v>USR-10127945698TreatmentEastDesktopSocialFree000000028.7</v>
      </c>
      <c r="S1280" s="22" t="str">
        <f t="shared" si="59"/>
        <v>OK</v>
      </c>
    </row>
    <row r="1281" spans="1:19" ht="41.4">
      <c r="A1281" s="22" t="s">
        <v>1312</v>
      </c>
      <c r="B1281" s="25">
        <v>45699</v>
      </c>
      <c r="C1281" s="22" t="s">
        <v>723</v>
      </c>
      <c r="D1281" s="22" t="s">
        <v>18</v>
      </c>
      <c r="E1281" s="22" t="s">
        <v>24</v>
      </c>
      <c r="F1281" s="22" t="s">
        <v>25</v>
      </c>
      <c r="G1281" s="22" t="s">
        <v>26</v>
      </c>
      <c r="H1281" s="22">
        <v>0</v>
      </c>
      <c r="I1281" s="22">
        <v>0</v>
      </c>
      <c r="J1281" s="22">
        <v>0</v>
      </c>
      <c r="K1281" s="22">
        <v>0</v>
      </c>
      <c r="L1281" s="22">
        <v>0</v>
      </c>
      <c r="M1281" s="22">
        <v>0</v>
      </c>
      <c r="N1281" s="22">
        <v>0</v>
      </c>
      <c r="O1281" s="22"/>
      <c r="P1281" s="22">
        <v>68.8</v>
      </c>
      <c r="Q1281" s="22" t="str">
        <f t="shared" si="57"/>
        <v>Normal</v>
      </c>
      <c r="R1281" s="26" t="str">
        <f t="shared" si="58"/>
        <v>USR-10128045699TreatmentNorthMobileOrganicFree000000068.8</v>
      </c>
      <c r="S1281" s="22" t="str">
        <f t="shared" si="59"/>
        <v>OK</v>
      </c>
    </row>
    <row r="1282" spans="1:19" ht="41.4">
      <c r="A1282" s="22" t="s">
        <v>1313</v>
      </c>
      <c r="B1282" s="25">
        <v>45678</v>
      </c>
      <c r="C1282" s="22" t="s">
        <v>723</v>
      </c>
      <c r="D1282" s="22" t="s">
        <v>28</v>
      </c>
      <c r="E1282" s="22" t="s">
        <v>19</v>
      </c>
      <c r="F1282" s="22" t="s">
        <v>29</v>
      </c>
      <c r="G1282" s="22" t="s">
        <v>26</v>
      </c>
      <c r="H1282" s="22">
        <v>1</v>
      </c>
      <c r="I1282" s="22">
        <v>1</v>
      </c>
      <c r="J1282" s="22">
        <v>1</v>
      </c>
      <c r="K1282" s="22">
        <v>0</v>
      </c>
      <c r="L1282" s="22">
        <v>0</v>
      </c>
      <c r="M1282" s="22">
        <v>0</v>
      </c>
      <c r="N1282" s="22">
        <v>0</v>
      </c>
      <c r="O1282" s="22"/>
      <c r="P1282" s="22">
        <v>43.5</v>
      </c>
      <c r="Q1282" s="22" t="str">
        <f t="shared" si="57"/>
        <v>Normal</v>
      </c>
      <c r="R1282" s="26" t="str">
        <f t="shared" si="58"/>
        <v>USR-10128145678TreatmentEastDesktopPaid SearchFree111000043.5</v>
      </c>
      <c r="S1282" s="22" t="str">
        <f t="shared" si="59"/>
        <v>OK</v>
      </c>
    </row>
    <row r="1283" spans="1:19" ht="41.4">
      <c r="A1283" s="22" t="s">
        <v>1314</v>
      </c>
      <c r="B1283" s="25">
        <v>45690</v>
      </c>
      <c r="C1283" s="22" t="s">
        <v>723</v>
      </c>
      <c r="D1283" s="22" t="s">
        <v>23</v>
      </c>
      <c r="E1283" s="22" t="s">
        <v>19</v>
      </c>
      <c r="F1283" s="22" t="s">
        <v>41</v>
      </c>
      <c r="G1283" s="22" t="s">
        <v>26</v>
      </c>
      <c r="H1283" s="22">
        <v>1</v>
      </c>
      <c r="I1283" s="22">
        <v>1</v>
      </c>
      <c r="J1283" s="22">
        <v>0</v>
      </c>
      <c r="K1283" s="22">
        <v>0</v>
      </c>
      <c r="L1283" s="22">
        <v>0</v>
      </c>
      <c r="M1283" s="22">
        <v>0</v>
      </c>
      <c r="N1283" s="22">
        <v>0</v>
      </c>
      <c r="O1283" s="22"/>
      <c r="P1283" s="22">
        <v>62.6</v>
      </c>
      <c r="Q1283" s="22" t="str">
        <f t="shared" ref="Q1283:Q1346" si="60">IF(OR(L1283&lt;$V$40,L1283&gt;$V$41),"Outlier","Normal")</f>
        <v>Normal</v>
      </c>
      <c r="R1283" s="26" t="str">
        <f t="shared" ref="R1283:R1346" si="61">A1283&amp;B1283&amp;C1283&amp;D1283&amp;E1283&amp;F1283&amp;G1283&amp;H1283&amp;I1283&amp;J1283&amp;K1283&amp;L1283&amp;M1283&amp;N1283&amp;O1283&amp;P1283</f>
        <v>USR-10128245690TreatmentWestDesktopSocialFree110000062.6</v>
      </c>
      <c r="S1283" s="22" t="str">
        <f t="shared" ref="S1283:S1346" si="62">IF(COUNTIF($R$2:$R$1409,R1283)=1,"OK",IF(COUNTIF($R$2:$R$1409,R1283)&gt;1,"Exact Duplicate","Review Required"))</f>
        <v>OK</v>
      </c>
    </row>
    <row r="1284" spans="1:19" ht="41.4">
      <c r="A1284" s="22" t="s">
        <v>1315</v>
      </c>
      <c r="B1284" s="25">
        <v>45690</v>
      </c>
      <c r="C1284" s="22" t="s">
        <v>723</v>
      </c>
      <c r="D1284" s="22" t="s">
        <v>23</v>
      </c>
      <c r="E1284" s="22" t="s">
        <v>24</v>
      </c>
      <c r="F1284" s="22" t="s">
        <v>25</v>
      </c>
      <c r="G1284" s="22" t="s">
        <v>26</v>
      </c>
      <c r="H1284" s="22">
        <v>0</v>
      </c>
      <c r="I1284" s="22">
        <v>0</v>
      </c>
      <c r="J1284" s="22">
        <v>0</v>
      </c>
      <c r="K1284" s="22">
        <v>0</v>
      </c>
      <c r="L1284" s="22">
        <v>0</v>
      </c>
      <c r="M1284" s="22">
        <v>1</v>
      </c>
      <c r="N1284" s="22">
        <v>0</v>
      </c>
      <c r="O1284" s="22"/>
      <c r="P1284" s="22">
        <v>54.1</v>
      </c>
      <c r="Q1284" s="22" t="str">
        <f t="shared" si="60"/>
        <v>Normal</v>
      </c>
      <c r="R1284" s="26" t="str">
        <f t="shared" si="61"/>
        <v>USR-10128345690TreatmentWestMobileOrganicFree000001054.1</v>
      </c>
      <c r="S1284" s="22" t="str">
        <f t="shared" si="62"/>
        <v>OK</v>
      </c>
    </row>
    <row r="1285" spans="1:19" ht="41.4">
      <c r="A1285" s="22" t="s">
        <v>1316</v>
      </c>
      <c r="B1285" s="25">
        <v>45714</v>
      </c>
      <c r="C1285" s="22" t="s">
        <v>723</v>
      </c>
      <c r="D1285" s="22" t="s">
        <v>23</v>
      </c>
      <c r="E1285" s="22" t="s">
        <v>34</v>
      </c>
      <c r="F1285" s="22" t="s">
        <v>41</v>
      </c>
      <c r="G1285" s="22" t="s">
        <v>26</v>
      </c>
      <c r="H1285" s="22">
        <v>1</v>
      </c>
      <c r="I1285" s="22">
        <v>1</v>
      </c>
      <c r="J1285" s="22">
        <v>1</v>
      </c>
      <c r="K1285" s="22">
        <v>0</v>
      </c>
      <c r="L1285" s="22">
        <v>0</v>
      </c>
      <c r="M1285" s="22">
        <v>0</v>
      </c>
      <c r="N1285" s="22">
        <v>0</v>
      </c>
      <c r="O1285" s="22"/>
      <c r="P1285" s="22">
        <v>80.099999999999994</v>
      </c>
      <c r="Q1285" s="22" t="str">
        <f t="shared" si="60"/>
        <v>Normal</v>
      </c>
      <c r="R1285" s="26" t="str">
        <f t="shared" si="61"/>
        <v>USR-10128445714TreatmentWestTabletSocialFree111000080.1</v>
      </c>
      <c r="S1285" s="22" t="str">
        <f t="shared" si="62"/>
        <v>OK</v>
      </c>
    </row>
    <row r="1286" spans="1:19" ht="41.4">
      <c r="A1286" s="22" t="s">
        <v>1317</v>
      </c>
      <c r="B1286" s="25">
        <v>45769</v>
      </c>
      <c r="C1286" s="22" t="s">
        <v>723</v>
      </c>
      <c r="D1286" s="22" t="s">
        <v>18</v>
      </c>
      <c r="E1286" s="22" t="s">
        <v>24</v>
      </c>
      <c r="F1286" s="22" t="s">
        <v>41</v>
      </c>
      <c r="G1286" s="22" t="s">
        <v>30</v>
      </c>
      <c r="H1286" s="22">
        <v>1</v>
      </c>
      <c r="I1286" s="22">
        <v>0</v>
      </c>
      <c r="J1286" s="22">
        <v>0</v>
      </c>
      <c r="K1286" s="22">
        <v>0</v>
      </c>
      <c r="L1286" s="22">
        <v>0</v>
      </c>
      <c r="M1286" s="22">
        <v>0</v>
      </c>
      <c r="N1286" s="22">
        <v>0</v>
      </c>
      <c r="O1286" s="22"/>
      <c r="P1286" s="22">
        <v>69.5</v>
      </c>
      <c r="Q1286" s="22" t="str">
        <f t="shared" si="60"/>
        <v>Normal</v>
      </c>
      <c r="R1286" s="26" t="str">
        <f t="shared" si="61"/>
        <v>USR-10128545769TreatmentNorthMobileSocialPremium100000069.5</v>
      </c>
      <c r="S1286" s="22" t="str">
        <f t="shared" si="62"/>
        <v>OK</v>
      </c>
    </row>
    <row r="1287" spans="1:19" ht="41.4">
      <c r="A1287" s="22" t="s">
        <v>1318</v>
      </c>
      <c r="B1287" s="25">
        <v>45727</v>
      </c>
      <c r="C1287" s="22" t="s">
        <v>723</v>
      </c>
      <c r="D1287" s="22" t="s">
        <v>18</v>
      </c>
      <c r="E1287" s="22" t="s">
        <v>19</v>
      </c>
      <c r="F1287" s="22" t="s">
        <v>25</v>
      </c>
      <c r="G1287" s="22" t="s">
        <v>21</v>
      </c>
      <c r="H1287" s="22">
        <v>0</v>
      </c>
      <c r="I1287" s="22">
        <v>0</v>
      </c>
      <c r="J1287" s="22">
        <v>0</v>
      </c>
      <c r="K1287" s="22">
        <v>0</v>
      </c>
      <c r="L1287" s="22">
        <v>0</v>
      </c>
      <c r="M1287" s="22">
        <v>2</v>
      </c>
      <c r="N1287" s="22">
        <v>0</v>
      </c>
      <c r="O1287" s="22"/>
      <c r="P1287" s="22">
        <v>46.6</v>
      </c>
      <c r="Q1287" s="22" t="str">
        <f t="shared" si="60"/>
        <v>Normal</v>
      </c>
      <c r="R1287" s="26" t="str">
        <f t="shared" si="61"/>
        <v>USR-10128645727TreatmentNorthDesktopOrganicBasic000002046.6</v>
      </c>
      <c r="S1287" s="22" t="str">
        <f t="shared" si="62"/>
        <v>OK</v>
      </c>
    </row>
    <row r="1288" spans="1:19" ht="41.4">
      <c r="A1288" s="22" t="s">
        <v>1319</v>
      </c>
      <c r="B1288" s="25">
        <v>45785</v>
      </c>
      <c r="C1288" s="22" t="s">
        <v>723</v>
      </c>
      <c r="D1288" s="22" t="s">
        <v>32</v>
      </c>
      <c r="E1288" s="22" t="s">
        <v>24</v>
      </c>
      <c r="F1288" s="22" t="s">
        <v>25</v>
      </c>
      <c r="G1288" s="22" t="s">
        <v>30</v>
      </c>
      <c r="H1288" s="22">
        <v>1</v>
      </c>
      <c r="I1288" s="22">
        <v>0</v>
      </c>
      <c r="J1288" s="22">
        <v>0</v>
      </c>
      <c r="K1288" s="22">
        <v>0</v>
      </c>
      <c r="L1288" s="22">
        <v>0</v>
      </c>
      <c r="M1288" s="22">
        <v>1</v>
      </c>
      <c r="N1288" s="22">
        <v>0</v>
      </c>
      <c r="O1288" s="22"/>
      <c r="P1288" s="22">
        <v>54.9</v>
      </c>
      <c r="Q1288" s="22" t="str">
        <f t="shared" si="60"/>
        <v>Normal</v>
      </c>
      <c r="R1288" s="26" t="str">
        <f t="shared" si="61"/>
        <v>USR-10128745785TreatmentSouthMobileOrganicPremium100001054.9</v>
      </c>
      <c r="S1288" s="22" t="str">
        <f t="shared" si="62"/>
        <v>OK</v>
      </c>
    </row>
    <row r="1289" spans="1:19" ht="41.4">
      <c r="A1289" s="22" t="s">
        <v>1320</v>
      </c>
      <c r="B1289" s="25">
        <v>45726</v>
      </c>
      <c r="C1289" s="22" t="s">
        <v>723</v>
      </c>
      <c r="D1289" s="22" t="s">
        <v>28</v>
      </c>
      <c r="E1289" s="22" t="s">
        <v>19</v>
      </c>
      <c r="F1289" s="22" t="s">
        <v>25</v>
      </c>
      <c r="G1289" s="22" t="s">
        <v>26</v>
      </c>
      <c r="H1289" s="22">
        <v>0</v>
      </c>
      <c r="I1289" s="22">
        <v>0</v>
      </c>
      <c r="J1289" s="22">
        <v>0</v>
      </c>
      <c r="K1289" s="22">
        <v>0</v>
      </c>
      <c r="L1289" s="22">
        <v>0</v>
      </c>
      <c r="M1289" s="22">
        <v>0</v>
      </c>
      <c r="N1289" s="22">
        <v>0</v>
      </c>
      <c r="O1289" s="22"/>
      <c r="P1289" s="22">
        <v>100</v>
      </c>
      <c r="Q1289" s="22" t="str">
        <f t="shared" si="60"/>
        <v>Normal</v>
      </c>
      <c r="R1289" s="26" t="str">
        <f t="shared" si="61"/>
        <v>USR-10128845726TreatmentEastDesktopOrganicFree0000000100</v>
      </c>
      <c r="S1289" s="22" t="str">
        <f t="shared" si="62"/>
        <v>OK</v>
      </c>
    </row>
    <row r="1290" spans="1:19" ht="41.4">
      <c r="A1290" s="22" t="s">
        <v>1321</v>
      </c>
      <c r="B1290" s="25">
        <v>45763</v>
      </c>
      <c r="C1290" s="22" t="s">
        <v>723</v>
      </c>
      <c r="D1290" s="22" t="s">
        <v>28</v>
      </c>
      <c r="E1290" s="22" t="s">
        <v>19</v>
      </c>
      <c r="F1290" s="22" t="s">
        <v>29</v>
      </c>
      <c r="G1290" s="22" t="s">
        <v>26</v>
      </c>
      <c r="H1290" s="22">
        <v>1</v>
      </c>
      <c r="I1290" s="22">
        <v>1</v>
      </c>
      <c r="J1290" s="22">
        <v>1</v>
      </c>
      <c r="K1290" s="22">
        <v>0</v>
      </c>
      <c r="L1290" s="22">
        <v>0</v>
      </c>
      <c r="M1290" s="22">
        <v>1</v>
      </c>
      <c r="N1290" s="22">
        <v>0</v>
      </c>
      <c r="O1290" s="22"/>
      <c r="P1290" s="22">
        <v>80.5</v>
      </c>
      <c r="Q1290" s="22" t="str">
        <f t="shared" si="60"/>
        <v>Normal</v>
      </c>
      <c r="R1290" s="26" t="str">
        <f t="shared" si="61"/>
        <v>USR-10128945763TreatmentEastDesktopPaid SearchFree111001080.5</v>
      </c>
      <c r="S1290" s="22" t="str">
        <f t="shared" si="62"/>
        <v>OK</v>
      </c>
    </row>
    <row r="1291" spans="1:19" ht="41.4">
      <c r="A1291" s="22" t="s">
        <v>1322</v>
      </c>
      <c r="B1291" s="25">
        <v>45717</v>
      </c>
      <c r="C1291" s="22" t="s">
        <v>723</v>
      </c>
      <c r="D1291" s="22" t="s">
        <v>23</v>
      </c>
      <c r="E1291" s="22" t="s">
        <v>34</v>
      </c>
      <c r="F1291" s="22" t="s">
        <v>25</v>
      </c>
      <c r="G1291" s="22" t="s">
        <v>21</v>
      </c>
      <c r="H1291" s="22">
        <v>1</v>
      </c>
      <c r="I1291" s="22">
        <v>0</v>
      </c>
      <c r="J1291" s="22">
        <v>0</v>
      </c>
      <c r="K1291" s="22">
        <v>0</v>
      </c>
      <c r="L1291" s="22">
        <v>0</v>
      </c>
      <c r="M1291" s="22">
        <v>0</v>
      </c>
      <c r="N1291" s="22">
        <v>0</v>
      </c>
      <c r="O1291" s="22"/>
      <c r="P1291" s="22">
        <v>51.2</v>
      </c>
      <c r="Q1291" s="22" t="str">
        <f t="shared" si="60"/>
        <v>Normal</v>
      </c>
      <c r="R1291" s="26" t="str">
        <f t="shared" si="61"/>
        <v>USR-10129045717TreatmentWestTabletOrganicBasic100000051.2</v>
      </c>
      <c r="S1291" s="22" t="str">
        <f t="shared" si="62"/>
        <v>OK</v>
      </c>
    </row>
    <row r="1292" spans="1:19" ht="41.4">
      <c r="A1292" s="22" t="s">
        <v>1323</v>
      </c>
      <c r="B1292" s="25">
        <v>45675</v>
      </c>
      <c r="C1292" s="22" t="s">
        <v>723</v>
      </c>
      <c r="D1292" s="22" t="s">
        <v>32</v>
      </c>
      <c r="E1292" s="22" t="s">
        <v>19</v>
      </c>
      <c r="F1292" s="22" t="s">
        <v>25</v>
      </c>
      <c r="G1292" s="22" t="s">
        <v>30</v>
      </c>
      <c r="H1292" s="22">
        <v>1</v>
      </c>
      <c r="I1292" s="22">
        <v>0</v>
      </c>
      <c r="J1292" s="22">
        <v>0</v>
      </c>
      <c r="K1292" s="22">
        <v>0</v>
      </c>
      <c r="L1292" s="22">
        <v>0</v>
      </c>
      <c r="M1292" s="22">
        <v>0</v>
      </c>
      <c r="N1292" s="22">
        <v>0</v>
      </c>
      <c r="O1292" s="22"/>
      <c r="P1292" s="22">
        <v>42.5</v>
      </c>
      <c r="Q1292" s="22" t="str">
        <f t="shared" si="60"/>
        <v>Normal</v>
      </c>
      <c r="R1292" s="26" t="str">
        <f t="shared" si="61"/>
        <v>USR-10129145675TreatmentSouthDesktopOrganicPremium100000042.5</v>
      </c>
      <c r="S1292" s="22" t="str">
        <f t="shared" si="62"/>
        <v>OK</v>
      </c>
    </row>
    <row r="1293" spans="1:19" ht="41.4">
      <c r="A1293" s="22" t="s">
        <v>1324</v>
      </c>
      <c r="B1293" s="25">
        <v>45746</v>
      </c>
      <c r="C1293" s="22" t="s">
        <v>723</v>
      </c>
      <c r="D1293" s="22" t="s">
        <v>18</v>
      </c>
      <c r="E1293" s="22" t="s">
        <v>24</v>
      </c>
      <c r="F1293" s="22" t="s">
        <v>29</v>
      </c>
      <c r="G1293" s="22" t="s">
        <v>26</v>
      </c>
      <c r="H1293" s="22">
        <v>0</v>
      </c>
      <c r="I1293" s="22">
        <v>0</v>
      </c>
      <c r="J1293" s="22">
        <v>0</v>
      </c>
      <c r="K1293" s="22">
        <v>0</v>
      </c>
      <c r="L1293" s="22">
        <v>0</v>
      </c>
      <c r="M1293" s="22">
        <v>0</v>
      </c>
      <c r="N1293" s="22">
        <v>0</v>
      </c>
      <c r="O1293" s="22"/>
      <c r="P1293" s="22">
        <v>72.5</v>
      </c>
      <c r="Q1293" s="22" t="str">
        <f t="shared" si="60"/>
        <v>Normal</v>
      </c>
      <c r="R1293" s="26" t="str">
        <f t="shared" si="61"/>
        <v>USR-10129245746TreatmentNorthMobilePaid SearchFree000000072.5</v>
      </c>
      <c r="S1293" s="22" t="str">
        <f t="shared" si="62"/>
        <v>OK</v>
      </c>
    </row>
    <row r="1294" spans="1:19" ht="41.4">
      <c r="A1294" s="22" t="s">
        <v>1325</v>
      </c>
      <c r="B1294" s="25">
        <v>45803</v>
      </c>
      <c r="C1294" s="22" t="s">
        <v>723</v>
      </c>
      <c r="D1294" s="22" t="s">
        <v>23</v>
      </c>
      <c r="E1294" s="22" t="s">
        <v>24</v>
      </c>
      <c r="F1294" s="22" t="s">
        <v>41</v>
      </c>
      <c r="G1294" s="22" t="s">
        <v>30</v>
      </c>
      <c r="H1294" s="22">
        <v>0</v>
      </c>
      <c r="I1294" s="22">
        <v>0</v>
      </c>
      <c r="J1294" s="22">
        <v>0</v>
      </c>
      <c r="K1294" s="22">
        <v>0</v>
      </c>
      <c r="L1294" s="22">
        <v>0</v>
      </c>
      <c r="M1294" s="22">
        <v>0</v>
      </c>
      <c r="N1294" s="22">
        <v>0</v>
      </c>
      <c r="O1294" s="22"/>
      <c r="P1294" s="22">
        <v>74.400000000000006</v>
      </c>
      <c r="Q1294" s="22" t="str">
        <f t="shared" si="60"/>
        <v>Normal</v>
      </c>
      <c r="R1294" s="26" t="str">
        <f t="shared" si="61"/>
        <v>USR-10129345803TreatmentWestMobileSocialPremium000000074.4</v>
      </c>
      <c r="S1294" s="22" t="str">
        <f t="shared" si="62"/>
        <v>OK</v>
      </c>
    </row>
    <row r="1295" spans="1:19" ht="41.4">
      <c r="A1295" s="22" t="s">
        <v>1326</v>
      </c>
      <c r="B1295" s="25">
        <v>45735</v>
      </c>
      <c r="C1295" s="22" t="s">
        <v>723</v>
      </c>
      <c r="D1295" s="22" t="s">
        <v>28</v>
      </c>
      <c r="E1295" s="22" t="s">
        <v>19</v>
      </c>
      <c r="F1295" s="22" t="s">
        <v>41</v>
      </c>
      <c r="G1295" s="22" t="s">
        <v>26</v>
      </c>
      <c r="H1295" s="22">
        <v>0</v>
      </c>
      <c r="I1295" s="22">
        <v>0</v>
      </c>
      <c r="J1295" s="22">
        <v>0</v>
      </c>
      <c r="K1295" s="22">
        <v>0</v>
      </c>
      <c r="L1295" s="22">
        <v>0</v>
      </c>
      <c r="M1295" s="22">
        <v>0</v>
      </c>
      <c r="N1295" s="22">
        <v>0</v>
      </c>
      <c r="O1295" s="22"/>
      <c r="P1295" s="22">
        <v>78.400000000000006</v>
      </c>
      <c r="Q1295" s="22" t="str">
        <f t="shared" si="60"/>
        <v>Normal</v>
      </c>
      <c r="R1295" s="26" t="str">
        <f t="shared" si="61"/>
        <v>USR-10129445735TreatmentEastDesktopSocialFree000000078.4</v>
      </c>
      <c r="S1295" s="22" t="str">
        <f t="shared" si="62"/>
        <v>OK</v>
      </c>
    </row>
    <row r="1296" spans="1:19" ht="41.4">
      <c r="A1296" s="22" t="s">
        <v>1327</v>
      </c>
      <c r="B1296" s="25">
        <v>45744</v>
      </c>
      <c r="C1296" s="22" t="s">
        <v>723</v>
      </c>
      <c r="D1296" s="22" t="s">
        <v>18</v>
      </c>
      <c r="E1296" s="22" t="s">
        <v>19</v>
      </c>
      <c r="F1296" s="22" t="s">
        <v>39</v>
      </c>
      <c r="G1296" s="22" t="s">
        <v>26</v>
      </c>
      <c r="H1296" s="22">
        <v>1</v>
      </c>
      <c r="I1296" s="22">
        <v>0</v>
      </c>
      <c r="J1296" s="22">
        <v>0</v>
      </c>
      <c r="K1296" s="22">
        <v>0</v>
      </c>
      <c r="L1296" s="22">
        <v>0</v>
      </c>
      <c r="M1296" s="22">
        <v>0</v>
      </c>
      <c r="N1296" s="22">
        <v>0</v>
      </c>
      <c r="O1296" s="22"/>
      <c r="P1296" s="22">
        <v>71.5</v>
      </c>
      <c r="Q1296" s="22" t="str">
        <f t="shared" si="60"/>
        <v>Normal</v>
      </c>
      <c r="R1296" s="26" t="str">
        <f t="shared" si="61"/>
        <v>USR-10129545744TreatmentNorthDesktopReferralFree100000071.5</v>
      </c>
      <c r="S1296" s="22" t="str">
        <f t="shared" si="62"/>
        <v>OK</v>
      </c>
    </row>
    <row r="1297" spans="1:19" ht="41.4">
      <c r="A1297" s="22" t="s">
        <v>1328</v>
      </c>
      <c r="B1297" s="25">
        <v>45805</v>
      </c>
      <c r="C1297" s="22" t="s">
        <v>723</v>
      </c>
      <c r="D1297" s="22" t="s">
        <v>32</v>
      </c>
      <c r="E1297" s="22" t="s">
        <v>19</v>
      </c>
      <c r="F1297" s="22" t="s">
        <v>41</v>
      </c>
      <c r="G1297" s="22" t="s">
        <v>26</v>
      </c>
      <c r="H1297" s="22">
        <v>1</v>
      </c>
      <c r="I1297" s="22">
        <v>0</v>
      </c>
      <c r="J1297" s="22">
        <v>0</v>
      </c>
      <c r="K1297" s="22">
        <v>0</v>
      </c>
      <c r="L1297" s="22">
        <v>0</v>
      </c>
      <c r="M1297" s="22">
        <v>0</v>
      </c>
      <c r="N1297" s="22">
        <v>0</v>
      </c>
      <c r="O1297" s="22"/>
      <c r="P1297" s="22">
        <v>66.7</v>
      </c>
      <c r="Q1297" s="22" t="str">
        <f t="shared" si="60"/>
        <v>Normal</v>
      </c>
      <c r="R1297" s="26" t="str">
        <f t="shared" si="61"/>
        <v>USR-10129645805TreatmentSouthDesktopSocialFree100000066.7</v>
      </c>
      <c r="S1297" s="22" t="str">
        <f t="shared" si="62"/>
        <v>OK</v>
      </c>
    </row>
    <row r="1298" spans="1:19" ht="55.2">
      <c r="A1298" s="22" t="s">
        <v>1329</v>
      </c>
      <c r="B1298" s="25">
        <v>45808</v>
      </c>
      <c r="C1298" s="22" t="s">
        <v>723</v>
      </c>
      <c r="D1298" s="22" t="s">
        <v>32</v>
      </c>
      <c r="E1298" s="22" t="s">
        <v>19</v>
      </c>
      <c r="F1298" s="22" t="s">
        <v>39</v>
      </c>
      <c r="G1298" s="22" t="s">
        <v>30</v>
      </c>
      <c r="H1298" s="22">
        <v>1</v>
      </c>
      <c r="I1298" s="22">
        <v>1</v>
      </c>
      <c r="J1298" s="22">
        <v>1</v>
      </c>
      <c r="K1298" s="22">
        <v>1</v>
      </c>
      <c r="L1298" s="22">
        <v>1496.09</v>
      </c>
      <c r="M1298" s="22">
        <v>0</v>
      </c>
      <c r="N1298" s="22">
        <v>0</v>
      </c>
      <c r="O1298" s="22">
        <v>7</v>
      </c>
      <c r="P1298" s="22">
        <v>60.4</v>
      </c>
      <c r="Q1298" s="22" t="str">
        <f t="shared" si="60"/>
        <v>Normal</v>
      </c>
      <c r="R1298" s="26" t="str">
        <f t="shared" si="61"/>
        <v>USR-10129745808TreatmentSouthDesktopReferralPremium11111496.0900760.4</v>
      </c>
      <c r="S1298" s="22" t="str">
        <f t="shared" si="62"/>
        <v>OK</v>
      </c>
    </row>
    <row r="1299" spans="1:19" ht="41.4">
      <c r="A1299" s="22" t="s">
        <v>1330</v>
      </c>
      <c r="B1299" s="25">
        <v>45787</v>
      </c>
      <c r="C1299" s="22" t="s">
        <v>723</v>
      </c>
      <c r="D1299" s="22" t="s">
        <v>18</v>
      </c>
      <c r="E1299" s="22" t="s">
        <v>24</v>
      </c>
      <c r="F1299" s="22" t="s">
        <v>39</v>
      </c>
      <c r="G1299" s="22" t="s">
        <v>26</v>
      </c>
      <c r="H1299" s="22">
        <v>0</v>
      </c>
      <c r="I1299" s="22">
        <v>0</v>
      </c>
      <c r="J1299" s="22">
        <v>0</v>
      </c>
      <c r="K1299" s="22">
        <v>0</v>
      </c>
      <c r="L1299" s="22">
        <v>0</v>
      </c>
      <c r="M1299" s="22">
        <v>1</v>
      </c>
      <c r="N1299" s="22">
        <v>0</v>
      </c>
      <c r="O1299" s="22"/>
      <c r="P1299" s="22">
        <v>72.900000000000006</v>
      </c>
      <c r="Q1299" s="22" t="str">
        <f t="shared" si="60"/>
        <v>Normal</v>
      </c>
      <c r="R1299" s="26" t="str">
        <f t="shared" si="61"/>
        <v>USR-10129845787TreatmentNorthMobileReferralFree000001072.9</v>
      </c>
      <c r="S1299" s="22" t="str">
        <f t="shared" si="62"/>
        <v>OK</v>
      </c>
    </row>
    <row r="1300" spans="1:19" ht="41.4">
      <c r="A1300" s="22" t="s">
        <v>1331</v>
      </c>
      <c r="B1300" s="25">
        <v>45794</v>
      </c>
      <c r="C1300" s="22" t="s">
        <v>723</v>
      </c>
      <c r="D1300" s="22" t="s">
        <v>23</v>
      </c>
      <c r="E1300" s="22" t="s">
        <v>24</v>
      </c>
      <c r="F1300" s="22" t="s">
        <v>25</v>
      </c>
      <c r="G1300" s="22" t="s">
        <v>26</v>
      </c>
      <c r="H1300" s="22">
        <v>0</v>
      </c>
      <c r="I1300" s="22">
        <v>0</v>
      </c>
      <c r="J1300" s="22">
        <v>0</v>
      </c>
      <c r="K1300" s="22">
        <v>0</v>
      </c>
      <c r="L1300" s="22">
        <v>0</v>
      </c>
      <c r="M1300" s="22">
        <v>3</v>
      </c>
      <c r="N1300" s="22">
        <v>0</v>
      </c>
      <c r="O1300" s="22"/>
      <c r="P1300" s="22"/>
      <c r="Q1300" s="22" t="str">
        <f t="shared" si="60"/>
        <v>Normal</v>
      </c>
      <c r="R1300" s="26" t="str">
        <f t="shared" si="61"/>
        <v>USR-10129945794TreatmentWestMobileOrganicFree0000030</v>
      </c>
      <c r="S1300" s="22" t="str">
        <f t="shared" si="62"/>
        <v>OK</v>
      </c>
    </row>
    <row r="1301" spans="1:19" ht="41.4">
      <c r="A1301" s="22" t="s">
        <v>1332</v>
      </c>
      <c r="B1301" s="25">
        <v>45675</v>
      </c>
      <c r="C1301" s="22" t="s">
        <v>723</v>
      </c>
      <c r="D1301" s="22" t="s">
        <v>32</v>
      </c>
      <c r="E1301" s="22" t="s">
        <v>24</v>
      </c>
      <c r="F1301" s="22" t="s">
        <v>25</v>
      </c>
      <c r="G1301" s="22" t="s">
        <v>30</v>
      </c>
      <c r="H1301" s="22">
        <v>1</v>
      </c>
      <c r="I1301" s="22">
        <v>0</v>
      </c>
      <c r="J1301" s="22">
        <v>0</v>
      </c>
      <c r="K1301" s="22">
        <v>0</v>
      </c>
      <c r="L1301" s="22">
        <v>0</v>
      </c>
      <c r="M1301" s="22">
        <v>0</v>
      </c>
      <c r="N1301" s="22">
        <v>0</v>
      </c>
      <c r="O1301" s="22"/>
      <c r="P1301" s="22">
        <v>55.2</v>
      </c>
      <c r="Q1301" s="22" t="str">
        <f t="shared" si="60"/>
        <v>Normal</v>
      </c>
      <c r="R1301" s="26" t="str">
        <f t="shared" si="61"/>
        <v>USR-10130045675TreatmentSouthMobileOrganicPremium100000055.2</v>
      </c>
      <c r="S1301" s="22" t="str">
        <f t="shared" si="62"/>
        <v>OK</v>
      </c>
    </row>
    <row r="1302" spans="1:19" ht="41.4">
      <c r="A1302" s="22" t="s">
        <v>1333</v>
      </c>
      <c r="B1302" s="25">
        <v>45781</v>
      </c>
      <c r="C1302" s="22" t="s">
        <v>723</v>
      </c>
      <c r="D1302" s="22" t="s">
        <v>23</v>
      </c>
      <c r="E1302" s="22" t="s">
        <v>24</v>
      </c>
      <c r="F1302" s="22" t="s">
        <v>41</v>
      </c>
      <c r="G1302" s="22" t="s">
        <v>26</v>
      </c>
      <c r="H1302" s="22">
        <v>1</v>
      </c>
      <c r="I1302" s="22">
        <v>0</v>
      </c>
      <c r="J1302" s="22">
        <v>0</v>
      </c>
      <c r="K1302" s="22">
        <v>0</v>
      </c>
      <c r="L1302" s="22">
        <v>0</v>
      </c>
      <c r="M1302" s="22">
        <v>0</v>
      </c>
      <c r="N1302" s="22">
        <v>0</v>
      </c>
      <c r="O1302" s="22"/>
      <c r="P1302" s="22">
        <v>67.8</v>
      </c>
      <c r="Q1302" s="22" t="str">
        <f t="shared" si="60"/>
        <v>Normal</v>
      </c>
      <c r="R1302" s="26" t="str">
        <f t="shared" si="61"/>
        <v>USR-10130145781TreatmentWestMobileSocialFree100000067.8</v>
      </c>
      <c r="S1302" s="22" t="str">
        <f t="shared" si="62"/>
        <v>OK</v>
      </c>
    </row>
    <row r="1303" spans="1:19" ht="41.4">
      <c r="A1303" s="22" t="s">
        <v>1334</v>
      </c>
      <c r="B1303" s="25">
        <v>45741</v>
      </c>
      <c r="C1303" s="22" t="s">
        <v>723</v>
      </c>
      <c r="D1303" s="22" t="s">
        <v>18</v>
      </c>
      <c r="E1303" s="22" t="s">
        <v>24</v>
      </c>
      <c r="F1303" s="22" t="s">
        <v>25</v>
      </c>
      <c r="G1303" s="22" t="s">
        <v>26</v>
      </c>
      <c r="H1303" s="22">
        <v>1</v>
      </c>
      <c r="I1303" s="22">
        <v>0</v>
      </c>
      <c r="J1303" s="22">
        <v>0</v>
      </c>
      <c r="K1303" s="22">
        <v>0</v>
      </c>
      <c r="L1303" s="22">
        <v>0</v>
      </c>
      <c r="M1303" s="22">
        <v>2</v>
      </c>
      <c r="N1303" s="22">
        <v>0</v>
      </c>
      <c r="O1303" s="22"/>
      <c r="P1303" s="22">
        <v>70</v>
      </c>
      <c r="Q1303" s="22" t="str">
        <f t="shared" si="60"/>
        <v>Normal</v>
      </c>
      <c r="R1303" s="26" t="str">
        <f t="shared" si="61"/>
        <v>USR-10130245741TreatmentNorthMobileOrganicFree100002070</v>
      </c>
      <c r="S1303" s="22" t="str">
        <f t="shared" si="62"/>
        <v>OK</v>
      </c>
    </row>
    <row r="1304" spans="1:19" ht="41.4">
      <c r="A1304" s="22" t="s">
        <v>1335</v>
      </c>
      <c r="B1304" s="25">
        <v>45715</v>
      </c>
      <c r="C1304" s="22" t="s">
        <v>723</v>
      </c>
      <c r="D1304" s="22" t="s">
        <v>18</v>
      </c>
      <c r="E1304" s="22" t="s">
        <v>24</v>
      </c>
      <c r="F1304" s="22" t="s">
        <v>41</v>
      </c>
      <c r="G1304" s="22" t="s">
        <v>21</v>
      </c>
      <c r="H1304" s="22">
        <v>1</v>
      </c>
      <c r="I1304" s="22">
        <v>1</v>
      </c>
      <c r="J1304" s="22">
        <v>1</v>
      </c>
      <c r="K1304" s="22">
        <v>0</v>
      </c>
      <c r="L1304" s="22">
        <v>0</v>
      </c>
      <c r="M1304" s="22">
        <v>0</v>
      </c>
      <c r="N1304" s="22">
        <v>0</v>
      </c>
      <c r="O1304" s="22"/>
      <c r="P1304" s="22">
        <v>51.1</v>
      </c>
      <c r="Q1304" s="22" t="str">
        <f t="shared" si="60"/>
        <v>Normal</v>
      </c>
      <c r="R1304" s="26" t="str">
        <f t="shared" si="61"/>
        <v>USR-10130345715TreatmentNorthMobileSocialBasic111000051.1</v>
      </c>
      <c r="S1304" s="22" t="str">
        <f t="shared" si="62"/>
        <v>OK</v>
      </c>
    </row>
    <row r="1305" spans="1:19" ht="41.4">
      <c r="A1305" s="22" t="s">
        <v>1336</v>
      </c>
      <c r="B1305" s="25">
        <v>45671</v>
      </c>
      <c r="C1305" s="22" t="s">
        <v>723</v>
      </c>
      <c r="D1305" s="22" t="s">
        <v>23</v>
      </c>
      <c r="E1305" s="22" t="s">
        <v>24</v>
      </c>
      <c r="F1305" s="22" t="s">
        <v>29</v>
      </c>
      <c r="G1305" s="22" t="s">
        <v>21</v>
      </c>
      <c r="H1305" s="22">
        <v>1</v>
      </c>
      <c r="I1305" s="22">
        <v>1</v>
      </c>
      <c r="J1305" s="22">
        <v>1</v>
      </c>
      <c r="K1305" s="22">
        <v>0</v>
      </c>
      <c r="L1305" s="22">
        <v>0</v>
      </c>
      <c r="M1305" s="22">
        <v>0</v>
      </c>
      <c r="N1305" s="22">
        <v>0</v>
      </c>
      <c r="O1305" s="22"/>
      <c r="P1305" s="22">
        <v>57</v>
      </c>
      <c r="Q1305" s="22" t="str">
        <f t="shared" si="60"/>
        <v>Normal</v>
      </c>
      <c r="R1305" s="26" t="str">
        <f t="shared" si="61"/>
        <v>USR-10130445671TreatmentWestMobilePaid SearchBasic111000057</v>
      </c>
      <c r="S1305" s="22" t="str">
        <f t="shared" si="62"/>
        <v>OK</v>
      </c>
    </row>
    <row r="1306" spans="1:19" ht="41.4">
      <c r="A1306" s="22" t="s">
        <v>1337</v>
      </c>
      <c r="B1306" s="25">
        <v>45758</v>
      </c>
      <c r="C1306" s="22" t="s">
        <v>723</v>
      </c>
      <c r="D1306" s="22" t="s">
        <v>28</v>
      </c>
      <c r="E1306" s="22" t="s">
        <v>24</v>
      </c>
      <c r="F1306" s="22" t="s">
        <v>41</v>
      </c>
      <c r="G1306" s="22" t="s">
        <v>26</v>
      </c>
      <c r="H1306" s="22">
        <v>0</v>
      </c>
      <c r="I1306" s="22">
        <v>0</v>
      </c>
      <c r="J1306" s="22">
        <v>0</v>
      </c>
      <c r="K1306" s="22">
        <v>0</v>
      </c>
      <c r="L1306" s="22">
        <v>0</v>
      </c>
      <c r="M1306" s="22">
        <v>1</v>
      </c>
      <c r="N1306" s="22">
        <v>0</v>
      </c>
      <c r="O1306" s="22"/>
      <c r="P1306" s="22">
        <v>47.1</v>
      </c>
      <c r="Q1306" s="22" t="str">
        <f t="shared" si="60"/>
        <v>Normal</v>
      </c>
      <c r="R1306" s="26" t="str">
        <f t="shared" si="61"/>
        <v>USR-10130545758TreatmentEastMobileSocialFree000001047.1</v>
      </c>
      <c r="S1306" s="22" t="str">
        <f t="shared" si="62"/>
        <v>OK</v>
      </c>
    </row>
    <row r="1307" spans="1:19" ht="41.4">
      <c r="A1307" s="22" t="s">
        <v>1338</v>
      </c>
      <c r="B1307" s="25">
        <v>45742</v>
      </c>
      <c r="C1307" s="22" t="s">
        <v>723</v>
      </c>
      <c r="D1307" s="22" t="s">
        <v>28</v>
      </c>
      <c r="E1307" s="22" t="s">
        <v>19</v>
      </c>
      <c r="F1307" s="22" t="s">
        <v>41</v>
      </c>
      <c r="G1307" s="22" t="s">
        <v>21</v>
      </c>
      <c r="H1307" s="22">
        <v>0</v>
      </c>
      <c r="I1307" s="22">
        <v>0</v>
      </c>
      <c r="J1307" s="22">
        <v>0</v>
      </c>
      <c r="K1307" s="22">
        <v>0</v>
      </c>
      <c r="L1307" s="22">
        <v>0</v>
      </c>
      <c r="M1307" s="22">
        <v>0</v>
      </c>
      <c r="N1307" s="22">
        <v>0</v>
      </c>
      <c r="O1307" s="22"/>
      <c r="P1307" s="22">
        <v>30.7</v>
      </c>
      <c r="Q1307" s="22" t="str">
        <f t="shared" si="60"/>
        <v>Normal</v>
      </c>
      <c r="R1307" s="26" t="str">
        <f t="shared" si="61"/>
        <v>USR-10130645742TreatmentEastDesktopSocialBasic000000030.7</v>
      </c>
      <c r="S1307" s="22" t="str">
        <f t="shared" si="62"/>
        <v>OK</v>
      </c>
    </row>
    <row r="1308" spans="1:19" ht="41.4">
      <c r="A1308" s="22" t="s">
        <v>1339</v>
      </c>
      <c r="B1308" s="25">
        <v>45700</v>
      </c>
      <c r="C1308" s="22" t="s">
        <v>723</v>
      </c>
      <c r="D1308" s="22" t="s">
        <v>23</v>
      </c>
      <c r="E1308" s="22" t="s">
        <v>19</v>
      </c>
      <c r="F1308" s="22" t="s">
        <v>41</v>
      </c>
      <c r="G1308" s="22" t="s">
        <v>26</v>
      </c>
      <c r="H1308" s="22">
        <v>1</v>
      </c>
      <c r="I1308" s="22">
        <v>0</v>
      </c>
      <c r="J1308" s="22">
        <v>0</v>
      </c>
      <c r="K1308" s="22">
        <v>0</v>
      </c>
      <c r="L1308" s="22">
        <v>0</v>
      </c>
      <c r="M1308" s="22">
        <v>0</v>
      </c>
      <c r="N1308" s="22">
        <v>0</v>
      </c>
      <c r="O1308" s="22"/>
      <c r="P1308" s="22">
        <v>57.3</v>
      </c>
      <c r="Q1308" s="22" t="str">
        <f t="shared" si="60"/>
        <v>Normal</v>
      </c>
      <c r="R1308" s="26" t="str">
        <f t="shared" si="61"/>
        <v>USR-10130745700TreatmentWestDesktopSocialFree100000057.3</v>
      </c>
      <c r="S1308" s="22" t="str">
        <f t="shared" si="62"/>
        <v>OK</v>
      </c>
    </row>
    <row r="1309" spans="1:19" ht="41.4">
      <c r="A1309" s="22" t="s">
        <v>1340</v>
      </c>
      <c r="B1309" s="25">
        <v>45706</v>
      </c>
      <c r="C1309" s="22" t="s">
        <v>723</v>
      </c>
      <c r="D1309" s="22" t="s">
        <v>23</v>
      </c>
      <c r="E1309" s="22" t="s">
        <v>34</v>
      </c>
      <c r="F1309" s="22" t="s">
        <v>29</v>
      </c>
      <c r="G1309" s="22" t="s">
        <v>21</v>
      </c>
      <c r="H1309" s="22">
        <v>1</v>
      </c>
      <c r="I1309" s="22">
        <v>0</v>
      </c>
      <c r="J1309" s="22">
        <v>0</v>
      </c>
      <c r="K1309" s="22">
        <v>0</v>
      </c>
      <c r="L1309" s="22">
        <v>0</v>
      </c>
      <c r="M1309" s="22">
        <v>0</v>
      </c>
      <c r="N1309" s="22">
        <v>0</v>
      </c>
      <c r="O1309" s="22"/>
      <c r="P1309" s="22">
        <v>70</v>
      </c>
      <c r="Q1309" s="22" t="str">
        <f t="shared" si="60"/>
        <v>Normal</v>
      </c>
      <c r="R1309" s="26" t="str">
        <f t="shared" si="61"/>
        <v>USR-10130845706TreatmentWestTabletPaid SearchBasic100000070</v>
      </c>
      <c r="S1309" s="22" t="str">
        <f t="shared" si="62"/>
        <v>OK</v>
      </c>
    </row>
    <row r="1310" spans="1:19" ht="41.4">
      <c r="A1310" s="22" t="s">
        <v>1341</v>
      </c>
      <c r="B1310" s="25">
        <v>45802</v>
      </c>
      <c r="C1310" s="22" t="s">
        <v>723</v>
      </c>
      <c r="D1310" s="22" t="s">
        <v>28</v>
      </c>
      <c r="E1310" s="22" t="s">
        <v>19</v>
      </c>
      <c r="F1310" s="22" t="s">
        <v>41</v>
      </c>
      <c r="G1310" s="22" t="s">
        <v>26</v>
      </c>
      <c r="H1310" s="22">
        <v>1</v>
      </c>
      <c r="I1310" s="22">
        <v>1</v>
      </c>
      <c r="J1310" s="22">
        <v>1</v>
      </c>
      <c r="K1310" s="22">
        <v>0</v>
      </c>
      <c r="L1310" s="22">
        <v>0</v>
      </c>
      <c r="M1310" s="22">
        <v>0</v>
      </c>
      <c r="N1310" s="22">
        <v>0</v>
      </c>
      <c r="O1310" s="22"/>
      <c r="P1310" s="22">
        <v>59.7</v>
      </c>
      <c r="Q1310" s="22" t="str">
        <f t="shared" si="60"/>
        <v>Normal</v>
      </c>
      <c r="R1310" s="26" t="str">
        <f t="shared" si="61"/>
        <v>USR-10130945802TreatmentEastDesktopSocialFree111000059.7</v>
      </c>
      <c r="S1310" s="22" t="str">
        <f t="shared" si="62"/>
        <v>OK</v>
      </c>
    </row>
    <row r="1311" spans="1:19" ht="41.4">
      <c r="A1311" s="22" t="s">
        <v>1342</v>
      </c>
      <c r="B1311" s="25">
        <v>45800</v>
      </c>
      <c r="C1311" s="22" t="s">
        <v>723</v>
      </c>
      <c r="D1311" s="22" t="s">
        <v>28</v>
      </c>
      <c r="E1311" s="22" t="s">
        <v>19</v>
      </c>
      <c r="F1311" s="22" t="s">
        <v>29</v>
      </c>
      <c r="G1311" s="22" t="s">
        <v>21</v>
      </c>
      <c r="H1311" s="22">
        <v>1</v>
      </c>
      <c r="I1311" s="22">
        <v>0</v>
      </c>
      <c r="J1311" s="22">
        <v>0</v>
      </c>
      <c r="K1311" s="22">
        <v>0</v>
      </c>
      <c r="L1311" s="22">
        <v>0</v>
      </c>
      <c r="M1311" s="22">
        <v>0</v>
      </c>
      <c r="N1311" s="22">
        <v>0</v>
      </c>
      <c r="O1311" s="22"/>
      <c r="P1311" s="22">
        <v>68.8</v>
      </c>
      <c r="Q1311" s="22" t="str">
        <f t="shared" si="60"/>
        <v>Normal</v>
      </c>
      <c r="R1311" s="26" t="str">
        <f t="shared" si="61"/>
        <v>USR-10131045800TreatmentEastDesktopPaid SearchBasic100000068.8</v>
      </c>
      <c r="S1311" s="22" t="str">
        <f t="shared" si="62"/>
        <v>OK</v>
      </c>
    </row>
    <row r="1312" spans="1:19" ht="41.4">
      <c r="A1312" s="22" t="s">
        <v>1343</v>
      </c>
      <c r="B1312" s="25">
        <v>45673</v>
      </c>
      <c r="C1312" s="22" t="s">
        <v>723</v>
      </c>
      <c r="D1312" s="22" t="s">
        <v>18</v>
      </c>
      <c r="E1312" s="22" t="s">
        <v>19</v>
      </c>
      <c r="F1312" s="22" t="s">
        <v>25</v>
      </c>
      <c r="G1312" s="22" t="s">
        <v>26</v>
      </c>
      <c r="H1312" s="22">
        <v>1</v>
      </c>
      <c r="I1312" s="22">
        <v>1</v>
      </c>
      <c r="J1312" s="22">
        <v>1</v>
      </c>
      <c r="K1312" s="22">
        <v>1</v>
      </c>
      <c r="L1312" s="22">
        <v>428.37</v>
      </c>
      <c r="M1312" s="22">
        <v>0</v>
      </c>
      <c r="N1312" s="22">
        <v>0</v>
      </c>
      <c r="O1312" s="22">
        <v>9</v>
      </c>
      <c r="P1312" s="22">
        <v>88.3</v>
      </c>
      <c r="Q1312" s="22" t="str">
        <f t="shared" si="60"/>
        <v>Normal</v>
      </c>
      <c r="R1312" s="26" t="str">
        <f t="shared" si="61"/>
        <v>USR-10131145673TreatmentNorthDesktopOrganicFree1111428.3700988.3</v>
      </c>
      <c r="S1312" s="22" t="str">
        <f t="shared" si="62"/>
        <v>OK</v>
      </c>
    </row>
    <row r="1313" spans="1:19" ht="41.4">
      <c r="A1313" s="22" t="s">
        <v>1344</v>
      </c>
      <c r="B1313" s="25">
        <v>45676</v>
      </c>
      <c r="C1313" s="22" t="s">
        <v>723</v>
      </c>
      <c r="D1313" s="22" t="s">
        <v>23</v>
      </c>
      <c r="E1313" s="22" t="s">
        <v>19</v>
      </c>
      <c r="F1313" s="22" t="s">
        <v>20</v>
      </c>
      <c r="G1313" s="22" t="s">
        <v>21</v>
      </c>
      <c r="H1313" s="22">
        <v>0</v>
      </c>
      <c r="I1313" s="22">
        <v>0</v>
      </c>
      <c r="J1313" s="22">
        <v>0</v>
      </c>
      <c r="K1313" s="22">
        <v>0</v>
      </c>
      <c r="L1313" s="22">
        <v>0</v>
      </c>
      <c r="M1313" s="22">
        <v>0</v>
      </c>
      <c r="N1313" s="22">
        <v>0</v>
      </c>
      <c r="O1313" s="22"/>
      <c r="P1313" s="22">
        <v>83.4</v>
      </c>
      <c r="Q1313" s="22" t="str">
        <f t="shared" si="60"/>
        <v>Normal</v>
      </c>
      <c r="R1313" s="26" t="str">
        <f t="shared" si="61"/>
        <v>USR-10131245676TreatmentWestDesktopEmailBasic000000083.4</v>
      </c>
      <c r="S1313" s="22" t="str">
        <f t="shared" si="62"/>
        <v>OK</v>
      </c>
    </row>
    <row r="1314" spans="1:19" ht="41.4">
      <c r="A1314" s="22" t="s">
        <v>1345</v>
      </c>
      <c r="B1314" s="25">
        <v>45795</v>
      </c>
      <c r="C1314" s="22" t="s">
        <v>723</v>
      </c>
      <c r="D1314" s="22" t="s">
        <v>32</v>
      </c>
      <c r="E1314" s="22" t="s">
        <v>24</v>
      </c>
      <c r="F1314" s="22" t="s">
        <v>39</v>
      </c>
      <c r="G1314" s="22" t="s">
        <v>26</v>
      </c>
      <c r="H1314" s="22">
        <v>0</v>
      </c>
      <c r="I1314" s="22">
        <v>0</v>
      </c>
      <c r="J1314" s="22">
        <v>0</v>
      </c>
      <c r="K1314" s="22">
        <v>0</v>
      </c>
      <c r="L1314" s="22">
        <v>0</v>
      </c>
      <c r="M1314" s="22">
        <v>1</v>
      </c>
      <c r="N1314" s="22">
        <v>0</v>
      </c>
      <c r="O1314" s="22"/>
      <c r="P1314" s="22">
        <v>81.599999999999994</v>
      </c>
      <c r="Q1314" s="22" t="str">
        <f t="shared" si="60"/>
        <v>Normal</v>
      </c>
      <c r="R1314" s="26" t="str">
        <f t="shared" si="61"/>
        <v>USR-10131345795TreatmentSouthMobileReferralFree000001081.6</v>
      </c>
      <c r="S1314" s="22" t="str">
        <f t="shared" si="62"/>
        <v>OK</v>
      </c>
    </row>
    <row r="1315" spans="1:19" ht="41.4">
      <c r="A1315" s="22" t="s">
        <v>1346</v>
      </c>
      <c r="B1315" s="25">
        <v>45680</v>
      </c>
      <c r="C1315" s="22" t="s">
        <v>723</v>
      </c>
      <c r="D1315" s="22" t="s">
        <v>28</v>
      </c>
      <c r="E1315" s="22" t="s">
        <v>34</v>
      </c>
      <c r="F1315" s="22" t="s">
        <v>41</v>
      </c>
      <c r="G1315" s="22" t="s">
        <v>30</v>
      </c>
      <c r="H1315" s="22">
        <v>1</v>
      </c>
      <c r="I1315" s="22">
        <v>0</v>
      </c>
      <c r="J1315" s="22">
        <v>0</v>
      </c>
      <c r="K1315" s="22">
        <v>0</v>
      </c>
      <c r="L1315" s="22">
        <v>0</v>
      </c>
      <c r="M1315" s="22">
        <v>0</v>
      </c>
      <c r="N1315" s="22">
        <v>0</v>
      </c>
      <c r="O1315" s="22"/>
      <c r="P1315" s="22">
        <v>91.6</v>
      </c>
      <c r="Q1315" s="22" t="str">
        <f t="shared" si="60"/>
        <v>Normal</v>
      </c>
      <c r="R1315" s="26" t="str">
        <f t="shared" si="61"/>
        <v>USR-10131445680TreatmentEastTabletSocialPremium100000091.6</v>
      </c>
      <c r="S1315" s="22" t="str">
        <f t="shared" si="62"/>
        <v>OK</v>
      </c>
    </row>
    <row r="1316" spans="1:19" ht="41.4">
      <c r="A1316" s="22" t="s">
        <v>1347</v>
      </c>
      <c r="B1316" s="25">
        <v>45665</v>
      </c>
      <c r="C1316" s="22" t="s">
        <v>723</v>
      </c>
      <c r="D1316" s="22" t="s">
        <v>28</v>
      </c>
      <c r="E1316" s="22" t="s">
        <v>34</v>
      </c>
      <c r="F1316" s="22"/>
      <c r="G1316" s="22" t="s">
        <v>30</v>
      </c>
      <c r="H1316" s="22">
        <v>1</v>
      </c>
      <c r="I1316" s="22">
        <v>1</v>
      </c>
      <c r="J1316" s="22">
        <v>1</v>
      </c>
      <c r="K1316" s="22">
        <v>0</v>
      </c>
      <c r="L1316" s="22">
        <v>0</v>
      </c>
      <c r="M1316" s="22">
        <v>1</v>
      </c>
      <c r="N1316" s="22">
        <v>0</v>
      </c>
      <c r="O1316" s="22"/>
      <c r="P1316" s="22">
        <v>61.5</v>
      </c>
      <c r="Q1316" s="22" t="str">
        <f t="shared" si="60"/>
        <v>Normal</v>
      </c>
      <c r="R1316" s="26" t="str">
        <f t="shared" si="61"/>
        <v>USR-10131545665TreatmentEastTabletPremium111001061.5</v>
      </c>
      <c r="S1316" s="22" t="str">
        <f t="shared" si="62"/>
        <v>OK</v>
      </c>
    </row>
    <row r="1317" spans="1:19" ht="41.4">
      <c r="A1317" s="22" t="s">
        <v>1348</v>
      </c>
      <c r="B1317" s="25">
        <v>45707</v>
      </c>
      <c r="C1317" s="22" t="s">
        <v>723</v>
      </c>
      <c r="D1317" s="22" t="s">
        <v>18</v>
      </c>
      <c r="E1317" s="22" t="s">
        <v>24</v>
      </c>
      <c r="F1317" s="22" t="s">
        <v>25</v>
      </c>
      <c r="G1317" s="22" t="s">
        <v>30</v>
      </c>
      <c r="H1317" s="22">
        <v>0</v>
      </c>
      <c r="I1317" s="22">
        <v>0</v>
      </c>
      <c r="J1317" s="22">
        <v>0</v>
      </c>
      <c r="K1317" s="22">
        <v>0</v>
      </c>
      <c r="L1317" s="22">
        <v>0</v>
      </c>
      <c r="M1317" s="22">
        <v>0</v>
      </c>
      <c r="N1317" s="22">
        <v>0</v>
      </c>
      <c r="O1317" s="22"/>
      <c r="P1317" s="22"/>
      <c r="Q1317" s="22" t="str">
        <f t="shared" si="60"/>
        <v>Normal</v>
      </c>
      <c r="R1317" s="26" t="str">
        <f t="shared" si="61"/>
        <v>USR-10131645707TreatmentNorthMobileOrganicPremium0000000</v>
      </c>
      <c r="S1317" s="22" t="str">
        <f t="shared" si="62"/>
        <v>OK</v>
      </c>
    </row>
    <row r="1318" spans="1:19" ht="41.4">
      <c r="A1318" s="22" t="s">
        <v>1349</v>
      </c>
      <c r="B1318" s="25">
        <v>45698</v>
      </c>
      <c r="C1318" s="22" t="s">
        <v>723</v>
      </c>
      <c r="D1318" s="22" t="s">
        <v>32</v>
      </c>
      <c r="E1318" s="22" t="s">
        <v>24</v>
      </c>
      <c r="F1318" s="22" t="s">
        <v>25</v>
      </c>
      <c r="G1318" s="22" t="s">
        <v>26</v>
      </c>
      <c r="H1318" s="22">
        <v>1</v>
      </c>
      <c r="I1318" s="22">
        <v>0</v>
      </c>
      <c r="J1318" s="22">
        <v>0</v>
      </c>
      <c r="K1318" s="22">
        <v>0</v>
      </c>
      <c r="L1318" s="22">
        <v>0</v>
      </c>
      <c r="M1318" s="22">
        <v>0</v>
      </c>
      <c r="N1318" s="22">
        <v>0</v>
      </c>
      <c r="O1318" s="22"/>
      <c r="P1318" s="22">
        <v>32.6</v>
      </c>
      <c r="Q1318" s="22" t="str">
        <f t="shared" si="60"/>
        <v>Normal</v>
      </c>
      <c r="R1318" s="26" t="str">
        <f t="shared" si="61"/>
        <v>USR-10131745698TreatmentSouthMobileOrganicFree100000032.6</v>
      </c>
      <c r="S1318" s="22" t="str">
        <f t="shared" si="62"/>
        <v>OK</v>
      </c>
    </row>
    <row r="1319" spans="1:19" ht="41.4">
      <c r="A1319" s="22" t="s">
        <v>1350</v>
      </c>
      <c r="B1319" s="25">
        <v>45760</v>
      </c>
      <c r="C1319" s="22" t="s">
        <v>723</v>
      </c>
      <c r="D1319" s="22" t="s">
        <v>32</v>
      </c>
      <c r="E1319" s="22" t="s">
        <v>24</v>
      </c>
      <c r="F1319" s="22" t="s">
        <v>29</v>
      </c>
      <c r="G1319" s="22" t="s">
        <v>26</v>
      </c>
      <c r="H1319" s="22">
        <v>1</v>
      </c>
      <c r="I1319" s="22">
        <v>0</v>
      </c>
      <c r="J1319" s="22">
        <v>0</v>
      </c>
      <c r="K1319" s="22">
        <v>0</v>
      </c>
      <c r="L1319" s="22">
        <v>0</v>
      </c>
      <c r="M1319" s="22">
        <v>0</v>
      </c>
      <c r="N1319" s="22">
        <v>0</v>
      </c>
      <c r="O1319" s="22"/>
      <c r="P1319" s="22">
        <v>73.900000000000006</v>
      </c>
      <c r="Q1319" s="22" t="str">
        <f t="shared" si="60"/>
        <v>Normal</v>
      </c>
      <c r="R1319" s="26" t="str">
        <f t="shared" si="61"/>
        <v>USR-10131845760TreatmentSouthMobilePaid SearchFree100000073.9</v>
      </c>
      <c r="S1319" s="22" t="str">
        <f t="shared" si="62"/>
        <v>OK</v>
      </c>
    </row>
    <row r="1320" spans="1:19" ht="41.4">
      <c r="A1320" s="22" t="s">
        <v>1351</v>
      </c>
      <c r="B1320" s="25">
        <v>45797</v>
      </c>
      <c r="C1320" s="22" t="s">
        <v>723</v>
      </c>
      <c r="D1320" s="22" t="s">
        <v>28</v>
      </c>
      <c r="E1320" s="22" t="s">
        <v>24</v>
      </c>
      <c r="F1320" s="22" t="s">
        <v>25</v>
      </c>
      <c r="G1320" s="22" t="s">
        <v>26</v>
      </c>
      <c r="H1320" s="22">
        <v>1</v>
      </c>
      <c r="I1320" s="22">
        <v>1</v>
      </c>
      <c r="J1320" s="22">
        <v>1</v>
      </c>
      <c r="K1320" s="22">
        <v>1</v>
      </c>
      <c r="L1320" s="22">
        <v>444.06</v>
      </c>
      <c r="M1320" s="22">
        <v>0</v>
      </c>
      <c r="N1320" s="22">
        <v>0</v>
      </c>
      <c r="O1320" s="22">
        <v>9</v>
      </c>
      <c r="P1320" s="22">
        <v>99.9</v>
      </c>
      <c r="Q1320" s="22" t="str">
        <f t="shared" si="60"/>
        <v>Normal</v>
      </c>
      <c r="R1320" s="26" t="str">
        <f t="shared" si="61"/>
        <v>USR-10131945797TreatmentEastMobileOrganicFree1111444.0600999.9</v>
      </c>
      <c r="S1320" s="22" t="str">
        <f t="shared" si="62"/>
        <v>OK</v>
      </c>
    </row>
    <row r="1321" spans="1:19" ht="41.4">
      <c r="A1321" s="22" t="s">
        <v>1352</v>
      </c>
      <c r="B1321" s="25">
        <v>45790</v>
      </c>
      <c r="C1321" s="22" t="s">
        <v>723</v>
      </c>
      <c r="D1321" s="22" t="s">
        <v>32</v>
      </c>
      <c r="E1321" s="22" t="s">
        <v>24</v>
      </c>
      <c r="F1321" s="22" t="s">
        <v>29</v>
      </c>
      <c r="G1321" s="22" t="s">
        <v>21</v>
      </c>
      <c r="H1321" s="22">
        <v>1</v>
      </c>
      <c r="I1321" s="22">
        <v>1</v>
      </c>
      <c r="J1321" s="22">
        <v>0</v>
      </c>
      <c r="K1321" s="22">
        <v>0</v>
      </c>
      <c r="L1321" s="22">
        <v>0</v>
      </c>
      <c r="M1321" s="22">
        <v>1</v>
      </c>
      <c r="N1321" s="22">
        <v>0</v>
      </c>
      <c r="O1321" s="22"/>
      <c r="P1321" s="22">
        <v>62.4</v>
      </c>
      <c r="Q1321" s="22" t="str">
        <f t="shared" si="60"/>
        <v>Normal</v>
      </c>
      <c r="R1321" s="26" t="str">
        <f t="shared" si="61"/>
        <v>USR-10132045790TreatmentSouthMobilePaid SearchBasic110001062.4</v>
      </c>
      <c r="S1321" s="22" t="str">
        <f t="shared" si="62"/>
        <v>OK</v>
      </c>
    </row>
    <row r="1322" spans="1:19" ht="41.4">
      <c r="A1322" s="22" t="s">
        <v>1353</v>
      </c>
      <c r="B1322" s="25">
        <v>45805</v>
      </c>
      <c r="C1322" s="22" t="s">
        <v>723</v>
      </c>
      <c r="D1322" s="22" t="s">
        <v>32</v>
      </c>
      <c r="E1322" s="22" t="s">
        <v>19</v>
      </c>
      <c r="F1322" s="22" t="s">
        <v>29</v>
      </c>
      <c r="G1322" s="22" t="s">
        <v>21</v>
      </c>
      <c r="H1322" s="22">
        <v>1</v>
      </c>
      <c r="I1322" s="22">
        <v>0</v>
      </c>
      <c r="J1322" s="22">
        <v>0</v>
      </c>
      <c r="K1322" s="22">
        <v>0</v>
      </c>
      <c r="L1322" s="22">
        <v>0</v>
      </c>
      <c r="M1322" s="22">
        <v>0</v>
      </c>
      <c r="N1322" s="22">
        <v>0</v>
      </c>
      <c r="O1322" s="22"/>
      <c r="P1322" s="22">
        <v>46.1</v>
      </c>
      <c r="Q1322" s="22" t="str">
        <f t="shared" si="60"/>
        <v>Normal</v>
      </c>
      <c r="R1322" s="26" t="str">
        <f t="shared" si="61"/>
        <v>USR-10132145805TreatmentSouthDesktopPaid SearchBasic100000046.1</v>
      </c>
      <c r="S1322" s="22" t="str">
        <f t="shared" si="62"/>
        <v>OK</v>
      </c>
    </row>
    <row r="1323" spans="1:19" ht="41.4">
      <c r="A1323" s="22" t="s">
        <v>1354</v>
      </c>
      <c r="B1323" s="25">
        <v>45735</v>
      </c>
      <c r="C1323" s="22" t="s">
        <v>723</v>
      </c>
      <c r="D1323" s="22" t="s">
        <v>23</v>
      </c>
      <c r="E1323" s="22" t="s">
        <v>24</v>
      </c>
      <c r="F1323" s="22" t="s">
        <v>25</v>
      </c>
      <c r="G1323" s="22" t="s">
        <v>26</v>
      </c>
      <c r="H1323" s="22">
        <v>1</v>
      </c>
      <c r="I1323" s="22">
        <v>1</v>
      </c>
      <c r="J1323" s="22">
        <v>1</v>
      </c>
      <c r="K1323" s="22">
        <v>1</v>
      </c>
      <c r="L1323" s="22">
        <v>2660.21</v>
      </c>
      <c r="M1323" s="22">
        <v>0</v>
      </c>
      <c r="N1323" s="22">
        <v>0</v>
      </c>
      <c r="O1323" s="22">
        <v>3</v>
      </c>
      <c r="P1323" s="22">
        <v>73.900000000000006</v>
      </c>
      <c r="Q1323" s="22" t="str">
        <f t="shared" si="60"/>
        <v>Outlier</v>
      </c>
      <c r="R1323" s="26" t="str">
        <f t="shared" si="61"/>
        <v>USR-10132245735TreatmentWestMobileOrganicFree11112660.2100373.9</v>
      </c>
      <c r="S1323" s="22" t="str">
        <f t="shared" si="62"/>
        <v>OK</v>
      </c>
    </row>
    <row r="1324" spans="1:19" ht="41.4">
      <c r="A1324" s="22" t="s">
        <v>1355</v>
      </c>
      <c r="B1324" s="25">
        <v>45691</v>
      </c>
      <c r="C1324" s="22" t="s">
        <v>723</v>
      </c>
      <c r="D1324" s="22" t="s">
        <v>18</v>
      </c>
      <c r="E1324" s="22" t="s">
        <v>24</v>
      </c>
      <c r="F1324" s="22" t="s">
        <v>20</v>
      </c>
      <c r="G1324" s="22" t="s">
        <v>30</v>
      </c>
      <c r="H1324" s="22">
        <v>0</v>
      </c>
      <c r="I1324" s="22">
        <v>0</v>
      </c>
      <c r="J1324" s="22">
        <v>0</v>
      </c>
      <c r="K1324" s="22">
        <v>0</v>
      </c>
      <c r="L1324" s="22">
        <v>0</v>
      </c>
      <c r="M1324" s="22">
        <v>0</v>
      </c>
      <c r="N1324" s="22">
        <v>0</v>
      </c>
      <c r="O1324" s="22"/>
      <c r="P1324" s="22">
        <v>90</v>
      </c>
      <c r="Q1324" s="22" t="str">
        <f t="shared" si="60"/>
        <v>Normal</v>
      </c>
      <c r="R1324" s="26" t="str">
        <f t="shared" si="61"/>
        <v>USR-10132345691TreatmentNorthMobileEmailPremium000000090</v>
      </c>
      <c r="S1324" s="22" t="str">
        <f t="shared" si="62"/>
        <v>OK</v>
      </c>
    </row>
    <row r="1325" spans="1:19" ht="41.4">
      <c r="A1325" s="22" t="s">
        <v>1356</v>
      </c>
      <c r="B1325" s="25">
        <v>45714</v>
      </c>
      <c r="C1325" s="22" t="s">
        <v>723</v>
      </c>
      <c r="D1325" s="22" t="s">
        <v>32</v>
      </c>
      <c r="E1325" s="22" t="s">
        <v>24</v>
      </c>
      <c r="F1325" s="22" t="s">
        <v>20</v>
      </c>
      <c r="G1325" s="22" t="s">
        <v>21</v>
      </c>
      <c r="H1325" s="22">
        <v>1</v>
      </c>
      <c r="I1325" s="22">
        <v>0</v>
      </c>
      <c r="J1325" s="22">
        <v>0</v>
      </c>
      <c r="K1325" s="22">
        <v>0</v>
      </c>
      <c r="L1325" s="22">
        <v>0</v>
      </c>
      <c r="M1325" s="22">
        <v>1</v>
      </c>
      <c r="N1325" s="22">
        <v>0</v>
      </c>
      <c r="O1325" s="22"/>
      <c r="P1325" s="22">
        <v>68.8</v>
      </c>
      <c r="Q1325" s="22" t="str">
        <f t="shared" si="60"/>
        <v>Normal</v>
      </c>
      <c r="R1325" s="26" t="str">
        <f t="shared" si="61"/>
        <v>USR-10132445714TreatmentSouthMobileEmailBasic100001068.8</v>
      </c>
      <c r="S1325" s="22" t="str">
        <f t="shared" si="62"/>
        <v>OK</v>
      </c>
    </row>
    <row r="1326" spans="1:19" ht="41.4">
      <c r="A1326" s="22" t="s">
        <v>1357</v>
      </c>
      <c r="B1326" s="25">
        <v>45683</v>
      </c>
      <c r="C1326" s="22" t="s">
        <v>723</v>
      </c>
      <c r="D1326" s="22" t="s">
        <v>23</v>
      </c>
      <c r="E1326" s="22" t="s">
        <v>24</v>
      </c>
      <c r="F1326" s="22" t="s">
        <v>29</v>
      </c>
      <c r="G1326" s="22" t="s">
        <v>26</v>
      </c>
      <c r="H1326" s="22">
        <v>1</v>
      </c>
      <c r="I1326" s="22">
        <v>0</v>
      </c>
      <c r="J1326" s="22">
        <v>0</v>
      </c>
      <c r="K1326" s="22">
        <v>0</v>
      </c>
      <c r="L1326" s="22">
        <v>0</v>
      </c>
      <c r="M1326" s="22">
        <v>0</v>
      </c>
      <c r="N1326" s="22">
        <v>0</v>
      </c>
      <c r="O1326" s="22"/>
      <c r="P1326" s="22">
        <v>66.599999999999994</v>
      </c>
      <c r="Q1326" s="22" t="str">
        <f t="shared" si="60"/>
        <v>Normal</v>
      </c>
      <c r="R1326" s="26" t="str">
        <f t="shared" si="61"/>
        <v>USR-10132545683TreatmentWestMobilePaid SearchFree100000066.6</v>
      </c>
      <c r="S1326" s="22" t="str">
        <f t="shared" si="62"/>
        <v>OK</v>
      </c>
    </row>
    <row r="1327" spans="1:19" ht="41.4">
      <c r="A1327" s="22" t="s">
        <v>1358</v>
      </c>
      <c r="B1327" s="25">
        <v>45790</v>
      </c>
      <c r="C1327" s="22" t="s">
        <v>723</v>
      </c>
      <c r="D1327" s="22" t="s">
        <v>18</v>
      </c>
      <c r="E1327" s="22" t="s">
        <v>24</v>
      </c>
      <c r="F1327" s="22" t="s">
        <v>25</v>
      </c>
      <c r="G1327" s="22" t="s">
        <v>30</v>
      </c>
      <c r="H1327" s="22">
        <v>1</v>
      </c>
      <c r="I1327" s="22">
        <v>0</v>
      </c>
      <c r="J1327" s="22">
        <v>0</v>
      </c>
      <c r="K1327" s="22">
        <v>0</v>
      </c>
      <c r="L1327" s="22">
        <v>0</v>
      </c>
      <c r="M1327" s="22">
        <v>0</v>
      </c>
      <c r="N1327" s="22">
        <v>0</v>
      </c>
      <c r="O1327" s="22"/>
      <c r="P1327" s="22">
        <v>49.7</v>
      </c>
      <c r="Q1327" s="22" t="str">
        <f t="shared" si="60"/>
        <v>Normal</v>
      </c>
      <c r="R1327" s="26" t="str">
        <f t="shared" si="61"/>
        <v>USR-10132645790TreatmentNorthMobileOrganicPremium100000049.7</v>
      </c>
      <c r="S1327" s="22" t="str">
        <f t="shared" si="62"/>
        <v>OK</v>
      </c>
    </row>
    <row r="1328" spans="1:19" ht="41.4">
      <c r="A1328" s="22" t="s">
        <v>1359</v>
      </c>
      <c r="B1328" s="25">
        <v>45690</v>
      </c>
      <c r="C1328" s="22" t="s">
        <v>723</v>
      </c>
      <c r="D1328" s="22" t="s">
        <v>32</v>
      </c>
      <c r="E1328" s="22" t="s">
        <v>24</v>
      </c>
      <c r="F1328" s="22" t="s">
        <v>29</v>
      </c>
      <c r="G1328" s="22" t="s">
        <v>21</v>
      </c>
      <c r="H1328" s="22">
        <v>0</v>
      </c>
      <c r="I1328" s="22">
        <v>0</v>
      </c>
      <c r="J1328" s="22">
        <v>0</v>
      </c>
      <c r="K1328" s="22">
        <v>0</v>
      </c>
      <c r="L1328" s="22">
        <v>0</v>
      </c>
      <c r="M1328" s="22">
        <v>0</v>
      </c>
      <c r="N1328" s="22">
        <v>0</v>
      </c>
      <c r="O1328" s="22"/>
      <c r="P1328" s="22">
        <v>67.900000000000006</v>
      </c>
      <c r="Q1328" s="22" t="str">
        <f t="shared" si="60"/>
        <v>Normal</v>
      </c>
      <c r="R1328" s="26" t="str">
        <f t="shared" si="61"/>
        <v>USR-10132745690TreatmentSouthMobilePaid SearchBasic000000067.9</v>
      </c>
      <c r="S1328" s="22" t="str">
        <f t="shared" si="62"/>
        <v>OK</v>
      </c>
    </row>
    <row r="1329" spans="1:19" ht="41.4">
      <c r="A1329" s="22" t="s">
        <v>1360</v>
      </c>
      <c r="B1329" s="25">
        <v>45777</v>
      </c>
      <c r="C1329" s="22" t="s">
        <v>723</v>
      </c>
      <c r="D1329" s="22" t="s">
        <v>23</v>
      </c>
      <c r="E1329" s="22" t="s">
        <v>24</v>
      </c>
      <c r="F1329" s="22"/>
      <c r="G1329" s="22" t="s">
        <v>21</v>
      </c>
      <c r="H1329" s="22">
        <v>0</v>
      </c>
      <c r="I1329" s="22">
        <v>0</v>
      </c>
      <c r="J1329" s="22">
        <v>0</v>
      </c>
      <c r="K1329" s="22">
        <v>0</v>
      </c>
      <c r="L1329" s="22">
        <v>0</v>
      </c>
      <c r="M1329" s="22">
        <v>0</v>
      </c>
      <c r="N1329" s="22">
        <v>0</v>
      </c>
      <c r="O1329" s="22"/>
      <c r="P1329" s="22">
        <v>66.900000000000006</v>
      </c>
      <c r="Q1329" s="22" t="str">
        <f t="shared" si="60"/>
        <v>Normal</v>
      </c>
      <c r="R1329" s="26" t="str">
        <f t="shared" si="61"/>
        <v>USR-10132845777TreatmentWestMobileBasic000000066.9</v>
      </c>
      <c r="S1329" s="22" t="str">
        <f t="shared" si="62"/>
        <v>OK</v>
      </c>
    </row>
    <row r="1330" spans="1:19" ht="41.4">
      <c r="A1330" s="22" t="s">
        <v>1361</v>
      </c>
      <c r="B1330" s="25">
        <v>45745</v>
      </c>
      <c r="C1330" s="22" t="s">
        <v>723</v>
      </c>
      <c r="D1330" s="22" t="s">
        <v>28</v>
      </c>
      <c r="E1330" s="22" t="s">
        <v>24</v>
      </c>
      <c r="F1330" s="22" t="s">
        <v>25</v>
      </c>
      <c r="G1330" s="22" t="s">
        <v>26</v>
      </c>
      <c r="H1330" s="22">
        <v>0</v>
      </c>
      <c r="I1330" s="22">
        <v>0</v>
      </c>
      <c r="J1330" s="22">
        <v>0</v>
      </c>
      <c r="K1330" s="22">
        <v>0</v>
      </c>
      <c r="L1330" s="22">
        <v>0</v>
      </c>
      <c r="M1330" s="22">
        <v>0</v>
      </c>
      <c r="N1330" s="22">
        <v>0</v>
      </c>
      <c r="O1330" s="22"/>
      <c r="P1330" s="22">
        <v>46.1</v>
      </c>
      <c r="Q1330" s="22" t="str">
        <f t="shared" si="60"/>
        <v>Normal</v>
      </c>
      <c r="R1330" s="26" t="str">
        <f t="shared" si="61"/>
        <v>USR-10132945745TreatmentEastMobileOrganicFree000000046.1</v>
      </c>
      <c r="S1330" s="22" t="str">
        <f t="shared" si="62"/>
        <v>OK</v>
      </c>
    </row>
    <row r="1331" spans="1:19" ht="41.4">
      <c r="A1331" s="22" t="s">
        <v>1362</v>
      </c>
      <c r="B1331" s="25">
        <v>45756</v>
      </c>
      <c r="C1331" s="22" t="s">
        <v>723</v>
      </c>
      <c r="D1331" s="22" t="s">
        <v>23</v>
      </c>
      <c r="E1331" s="22" t="s">
        <v>19</v>
      </c>
      <c r="F1331" s="22" t="s">
        <v>39</v>
      </c>
      <c r="G1331" s="22" t="s">
        <v>30</v>
      </c>
      <c r="H1331" s="22">
        <v>1</v>
      </c>
      <c r="I1331" s="22">
        <v>0</v>
      </c>
      <c r="J1331" s="22">
        <v>0</v>
      </c>
      <c r="K1331" s="22">
        <v>0</v>
      </c>
      <c r="L1331" s="22">
        <v>0</v>
      </c>
      <c r="M1331" s="22">
        <v>0</v>
      </c>
      <c r="N1331" s="22">
        <v>0</v>
      </c>
      <c r="O1331" s="22"/>
      <c r="P1331" s="22">
        <v>85.6</v>
      </c>
      <c r="Q1331" s="22" t="str">
        <f t="shared" si="60"/>
        <v>Normal</v>
      </c>
      <c r="R1331" s="26" t="str">
        <f t="shared" si="61"/>
        <v>USR-10133045756TreatmentWestDesktopReferralPremium100000085.6</v>
      </c>
      <c r="S1331" s="22" t="str">
        <f t="shared" si="62"/>
        <v>OK</v>
      </c>
    </row>
    <row r="1332" spans="1:19" ht="41.4">
      <c r="A1332" s="22" t="s">
        <v>1363</v>
      </c>
      <c r="B1332" s="25">
        <v>45679</v>
      </c>
      <c r="C1332" s="22" t="s">
        <v>723</v>
      </c>
      <c r="D1332" s="22" t="s">
        <v>32</v>
      </c>
      <c r="E1332" s="22" t="s">
        <v>34</v>
      </c>
      <c r="F1332" s="22" t="s">
        <v>25</v>
      </c>
      <c r="G1332" s="22" t="s">
        <v>26</v>
      </c>
      <c r="H1332" s="22">
        <v>0</v>
      </c>
      <c r="I1332" s="22">
        <v>0</v>
      </c>
      <c r="J1332" s="22">
        <v>0</v>
      </c>
      <c r="K1332" s="22">
        <v>0</v>
      </c>
      <c r="L1332" s="22">
        <v>0</v>
      </c>
      <c r="M1332" s="22">
        <v>0</v>
      </c>
      <c r="N1332" s="22">
        <v>0</v>
      </c>
      <c r="O1332" s="22"/>
      <c r="P1332" s="22">
        <v>39.6</v>
      </c>
      <c r="Q1332" s="22" t="str">
        <f t="shared" si="60"/>
        <v>Normal</v>
      </c>
      <c r="R1332" s="26" t="str">
        <f t="shared" si="61"/>
        <v>USR-10133145679TreatmentSouthTabletOrganicFree000000039.6</v>
      </c>
      <c r="S1332" s="22" t="str">
        <f t="shared" si="62"/>
        <v>OK</v>
      </c>
    </row>
    <row r="1333" spans="1:19" ht="41.4">
      <c r="A1333" s="22" t="s">
        <v>1364</v>
      </c>
      <c r="B1333" s="25">
        <v>45684</v>
      </c>
      <c r="C1333" s="22" t="s">
        <v>723</v>
      </c>
      <c r="D1333" s="22" t="s">
        <v>32</v>
      </c>
      <c r="E1333" s="22" t="s">
        <v>24</v>
      </c>
      <c r="F1333" s="22" t="s">
        <v>25</v>
      </c>
      <c r="G1333" s="22" t="s">
        <v>21</v>
      </c>
      <c r="H1333" s="22">
        <v>1</v>
      </c>
      <c r="I1333" s="22">
        <v>0</v>
      </c>
      <c r="J1333" s="22">
        <v>0</v>
      </c>
      <c r="K1333" s="22">
        <v>0</v>
      </c>
      <c r="L1333" s="22">
        <v>0</v>
      </c>
      <c r="M1333" s="22">
        <v>0</v>
      </c>
      <c r="N1333" s="22">
        <v>0</v>
      </c>
      <c r="O1333" s="22"/>
      <c r="P1333" s="22">
        <v>52.5</v>
      </c>
      <c r="Q1333" s="22" t="str">
        <f t="shared" si="60"/>
        <v>Normal</v>
      </c>
      <c r="R1333" s="26" t="str">
        <f t="shared" si="61"/>
        <v>USR-10133245684TreatmentSouthMobileOrganicBasic100000052.5</v>
      </c>
      <c r="S1333" s="22" t="str">
        <f t="shared" si="62"/>
        <v>OK</v>
      </c>
    </row>
    <row r="1334" spans="1:19" ht="41.4">
      <c r="A1334" s="22" t="s">
        <v>1365</v>
      </c>
      <c r="B1334" s="25">
        <v>45679</v>
      </c>
      <c r="C1334" s="22" t="s">
        <v>723</v>
      </c>
      <c r="D1334" s="22" t="s">
        <v>28</v>
      </c>
      <c r="E1334" s="22" t="s">
        <v>24</v>
      </c>
      <c r="F1334" s="22" t="s">
        <v>41</v>
      </c>
      <c r="G1334" s="22" t="s">
        <v>30</v>
      </c>
      <c r="H1334" s="22">
        <v>1</v>
      </c>
      <c r="I1334" s="22">
        <v>0</v>
      </c>
      <c r="J1334" s="22">
        <v>0</v>
      </c>
      <c r="K1334" s="22">
        <v>0</v>
      </c>
      <c r="L1334" s="22">
        <v>0</v>
      </c>
      <c r="M1334" s="22">
        <v>0</v>
      </c>
      <c r="N1334" s="22">
        <v>0</v>
      </c>
      <c r="O1334" s="22"/>
      <c r="P1334" s="22">
        <v>73.5</v>
      </c>
      <c r="Q1334" s="22" t="str">
        <f t="shared" si="60"/>
        <v>Normal</v>
      </c>
      <c r="R1334" s="26" t="str">
        <f t="shared" si="61"/>
        <v>USR-10133345679TreatmentEastMobileSocialPremium100000073.5</v>
      </c>
      <c r="S1334" s="22" t="str">
        <f t="shared" si="62"/>
        <v>OK</v>
      </c>
    </row>
    <row r="1335" spans="1:19" ht="41.4">
      <c r="A1335" s="22" t="s">
        <v>1366</v>
      </c>
      <c r="B1335" s="25">
        <v>45663</v>
      </c>
      <c r="C1335" s="22" t="s">
        <v>723</v>
      </c>
      <c r="D1335" s="22" t="s">
        <v>23</v>
      </c>
      <c r="E1335" s="22" t="s">
        <v>19</v>
      </c>
      <c r="F1335" s="22" t="s">
        <v>29</v>
      </c>
      <c r="G1335" s="22" t="s">
        <v>26</v>
      </c>
      <c r="H1335" s="22">
        <v>0</v>
      </c>
      <c r="I1335" s="22">
        <v>0</v>
      </c>
      <c r="J1335" s="22">
        <v>0</v>
      </c>
      <c r="K1335" s="22">
        <v>0</v>
      </c>
      <c r="L1335" s="22">
        <v>0</v>
      </c>
      <c r="M1335" s="22">
        <v>0</v>
      </c>
      <c r="N1335" s="22">
        <v>0</v>
      </c>
      <c r="O1335" s="22"/>
      <c r="P1335" s="22">
        <v>62.5</v>
      </c>
      <c r="Q1335" s="22" t="str">
        <f t="shared" si="60"/>
        <v>Normal</v>
      </c>
      <c r="R1335" s="26" t="str">
        <f t="shared" si="61"/>
        <v>USR-10133445663TreatmentWestDesktopPaid SearchFree000000062.5</v>
      </c>
      <c r="S1335" s="22" t="str">
        <f t="shared" si="62"/>
        <v>OK</v>
      </c>
    </row>
    <row r="1336" spans="1:19" ht="41.4">
      <c r="A1336" s="22" t="s">
        <v>1367</v>
      </c>
      <c r="B1336" s="25">
        <v>45763</v>
      </c>
      <c r="C1336" s="22" t="s">
        <v>723</v>
      </c>
      <c r="D1336" s="22" t="s">
        <v>32</v>
      </c>
      <c r="E1336" s="22"/>
      <c r="F1336" s="22" t="s">
        <v>25</v>
      </c>
      <c r="G1336" s="22" t="s">
        <v>26</v>
      </c>
      <c r="H1336" s="22">
        <v>1</v>
      </c>
      <c r="I1336" s="22">
        <v>0</v>
      </c>
      <c r="J1336" s="22">
        <v>0</v>
      </c>
      <c r="K1336" s="22">
        <v>0</v>
      </c>
      <c r="L1336" s="22">
        <v>0</v>
      </c>
      <c r="M1336" s="22">
        <v>0</v>
      </c>
      <c r="N1336" s="22">
        <v>0</v>
      </c>
      <c r="O1336" s="22"/>
      <c r="P1336" s="22">
        <v>76.900000000000006</v>
      </c>
      <c r="Q1336" s="22" t="str">
        <f t="shared" si="60"/>
        <v>Normal</v>
      </c>
      <c r="R1336" s="26" t="str">
        <f t="shared" si="61"/>
        <v>USR-10133545763TreatmentSouthOrganicFree100000076.9</v>
      </c>
      <c r="S1336" s="22" t="str">
        <f t="shared" si="62"/>
        <v>OK</v>
      </c>
    </row>
    <row r="1337" spans="1:19" ht="41.4">
      <c r="A1337" s="22" t="s">
        <v>1368</v>
      </c>
      <c r="B1337" s="25">
        <v>45761</v>
      </c>
      <c r="C1337" s="22" t="s">
        <v>723</v>
      </c>
      <c r="D1337" s="22" t="s">
        <v>32</v>
      </c>
      <c r="E1337" s="22" t="s">
        <v>24</v>
      </c>
      <c r="F1337" s="22" t="s">
        <v>25</v>
      </c>
      <c r="G1337" s="22" t="s">
        <v>26</v>
      </c>
      <c r="H1337" s="22">
        <v>1</v>
      </c>
      <c r="I1337" s="22">
        <v>0</v>
      </c>
      <c r="J1337" s="22">
        <v>0</v>
      </c>
      <c r="K1337" s="22">
        <v>0</v>
      </c>
      <c r="L1337" s="22">
        <v>0</v>
      </c>
      <c r="M1337" s="22">
        <v>0</v>
      </c>
      <c r="N1337" s="22">
        <v>0</v>
      </c>
      <c r="O1337" s="22"/>
      <c r="P1337" s="22">
        <v>51.4</v>
      </c>
      <c r="Q1337" s="22" t="str">
        <f t="shared" si="60"/>
        <v>Normal</v>
      </c>
      <c r="R1337" s="26" t="str">
        <f t="shared" si="61"/>
        <v>USR-10133645761TreatmentSouthMobileOrganicFree100000051.4</v>
      </c>
      <c r="S1337" s="22" t="str">
        <f t="shared" si="62"/>
        <v>OK</v>
      </c>
    </row>
    <row r="1338" spans="1:19" ht="41.4">
      <c r="A1338" s="22" t="s">
        <v>1369</v>
      </c>
      <c r="B1338" s="25">
        <v>45710</v>
      </c>
      <c r="C1338" s="22" t="s">
        <v>723</v>
      </c>
      <c r="D1338" s="22" t="s">
        <v>23</v>
      </c>
      <c r="E1338" s="22" t="s">
        <v>24</v>
      </c>
      <c r="F1338" s="22" t="s">
        <v>29</v>
      </c>
      <c r="G1338" s="22" t="s">
        <v>21</v>
      </c>
      <c r="H1338" s="22">
        <v>1</v>
      </c>
      <c r="I1338" s="22">
        <v>0</v>
      </c>
      <c r="J1338" s="22">
        <v>0</v>
      </c>
      <c r="K1338" s="22">
        <v>0</v>
      </c>
      <c r="L1338" s="22">
        <v>0</v>
      </c>
      <c r="M1338" s="22">
        <v>0</v>
      </c>
      <c r="N1338" s="22">
        <v>0</v>
      </c>
      <c r="O1338" s="22"/>
      <c r="P1338" s="22">
        <v>59.3</v>
      </c>
      <c r="Q1338" s="22" t="str">
        <f t="shared" si="60"/>
        <v>Normal</v>
      </c>
      <c r="R1338" s="26" t="str">
        <f t="shared" si="61"/>
        <v>USR-10133745710TreatmentWestMobilePaid SearchBasic100000059.3</v>
      </c>
      <c r="S1338" s="22" t="str">
        <f t="shared" si="62"/>
        <v>OK</v>
      </c>
    </row>
    <row r="1339" spans="1:19" ht="41.4">
      <c r="A1339" s="22" t="s">
        <v>1370</v>
      </c>
      <c r="B1339" s="25">
        <v>45725</v>
      </c>
      <c r="C1339" s="22" t="s">
        <v>723</v>
      </c>
      <c r="D1339" s="22" t="s">
        <v>18</v>
      </c>
      <c r="E1339" s="22" t="s">
        <v>24</v>
      </c>
      <c r="F1339" s="22" t="s">
        <v>25</v>
      </c>
      <c r="G1339" s="22" t="s">
        <v>21</v>
      </c>
      <c r="H1339" s="22">
        <v>0</v>
      </c>
      <c r="I1339" s="22">
        <v>0</v>
      </c>
      <c r="J1339" s="22">
        <v>0</v>
      </c>
      <c r="K1339" s="22">
        <v>0</v>
      </c>
      <c r="L1339" s="22">
        <v>0</v>
      </c>
      <c r="M1339" s="22">
        <v>0</v>
      </c>
      <c r="N1339" s="22">
        <v>0</v>
      </c>
      <c r="O1339" s="22"/>
      <c r="P1339" s="22">
        <v>74.900000000000006</v>
      </c>
      <c r="Q1339" s="22" t="str">
        <f t="shared" si="60"/>
        <v>Normal</v>
      </c>
      <c r="R1339" s="26" t="str">
        <f t="shared" si="61"/>
        <v>USR-10133845725TreatmentNorthMobileOrganicBasic000000074.9</v>
      </c>
      <c r="S1339" s="22" t="str">
        <f t="shared" si="62"/>
        <v>OK</v>
      </c>
    </row>
    <row r="1340" spans="1:19" ht="41.4">
      <c r="A1340" s="22" t="s">
        <v>1371</v>
      </c>
      <c r="B1340" s="25">
        <v>45767</v>
      </c>
      <c r="C1340" s="22" t="s">
        <v>723</v>
      </c>
      <c r="D1340" s="22" t="s">
        <v>23</v>
      </c>
      <c r="E1340" s="22" t="s">
        <v>19</v>
      </c>
      <c r="F1340" s="22" t="s">
        <v>25</v>
      </c>
      <c r="G1340" s="22" t="s">
        <v>26</v>
      </c>
      <c r="H1340" s="22">
        <v>1</v>
      </c>
      <c r="I1340" s="22">
        <v>0</v>
      </c>
      <c r="J1340" s="22">
        <v>0</v>
      </c>
      <c r="K1340" s="22">
        <v>0</v>
      </c>
      <c r="L1340" s="22">
        <v>0</v>
      </c>
      <c r="M1340" s="22">
        <v>0</v>
      </c>
      <c r="N1340" s="22">
        <v>0</v>
      </c>
      <c r="O1340" s="22"/>
      <c r="P1340" s="22">
        <v>67</v>
      </c>
      <c r="Q1340" s="22" t="str">
        <f t="shared" si="60"/>
        <v>Normal</v>
      </c>
      <c r="R1340" s="26" t="str">
        <f t="shared" si="61"/>
        <v>USR-10133945767TreatmentWestDesktopOrganicFree100000067</v>
      </c>
      <c r="S1340" s="22" t="str">
        <f t="shared" si="62"/>
        <v>OK</v>
      </c>
    </row>
    <row r="1341" spans="1:19" ht="41.4">
      <c r="A1341" s="22" t="s">
        <v>1372</v>
      </c>
      <c r="B1341" s="25">
        <v>45726</v>
      </c>
      <c r="C1341" s="22" t="s">
        <v>723</v>
      </c>
      <c r="D1341" s="22" t="s">
        <v>32</v>
      </c>
      <c r="E1341" s="22" t="s">
        <v>24</v>
      </c>
      <c r="F1341" s="22" t="s">
        <v>20</v>
      </c>
      <c r="G1341" s="22" t="s">
        <v>26</v>
      </c>
      <c r="H1341" s="22">
        <v>0</v>
      </c>
      <c r="I1341" s="22">
        <v>0</v>
      </c>
      <c r="J1341" s="22">
        <v>0</v>
      </c>
      <c r="K1341" s="22">
        <v>0</v>
      </c>
      <c r="L1341" s="22">
        <v>0</v>
      </c>
      <c r="M1341" s="22">
        <v>0</v>
      </c>
      <c r="N1341" s="22">
        <v>0</v>
      </c>
      <c r="O1341" s="22"/>
      <c r="P1341" s="22">
        <v>63.6</v>
      </c>
      <c r="Q1341" s="22" t="str">
        <f t="shared" si="60"/>
        <v>Normal</v>
      </c>
      <c r="R1341" s="26" t="str">
        <f t="shared" si="61"/>
        <v>USR-10134045726TreatmentSouthMobileEmailFree000000063.6</v>
      </c>
      <c r="S1341" s="22" t="str">
        <f t="shared" si="62"/>
        <v>OK</v>
      </c>
    </row>
    <row r="1342" spans="1:19" ht="41.4">
      <c r="A1342" s="22" t="s">
        <v>1373</v>
      </c>
      <c r="B1342" s="25">
        <v>45709</v>
      </c>
      <c r="C1342" s="22" t="s">
        <v>723</v>
      </c>
      <c r="D1342" s="22" t="s">
        <v>32</v>
      </c>
      <c r="E1342" s="22" t="s">
        <v>24</v>
      </c>
      <c r="F1342" s="22" t="s">
        <v>20</v>
      </c>
      <c r="G1342" s="22" t="s">
        <v>26</v>
      </c>
      <c r="H1342" s="22">
        <v>1</v>
      </c>
      <c r="I1342" s="22">
        <v>1</v>
      </c>
      <c r="J1342" s="22">
        <v>0</v>
      </c>
      <c r="K1342" s="22">
        <v>0</v>
      </c>
      <c r="L1342" s="22">
        <v>0</v>
      </c>
      <c r="M1342" s="22">
        <v>1</v>
      </c>
      <c r="N1342" s="22">
        <v>0</v>
      </c>
      <c r="O1342" s="22"/>
      <c r="P1342" s="22">
        <v>58.4</v>
      </c>
      <c r="Q1342" s="22" t="str">
        <f t="shared" si="60"/>
        <v>Normal</v>
      </c>
      <c r="R1342" s="26" t="str">
        <f t="shared" si="61"/>
        <v>USR-10134145709TreatmentSouthMobileEmailFree110001058.4</v>
      </c>
      <c r="S1342" s="22" t="str">
        <f t="shared" si="62"/>
        <v>OK</v>
      </c>
    </row>
    <row r="1343" spans="1:19" ht="41.4">
      <c r="A1343" s="22" t="s">
        <v>1374</v>
      </c>
      <c r="B1343" s="25">
        <v>45663</v>
      </c>
      <c r="C1343" s="22" t="s">
        <v>723</v>
      </c>
      <c r="D1343" s="22" t="s">
        <v>18</v>
      </c>
      <c r="E1343" s="22" t="s">
        <v>19</v>
      </c>
      <c r="F1343" s="22" t="s">
        <v>41</v>
      </c>
      <c r="G1343" s="22" t="s">
        <v>26</v>
      </c>
      <c r="H1343" s="22">
        <v>1</v>
      </c>
      <c r="I1343" s="22">
        <v>0</v>
      </c>
      <c r="J1343" s="22">
        <v>0</v>
      </c>
      <c r="K1343" s="22">
        <v>0</v>
      </c>
      <c r="L1343" s="22">
        <v>0</v>
      </c>
      <c r="M1343" s="22">
        <v>0</v>
      </c>
      <c r="N1343" s="22">
        <v>0</v>
      </c>
      <c r="O1343" s="22"/>
      <c r="P1343" s="22">
        <v>36.799999999999997</v>
      </c>
      <c r="Q1343" s="22" t="str">
        <f t="shared" si="60"/>
        <v>Normal</v>
      </c>
      <c r="R1343" s="26" t="str">
        <f t="shared" si="61"/>
        <v>USR-10134245663TreatmentNorthDesktopSocialFree100000036.8</v>
      </c>
      <c r="S1343" s="22" t="str">
        <f t="shared" si="62"/>
        <v>OK</v>
      </c>
    </row>
    <row r="1344" spans="1:19" ht="41.4">
      <c r="A1344" s="22" t="s">
        <v>1375</v>
      </c>
      <c r="B1344" s="25">
        <v>45764</v>
      </c>
      <c r="C1344" s="22" t="s">
        <v>723</v>
      </c>
      <c r="D1344" s="22" t="s">
        <v>32</v>
      </c>
      <c r="E1344" s="22" t="s">
        <v>24</v>
      </c>
      <c r="F1344" s="22" t="s">
        <v>25</v>
      </c>
      <c r="G1344" s="22" t="s">
        <v>30</v>
      </c>
      <c r="H1344" s="22">
        <v>1</v>
      </c>
      <c r="I1344" s="22">
        <v>0</v>
      </c>
      <c r="J1344" s="22">
        <v>0</v>
      </c>
      <c r="K1344" s="22">
        <v>0</v>
      </c>
      <c r="L1344" s="22">
        <v>0</v>
      </c>
      <c r="M1344" s="22">
        <v>0</v>
      </c>
      <c r="N1344" s="22">
        <v>0</v>
      </c>
      <c r="O1344" s="22"/>
      <c r="P1344" s="22">
        <v>71.599999999999994</v>
      </c>
      <c r="Q1344" s="22" t="str">
        <f t="shared" si="60"/>
        <v>Normal</v>
      </c>
      <c r="R1344" s="26" t="str">
        <f t="shared" si="61"/>
        <v>USR-10134345764TreatmentSouthMobileOrganicPremium100000071.6</v>
      </c>
      <c r="S1344" s="22" t="str">
        <f t="shared" si="62"/>
        <v>OK</v>
      </c>
    </row>
    <row r="1345" spans="1:19" ht="41.4">
      <c r="A1345" s="22" t="s">
        <v>1376</v>
      </c>
      <c r="B1345" s="25">
        <v>45800</v>
      </c>
      <c r="C1345" s="22" t="s">
        <v>723</v>
      </c>
      <c r="D1345" s="22" t="s">
        <v>32</v>
      </c>
      <c r="E1345" s="22" t="s">
        <v>24</v>
      </c>
      <c r="F1345" s="22" t="s">
        <v>20</v>
      </c>
      <c r="G1345" s="22" t="s">
        <v>21</v>
      </c>
      <c r="H1345" s="22">
        <v>1</v>
      </c>
      <c r="I1345" s="22">
        <v>1</v>
      </c>
      <c r="J1345" s="22">
        <v>0</v>
      </c>
      <c r="K1345" s="22">
        <v>0</v>
      </c>
      <c r="L1345" s="22">
        <v>0</v>
      </c>
      <c r="M1345" s="22">
        <v>1</v>
      </c>
      <c r="N1345" s="22">
        <v>0</v>
      </c>
      <c r="O1345" s="22"/>
      <c r="P1345" s="22">
        <v>79.7</v>
      </c>
      <c r="Q1345" s="22" t="str">
        <f t="shared" si="60"/>
        <v>Normal</v>
      </c>
      <c r="R1345" s="26" t="str">
        <f t="shared" si="61"/>
        <v>USR-10134445800TreatmentSouthMobileEmailBasic110001079.7</v>
      </c>
      <c r="S1345" s="22" t="str">
        <f t="shared" si="62"/>
        <v>OK</v>
      </c>
    </row>
    <row r="1346" spans="1:19" ht="41.4">
      <c r="A1346" s="22" t="s">
        <v>1377</v>
      </c>
      <c r="B1346" s="25">
        <v>45730</v>
      </c>
      <c r="C1346" s="22" t="s">
        <v>723</v>
      </c>
      <c r="D1346" s="22" t="s">
        <v>23</v>
      </c>
      <c r="E1346" s="22" t="s">
        <v>19</v>
      </c>
      <c r="F1346" s="22" t="s">
        <v>25</v>
      </c>
      <c r="G1346" s="22" t="s">
        <v>21</v>
      </c>
      <c r="H1346" s="22">
        <v>1</v>
      </c>
      <c r="I1346" s="22">
        <v>0</v>
      </c>
      <c r="J1346" s="22">
        <v>0</v>
      </c>
      <c r="K1346" s="22">
        <v>0</v>
      </c>
      <c r="L1346" s="22">
        <v>0</v>
      </c>
      <c r="M1346" s="22">
        <v>1</v>
      </c>
      <c r="N1346" s="22">
        <v>0</v>
      </c>
      <c r="O1346" s="22"/>
      <c r="P1346" s="22">
        <v>56.5</v>
      </c>
      <c r="Q1346" s="22" t="str">
        <f t="shared" si="60"/>
        <v>Normal</v>
      </c>
      <c r="R1346" s="26" t="str">
        <f t="shared" si="61"/>
        <v>USR-10134545730TreatmentWestDesktopOrganicBasic100001056.5</v>
      </c>
      <c r="S1346" s="22" t="str">
        <f t="shared" si="62"/>
        <v>OK</v>
      </c>
    </row>
    <row r="1347" spans="1:19" ht="41.4">
      <c r="A1347" s="22" t="s">
        <v>1378</v>
      </c>
      <c r="B1347" s="25">
        <v>45768</v>
      </c>
      <c r="C1347" s="22" t="s">
        <v>723</v>
      </c>
      <c r="D1347" s="22" t="s">
        <v>18</v>
      </c>
      <c r="E1347" s="22" t="s">
        <v>24</v>
      </c>
      <c r="F1347" s="22" t="s">
        <v>41</v>
      </c>
      <c r="G1347" s="22" t="s">
        <v>30</v>
      </c>
      <c r="H1347" s="22">
        <v>1</v>
      </c>
      <c r="I1347" s="22">
        <v>0</v>
      </c>
      <c r="J1347" s="22">
        <v>0</v>
      </c>
      <c r="K1347" s="22">
        <v>0</v>
      </c>
      <c r="L1347" s="22">
        <v>0</v>
      </c>
      <c r="M1347" s="22">
        <v>0</v>
      </c>
      <c r="N1347" s="22">
        <v>0</v>
      </c>
      <c r="O1347" s="22"/>
      <c r="P1347" s="22">
        <v>44.7</v>
      </c>
      <c r="Q1347" s="22" t="str">
        <f t="shared" ref="Q1347:Q1409" si="63">IF(OR(L1347&lt;$V$40,L1347&gt;$V$41),"Outlier","Normal")</f>
        <v>Normal</v>
      </c>
      <c r="R1347" s="26" t="str">
        <f t="shared" ref="R1347:R1409" si="64">A1347&amp;B1347&amp;C1347&amp;D1347&amp;E1347&amp;F1347&amp;G1347&amp;H1347&amp;I1347&amp;J1347&amp;K1347&amp;L1347&amp;M1347&amp;N1347&amp;O1347&amp;P1347</f>
        <v>USR-10134645768TreatmentNorthMobileSocialPremium100000044.7</v>
      </c>
      <c r="S1347" s="22" t="str">
        <f t="shared" ref="S1347:S1409" si="65">IF(COUNTIF($R$2:$R$1409,R1347)=1,"OK",IF(COUNTIF($R$2:$R$1409,R1347)&gt;1,"Exact Duplicate","Review Required"))</f>
        <v>OK</v>
      </c>
    </row>
    <row r="1348" spans="1:19" ht="41.4">
      <c r="A1348" s="22" t="s">
        <v>1379</v>
      </c>
      <c r="B1348" s="25">
        <v>45660</v>
      </c>
      <c r="C1348" s="22" t="s">
        <v>723</v>
      </c>
      <c r="D1348" s="22" t="s">
        <v>32</v>
      </c>
      <c r="E1348" s="22" t="s">
        <v>24</v>
      </c>
      <c r="F1348" s="22" t="s">
        <v>41</v>
      </c>
      <c r="G1348" s="22" t="s">
        <v>26</v>
      </c>
      <c r="H1348" s="22">
        <v>1</v>
      </c>
      <c r="I1348" s="22">
        <v>1</v>
      </c>
      <c r="J1348" s="22">
        <v>1</v>
      </c>
      <c r="K1348" s="22">
        <v>0</v>
      </c>
      <c r="L1348" s="22">
        <v>0</v>
      </c>
      <c r="M1348" s="22">
        <v>1</v>
      </c>
      <c r="N1348" s="22">
        <v>0</v>
      </c>
      <c r="O1348" s="22"/>
      <c r="P1348" s="22">
        <v>66</v>
      </c>
      <c r="Q1348" s="22" t="str">
        <f t="shared" si="63"/>
        <v>Normal</v>
      </c>
      <c r="R1348" s="26" t="str">
        <f t="shared" si="64"/>
        <v>USR-10134745660TreatmentSouthMobileSocialFree111001066</v>
      </c>
      <c r="S1348" s="22" t="str">
        <f t="shared" si="65"/>
        <v>OK</v>
      </c>
    </row>
    <row r="1349" spans="1:19" ht="41.4">
      <c r="A1349" s="22" t="s">
        <v>1380</v>
      </c>
      <c r="B1349" s="25">
        <v>45786</v>
      </c>
      <c r="C1349" s="22" t="s">
        <v>723</v>
      </c>
      <c r="D1349" s="22" t="s">
        <v>18</v>
      </c>
      <c r="E1349" s="22" t="s">
        <v>19</v>
      </c>
      <c r="F1349" s="22" t="s">
        <v>25</v>
      </c>
      <c r="G1349" s="22" t="s">
        <v>21</v>
      </c>
      <c r="H1349" s="22">
        <v>1</v>
      </c>
      <c r="I1349" s="22">
        <v>0</v>
      </c>
      <c r="J1349" s="22">
        <v>0</v>
      </c>
      <c r="K1349" s="22">
        <v>0</v>
      </c>
      <c r="L1349" s="22">
        <v>0</v>
      </c>
      <c r="M1349" s="22">
        <v>0</v>
      </c>
      <c r="N1349" s="22">
        <v>0</v>
      </c>
      <c r="O1349" s="22"/>
      <c r="P1349" s="22">
        <v>73</v>
      </c>
      <c r="Q1349" s="22" t="str">
        <f t="shared" si="63"/>
        <v>Normal</v>
      </c>
      <c r="R1349" s="26" t="str">
        <f t="shared" si="64"/>
        <v>USR-10134845786TreatmentNorthDesktopOrganicBasic100000073</v>
      </c>
      <c r="S1349" s="22" t="str">
        <f t="shared" si="65"/>
        <v>OK</v>
      </c>
    </row>
    <row r="1350" spans="1:19" ht="41.4">
      <c r="A1350" s="22" t="s">
        <v>1381</v>
      </c>
      <c r="B1350" s="25">
        <v>45799</v>
      </c>
      <c r="C1350" s="22" t="s">
        <v>723</v>
      </c>
      <c r="D1350" s="22" t="s">
        <v>32</v>
      </c>
      <c r="E1350" s="22" t="s">
        <v>24</v>
      </c>
      <c r="F1350" s="22" t="s">
        <v>25</v>
      </c>
      <c r="G1350" s="22" t="s">
        <v>21</v>
      </c>
      <c r="H1350" s="22">
        <v>1</v>
      </c>
      <c r="I1350" s="22">
        <v>1</v>
      </c>
      <c r="J1350" s="22">
        <v>1</v>
      </c>
      <c r="K1350" s="22">
        <v>0</v>
      </c>
      <c r="L1350" s="22">
        <v>0</v>
      </c>
      <c r="M1350" s="22">
        <v>1</v>
      </c>
      <c r="N1350" s="22">
        <v>0</v>
      </c>
      <c r="O1350" s="22"/>
      <c r="P1350" s="22">
        <v>72.5</v>
      </c>
      <c r="Q1350" s="22" t="str">
        <f t="shared" si="63"/>
        <v>Normal</v>
      </c>
      <c r="R1350" s="26" t="str">
        <f t="shared" si="64"/>
        <v>USR-10134945799TreatmentSouthMobileOrganicBasic111001072.5</v>
      </c>
      <c r="S1350" s="22" t="str">
        <f t="shared" si="65"/>
        <v>OK</v>
      </c>
    </row>
    <row r="1351" spans="1:19" ht="55.2">
      <c r="A1351" s="22" t="s">
        <v>1382</v>
      </c>
      <c r="B1351" s="25">
        <v>45784</v>
      </c>
      <c r="C1351" s="22" t="s">
        <v>723</v>
      </c>
      <c r="D1351" s="22" t="s">
        <v>32</v>
      </c>
      <c r="E1351" s="22" t="s">
        <v>19</v>
      </c>
      <c r="F1351" s="22" t="s">
        <v>29</v>
      </c>
      <c r="G1351" s="22" t="s">
        <v>26</v>
      </c>
      <c r="H1351" s="22">
        <v>1</v>
      </c>
      <c r="I1351" s="22">
        <v>1</v>
      </c>
      <c r="J1351" s="22">
        <v>1</v>
      </c>
      <c r="K1351" s="22">
        <v>1</v>
      </c>
      <c r="L1351" s="22">
        <v>323.60000000000002</v>
      </c>
      <c r="M1351" s="22">
        <v>0</v>
      </c>
      <c r="N1351" s="22">
        <v>0</v>
      </c>
      <c r="O1351" s="22">
        <v>6</v>
      </c>
      <c r="P1351" s="22">
        <v>100</v>
      </c>
      <c r="Q1351" s="22" t="str">
        <f t="shared" si="63"/>
        <v>Normal</v>
      </c>
      <c r="R1351" s="26" t="str">
        <f t="shared" si="64"/>
        <v>USR-10135045784TreatmentSouthDesktopPaid SearchFree1111323.6006100</v>
      </c>
      <c r="S1351" s="22" t="str">
        <f t="shared" si="65"/>
        <v>OK</v>
      </c>
    </row>
    <row r="1352" spans="1:19" ht="41.4">
      <c r="A1352" s="22" t="s">
        <v>1383</v>
      </c>
      <c r="B1352" s="25">
        <v>45696</v>
      </c>
      <c r="C1352" s="22" t="s">
        <v>723</v>
      </c>
      <c r="D1352" s="22" t="s">
        <v>28</v>
      </c>
      <c r="E1352" s="22" t="s">
        <v>24</v>
      </c>
      <c r="F1352" s="22" t="s">
        <v>41</v>
      </c>
      <c r="G1352" s="22" t="s">
        <v>26</v>
      </c>
      <c r="H1352" s="22">
        <v>0</v>
      </c>
      <c r="I1352" s="22">
        <v>0</v>
      </c>
      <c r="J1352" s="22">
        <v>0</v>
      </c>
      <c r="K1352" s="22">
        <v>0</v>
      </c>
      <c r="L1352" s="22">
        <v>0</v>
      </c>
      <c r="M1352" s="22">
        <v>1</v>
      </c>
      <c r="N1352" s="22">
        <v>0</v>
      </c>
      <c r="O1352" s="22"/>
      <c r="P1352" s="22">
        <v>90.5</v>
      </c>
      <c r="Q1352" s="22" t="str">
        <f t="shared" si="63"/>
        <v>Normal</v>
      </c>
      <c r="R1352" s="26" t="str">
        <f t="shared" si="64"/>
        <v>USR-10135145696TreatmentEastMobileSocialFree000001090.5</v>
      </c>
      <c r="S1352" s="22" t="str">
        <f t="shared" si="65"/>
        <v>OK</v>
      </c>
    </row>
    <row r="1353" spans="1:19" ht="41.4">
      <c r="A1353" s="22" t="s">
        <v>1384</v>
      </c>
      <c r="B1353" s="25">
        <v>45750</v>
      </c>
      <c r="C1353" s="22" t="s">
        <v>723</v>
      </c>
      <c r="D1353" s="22" t="s">
        <v>18</v>
      </c>
      <c r="E1353" s="22" t="s">
        <v>34</v>
      </c>
      <c r="F1353" s="22" t="s">
        <v>41</v>
      </c>
      <c r="G1353" s="22" t="s">
        <v>21</v>
      </c>
      <c r="H1353" s="22">
        <v>1</v>
      </c>
      <c r="I1353" s="22">
        <v>0</v>
      </c>
      <c r="J1353" s="22">
        <v>0</v>
      </c>
      <c r="K1353" s="22">
        <v>0</v>
      </c>
      <c r="L1353" s="22">
        <v>0</v>
      </c>
      <c r="M1353" s="22">
        <v>0</v>
      </c>
      <c r="N1353" s="22">
        <v>0</v>
      </c>
      <c r="O1353" s="22"/>
      <c r="P1353" s="22">
        <v>70.2</v>
      </c>
      <c r="Q1353" s="22" t="str">
        <f t="shared" si="63"/>
        <v>Normal</v>
      </c>
      <c r="R1353" s="26" t="str">
        <f t="shared" si="64"/>
        <v>USR-10135245750TreatmentNorthTabletSocialBasic100000070.2</v>
      </c>
      <c r="S1353" s="22" t="str">
        <f t="shared" si="65"/>
        <v>OK</v>
      </c>
    </row>
    <row r="1354" spans="1:19" ht="41.4">
      <c r="A1354" s="22" t="s">
        <v>1385</v>
      </c>
      <c r="B1354" s="25">
        <v>45764</v>
      </c>
      <c r="C1354" s="22" t="s">
        <v>723</v>
      </c>
      <c r="D1354" s="22" t="s">
        <v>28</v>
      </c>
      <c r="E1354" s="22" t="s">
        <v>19</v>
      </c>
      <c r="F1354" s="22" t="s">
        <v>29</v>
      </c>
      <c r="G1354" s="22" t="s">
        <v>26</v>
      </c>
      <c r="H1354" s="22">
        <v>1</v>
      </c>
      <c r="I1354" s="22">
        <v>0</v>
      </c>
      <c r="J1354" s="22">
        <v>0</v>
      </c>
      <c r="K1354" s="22">
        <v>0</v>
      </c>
      <c r="L1354" s="22">
        <v>0</v>
      </c>
      <c r="M1354" s="22">
        <v>1</v>
      </c>
      <c r="N1354" s="22">
        <v>0</v>
      </c>
      <c r="O1354" s="22"/>
      <c r="P1354" s="22">
        <v>67.099999999999994</v>
      </c>
      <c r="Q1354" s="22" t="str">
        <f t="shared" si="63"/>
        <v>Normal</v>
      </c>
      <c r="R1354" s="26" t="str">
        <f t="shared" si="64"/>
        <v>USR-10135345764TreatmentEastDesktopPaid SearchFree100001067.1</v>
      </c>
      <c r="S1354" s="22" t="str">
        <f t="shared" si="65"/>
        <v>OK</v>
      </c>
    </row>
    <row r="1355" spans="1:19" ht="41.4">
      <c r="A1355" s="22" t="s">
        <v>1386</v>
      </c>
      <c r="B1355" s="25">
        <v>45781</v>
      </c>
      <c r="C1355" s="22" t="s">
        <v>723</v>
      </c>
      <c r="D1355" s="22" t="s">
        <v>28</v>
      </c>
      <c r="E1355" s="22" t="s">
        <v>24</v>
      </c>
      <c r="F1355" s="22" t="s">
        <v>25</v>
      </c>
      <c r="G1355" s="22" t="s">
        <v>26</v>
      </c>
      <c r="H1355" s="22">
        <v>0</v>
      </c>
      <c r="I1355" s="22">
        <v>0</v>
      </c>
      <c r="J1355" s="22">
        <v>0</v>
      </c>
      <c r="K1355" s="22">
        <v>0</v>
      </c>
      <c r="L1355" s="22">
        <v>0</v>
      </c>
      <c r="M1355" s="22">
        <v>0</v>
      </c>
      <c r="N1355" s="22">
        <v>0</v>
      </c>
      <c r="O1355" s="22"/>
      <c r="P1355" s="22">
        <v>54.5</v>
      </c>
      <c r="Q1355" s="22" t="str">
        <f t="shared" si="63"/>
        <v>Normal</v>
      </c>
      <c r="R1355" s="26" t="str">
        <f t="shared" si="64"/>
        <v>USR-10135445781TreatmentEastMobileOrganicFree000000054.5</v>
      </c>
      <c r="S1355" s="22" t="str">
        <f t="shared" si="65"/>
        <v>OK</v>
      </c>
    </row>
    <row r="1356" spans="1:19" ht="41.4">
      <c r="A1356" s="22" t="s">
        <v>1387</v>
      </c>
      <c r="B1356" s="25">
        <v>45788</v>
      </c>
      <c r="C1356" s="22" t="s">
        <v>723</v>
      </c>
      <c r="D1356" s="22" t="s">
        <v>23</v>
      </c>
      <c r="E1356" s="22" t="s">
        <v>19</v>
      </c>
      <c r="F1356" s="22" t="s">
        <v>25</v>
      </c>
      <c r="G1356" s="22" t="s">
        <v>26</v>
      </c>
      <c r="H1356" s="22">
        <v>1</v>
      </c>
      <c r="I1356" s="22">
        <v>0</v>
      </c>
      <c r="J1356" s="22">
        <v>0</v>
      </c>
      <c r="K1356" s="22">
        <v>0</v>
      </c>
      <c r="L1356" s="22">
        <v>0</v>
      </c>
      <c r="M1356" s="22">
        <v>0</v>
      </c>
      <c r="N1356" s="22">
        <v>0</v>
      </c>
      <c r="O1356" s="22"/>
      <c r="P1356" s="22">
        <v>63.4</v>
      </c>
      <c r="Q1356" s="22" t="str">
        <f t="shared" si="63"/>
        <v>Normal</v>
      </c>
      <c r="R1356" s="26" t="str">
        <f t="shared" si="64"/>
        <v>USR-10135545788TreatmentWestDesktopOrganicFree100000063.4</v>
      </c>
      <c r="S1356" s="22" t="str">
        <f t="shared" si="65"/>
        <v>OK</v>
      </c>
    </row>
    <row r="1357" spans="1:19" ht="41.4">
      <c r="A1357" s="22" t="s">
        <v>1388</v>
      </c>
      <c r="B1357" s="25">
        <v>45717</v>
      </c>
      <c r="C1357" s="22" t="s">
        <v>723</v>
      </c>
      <c r="D1357" s="22" t="s">
        <v>18</v>
      </c>
      <c r="E1357" s="22" t="s">
        <v>19</v>
      </c>
      <c r="F1357" s="22"/>
      <c r="G1357" s="22" t="s">
        <v>26</v>
      </c>
      <c r="H1357" s="22">
        <v>1</v>
      </c>
      <c r="I1357" s="22">
        <v>1</v>
      </c>
      <c r="J1357" s="22">
        <v>1</v>
      </c>
      <c r="K1357" s="22">
        <v>0</v>
      </c>
      <c r="L1357" s="22">
        <v>0</v>
      </c>
      <c r="M1357" s="22">
        <v>0</v>
      </c>
      <c r="N1357" s="22">
        <v>0</v>
      </c>
      <c r="O1357" s="22"/>
      <c r="P1357" s="22">
        <v>84.3</v>
      </c>
      <c r="Q1357" s="22" t="str">
        <f t="shared" si="63"/>
        <v>Normal</v>
      </c>
      <c r="R1357" s="26" t="str">
        <f t="shared" si="64"/>
        <v>USR-10135645717TreatmentNorthDesktopFree111000084.3</v>
      </c>
      <c r="S1357" s="22" t="str">
        <f t="shared" si="65"/>
        <v>OK</v>
      </c>
    </row>
    <row r="1358" spans="1:19" ht="41.4">
      <c r="A1358" s="22" t="s">
        <v>1389</v>
      </c>
      <c r="B1358" s="25">
        <v>45708</v>
      </c>
      <c r="C1358" s="22" t="s">
        <v>723</v>
      </c>
      <c r="D1358" s="22" t="s">
        <v>23</v>
      </c>
      <c r="E1358" s="22" t="s">
        <v>19</v>
      </c>
      <c r="F1358" s="22" t="s">
        <v>25</v>
      </c>
      <c r="G1358" s="22" t="s">
        <v>26</v>
      </c>
      <c r="H1358" s="22">
        <v>1</v>
      </c>
      <c r="I1358" s="22">
        <v>0</v>
      </c>
      <c r="J1358" s="22">
        <v>0</v>
      </c>
      <c r="K1358" s="22">
        <v>0</v>
      </c>
      <c r="L1358" s="22">
        <v>0</v>
      </c>
      <c r="M1358" s="22">
        <v>1</v>
      </c>
      <c r="N1358" s="22">
        <v>0</v>
      </c>
      <c r="O1358" s="22"/>
      <c r="P1358" s="22">
        <v>55</v>
      </c>
      <c r="Q1358" s="22" t="str">
        <f t="shared" si="63"/>
        <v>Normal</v>
      </c>
      <c r="R1358" s="26" t="str">
        <f t="shared" si="64"/>
        <v>USR-10135745708TreatmentWestDesktopOrganicFree100001055</v>
      </c>
      <c r="S1358" s="22" t="str">
        <f t="shared" si="65"/>
        <v>OK</v>
      </c>
    </row>
    <row r="1359" spans="1:19" ht="41.4">
      <c r="A1359" s="22" t="s">
        <v>1390</v>
      </c>
      <c r="B1359" s="25">
        <v>45786</v>
      </c>
      <c r="C1359" s="22" t="s">
        <v>723</v>
      </c>
      <c r="D1359" s="22" t="s">
        <v>23</v>
      </c>
      <c r="E1359" s="22" t="s">
        <v>24</v>
      </c>
      <c r="F1359" s="22" t="s">
        <v>41</v>
      </c>
      <c r="G1359" s="22" t="s">
        <v>26</v>
      </c>
      <c r="H1359" s="22">
        <v>1</v>
      </c>
      <c r="I1359" s="22">
        <v>0</v>
      </c>
      <c r="J1359" s="22">
        <v>0</v>
      </c>
      <c r="K1359" s="22">
        <v>0</v>
      </c>
      <c r="L1359" s="22">
        <v>0</v>
      </c>
      <c r="M1359" s="22">
        <v>0</v>
      </c>
      <c r="N1359" s="22">
        <v>0</v>
      </c>
      <c r="O1359" s="22"/>
      <c r="P1359" s="22">
        <v>63.6</v>
      </c>
      <c r="Q1359" s="22" t="str">
        <f t="shared" si="63"/>
        <v>Normal</v>
      </c>
      <c r="R1359" s="26" t="str">
        <f t="shared" si="64"/>
        <v>USR-10135845786TreatmentWestMobileSocialFree100000063.6</v>
      </c>
      <c r="S1359" s="22" t="str">
        <f t="shared" si="65"/>
        <v>OK</v>
      </c>
    </row>
    <row r="1360" spans="1:19" ht="41.4">
      <c r="A1360" s="22" t="s">
        <v>1391</v>
      </c>
      <c r="B1360" s="25">
        <v>45777</v>
      </c>
      <c r="C1360" s="22" t="s">
        <v>723</v>
      </c>
      <c r="D1360" s="22" t="s">
        <v>23</v>
      </c>
      <c r="E1360" s="22" t="s">
        <v>24</v>
      </c>
      <c r="F1360" s="22" t="s">
        <v>25</v>
      </c>
      <c r="G1360" s="22" t="s">
        <v>26</v>
      </c>
      <c r="H1360" s="22">
        <v>1</v>
      </c>
      <c r="I1360" s="22">
        <v>0</v>
      </c>
      <c r="J1360" s="22">
        <v>0</v>
      </c>
      <c r="K1360" s="22">
        <v>0</v>
      </c>
      <c r="L1360" s="22">
        <v>0</v>
      </c>
      <c r="M1360" s="22">
        <v>0</v>
      </c>
      <c r="N1360" s="22">
        <v>0</v>
      </c>
      <c r="O1360" s="22"/>
      <c r="P1360" s="22">
        <v>55.5</v>
      </c>
      <c r="Q1360" s="22" t="str">
        <f t="shared" si="63"/>
        <v>Normal</v>
      </c>
      <c r="R1360" s="26" t="str">
        <f t="shared" si="64"/>
        <v>USR-10135945777TreatmentWestMobileOrganicFree100000055.5</v>
      </c>
      <c r="S1360" s="22" t="str">
        <f t="shared" si="65"/>
        <v>OK</v>
      </c>
    </row>
    <row r="1361" spans="1:19" ht="41.4">
      <c r="A1361" s="22" t="s">
        <v>1392</v>
      </c>
      <c r="B1361" s="25">
        <v>45664</v>
      </c>
      <c r="C1361" s="22" t="s">
        <v>723</v>
      </c>
      <c r="D1361" s="22" t="s">
        <v>32</v>
      </c>
      <c r="E1361" s="22" t="s">
        <v>24</v>
      </c>
      <c r="F1361" s="22" t="s">
        <v>41</v>
      </c>
      <c r="G1361" s="22" t="s">
        <v>21</v>
      </c>
      <c r="H1361" s="22">
        <v>0</v>
      </c>
      <c r="I1361" s="22">
        <v>0</v>
      </c>
      <c r="J1361" s="22">
        <v>0</v>
      </c>
      <c r="K1361" s="22">
        <v>0</v>
      </c>
      <c r="L1361" s="22">
        <v>0</v>
      </c>
      <c r="M1361" s="22">
        <v>0</v>
      </c>
      <c r="N1361" s="22">
        <v>0</v>
      </c>
      <c r="O1361" s="22"/>
      <c r="P1361" s="22">
        <v>50.5</v>
      </c>
      <c r="Q1361" s="22" t="str">
        <f t="shared" si="63"/>
        <v>Normal</v>
      </c>
      <c r="R1361" s="26" t="str">
        <f t="shared" si="64"/>
        <v>USR-10136045664TreatmentSouthMobileSocialBasic000000050.5</v>
      </c>
      <c r="S1361" s="22" t="str">
        <f t="shared" si="65"/>
        <v>OK</v>
      </c>
    </row>
    <row r="1362" spans="1:19" ht="41.4">
      <c r="A1362" s="22" t="s">
        <v>1393</v>
      </c>
      <c r="B1362" s="25">
        <v>45777</v>
      </c>
      <c r="C1362" s="22" t="s">
        <v>723</v>
      </c>
      <c r="D1362" s="22" t="s">
        <v>18</v>
      </c>
      <c r="E1362" s="22" t="s">
        <v>24</v>
      </c>
      <c r="F1362" s="22" t="s">
        <v>41</v>
      </c>
      <c r="G1362" s="22" t="s">
        <v>21</v>
      </c>
      <c r="H1362" s="22">
        <v>1</v>
      </c>
      <c r="I1362" s="22">
        <v>0</v>
      </c>
      <c r="J1362" s="22">
        <v>0</v>
      </c>
      <c r="K1362" s="22">
        <v>0</v>
      </c>
      <c r="L1362" s="22">
        <v>0</v>
      </c>
      <c r="M1362" s="22">
        <v>0</v>
      </c>
      <c r="N1362" s="22">
        <v>0</v>
      </c>
      <c r="O1362" s="22"/>
      <c r="P1362" s="22">
        <v>45.3</v>
      </c>
      <c r="Q1362" s="22" t="str">
        <f t="shared" si="63"/>
        <v>Normal</v>
      </c>
      <c r="R1362" s="26" t="str">
        <f t="shared" si="64"/>
        <v>USR-10136145777TreatmentNorthMobileSocialBasic100000045.3</v>
      </c>
      <c r="S1362" s="22" t="str">
        <f t="shared" si="65"/>
        <v>OK</v>
      </c>
    </row>
    <row r="1363" spans="1:19" ht="41.4">
      <c r="A1363" s="22" t="s">
        <v>1394</v>
      </c>
      <c r="B1363" s="25">
        <v>45800</v>
      </c>
      <c r="C1363" s="22" t="s">
        <v>723</v>
      </c>
      <c r="D1363" s="22" t="s">
        <v>28</v>
      </c>
      <c r="E1363" s="22" t="s">
        <v>24</v>
      </c>
      <c r="F1363" s="22" t="s">
        <v>25</v>
      </c>
      <c r="G1363" s="22" t="s">
        <v>21</v>
      </c>
      <c r="H1363" s="22">
        <v>1</v>
      </c>
      <c r="I1363" s="22">
        <v>0</v>
      </c>
      <c r="J1363" s="22">
        <v>0</v>
      </c>
      <c r="K1363" s="22">
        <v>0</v>
      </c>
      <c r="L1363" s="22">
        <v>0</v>
      </c>
      <c r="M1363" s="22">
        <v>0</v>
      </c>
      <c r="N1363" s="22">
        <v>0</v>
      </c>
      <c r="O1363" s="22"/>
      <c r="P1363" s="22">
        <v>33.6</v>
      </c>
      <c r="Q1363" s="22" t="str">
        <f t="shared" si="63"/>
        <v>Normal</v>
      </c>
      <c r="R1363" s="26" t="str">
        <f t="shared" si="64"/>
        <v>USR-10136245800TreatmentEastMobileOrganicBasic100000033.6</v>
      </c>
      <c r="S1363" s="22" t="str">
        <f t="shared" si="65"/>
        <v>Exact Duplicate</v>
      </c>
    </row>
    <row r="1364" spans="1:19" ht="41.4">
      <c r="A1364" s="22" t="s">
        <v>1395</v>
      </c>
      <c r="B1364" s="25">
        <v>45728</v>
      </c>
      <c r="C1364" s="22" t="s">
        <v>723</v>
      </c>
      <c r="D1364" s="22" t="s">
        <v>32</v>
      </c>
      <c r="E1364" s="22" t="s">
        <v>24</v>
      </c>
      <c r="F1364" s="22" t="s">
        <v>29</v>
      </c>
      <c r="G1364" s="22" t="s">
        <v>30</v>
      </c>
      <c r="H1364" s="22">
        <v>1</v>
      </c>
      <c r="I1364" s="22">
        <v>1</v>
      </c>
      <c r="J1364" s="22">
        <v>1</v>
      </c>
      <c r="K1364" s="22">
        <v>0</v>
      </c>
      <c r="L1364" s="22">
        <v>0</v>
      </c>
      <c r="M1364" s="22">
        <v>0</v>
      </c>
      <c r="N1364" s="22">
        <v>0</v>
      </c>
      <c r="O1364" s="22"/>
      <c r="P1364" s="22">
        <v>88.2</v>
      </c>
      <c r="Q1364" s="22" t="str">
        <f t="shared" si="63"/>
        <v>Normal</v>
      </c>
      <c r="R1364" s="26" t="str">
        <f t="shared" si="64"/>
        <v>USR-10136345728TreatmentSouthMobilePaid SearchPremium111000088.2</v>
      </c>
      <c r="S1364" s="22" t="str">
        <f t="shared" si="65"/>
        <v>OK</v>
      </c>
    </row>
    <row r="1365" spans="1:19" ht="41.4">
      <c r="A1365" s="22" t="s">
        <v>1396</v>
      </c>
      <c r="B1365" s="25">
        <v>45705</v>
      </c>
      <c r="C1365" s="22" t="s">
        <v>723</v>
      </c>
      <c r="D1365" s="22" t="s">
        <v>18</v>
      </c>
      <c r="E1365" s="22" t="s">
        <v>24</v>
      </c>
      <c r="F1365" s="22" t="s">
        <v>25</v>
      </c>
      <c r="G1365" s="22" t="s">
        <v>30</v>
      </c>
      <c r="H1365" s="22">
        <v>1</v>
      </c>
      <c r="I1365" s="22">
        <v>0</v>
      </c>
      <c r="J1365" s="22">
        <v>0</v>
      </c>
      <c r="K1365" s="22">
        <v>0</v>
      </c>
      <c r="L1365" s="22">
        <v>0</v>
      </c>
      <c r="M1365" s="22">
        <v>0</v>
      </c>
      <c r="N1365" s="22">
        <v>0</v>
      </c>
      <c r="O1365" s="22"/>
      <c r="P1365" s="22">
        <v>51.8</v>
      </c>
      <c r="Q1365" s="22" t="str">
        <f t="shared" si="63"/>
        <v>Normal</v>
      </c>
      <c r="R1365" s="26" t="str">
        <f t="shared" si="64"/>
        <v>USR-10136445705TreatmentNorthMobileOrganicPremium100000051.8</v>
      </c>
      <c r="S1365" s="22" t="str">
        <f t="shared" si="65"/>
        <v>OK</v>
      </c>
    </row>
    <row r="1366" spans="1:19" ht="41.4">
      <c r="A1366" s="22" t="s">
        <v>1397</v>
      </c>
      <c r="B1366" s="25">
        <v>45804</v>
      </c>
      <c r="C1366" s="22" t="s">
        <v>723</v>
      </c>
      <c r="D1366" s="22" t="s">
        <v>18</v>
      </c>
      <c r="E1366" s="22" t="s">
        <v>19</v>
      </c>
      <c r="F1366" s="22" t="s">
        <v>25</v>
      </c>
      <c r="G1366" s="22" t="s">
        <v>21</v>
      </c>
      <c r="H1366" s="22">
        <v>0</v>
      </c>
      <c r="I1366" s="22">
        <v>0</v>
      </c>
      <c r="J1366" s="22">
        <v>0</v>
      </c>
      <c r="K1366" s="22">
        <v>0</v>
      </c>
      <c r="L1366" s="22">
        <v>0</v>
      </c>
      <c r="M1366" s="22">
        <v>0</v>
      </c>
      <c r="N1366" s="22">
        <v>0</v>
      </c>
      <c r="O1366" s="22"/>
      <c r="P1366" s="22">
        <v>87.9</v>
      </c>
      <c r="Q1366" s="22" t="str">
        <f t="shared" si="63"/>
        <v>Normal</v>
      </c>
      <c r="R1366" s="26" t="str">
        <f t="shared" si="64"/>
        <v>USR-10136545804TreatmentNorthDesktopOrganicBasic000000087.9</v>
      </c>
      <c r="S1366" s="22" t="str">
        <f t="shared" si="65"/>
        <v>OK</v>
      </c>
    </row>
    <row r="1367" spans="1:19" ht="41.4">
      <c r="A1367" s="22" t="s">
        <v>1398</v>
      </c>
      <c r="B1367" s="25">
        <v>45787</v>
      </c>
      <c r="C1367" s="22" t="s">
        <v>723</v>
      </c>
      <c r="D1367" s="22" t="s">
        <v>32</v>
      </c>
      <c r="E1367" s="22" t="s">
        <v>24</v>
      </c>
      <c r="F1367" s="22" t="s">
        <v>41</v>
      </c>
      <c r="G1367" s="22" t="s">
        <v>30</v>
      </c>
      <c r="H1367" s="22">
        <v>1</v>
      </c>
      <c r="I1367" s="22">
        <v>0</v>
      </c>
      <c r="J1367" s="22">
        <v>0</v>
      </c>
      <c r="K1367" s="22">
        <v>0</v>
      </c>
      <c r="L1367" s="22">
        <v>0</v>
      </c>
      <c r="M1367" s="22">
        <v>2</v>
      </c>
      <c r="N1367" s="22">
        <v>0</v>
      </c>
      <c r="O1367" s="22"/>
      <c r="P1367" s="22">
        <v>70.5</v>
      </c>
      <c r="Q1367" s="22" t="str">
        <f t="shared" si="63"/>
        <v>Normal</v>
      </c>
      <c r="R1367" s="26" t="str">
        <f t="shared" si="64"/>
        <v>USR-10136645787TreatmentSouthMobileSocialPremium100002070.5</v>
      </c>
      <c r="S1367" s="22" t="str">
        <f t="shared" si="65"/>
        <v>OK</v>
      </c>
    </row>
    <row r="1368" spans="1:19" ht="41.4">
      <c r="A1368" s="22" t="s">
        <v>1399</v>
      </c>
      <c r="B1368" s="25">
        <v>45677</v>
      </c>
      <c r="C1368" s="22" t="s">
        <v>723</v>
      </c>
      <c r="D1368" s="22" t="s">
        <v>18</v>
      </c>
      <c r="E1368" s="22" t="s">
        <v>24</v>
      </c>
      <c r="F1368" s="22" t="s">
        <v>25</v>
      </c>
      <c r="G1368" s="22" t="s">
        <v>21</v>
      </c>
      <c r="H1368" s="22">
        <v>1</v>
      </c>
      <c r="I1368" s="22">
        <v>1</v>
      </c>
      <c r="J1368" s="22">
        <v>0</v>
      </c>
      <c r="K1368" s="22">
        <v>0</v>
      </c>
      <c r="L1368" s="22">
        <v>0</v>
      </c>
      <c r="M1368" s="22">
        <v>2</v>
      </c>
      <c r="N1368" s="22">
        <v>0</v>
      </c>
      <c r="O1368" s="22"/>
      <c r="P1368" s="22">
        <v>58.5</v>
      </c>
      <c r="Q1368" s="22" t="str">
        <f t="shared" si="63"/>
        <v>Normal</v>
      </c>
      <c r="R1368" s="26" t="str">
        <f t="shared" si="64"/>
        <v>USR-10136745677TreatmentNorthMobileOrganicBasic110002058.5</v>
      </c>
      <c r="S1368" s="22" t="str">
        <f t="shared" si="65"/>
        <v>OK</v>
      </c>
    </row>
    <row r="1369" spans="1:19" ht="41.4">
      <c r="A1369" s="22" t="s">
        <v>1400</v>
      </c>
      <c r="B1369" s="25">
        <v>45676</v>
      </c>
      <c r="C1369" s="22" t="s">
        <v>723</v>
      </c>
      <c r="D1369" s="22" t="s">
        <v>28</v>
      </c>
      <c r="E1369" s="22" t="s">
        <v>24</v>
      </c>
      <c r="F1369" s="22" t="s">
        <v>39</v>
      </c>
      <c r="G1369" s="22" t="s">
        <v>26</v>
      </c>
      <c r="H1369" s="22">
        <v>1</v>
      </c>
      <c r="I1369" s="22">
        <v>0</v>
      </c>
      <c r="J1369" s="22">
        <v>0</v>
      </c>
      <c r="K1369" s="22">
        <v>0</v>
      </c>
      <c r="L1369" s="22">
        <v>0</v>
      </c>
      <c r="M1369" s="22">
        <v>0</v>
      </c>
      <c r="N1369" s="22">
        <v>0</v>
      </c>
      <c r="O1369" s="22"/>
      <c r="P1369" s="22">
        <v>65.599999999999994</v>
      </c>
      <c r="Q1369" s="22" t="str">
        <f t="shared" si="63"/>
        <v>Normal</v>
      </c>
      <c r="R1369" s="26" t="str">
        <f t="shared" si="64"/>
        <v>USR-10136845676TreatmentEastMobileReferralFree100000065.6</v>
      </c>
      <c r="S1369" s="22" t="str">
        <f t="shared" si="65"/>
        <v>OK</v>
      </c>
    </row>
    <row r="1370" spans="1:19" ht="41.4">
      <c r="A1370" s="22" t="s">
        <v>1401</v>
      </c>
      <c r="B1370" s="25">
        <v>45723</v>
      </c>
      <c r="C1370" s="22" t="s">
        <v>723</v>
      </c>
      <c r="D1370" s="22" t="s">
        <v>23</v>
      </c>
      <c r="E1370" s="22" t="s">
        <v>19</v>
      </c>
      <c r="F1370" s="22" t="s">
        <v>29</v>
      </c>
      <c r="G1370" s="22" t="s">
        <v>21</v>
      </c>
      <c r="H1370" s="22">
        <v>1</v>
      </c>
      <c r="I1370" s="22">
        <v>1</v>
      </c>
      <c r="J1370" s="22">
        <v>0</v>
      </c>
      <c r="K1370" s="22">
        <v>0</v>
      </c>
      <c r="L1370" s="22">
        <v>0</v>
      </c>
      <c r="M1370" s="22">
        <v>0</v>
      </c>
      <c r="N1370" s="22">
        <v>0</v>
      </c>
      <c r="O1370" s="22"/>
      <c r="P1370" s="22">
        <v>62.7</v>
      </c>
      <c r="Q1370" s="22" t="str">
        <f t="shared" si="63"/>
        <v>Normal</v>
      </c>
      <c r="R1370" s="26" t="str">
        <f t="shared" si="64"/>
        <v>USR-10136945723TreatmentWestDesktopPaid SearchBasic110000062.7</v>
      </c>
      <c r="S1370" s="22" t="str">
        <f t="shared" si="65"/>
        <v>OK</v>
      </c>
    </row>
    <row r="1371" spans="1:19" ht="41.4">
      <c r="A1371" s="22" t="s">
        <v>1402</v>
      </c>
      <c r="B1371" s="25">
        <v>45690</v>
      </c>
      <c r="C1371" s="22" t="s">
        <v>723</v>
      </c>
      <c r="D1371" s="22" t="s">
        <v>28</v>
      </c>
      <c r="E1371" s="22" t="s">
        <v>24</v>
      </c>
      <c r="F1371" s="22" t="s">
        <v>25</v>
      </c>
      <c r="G1371" s="22" t="s">
        <v>26</v>
      </c>
      <c r="H1371" s="22">
        <v>0</v>
      </c>
      <c r="I1371" s="22">
        <v>0</v>
      </c>
      <c r="J1371" s="22">
        <v>0</v>
      </c>
      <c r="K1371" s="22">
        <v>0</v>
      </c>
      <c r="L1371" s="22">
        <v>0</v>
      </c>
      <c r="M1371" s="22">
        <v>1</v>
      </c>
      <c r="N1371" s="22">
        <v>0</v>
      </c>
      <c r="O1371" s="22"/>
      <c r="P1371" s="22">
        <v>50.9</v>
      </c>
      <c r="Q1371" s="22" t="str">
        <f t="shared" si="63"/>
        <v>Normal</v>
      </c>
      <c r="R1371" s="26" t="str">
        <f t="shared" si="64"/>
        <v>USR-10137045690TreatmentEastMobileOrganicFree000001050.9</v>
      </c>
      <c r="S1371" s="22" t="str">
        <f t="shared" si="65"/>
        <v>OK</v>
      </c>
    </row>
    <row r="1372" spans="1:19" ht="41.4">
      <c r="A1372" s="22" t="s">
        <v>1403</v>
      </c>
      <c r="B1372" s="25">
        <v>45723</v>
      </c>
      <c r="C1372" s="22" t="s">
        <v>723</v>
      </c>
      <c r="D1372" s="22" t="s">
        <v>18</v>
      </c>
      <c r="E1372" s="22" t="s">
        <v>24</v>
      </c>
      <c r="F1372" s="22" t="s">
        <v>25</v>
      </c>
      <c r="G1372" s="22" t="s">
        <v>26</v>
      </c>
      <c r="H1372" s="22">
        <v>0</v>
      </c>
      <c r="I1372" s="22">
        <v>0</v>
      </c>
      <c r="J1372" s="22">
        <v>0</v>
      </c>
      <c r="K1372" s="22">
        <v>0</v>
      </c>
      <c r="L1372" s="22">
        <v>0</v>
      </c>
      <c r="M1372" s="22">
        <v>1</v>
      </c>
      <c r="N1372" s="22">
        <v>0</v>
      </c>
      <c r="O1372" s="22"/>
      <c r="P1372" s="22">
        <v>60.6</v>
      </c>
      <c r="Q1372" s="22" t="str">
        <f t="shared" si="63"/>
        <v>Normal</v>
      </c>
      <c r="R1372" s="26" t="str">
        <f t="shared" si="64"/>
        <v>USR-10137145723TreatmentNorthMobileOrganicFree000001060.6</v>
      </c>
      <c r="S1372" s="22" t="str">
        <f t="shared" si="65"/>
        <v>OK</v>
      </c>
    </row>
    <row r="1373" spans="1:19" ht="41.4">
      <c r="A1373" s="22" t="s">
        <v>1404</v>
      </c>
      <c r="B1373" s="25">
        <v>45746</v>
      </c>
      <c r="C1373" s="22" t="s">
        <v>723</v>
      </c>
      <c r="D1373" s="22" t="s">
        <v>28</v>
      </c>
      <c r="E1373" s="22" t="s">
        <v>19</v>
      </c>
      <c r="F1373" s="22" t="s">
        <v>25</v>
      </c>
      <c r="G1373" s="22" t="s">
        <v>26</v>
      </c>
      <c r="H1373" s="22">
        <v>1</v>
      </c>
      <c r="I1373" s="22">
        <v>1</v>
      </c>
      <c r="J1373" s="22">
        <v>1</v>
      </c>
      <c r="K1373" s="22">
        <v>0</v>
      </c>
      <c r="L1373" s="22">
        <v>0</v>
      </c>
      <c r="M1373" s="22">
        <v>0</v>
      </c>
      <c r="N1373" s="22">
        <v>0</v>
      </c>
      <c r="O1373" s="22"/>
      <c r="P1373" s="22">
        <v>76.599999999999994</v>
      </c>
      <c r="Q1373" s="22" t="str">
        <f t="shared" si="63"/>
        <v>Normal</v>
      </c>
      <c r="R1373" s="26" t="str">
        <f t="shared" si="64"/>
        <v>USR-10137245746TreatmentEastDesktopOrganicFree111000076.6</v>
      </c>
      <c r="S1373" s="22" t="str">
        <f t="shared" si="65"/>
        <v>OK</v>
      </c>
    </row>
    <row r="1374" spans="1:19" ht="41.4">
      <c r="A1374" s="22" t="s">
        <v>1405</v>
      </c>
      <c r="B1374" s="25">
        <v>45782</v>
      </c>
      <c r="C1374" s="22" t="s">
        <v>723</v>
      </c>
      <c r="D1374" s="22" t="s">
        <v>28</v>
      </c>
      <c r="E1374" s="22" t="s">
        <v>19</v>
      </c>
      <c r="F1374" s="22" t="s">
        <v>29</v>
      </c>
      <c r="G1374" s="22" t="s">
        <v>26</v>
      </c>
      <c r="H1374" s="22">
        <v>1</v>
      </c>
      <c r="I1374" s="22">
        <v>1</v>
      </c>
      <c r="J1374" s="22">
        <v>1</v>
      </c>
      <c r="K1374" s="22">
        <v>0</v>
      </c>
      <c r="L1374" s="22">
        <v>0</v>
      </c>
      <c r="M1374" s="22">
        <v>0</v>
      </c>
      <c r="N1374" s="22">
        <v>0</v>
      </c>
      <c r="O1374" s="22"/>
      <c r="P1374" s="22">
        <v>54.4</v>
      </c>
      <c r="Q1374" s="22" t="str">
        <f t="shared" si="63"/>
        <v>Normal</v>
      </c>
      <c r="R1374" s="26" t="str">
        <f t="shared" si="64"/>
        <v>USR-10137345782TreatmentEastDesktopPaid SearchFree111000054.4</v>
      </c>
      <c r="S1374" s="22" t="str">
        <f t="shared" si="65"/>
        <v>OK</v>
      </c>
    </row>
    <row r="1375" spans="1:19" ht="41.4">
      <c r="A1375" s="22" t="s">
        <v>1406</v>
      </c>
      <c r="B1375" s="25">
        <v>45758</v>
      </c>
      <c r="C1375" s="22" t="s">
        <v>723</v>
      </c>
      <c r="D1375" s="22" t="s">
        <v>32</v>
      </c>
      <c r="E1375" s="22" t="s">
        <v>24</v>
      </c>
      <c r="F1375" s="22" t="s">
        <v>41</v>
      </c>
      <c r="G1375" s="22" t="s">
        <v>26</v>
      </c>
      <c r="H1375" s="22">
        <v>1</v>
      </c>
      <c r="I1375" s="22">
        <v>0</v>
      </c>
      <c r="J1375" s="22">
        <v>0</v>
      </c>
      <c r="K1375" s="22">
        <v>0</v>
      </c>
      <c r="L1375" s="22">
        <v>0</v>
      </c>
      <c r="M1375" s="22">
        <v>0</v>
      </c>
      <c r="N1375" s="22">
        <v>0</v>
      </c>
      <c r="O1375" s="22"/>
      <c r="P1375" s="22">
        <v>31.2</v>
      </c>
      <c r="Q1375" s="22" t="str">
        <f t="shared" si="63"/>
        <v>Normal</v>
      </c>
      <c r="R1375" s="26" t="str">
        <f t="shared" si="64"/>
        <v>USR-10137445758TreatmentSouthMobileSocialFree100000031.2</v>
      </c>
      <c r="S1375" s="22" t="str">
        <f t="shared" si="65"/>
        <v>OK</v>
      </c>
    </row>
    <row r="1376" spans="1:19" ht="41.4">
      <c r="A1376" s="22" t="s">
        <v>1407</v>
      </c>
      <c r="B1376" s="25">
        <v>45741</v>
      </c>
      <c r="C1376" s="22" t="s">
        <v>723</v>
      </c>
      <c r="D1376" s="22" t="s">
        <v>23</v>
      </c>
      <c r="E1376" s="22" t="s">
        <v>19</v>
      </c>
      <c r="F1376" s="22" t="s">
        <v>20</v>
      </c>
      <c r="G1376" s="22" t="s">
        <v>30</v>
      </c>
      <c r="H1376" s="22">
        <v>1</v>
      </c>
      <c r="I1376" s="22">
        <v>0</v>
      </c>
      <c r="J1376" s="22">
        <v>0</v>
      </c>
      <c r="K1376" s="22">
        <v>0</v>
      </c>
      <c r="L1376" s="22">
        <v>0</v>
      </c>
      <c r="M1376" s="22">
        <v>0</v>
      </c>
      <c r="N1376" s="22">
        <v>0</v>
      </c>
      <c r="O1376" s="22"/>
      <c r="P1376" s="22">
        <v>72.400000000000006</v>
      </c>
      <c r="Q1376" s="22" t="str">
        <f t="shared" si="63"/>
        <v>Normal</v>
      </c>
      <c r="R1376" s="26" t="str">
        <f t="shared" si="64"/>
        <v>USR-10137545741TreatmentWestDesktopEmailPremium100000072.4</v>
      </c>
      <c r="S1376" s="22" t="str">
        <f t="shared" si="65"/>
        <v>OK</v>
      </c>
    </row>
    <row r="1377" spans="1:19" ht="41.4">
      <c r="A1377" s="22" t="s">
        <v>1408</v>
      </c>
      <c r="B1377" s="25">
        <v>45740</v>
      </c>
      <c r="C1377" s="22" t="s">
        <v>723</v>
      </c>
      <c r="D1377" s="22" t="s">
        <v>18</v>
      </c>
      <c r="E1377" s="22" t="s">
        <v>24</v>
      </c>
      <c r="F1377" s="22" t="s">
        <v>25</v>
      </c>
      <c r="G1377" s="22" t="s">
        <v>30</v>
      </c>
      <c r="H1377" s="22">
        <v>1</v>
      </c>
      <c r="I1377" s="22">
        <v>0</v>
      </c>
      <c r="J1377" s="22">
        <v>0</v>
      </c>
      <c r="K1377" s="22">
        <v>0</v>
      </c>
      <c r="L1377" s="22">
        <v>0</v>
      </c>
      <c r="M1377" s="22">
        <v>0</v>
      </c>
      <c r="N1377" s="22">
        <v>0</v>
      </c>
      <c r="O1377" s="22"/>
      <c r="P1377" s="22">
        <v>74.5</v>
      </c>
      <c r="Q1377" s="22" t="str">
        <f t="shared" si="63"/>
        <v>Normal</v>
      </c>
      <c r="R1377" s="26" t="str">
        <f t="shared" si="64"/>
        <v>USR-10137645740TreatmentNorthMobileOrganicPremium100000074.5</v>
      </c>
      <c r="S1377" s="22" t="str">
        <f t="shared" si="65"/>
        <v>OK</v>
      </c>
    </row>
    <row r="1378" spans="1:19" ht="41.4">
      <c r="A1378" s="22" t="s">
        <v>1409</v>
      </c>
      <c r="B1378" s="25">
        <v>45774</v>
      </c>
      <c r="C1378" s="22" t="s">
        <v>723</v>
      </c>
      <c r="D1378" s="22" t="s">
        <v>28</v>
      </c>
      <c r="E1378" s="22" t="s">
        <v>24</v>
      </c>
      <c r="F1378" s="22" t="s">
        <v>25</v>
      </c>
      <c r="G1378" s="22" t="s">
        <v>21</v>
      </c>
      <c r="H1378" s="22">
        <v>0</v>
      </c>
      <c r="I1378" s="22">
        <v>0</v>
      </c>
      <c r="J1378" s="22">
        <v>0</v>
      </c>
      <c r="K1378" s="22">
        <v>0</v>
      </c>
      <c r="L1378" s="22">
        <v>0</v>
      </c>
      <c r="M1378" s="22">
        <v>0</v>
      </c>
      <c r="N1378" s="22">
        <v>0</v>
      </c>
      <c r="O1378" s="22"/>
      <c r="P1378" s="22">
        <v>52.6</v>
      </c>
      <c r="Q1378" s="22" t="str">
        <f t="shared" si="63"/>
        <v>Normal</v>
      </c>
      <c r="R1378" s="26" t="str">
        <f t="shared" si="64"/>
        <v>USR-10137745774TreatmentEastMobileOrganicBasic000000052.6</v>
      </c>
      <c r="S1378" s="22" t="str">
        <f t="shared" si="65"/>
        <v>OK</v>
      </c>
    </row>
    <row r="1379" spans="1:19" ht="41.4">
      <c r="A1379" s="22" t="s">
        <v>1410</v>
      </c>
      <c r="B1379" s="25">
        <v>45682</v>
      </c>
      <c r="C1379" s="22" t="s">
        <v>723</v>
      </c>
      <c r="D1379" s="22" t="s">
        <v>18</v>
      </c>
      <c r="E1379" s="22" t="s">
        <v>19</v>
      </c>
      <c r="F1379" s="22" t="s">
        <v>29</v>
      </c>
      <c r="G1379" s="22" t="s">
        <v>26</v>
      </c>
      <c r="H1379" s="22">
        <v>1</v>
      </c>
      <c r="I1379" s="22">
        <v>0</v>
      </c>
      <c r="J1379" s="22">
        <v>0</v>
      </c>
      <c r="K1379" s="22">
        <v>0</v>
      </c>
      <c r="L1379" s="22">
        <v>0</v>
      </c>
      <c r="M1379" s="22">
        <v>0</v>
      </c>
      <c r="N1379" s="22">
        <v>0</v>
      </c>
      <c r="O1379" s="22"/>
      <c r="P1379" s="22">
        <v>75.400000000000006</v>
      </c>
      <c r="Q1379" s="22" t="str">
        <f t="shared" si="63"/>
        <v>Normal</v>
      </c>
      <c r="R1379" s="26" t="str">
        <f t="shared" si="64"/>
        <v>USR-10137845682TreatmentNorthDesktopPaid SearchFree100000075.4</v>
      </c>
      <c r="S1379" s="22" t="str">
        <f t="shared" si="65"/>
        <v>OK</v>
      </c>
    </row>
    <row r="1380" spans="1:19" ht="41.4">
      <c r="A1380" s="22" t="s">
        <v>1411</v>
      </c>
      <c r="B1380" s="25">
        <v>45705</v>
      </c>
      <c r="C1380" s="22" t="s">
        <v>723</v>
      </c>
      <c r="D1380" s="22" t="s">
        <v>18</v>
      </c>
      <c r="E1380" s="22" t="s">
        <v>34</v>
      </c>
      <c r="F1380" s="22" t="s">
        <v>41</v>
      </c>
      <c r="G1380" s="22" t="s">
        <v>21</v>
      </c>
      <c r="H1380" s="22">
        <v>1</v>
      </c>
      <c r="I1380" s="22">
        <v>1</v>
      </c>
      <c r="J1380" s="22">
        <v>1</v>
      </c>
      <c r="K1380" s="22">
        <v>1</v>
      </c>
      <c r="L1380" s="22">
        <v>751.33</v>
      </c>
      <c r="M1380" s="22">
        <v>0</v>
      </c>
      <c r="N1380" s="22">
        <v>0</v>
      </c>
      <c r="O1380" s="22">
        <v>9</v>
      </c>
      <c r="P1380" s="22">
        <v>34</v>
      </c>
      <c r="Q1380" s="22" t="str">
        <f t="shared" si="63"/>
        <v>Normal</v>
      </c>
      <c r="R1380" s="26" t="str">
        <f t="shared" si="64"/>
        <v>USR-10137945705TreatmentNorthTabletSocialBasic1111751.3300934</v>
      </c>
      <c r="S1380" s="22" t="str">
        <f t="shared" si="65"/>
        <v>OK</v>
      </c>
    </row>
    <row r="1381" spans="1:19" ht="41.4">
      <c r="A1381" s="22" t="s">
        <v>1412</v>
      </c>
      <c r="B1381" s="25">
        <v>45760</v>
      </c>
      <c r="C1381" s="22" t="s">
        <v>723</v>
      </c>
      <c r="D1381" s="22" t="s">
        <v>32</v>
      </c>
      <c r="E1381" s="22" t="s">
        <v>19</v>
      </c>
      <c r="F1381" s="22" t="s">
        <v>25</v>
      </c>
      <c r="G1381" s="22" t="s">
        <v>26</v>
      </c>
      <c r="H1381" s="22">
        <v>1</v>
      </c>
      <c r="I1381" s="22">
        <v>0</v>
      </c>
      <c r="J1381" s="22">
        <v>0</v>
      </c>
      <c r="K1381" s="22">
        <v>0</v>
      </c>
      <c r="L1381" s="22">
        <v>0</v>
      </c>
      <c r="M1381" s="22">
        <v>0</v>
      </c>
      <c r="N1381" s="22">
        <v>0</v>
      </c>
      <c r="O1381" s="22"/>
      <c r="P1381" s="22">
        <v>67.099999999999994</v>
      </c>
      <c r="Q1381" s="22" t="str">
        <f t="shared" si="63"/>
        <v>Normal</v>
      </c>
      <c r="R1381" s="26" t="str">
        <f t="shared" si="64"/>
        <v>USR-10138045760TreatmentSouthDesktopOrganicFree100000067.1</v>
      </c>
      <c r="S1381" s="22" t="str">
        <f t="shared" si="65"/>
        <v>OK</v>
      </c>
    </row>
    <row r="1382" spans="1:19" ht="41.4">
      <c r="A1382" s="22" t="s">
        <v>1413</v>
      </c>
      <c r="B1382" s="25">
        <v>45780</v>
      </c>
      <c r="C1382" s="22" t="s">
        <v>723</v>
      </c>
      <c r="D1382" s="22" t="s">
        <v>23</v>
      </c>
      <c r="E1382" s="22" t="s">
        <v>19</v>
      </c>
      <c r="F1382" s="22" t="s">
        <v>29</v>
      </c>
      <c r="G1382" s="22" t="s">
        <v>30</v>
      </c>
      <c r="H1382" s="22">
        <v>1</v>
      </c>
      <c r="I1382" s="22">
        <v>0</v>
      </c>
      <c r="J1382" s="22">
        <v>0</v>
      </c>
      <c r="K1382" s="22">
        <v>0</v>
      </c>
      <c r="L1382" s="22">
        <v>0</v>
      </c>
      <c r="M1382" s="22">
        <v>0</v>
      </c>
      <c r="N1382" s="22">
        <v>0</v>
      </c>
      <c r="O1382" s="22"/>
      <c r="P1382" s="22">
        <v>37.299999999999997</v>
      </c>
      <c r="Q1382" s="22" t="str">
        <f t="shared" si="63"/>
        <v>Normal</v>
      </c>
      <c r="R1382" s="26" t="str">
        <f t="shared" si="64"/>
        <v>USR-10138145780TreatmentWestDesktopPaid SearchPremium100000037.3</v>
      </c>
      <c r="S1382" s="22" t="str">
        <f t="shared" si="65"/>
        <v>OK</v>
      </c>
    </row>
    <row r="1383" spans="1:19" ht="41.4">
      <c r="A1383" s="22" t="s">
        <v>1414</v>
      </c>
      <c r="B1383" s="25">
        <v>45776</v>
      </c>
      <c r="C1383" s="22" t="s">
        <v>723</v>
      </c>
      <c r="D1383" s="22" t="s">
        <v>23</v>
      </c>
      <c r="E1383" s="22" t="s">
        <v>24</v>
      </c>
      <c r="F1383" s="22" t="s">
        <v>20</v>
      </c>
      <c r="G1383" s="22" t="s">
        <v>26</v>
      </c>
      <c r="H1383" s="22">
        <v>1</v>
      </c>
      <c r="I1383" s="22">
        <v>0</v>
      </c>
      <c r="J1383" s="22">
        <v>0</v>
      </c>
      <c r="K1383" s="22">
        <v>0</v>
      </c>
      <c r="L1383" s="22">
        <v>0</v>
      </c>
      <c r="M1383" s="22">
        <v>0</v>
      </c>
      <c r="N1383" s="22">
        <v>0</v>
      </c>
      <c r="O1383" s="22"/>
      <c r="P1383" s="22">
        <v>54.7</v>
      </c>
      <c r="Q1383" s="22" t="str">
        <f t="shared" si="63"/>
        <v>Normal</v>
      </c>
      <c r="R1383" s="26" t="str">
        <f t="shared" si="64"/>
        <v>USR-10138245776TreatmentWestMobileEmailFree100000054.7</v>
      </c>
      <c r="S1383" s="22" t="str">
        <f t="shared" si="65"/>
        <v>OK</v>
      </c>
    </row>
    <row r="1384" spans="1:19" ht="41.4">
      <c r="A1384" s="22" t="s">
        <v>1415</v>
      </c>
      <c r="B1384" s="25">
        <v>45780</v>
      </c>
      <c r="C1384" s="22" t="s">
        <v>723</v>
      </c>
      <c r="D1384" s="22" t="s">
        <v>28</v>
      </c>
      <c r="E1384" s="22" t="s">
        <v>19</v>
      </c>
      <c r="F1384" s="22" t="s">
        <v>29</v>
      </c>
      <c r="G1384" s="22" t="s">
        <v>26</v>
      </c>
      <c r="H1384" s="22">
        <v>1</v>
      </c>
      <c r="I1384" s="22">
        <v>0</v>
      </c>
      <c r="J1384" s="22">
        <v>0</v>
      </c>
      <c r="K1384" s="22">
        <v>0</v>
      </c>
      <c r="L1384" s="22">
        <v>0</v>
      </c>
      <c r="M1384" s="22">
        <v>0</v>
      </c>
      <c r="N1384" s="22">
        <v>0</v>
      </c>
      <c r="O1384" s="22"/>
      <c r="P1384" s="22">
        <v>51.8</v>
      </c>
      <c r="Q1384" s="22" t="str">
        <f t="shared" si="63"/>
        <v>Normal</v>
      </c>
      <c r="R1384" s="26" t="str">
        <f t="shared" si="64"/>
        <v>USR-10138345780TreatmentEastDesktopPaid SearchFree100000051.8</v>
      </c>
      <c r="S1384" s="22" t="str">
        <f t="shared" si="65"/>
        <v>OK</v>
      </c>
    </row>
    <row r="1385" spans="1:19" ht="41.4">
      <c r="A1385" s="22" t="s">
        <v>1416</v>
      </c>
      <c r="B1385" s="25">
        <v>45775</v>
      </c>
      <c r="C1385" s="22" t="s">
        <v>723</v>
      </c>
      <c r="D1385" s="22" t="s">
        <v>23</v>
      </c>
      <c r="E1385" s="22" t="s">
        <v>24</v>
      </c>
      <c r="F1385" s="22" t="s">
        <v>29</v>
      </c>
      <c r="G1385" s="22" t="s">
        <v>26</v>
      </c>
      <c r="H1385" s="22">
        <v>0</v>
      </c>
      <c r="I1385" s="22">
        <v>0</v>
      </c>
      <c r="J1385" s="22">
        <v>0</v>
      </c>
      <c r="K1385" s="22">
        <v>0</v>
      </c>
      <c r="L1385" s="22">
        <v>0</v>
      </c>
      <c r="M1385" s="22">
        <v>0</v>
      </c>
      <c r="N1385" s="22">
        <v>0</v>
      </c>
      <c r="O1385" s="22"/>
      <c r="P1385" s="22">
        <v>49.2</v>
      </c>
      <c r="Q1385" s="22" t="str">
        <f t="shared" si="63"/>
        <v>Normal</v>
      </c>
      <c r="R1385" s="26" t="str">
        <f t="shared" si="64"/>
        <v>USR-10138445775TreatmentWestMobilePaid SearchFree000000049.2</v>
      </c>
      <c r="S1385" s="22" t="str">
        <f t="shared" si="65"/>
        <v>OK</v>
      </c>
    </row>
    <row r="1386" spans="1:19" ht="41.4">
      <c r="A1386" s="22" t="s">
        <v>1417</v>
      </c>
      <c r="B1386" s="25">
        <v>45678</v>
      </c>
      <c r="C1386" s="22" t="s">
        <v>723</v>
      </c>
      <c r="D1386" s="22" t="s">
        <v>23</v>
      </c>
      <c r="E1386" s="22" t="s">
        <v>24</v>
      </c>
      <c r="F1386" s="22" t="s">
        <v>25</v>
      </c>
      <c r="G1386" s="22" t="s">
        <v>26</v>
      </c>
      <c r="H1386" s="22">
        <v>1</v>
      </c>
      <c r="I1386" s="22">
        <v>0</v>
      </c>
      <c r="J1386" s="22">
        <v>0</v>
      </c>
      <c r="K1386" s="22">
        <v>0</v>
      </c>
      <c r="L1386" s="22">
        <v>0</v>
      </c>
      <c r="M1386" s="22">
        <v>2</v>
      </c>
      <c r="N1386" s="22">
        <v>0</v>
      </c>
      <c r="O1386" s="22"/>
      <c r="P1386" s="22">
        <v>58.8</v>
      </c>
      <c r="Q1386" s="22" t="str">
        <f t="shared" si="63"/>
        <v>Normal</v>
      </c>
      <c r="R1386" s="26" t="str">
        <f t="shared" si="64"/>
        <v>USR-10138545678TreatmentWestMobileOrganicFree100002058.8</v>
      </c>
      <c r="S1386" s="22" t="str">
        <f t="shared" si="65"/>
        <v>OK</v>
      </c>
    </row>
    <row r="1387" spans="1:19" ht="41.4">
      <c r="A1387" s="22" t="s">
        <v>1418</v>
      </c>
      <c r="B1387" s="25">
        <v>45678</v>
      </c>
      <c r="C1387" s="22" t="s">
        <v>723</v>
      </c>
      <c r="D1387" s="22" t="s">
        <v>18</v>
      </c>
      <c r="E1387" s="22" t="s">
        <v>34</v>
      </c>
      <c r="F1387" s="22" t="s">
        <v>29</v>
      </c>
      <c r="G1387" s="22" t="s">
        <v>21</v>
      </c>
      <c r="H1387" s="22">
        <v>0</v>
      </c>
      <c r="I1387" s="22">
        <v>0</v>
      </c>
      <c r="J1387" s="22">
        <v>0</v>
      </c>
      <c r="K1387" s="22">
        <v>0</v>
      </c>
      <c r="L1387" s="22">
        <v>0</v>
      </c>
      <c r="M1387" s="22">
        <v>1</v>
      </c>
      <c r="N1387" s="22">
        <v>0</v>
      </c>
      <c r="O1387" s="22"/>
      <c r="P1387" s="22">
        <v>59.1</v>
      </c>
      <c r="Q1387" s="22" t="str">
        <f t="shared" si="63"/>
        <v>Normal</v>
      </c>
      <c r="R1387" s="26" t="str">
        <f t="shared" si="64"/>
        <v>USR-10138645678TreatmentNorthTabletPaid SearchBasic000001059.1</v>
      </c>
      <c r="S1387" s="22" t="str">
        <f t="shared" si="65"/>
        <v>OK</v>
      </c>
    </row>
    <row r="1388" spans="1:19" ht="41.4">
      <c r="A1388" s="22" t="s">
        <v>1419</v>
      </c>
      <c r="B1388" s="25">
        <v>45798</v>
      </c>
      <c r="C1388" s="22" t="s">
        <v>723</v>
      </c>
      <c r="D1388" s="22" t="s">
        <v>23</v>
      </c>
      <c r="E1388" s="22" t="s">
        <v>19</v>
      </c>
      <c r="F1388" s="22" t="s">
        <v>29</v>
      </c>
      <c r="G1388" s="22" t="s">
        <v>26</v>
      </c>
      <c r="H1388" s="22">
        <v>1</v>
      </c>
      <c r="I1388" s="22">
        <v>0</v>
      </c>
      <c r="J1388" s="22">
        <v>0</v>
      </c>
      <c r="K1388" s="22">
        <v>0</v>
      </c>
      <c r="L1388" s="22">
        <v>0</v>
      </c>
      <c r="M1388" s="22">
        <v>2</v>
      </c>
      <c r="N1388" s="22">
        <v>0</v>
      </c>
      <c r="O1388" s="22"/>
      <c r="P1388" s="22">
        <v>49.6</v>
      </c>
      <c r="Q1388" s="22" t="str">
        <f t="shared" si="63"/>
        <v>Normal</v>
      </c>
      <c r="R1388" s="26" t="str">
        <f t="shared" si="64"/>
        <v>USR-10138745798TreatmentWestDesktopPaid SearchFree100002049.6</v>
      </c>
      <c r="S1388" s="22" t="str">
        <f t="shared" si="65"/>
        <v>OK</v>
      </c>
    </row>
    <row r="1389" spans="1:19" ht="41.4">
      <c r="A1389" s="22" t="s">
        <v>1420</v>
      </c>
      <c r="B1389" s="25">
        <v>45662</v>
      </c>
      <c r="C1389" s="22" t="s">
        <v>723</v>
      </c>
      <c r="D1389" s="22" t="s">
        <v>18</v>
      </c>
      <c r="E1389" s="22" t="s">
        <v>24</v>
      </c>
      <c r="F1389" s="22" t="s">
        <v>39</v>
      </c>
      <c r="G1389" s="22" t="s">
        <v>26</v>
      </c>
      <c r="H1389" s="22">
        <v>0</v>
      </c>
      <c r="I1389" s="22">
        <v>0</v>
      </c>
      <c r="J1389" s="22">
        <v>0</v>
      </c>
      <c r="K1389" s="22">
        <v>0</v>
      </c>
      <c r="L1389" s="22">
        <v>0</v>
      </c>
      <c r="M1389" s="22">
        <v>0</v>
      </c>
      <c r="N1389" s="22">
        <v>0</v>
      </c>
      <c r="O1389" s="22"/>
      <c r="P1389" s="22">
        <v>58.2</v>
      </c>
      <c r="Q1389" s="22" t="str">
        <f t="shared" si="63"/>
        <v>Normal</v>
      </c>
      <c r="R1389" s="26" t="str">
        <f t="shared" si="64"/>
        <v>USR-10138845662TreatmentNorthMobileReferralFree000000058.2</v>
      </c>
      <c r="S1389" s="22" t="str">
        <f t="shared" si="65"/>
        <v>OK</v>
      </c>
    </row>
    <row r="1390" spans="1:19" ht="41.4">
      <c r="A1390" s="22" t="s">
        <v>1421</v>
      </c>
      <c r="B1390" s="25">
        <v>45722</v>
      </c>
      <c r="C1390" s="22" t="s">
        <v>723</v>
      </c>
      <c r="D1390" s="22" t="s">
        <v>32</v>
      </c>
      <c r="E1390" s="22" t="s">
        <v>19</v>
      </c>
      <c r="F1390" s="22" t="s">
        <v>25</v>
      </c>
      <c r="G1390" s="22" t="s">
        <v>26</v>
      </c>
      <c r="H1390" s="22">
        <v>1</v>
      </c>
      <c r="I1390" s="22">
        <v>0</v>
      </c>
      <c r="J1390" s="22">
        <v>0</v>
      </c>
      <c r="K1390" s="22">
        <v>0</v>
      </c>
      <c r="L1390" s="22">
        <v>0</v>
      </c>
      <c r="M1390" s="22">
        <v>0</v>
      </c>
      <c r="N1390" s="22">
        <v>0</v>
      </c>
      <c r="O1390" s="22"/>
      <c r="P1390" s="22">
        <v>66.8</v>
      </c>
      <c r="Q1390" s="22" t="str">
        <f t="shared" si="63"/>
        <v>Normal</v>
      </c>
      <c r="R1390" s="26" t="str">
        <f t="shared" si="64"/>
        <v>USR-10138945722TreatmentSouthDesktopOrganicFree100000066.8</v>
      </c>
      <c r="S1390" s="22" t="str">
        <f t="shared" si="65"/>
        <v>OK</v>
      </c>
    </row>
    <row r="1391" spans="1:19" ht="41.4">
      <c r="A1391" s="22" t="s">
        <v>1422</v>
      </c>
      <c r="B1391" s="25">
        <v>45765</v>
      </c>
      <c r="C1391" s="22" t="s">
        <v>723</v>
      </c>
      <c r="D1391" s="22" t="s">
        <v>18</v>
      </c>
      <c r="E1391" s="22" t="s">
        <v>24</v>
      </c>
      <c r="F1391" s="22" t="s">
        <v>29</v>
      </c>
      <c r="G1391" s="22" t="s">
        <v>26</v>
      </c>
      <c r="H1391" s="22">
        <v>1</v>
      </c>
      <c r="I1391" s="22">
        <v>0</v>
      </c>
      <c r="J1391" s="22">
        <v>0</v>
      </c>
      <c r="K1391" s="22">
        <v>0</v>
      </c>
      <c r="L1391" s="22">
        <v>0</v>
      </c>
      <c r="M1391" s="22">
        <v>3</v>
      </c>
      <c r="N1391" s="22">
        <v>0</v>
      </c>
      <c r="O1391" s="22"/>
      <c r="P1391" s="22">
        <v>58.3</v>
      </c>
      <c r="Q1391" s="22" t="str">
        <f t="shared" si="63"/>
        <v>Normal</v>
      </c>
      <c r="R1391" s="26" t="str">
        <f t="shared" si="64"/>
        <v>USR-10139045765TreatmentNorthMobilePaid SearchFree100003058.3</v>
      </c>
      <c r="S1391" s="22" t="str">
        <f t="shared" si="65"/>
        <v>OK</v>
      </c>
    </row>
    <row r="1392" spans="1:19" ht="41.4">
      <c r="A1392" s="22" t="s">
        <v>1423</v>
      </c>
      <c r="B1392" s="25">
        <v>45762</v>
      </c>
      <c r="C1392" s="22" t="s">
        <v>723</v>
      </c>
      <c r="D1392" s="22" t="s">
        <v>23</v>
      </c>
      <c r="E1392" s="22" t="s">
        <v>24</v>
      </c>
      <c r="F1392" s="22" t="s">
        <v>25</v>
      </c>
      <c r="G1392" s="22" t="s">
        <v>21</v>
      </c>
      <c r="H1392" s="22">
        <v>1</v>
      </c>
      <c r="I1392" s="22">
        <v>1</v>
      </c>
      <c r="J1392" s="22">
        <v>1</v>
      </c>
      <c r="K1392" s="22">
        <v>0</v>
      </c>
      <c r="L1392" s="22">
        <v>0</v>
      </c>
      <c r="M1392" s="22">
        <v>0</v>
      </c>
      <c r="N1392" s="22">
        <v>0</v>
      </c>
      <c r="O1392" s="22"/>
      <c r="P1392" s="22">
        <v>38.5</v>
      </c>
      <c r="Q1392" s="22" t="str">
        <f t="shared" si="63"/>
        <v>Normal</v>
      </c>
      <c r="R1392" s="26" t="str">
        <f t="shared" si="64"/>
        <v>USR-10139145762TreatmentWestMobileOrganicBasic111000038.5</v>
      </c>
      <c r="S1392" s="22" t="str">
        <f t="shared" si="65"/>
        <v>OK</v>
      </c>
    </row>
    <row r="1393" spans="1:19" ht="41.4">
      <c r="A1393" s="22" t="s">
        <v>1424</v>
      </c>
      <c r="B1393" s="25">
        <v>45698</v>
      </c>
      <c r="C1393" s="22" t="s">
        <v>723</v>
      </c>
      <c r="D1393" s="22" t="s">
        <v>28</v>
      </c>
      <c r="E1393" s="22" t="s">
        <v>24</v>
      </c>
      <c r="F1393" s="22" t="s">
        <v>29</v>
      </c>
      <c r="G1393" s="22" t="s">
        <v>26</v>
      </c>
      <c r="H1393" s="22">
        <v>1</v>
      </c>
      <c r="I1393" s="22">
        <v>0</v>
      </c>
      <c r="J1393" s="22">
        <v>0</v>
      </c>
      <c r="K1393" s="22">
        <v>0</v>
      </c>
      <c r="L1393" s="22">
        <v>0</v>
      </c>
      <c r="M1393" s="22">
        <v>0</v>
      </c>
      <c r="N1393" s="22">
        <v>0</v>
      </c>
      <c r="O1393" s="22"/>
      <c r="P1393" s="22">
        <v>76.900000000000006</v>
      </c>
      <c r="Q1393" s="22" t="str">
        <f t="shared" si="63"/>
        <v>Normal</v>
      </c>
      <c r="R1393" s="26" t="str">
        <f t="shared" si="64"/>
        <v>USR-10139245698TreatmentEastMobilePaid SearchFree100000076.9</v>
      </c>
      <c r="S1393" s="22" t="str">
        <f t="shared" si="65"/>
        <v>OK</v>
      </c>
    </row>
    <row r="1394" spans="1:19" ht="41.4">
      <c r="A1394" s="22" t="s">
        <v>1425</v>
      </c>
      <c r="B1394" s="25">
        <v>45785</v>
      </c>
      <c r="C1394" s="22" t="s">
        <v>723</v>
      </c>
      <c r="D1394" s="22" t="s">
        <v>28</v>
      </c>
      <c r="E1394" s="22" t="s">
        <v>24</v>
      </c>
      <c r="F1394" s="22" t="s">
        <v>25</v>
      </c>
      <c r="G1394" s="22" t="s">
        <v>26</v>
      </c>
      <c r="H1394" s="22">
        <v>1</v>
      </c>
      <c r="I1394" s="22">
        <v>0</v>
      </c>
      <c r="J1394" s="22">
        <v>0</v>
      </c>
      <c r="K1394" s="22">
        <v>0</v>
      </c>
      <c r="L1394" s="22">
        <v>0</v>
      </c>
      <c r="M1394" s="22">
        <v>0</v>
      </c>
      <c r="N1394" s="22">
        <v>0</v>
      </c>
      <c r="O1394" s="22"/>
      <c r="P1394" s="22">
        <v>54</v>
      </c>
      <c r="Q1394" s="22" t="str">
        <f t="shared" si="63"/>
        <v>Normal</v>
      </c>
      <c r="R1394" s="26" t="str">
        <f t="shared" si="64"/>
        <v>USR-10139345785TreatmentEastMobileOrganicFree100000054</v>
      </c>
      <c r="S1394" s="22" t="str">
        <f t="shared" si="65"/>
        <v>OK</v>
      </c>
    </row>
    <row r="1395" spans="1:19" ht="41.4">
      <c r="A1395" s="22" t="s">
        <v>1426</v>
      </c>
      <c r="B1395" s="25">
        <v>45805</v>
      </c>
      <c r="C1395" s="22" t="s">
        <v>723</v>
      </c>
      <c r="D1395" s="22" t="s">
        <v>28</v>
      </c>
      <c r="E1395" s="22" t="s">
        <v>34</v>
      </c>
      <c r="F1395" s="22" t="s">
        <v>25</v>
      </c>
      <c r="G1395" s="22" t="s">
        <v>26</v>
      </c>
      <c r="H1395" s="22">
        <v>1</v>
      </c>
      <c r="I1395" s="22">
        <v>0</v>
      </c>
      <c r="J1395" s="22">
        <v>0</v>
      </c>
      <c r="K1395" s="22">
        <v>0</v>
      </c>
      <c r="L1395" s="22">
        <v>0</v>
      </c>
      <c r="M1395" s="22">
        <v>0</v>
      </c>
      <c r="N1395" s="22">
        <v>0</v>
      </c>
      <c r="O1395" s="22"/>
      <c r="P1395" s="22">
        <v>70.599999999999994</v>
      </c>
      <c r="Q1395" s="22" t="str">
        <f t="shared" si="63"/>
        <v>Normal</v>
      </c>
      <c r="R1395" s="26" t="str">
        <f t="shared" si="64"/>
        <v>USR-10139445805TreatmentEastTabletOrganicFree100000070.6</v>
      </c>
      <c r="S1395" s="22" t="str">
        <f t="shared" si="65"/>
        <v>OK</v>
      </c>
    </row>
    <row r="1396" spans="1:19" ht="41.4">
      <c r="A1396" s="22" t="s">
        <v>1427</v>
      </c>
      <c r="B1396" s="25">
        <v>45772</v>
      </c>
      <c r="C1396" s="22" t="s">
        <v>723</v>
      </c>
      <c r="D1396" s="22" t="s">
        <v>18</v>
      </c>
      <c r="E1396" s="22" t="s">
        <v>34</v>
      </c>
      <c r="F1396" s="22" t="s">
        <v>39</v>
      </c>
      <c r="G1396" s="22" t="s">
        <v>30</v>
      </c>
      <c r="H1396" s="22">
        <v>1</v>
      </c>
      <c r="I1396" s="22">
        <v>1</v>
      </c>
      <c r="J1396" s="22">
        <v>1</v>
      </c>
      <c r="K1396" s="22">
        <v>0</v>
      </c>
      <c r="L1396" s="22">
        <v>0</v>
      </c>
      <c r="M1396" s="22">
        <v>1</v>
      </c>
      <c r="N1396" s="22">
        <v>0</v>
      </c>
      <c r="O1396" s="22"/>
      <c r="P1396" s="22">
        <v>69.400000000000006</v>
      </c>
      <c r="Q1396" s="22" t="str">
        <f t="shared" si="63"/>
        <v>Normal</v>
      </c>
      <c r="R1396" s="26" t="str">
        <f t="shared" si="64"/>
        <v>USR-10139545772TreatmentNorthTabletReferralPremium111001069.4</v>
      </c>
      <c r="S1396" s="22" t="str">
        <f t="shared" si="65"/>
        <v>OK</v>
      </c>
    </row>
    <row r="1397" spans="1:19" ht="41.4">
      <c r="A1397" s="22" t="s">
        <v>1428</v>
      </c>
      <c r="B1397" s="25">
        <v>45699</v>
      </c>
      <c r="C1397" s="22" t="s">
        <v>723</v>
      </c>
      <c r="D1397" s="22" t="s">
        <v>32</v>
      </c>
      <c r="E1397" s="22" t="s">
        <v>24</v>
      </c>
      <c r="F1397" s="22"/>
      <c r="G1397" s="22" t="s">
        <v>30</v>
      </c>
      <c r="H1397" s="22">
        <v>1</v>
      </c>
      <c r="I1397" s="22">
        <v>1</v>
      </c>
      <c r="J1397" s="22">
        <v>1</v>
      </c>
      <c r="K1397" s="22">
        <v>1</v>
      </c>
      <c r="L1397" s="22">
        <v>1009.9</v>
      </c>
      <c r="M1397" s="22">
        <v>0</v>
      </c>
      <c r="N1397" s="22">
        <v>0</v>
      </c>
      <c r="O1397" s="22">
        <v>6</v>
      </c>
      <c r="P1397" s="22">
        <v>89.7</v>
      </c>
      <c r="Q1397" s="22" t="str">
        <f t="shared" si="63"/>
        <v>Normal</v>
      </c>
      <c r="R1397" s="26" t="str">
        <f t="shared" si="64"/>
        <v>USR-10139645699TreatmentSouthMobilePremium11111009.900689.7</v>
      </c>
      <c r="S1397" s="22" t="str">
        <f t="shared" si="65"/>
        <v>OK</v>
      </c>
    </row>
    <row r="1398" spans="1:19" ht="41.4">
      <c r="A1398" s="22" t="s">
        <v>1429</v>
      </c>
      <c r="B1398" s="25">
        <v>45761</v>
      </c>
      <c r="C1398" s="22" t="s">
        <v>723</v>
      </c>
      <c r="D1398" s="22" t="s">
        <v>23</v>
      </c>
      <c r="E1398" s="22" t="s">
        <v>24</v>
      </c>
      <c r="F1398" s="22" t="s">
        <v>25</v>
      </c>
      <c r="G1398" s="22" t="s">
        <v>26</v>
      </c>
      <c r="H1398" s="22">
        <v>1</v>
      </c>
      <c r="I1398" s="22">
        <v>0</v>
      </c>
      <c r="J1398" s="22">
        <v>0</v>
      </c>
      <c r="K1398" s="22">
        <v>0</v>
      </c>
      <c r="L1398" s="22">
        <v>0</v>
      </c>
      <c r="M1398" s="22">
        <v>0</v>
      </c>
      <c r="N1398" s="22">
        <v>0</v>
      </c>
      <c r="O1398" s="22"/>
      <c r="P1398" s="22">
        <v>62.4</v>
      </c>
      <c r="Q1398" s="22" t="str">
        <f t="shared" si="63"/>
        <v>Normal</v>
      </c>
      <c r="R1398" s="26" t="str">
        <f t="shared" si="64"/>
        <v>USR-10139745761TreatmentWestMobileOrganicFree100000062.4</v>
      </c>
      <c r="S1398" s="22" t="str">
        <f t="shared" si="65"/>
        <v>OK</v>
      </c>
    </row>
    <row r="1399" spans="1:19" ht="41.4">
      <c r="A1399" s="22" t="s">
        <v>1430</v>
      </c>
      <c r="B1399" s="25">
        <v>45692</v>
      </c>
      <c r="C1399" s="22" t="s">
        <v>723</v>
      </c>
      <c r="D1399" s="22" t="s">
        <v>23</v>
      </c>
      <c r="E1399" s="22" t="s">
        <v>34</v>
      </c>
      <c r="F1399" s="22" t="s">
        <v>25</v>
      </c>
      <c r="G1399" s="22" t="s">
        <v>30</v>
      </c>
      <c r="H1399" s="22">
        <v>0</v>
      </c>
      <c r="I1399" s="22">
        <v>0</v>
      </c>
      <c r="J1399" s="22">
        <v>0</v>
      </c>
      <c r="K1399" s="22">
        <v>0</v>
      </c>
      <c r="L1399" s="22">
        <v>0</v>
      </c>
      <c r="M1399" s="22">
        <v>0</v>
      </c>
      <c r="N1399" s="22">
        <v>0</v>
      </c>
      <c r="O1399" s="22"/>
      <c r="P1399" s="22">
        <v>67.3</v>
      </c>
      <c r="Q1399" s="22" t="str">
        <f t="shared" si="63"/>
        <v>Normal</v>
      </c>
      <c r="R1399" s="26" t="str">
        <f t="shared" si="64"/>
        <v>USR-10139845692TreatmentWestTabletOrganicPremium000000067.3</v>
      </c>
      <c r="S1399" s="22" t="str">
        <f t="shared" si="65"/>
        <v>OK</v>
      </c>
    </row>
    <row r="1400" spans="1:19" ht="41.4">
      <c r="A1400" s="22" t="s">
        <v>1431</v>
      </c>
      <c r="B1400" s="25">
        <v>45738</v>
      </c>
      <c r="C1400" s="22" t="s">
        <v>723</v>
      </c>
      <c r="D1400" s="22" t="s">
        <v>28</v>
      </c>
      <c r="E1400" s="22" t="s">
        <v>24</v>
      </c>
      <c r="F1400" s="22" t="s">
        <v>39</v>
      </c>
      <c r="G1400" s="22" t="s">
        <v>26</v>
      </c>
      <c r="H1400" s="22">
        <v>1</v>
      </c>
      <c r="I1400" s="22">
        <v>0</v>
      </c>
      <c r="J1400" s="22">
        <v>0</v>
      </c>
      <c r="K1400" s="22">
        <v>0</v>
      </c>
      <c r="L1400" s="22">
        <v>0</v>
      </c>
      <c r="M1400" s="22">
        <v>0</v>
      </c>
      <c r="N1400" s="22">
        <v>0</v>
      </c>
      <c r="O1400" s="22"/>
      <c r="P1400" s="22">
        <v>54.9</v>
      </c>
      <c r="Q1400" s="22" t="str">
        <f t="shared" si="63"/>
        <v>Normal</v>
      </c>
      <c r="R1400" s="26" t="str">
        <f t="shared" si="64"/>
        <v>USR-10139945738TreatmentEastMobileReferralFree100000054.9</v>
      </c>
      <c r="S1400" s="22" t="str">
        <f t="shared" si="65"/>
        <v>OK</v>
      </c>
    </row>
    <row r="1401" spans="1:19" ht="41.4">
      <c r="A1401" s="22" t="s">
        <v>1432</v>
      </c>
      <c r="B1401" s="25">
        <v>45765</v>
      </c>
      <c r="C1401" s="22" t="s">
        <v>723</v>
      </c>
      <c r="D1401" s="22" t="s">
        <v>28</v>
      </c>
      <c r="E1401" s="22" t="s">
        <v>19</v>
      </c>
      <c r="F1401" s="22" t="s">
        <v>41</v>
      </c>
      <c r="G1401" s="22" t="s">
        <v>26</v>
      </c>
      <c r="H1401" s="22">
        <v>0</v>
      </c>
      <c r="I1401" s="22">
        <v>0</v>
      </c>
      <c r="J1401" s="22">
        <v>0</v>
      </c>
      <c r="K1401" s="22">
        <v>0</v>
      </c>
      <c r="L1401" s="22">
        <v>0</v>
      </c>
      <c r="M1401" s="22">
        <v>0</v>
      </c>
      <c r="N1401" s="22">
        <v>0</v>
      </c>
      <c r="O1401" s="22"/>
      <c r="P1401" s="22">
        <v>55.7</v>
      </c>
      <c r="Q1401" s="22" t="str">
        <f t="shared" si="63"/>
        <v>Normal</v>
      </c>
      <c r="R1401" s="26" t="str">
        <f t="shared" si="64"/>
        <v>USR-10140045765TreatmentEastDesktopSocialFree000000055.7</v>
      </c>
      <c r="S1401" s="22" t="str">
        <f t="shared" si="65"/>
        <v>OK</v>
      </c>
    </row>
    <row r="1402" spans="1:19" ht="41.4">
      <c r="A1402" s="22" t="s">
        <v>949</v>
      </c>
      <c r="B1402" s="25">
        <v>45711</v>
      </c>
      <c r="C1402" s="22" t="s">
        <v>723</v>
      </c>
      <c r="D1402" s="22" t="s">
        <v>23</v>
      </c>
      <c r="E1402" s="22" t="s">
        <v>19</v>
      </c>
      <c r="F1402" s="22" t="s">
        <v>41</v>
      </c>
      <c r="G1402" s="22" t="s">
        <v>21</v>
      </c>
      <c r="H1402" s="22">
        <v>1</v>
      </c>
      <c r="I1402" s="22">
        <v>1</v>
      </c>
      <c r="J1402" s="22">
        <v>1</v>
      </c>
      <c r="K1402" s="22">
        <v>0</v>
      </c>
      <c r="L1402" s="22">
        <v>0</v>
      </c>
      <c r="M1402" s="22">
        <v>0</v>
      </c>
      <c r="N1402" s="22">
        <v>0</v>
      </c>
      <c r="O1402" s="22"/>
      <c r="P1402" s="22">
        <v>70.599999999999994</v>
      </c>
      <c r="Q1402" s="22" t="str">
        <f t="shared" si="63"/>
        <v>Normal</v>
      </c>
      <c r="R1402" s="26" t="str">
        <f t="shared" si="64"/>
        <v>USR-10091745711TreatmentWestDesktopSocialBasic111000070.6</v>
      </c>
      <c r="S1402" s="22" t="str">
        <f t="shared" si="65"/>
        <v>Exact Duplicate</v>
      </c>
    </row>
    <row r="1403" spans="1:19" ht="41.4">
      <c r="A1403" s="22" t="s">
        <v>464</v>
      </c>
      <c r="B1403" s="25">
        <v>45691</v>
      </c>
      <c r="C1403" s="22" t="s">
        <v>17</v>
      </c>
      <c r="D1403" s="22" t="s">
        <v>18</v>
      </c>
      <c r="E1403" s="22" t="s">
        <v>34</v>
      </c>
      <c r="F1403" s="22" t="s">
        <v>20</v>
      </c>
      <c r="G1403" s="22" t="s">
        <v>21</v>
      </c>
      <c r="H1403" s="22">
        <v>1</v>
      </c>
      <c r="I1403" s="22">
        <v>0</v>
      </c>
      <c r="J1403" s="22">
        <v>0</v>
      </c>
      <c r="K1403" s="22">
        <v>0</v>
      </c>
      <c r="L1403" s="22">
        <v>0</v>
      </c>
      <c r="M1403" s="22">
        <v>0</v>
      </c>
      <c r="N1403" s="22">
        <v>0</v>
      </c>
      <c r="O1403" s="22"/>
      <c r="P1403" s="22">
        <v>60.9</v>
      </c>
      <c r="Q1403" s="22" t="str">
        <f t="shared" si="63"/>
        <v>Normal</v>
      </c>
      <c r="R1403" s="26" t="str">
        <f t="shared" si="64"/>
        <v>USR-10043345691ControlNorthTabletEmailBasic100000060.9</v>
      </c>
      <c r="S1403" s="22" t="str">
        <f t="shared" si="65"/>
        <v>Exact Duplicate</v>
      </c>
    </row>
    <row r="1404" spans="1:19" ht="41.4">
      <c r="A1404" s="22" t="s">
        <v>1394</v>
      </c>
      <c r="B1404" s="25">
        <v>45800</v>
      </c>
      <c r="C1404" s="22" t="s">
        <v>723</v>
      </c>
      <c r="D1404" s="22" t="s">
        <v>28</v>
      </c>
      <c r="E1404" s="22" t="s">
        <v>24</v>
      </c>
      <c r="F1404" s="22" t="s">
        <v>25</v>
      </c>
      <c r="G1404" s="22" t="s">
        <v>21</v>
      </c>
      <c r="H1404" s="22">
        <v>1</v>
      </c>
      <c r="I1404" s="22">
        <v>0</v>
      </c>
      <c r="J1404" s="22">
        <v>0</v>
      </c>
      <c r="K1404" s="22">
        <v>0</v>
      </c>
      <c r="L1404" s="22">
        <v>0</v>
      </c>
      <c r="M1404" s="22">
        <v>0</v>
      </c>
      <c r="N1404" s="22">
        <v>0</v>
      </c>
      <c r="O1404" s="22"/>
      <c r="P1404" s="22">
        <v>33.6</v>
      </c>
      <c r="Q1404" s="22" t="str">
        <f t="shared" si="63"/>
        <v>Normal</v>
      </c>
      <c r="R1404" s="26" t="str">
        <f t="shared" si="64"/>
        <v>USR-10136245800TreatmentEastMobileOrganicBasic100000033.6</v>
      </c>
      <c r="S1404" s="22" t="str">
        <f t="shared" si="65"/>
        <v>Exact Duplicate</v>
      </c>
    </row>
    <row r="1405" spans="1:19" ht="41.4">
      <c r="A1405" s="22" t="s">
        <v>127</v>
      </c>
      <c r="B1405" s="25">
        <v>45693</v>
      </c>
      <c r="C1405" s="22" t="s">
        <v>17</v>
      </c>
      <c r="D1405" s="22" t="s">
        <v>28</v>
      </c>
      <c r="E1405" s="22" t="s">
        <v>24</v>
      </c>
      <c r="F1405" s="22" t="s">
        <v>41</v>
      </c>
      <c r="G1405" s="22" t="s">
        <v>26</v>
      </c>
      <c r="H1405" s="22">
        <v>0</v>
      </c>
      <c r="I1405" s="22">
        <v>0</v>
      </c>
      <c r="J1405" s="22">
        <v>0</v>
      </c>
      <c r="K1405" s="22">
        <v>0</v>
      </c>
      <c r="L1405" s="22">
        <v>0</v>
      </c>
      <c r="M1405" s="22">
        <v>0</v>
      </c>
      <c r="N1405" s="22">
        <v>0</v>
      </c>
      <c r="O1405" s="22"/>
      <c r="P1405" s="22">
        <v>68</v>
      </c>
      <c r="Q1405" s="22" t="str">
        <f t="shared" si="63"/>
        <v>Normal</v>
      </c>
      <c r="R1405" s="26" t="str">
        <f t="shared" si="64"/>
        <v>USR-10009645693ControlEastMobileSocialFree000000068</v>
      </c>
      <c r="S1405" s="22" t="str">
        <f t="shared" si="65"/>
        <v>Exact Duplicate</v>
      </c>
    </row>
    <row r="1406" spans="1:19" ht="41.4">
      <c r="A1406" s="22" t="s">
        <v>1242</v>
      </c>
      <c r="B1406" s="25">
        <v>45712</v>
      </c>
      <c r="C1406" s="22" t="s">
        <v>723</v>
      </c>
      <c r="D1406" s="22" t="s">
        <v>23</v>
      </c>
      <c r="E1406" s="22" t="s">
        <v>24</v>
      </c>
      <c r="F1406" s="22" t="s">
        <v>25</v>
      </c>
      <c r="G1406" s="22" t="s">
        <v>21</v>
      </c>
      <c r="H1406" s="22">
        <v>1</v>
      </c>
      <c r="I1406" s="22">
        <v>0</v>
      </c>
      <c r="J1406" s="22">
        <v>0</v>
      </c>
      <c r="K1406" s="22">
        <v>0</v>
      </c>
      <c r="L1406" s="22">
        <v>0</v>
      </c>
      <c r="M1406" s="22">
        <v>0</v>
      </c>
      <c r="N1406" s="22">
        <v>0</v>
      </c>
      <c r="O1406" s="22"/>
      <c r="P1406" s="22">
        <v>62</v>
      </c>
      <c r="Q1406" s="22" t="str">
        <f t="shared" si="63"/>
        <v>Normal</v>
      </c>
      <c r="R1406" s="26" t="str">
        <f t="shared" si="64"/>
        <v>USR-10121045712TreatmentWestMobileOrganicBasic100000062</v>
      </c>
      <c r="S1406" s="22" t="str">
        <f t="shared" si="65"/>
        <v>Exact Duplicate</v>
      </c>
    </row>
    <row r="1407" spans="1:19" ht="41.4">
      <c r="A1407" s="22" t="s">
        <v>1264</v>
      </c>
      <c r="B1407" s="25">
        <v>45746</v>
      </c>
      <c r="C1407" s="22" t="s">
        <v>723</v>
      </c>
      <c r="D1407" s="22" t="s">
        <v>28</v>
      </c>
      <c r="E1407" s="22" t="s">
        <v>24</v>
      </c>
      <c r="F1407" s="22" t="s">
        <v>25</v>
      </c>
      <c r="G1407" s="22" t="s">
        <v>26</v>
      </c>
      <c r="H1407" s="22">
        <v>1</v>
      </c>
      <c r="I1407" s="22">
        <v>1</v>
      </c>
      <c r="J1407" s="22">
        <v>1</v>
      </c>
      <c r="K1407" s="22">
        <v>0</v>
      </c>
      <c r="L1407" s="22">
        <v>0</v>
      </c>
      <c r="M1407" s="22">
        <v>1</v>
      </c>
      <c r="N1407" s="22">
        <v>0</v>
      </c>
      <c r="O1407" s="22"/>
      <c r="P1407" s="22">
        <v>72.5</v>
      </c>
      <c r="Q1407" s="22" t="str">
        <f t="shared" si="63"/>
        <v>Normal</v>
      </c>
      <c r="R1407" s="26" t="str">
        <f t="shared" si="64"/>
        <v>USR-10123245746TreatmentEastMobileOrganicFree111001072.5</v>
      </c>
      <c r="S1407" s="22" t="str">
        <f t="shared" si="65"/>
        <v>Exact Duplicate</v>
      </c>
    </row>
    <row r="1408" spans="1:19" ht="41.4">
      <c r="A1408" s="22" t="s">
        <v>1091</v>
      </c>
      <c r="B1408" s="25">
        <v>45793</v>
      </c>
      <c r="C1408" s="22" t="s">
        <v>723</v>
      </c>
      <c r="D1408" s="22" t="s">
        <v>32</v>
      </c>
      <c r="E1408" s="22" t="s">
        <v>24</v>
      </c>
      <c r="F1408" s="22" t="s">
        <v>25</v>
      </c>
      <c r="G1408" s="22" t="s">
        <v>26</v>
      </c>
      <c r="H1408" s="22">
        <v>1</v>
      </c>
      <c r="I1408" s="22">
        <v>0</v>
      </c>
      <c r="J1408" s="22">
        <v>0</v>
      </c>
      <c r="K1408" s="22">
        <v>0</v>
      </c>
      <c r="L1408" s="22">
        <v>0</v>
      </c>
      <c r="M1408" s="22">
        <v>0</v>
      </c>
      <c r="N1408" s="22">
        <v>0</v>
      </c>
      <c r="O1408" s="22"/>
      <c r="P1408" s="22">
        <v>70.3</v>
      </c>
      <c r="Q1408" s="22" t="str">
        <f t="shared" si="63"/>
        <v>Normal</v>
      </c>
      <c r="R1408" s="26" t="str">
        <f t="shared" si="64"/>
        <v>USR-10105945793TreatmentSouthMobileOrganicFree100000070.3</v>
      </c>
      <c r="S1408" s="22" t="str">
        <f t="shared" si="65"/>
        <v>Exact Duplicate</v>
      </c>
    </row>
    <row r="1409" spans="1:19" ht="41.4">
      <c r="A1409" s="22" t="s">
        <v>572</v>
      </c>
      <c r="B1409" s="25">
        <v>45799</v>
      </c>
      <c r="C1409" s="22" t="s">
        <v>17</v>
      </c>
      <c r="D1409" s="22" t="s">
        <v>18</v>
      </c>
      <c r="E1409" s="22" t="s">
        <v>24</v>
      </c>
      <c r="F1409" s="22" t="s">
        <v>29</v>
      </c>
      <c r="G1409" s="22" t="s">
        <v>21</v>
      </c>
      <c r="H1409" s="22">
        <v>1</v>
      </c>
      <c r="I1409" s="22">
        <v>1</v>
      </c>
      <c r="J1409" s="22">
        <v>0</v>
      </c>
      <c r="K1409" s="22">
        <v>0</v>
      </c>
      <c r="L1409" s="22">
        <v>0</v>
      </c>
      <c r="M1409" s="22">
        <v>0</v>
      </c>
      <c r="N1409" s="22">
        <v>0</v>
      </c>
      <c r="O1409" s="22"/>
      <c r="P1409" s="22">
        <v>39.9</v>
      </c>
      <c r="Q1409" s="22" t="str">
        <f t="shared" si="63"/>
        <v>Normal</v>
      </c>
      <c r="R1409" s="26" t="str">
        <f t="shared" si="64"/>
        <v>USR-10054145799ControlNorthMobilePaid SearchBasic110000039.9</v>
      </c>
      <c r="S1409" s="22" t="str">
        <f t="shared" si="65"/>
        <v>Exact Duplicate</v>
      </c>
    </row>
  </sheetData>
  <autoFilter ref="A1:S1409" xr:uid="{56A49A2F-76CB-4BD8-B78C-03A43375F6F5}"/>
  <mergeCells count="4">
    <mergeCell ref="U2:V2"/>
    <mergeCell ref="U22:V22"/>
    <mergeCell ref="U29:V29"/>
    <mergeCell ref="U36:V3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409"/>
  <sheetViews>
    <sheetView workbookViewId="0">
      <selection activeCell="E31" sqref="E31"/>
    </sheetView>
  </sheetViews>
  <sheetFormatPr defaultRowHeight="13.8"/>
  <cols>
    <col min="1" max="16" width="16" customWidth="1"/>
  </cols>
  <sheetData>
    <row r="1" spans="1:16" ht="22.3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s="2">
        <v>45732</v>
      </c>
      <c r="C2" t="s">
        <v>17</v>
      </c>
      <c r="D2" t="s">
        <v>18</v>
      </c>
      <c r="E2" t="s">
        <v>19</v>
      </c>
      <c r="F2" t="s">
        <v>20</v>
      </c>
      <c r="G2" t="s">
        <v>21</v>
      </c>
      <c r="H2">
        <v>0</v>
      </c>
      <c r="I2">
        <v>0</v>
      </c>
      <c r="J2">
        <v>0</v>
      </c>
      <c r="K2">
        <v>0</v>
      </c>
      <c r="L2">
        <v>0</v>
      </c>
      <c r="M2">
        <v>0</v>
      </c>
      <c r="N2">
        <v>0</v>
      </c>
      <c r="P2">
        <v>45.7</v>
      </c>
    </row>
    <row r="3" spans="1:16">
      <c r="A3" t="s">
        <v>22</v>
      </c>
      <c r="B3" s="2">
        <v>45724</v>
      </c>
      <c r="C3" t="s">
        <v>17</v>
      </c>
      <c r="D3" t="s">
        <v>23</v>
      </c>
      <c r="E3" t="s">
        <v>24</v>
      </c>
      <c r="F3" t="s">
        <v>25</v>
      </c>
      <c r="G3" t="s">
        <v>26</v>
      </c>
      <c r="H3">
        <v>1</v>
      </c>
      <c r="I3">
        <v>0</v>
      </c>
      <c r="J3">
        <v>0</v>
      </c>
      <c r="K3">
        <v>0</v>
      </c>
      <c r="L3">
        <v>0</v>
      </c>
      <c r="M3">
        <v>0</v>
      </c>
      <c r="N3">
        <v>0</v>
      </c>
      <c r="P3">
        <v>48.6</v>
      </c>
    </row>
    <row r="4" spans="1:16">
      <c r="A4" t="s">
        <v>27</v>
      </c>
      <c r="B4" s="2">
        <v>45771</v>
      </c>
      <c r="C4" t="s">
        <v>17</v>
      </c>
      <c r="D4" t="s">
        <v>28</v>
      </c>
      <c r="E4" t="s">
        <v>24</v>
      </c>
      <c r="F4" t="s">
        <v>29</v>
      </c>
      <c r="G4" t="s">
        <v>30</v>
      </c>
      <c r="H4">
        <v>1</v>
      </c>
      <c r="I4">
        <v>0</v>
      </c>
      <c r="J4">
        <v>0</v>
      </c>
      <c r="K4">
        <v>0</v>
      </c>
      <c r="L4">
        <v>0</v>
      </c>
      <c r="M4">
        <v>1</v>
      </c>
      <c r="N4">
        <v>0</v>
      </c>
      <c r="P4">
        <v>35.4</v>
      </c>
    </row>
    <row r="5" spans="1:16">
      <c r="A5" t="s">
        <v>31</v>
      </c>
      <c r="B5" s="2">
        <v>45781</v>
      </c>
      <c r="C5" t="s">
        <v>17</v>
      </c>
      <c r="D5" t="s">
        <v>32</v>
      </c>
      <c r="E5" t="s">
        <v>24</v>
      </c>
      <c r="F5" t="s">
        <v>20</v>
      </c>
      <c r="G5" t="s">
        <v>21</v>
      </c>
      <c r="H5">
        <v>1</v>
      </c>
      <c r="I5">
        <v>0</v>
      </c>
      <c r="J5">
        <v>0</v>
      </c>
      <c r="K5">
        <v>0</v>
      </c>
      <c r="L5">
        <v>0</v>
      </c>
      <c r="M5">
        <v>0</v>
      </c>
      <c r="N5">
        <v>0</v>
      </c>
      <c r="P5">
        <v>64.599999999999994</v>
      </c>
    </row>
    <row r="6" spans="1:16">
      <c r="A6" t="s">
        <v>33</v>
      </c>
      <c r="B6" s="2">
        <v>45700</v>
      </c>
      <c r="C6" t="s">
        <v>17</v>
      </c>
      <c r="D6" t="s">
        <v>18</v>
      </c>
      <c r="E6" t="s">
        <v>34</v>
      </c>
      <c r="F6" t="s">
        <v>25</v>
      </c>
      <c r="G6" t="s">
        <v>26</v>
      </c>
      <c r="H6">
        <v>0</v>
      </c>
      <c r="I6">
        <v>0</v>
      </c>
      <c r="J6">
        <v>0</v>
      </c>
      <c r="K6">
        <v>0</v>
      </c>
      <c r="L6">
        <v>0</v>
      </c>
      <c r="M6">
        <v>0</v>
      </c>
      <c r="N6">
        <v>0</v>
      </c>
      <c r="P6">
        <v>66.599999999999994</v>
      </c>
    </row>
    <row r="7" spans="1:16">
      <c r="A7" t="s">
        <v>35</v>
      </c>
      <c r="B7" s="2">
        <v>45685</v>
      </c>
      <c r="C7" t="s">
        <v>17</v>
      </c>
      <c r="D7" t="s">
        <v>28</v>
      </c>
      <c r="E7" t="s">
        <v>24</v>
      </c>
      <c r="F7" t="s">
        <v>25</v>
      </c>
      <c r="G7" t="s">
        <v>30</v>
      </c>
      <c r="H7">
        <v>1</v>
      </c>
      <c r="I7">
        <v>0</v>
      </c>
      <c r="J7">
        <v>0</v>
      </c>
      <c r="K7">
        <v>0</v>
      </c>
      <c r="L7">
        <v>0</v>
      </c>
      <c r="M7">
        <v>0</v>
      </c>
      <c r="N7">
        <v>0</v>
      </c>
      <c r="P7">
        <v>40.799999999999997</v>
      </c>
    </row>
    <row r="8" spans="1:16">
      <c r="A8" t="s">
        <v>36</v>
      </c>
      <c r="B8" s="2">
        <v>45755</v>
      </c>
      <c r="C8" t="s">
        <v>17</v>
      </c>
      <c r="D8" t="s">
        <v>28</v>
      </c>
      <c r="E8" t="s">
        <v>24</v>
      </c>
      <c r="F8" t="s">
        <v>29</v>
      </c>
      <c r="G8" t="s">
        <v>21</v>
      </c>
      <c r="H8">
        <v>1</v>
      </c>
      <c r="I8">
        <v>1</v>
      </c>
      <c r="J8">
        <v>0</v>
      </c>
      <c r="K8">
        <v>0</v>
      </c>
      <c r="L8">
        <v>0</v>
      </c>
      <c r="M8">
        <v>0</v>
      </c>
      <c r="N8">
        <v>0</v>
      </c>
      <c r="P8">
        <v>57.1</v>
      </c>
    </row>
    <row r="9" spans="1:16">
      <c r="A9" t="s">
        <v>37</v>
      </c>
      <c r="B9" s="2">
        <v>45794</v>
      </c>
      <c r="C9" t="s">
        <v>17</v>
      </c>
      <c r="D9" t="s">
        <v>32</v>
      </c>
      <c r="E9" t="s">
        <v>24</v>
      </c>
      <c r="F9" t="s">
        <v>29</v>
      </c>
      <c r="G9" t="s">
        <v>26</v>
      </c>
      <c r="H9">
        <v>0</v>
      </c>
      <c r="I9">
        <v>0</v>
      </c>
      <c r="J9">
        <v>0</v>
      </c>
      <c r="K9">
        <v>0</v>
      </c>
      <c r="L9">
        <v>0</v>
      </c>
      <c r="M9">
        <v>0</v>
      </c>
      <c r="N9">
        <v>0</v>
      </c>
      <c r="P9">
        <v>36.4</v>
      </c>
    </row>
    <row r="10" spans="1:16">
      <c r="A10" t="s">
        <v>38</v>
      </c>
      <c r="B10" s="2">
        <v>45711</v>
      </c>
      <c r="C10" t="s">
        <v>17</v>
      </c>
      <c r="D10" t="s">
        <v>32</v>
      </c>
      <c r="E10" t="s">
        <v>34</v>
      </c>
      <c r="F10" t="s">
        <v>39</v>
      </c>
      <c r="G10" t="s">
        <v>21</v>
      </c>
      <c r="H10">
        <v>0</v>
      </c>
      <c r="I10">
        <v>0</v>
      </c>
      <c r="J10">
        <v>0</v>
      </c>
      <c r="K10">
        <v>0</v>
      </c>
      <c r="L10">
        <v>0</v>
      </c>
      <c r="M10">
        <v>0</v>
      </c>
      <c r="N10">
        <v>0</v>
      </c>
      <c r="P10">
        <v>55.4</v>
      </c>
    </row>
    <row r="11" spans="1:16">
      <c r="A11" t="s">
        <v>40</v>
      </c>
      <c r="B11" s="2">
        <v>45806</v>
      </c>
      <c r="C11" t="s">
        <v>17</v>
      </c>
      <c r="D11" t="s">
        <v>23</v>
      </c>
      <c r="E11" t="s">
        <v>19</v>
      </c>
      <c r="F11" t="s">
        <v>41</v>
      </c>
      <c r="G11" t="s">
        <v>26</v>
      </c>
      <c r="H11">
        <v>1</v>
      </c>
      <c r="I11">
        <v>0</v>
      </c>
      <c r="J11">
        <v>0</v>
      </c>
      <c r="K11">
        <v>0</v>
      </c>
      <c r="L11">
        <v>0</v>
      </c>
      <c r="M11">
        <v>0</v>
      </c>
      <c r="N11">
        <v>0</v>
      </c>
      <c r="P11">
        <v>57.3</v>
      </c>
    </row>
    <row r="12" spans="1:16">
      <c r="A12" t="s">
        <v>42</v>
      </c>
      <c r="B12" s="2">
        <v>45777</v>
      </c>
      <c r="C12" t="s">
        <v>17</v>
      </c>
      <c r="D12" t="s">
        <v>28</v>
      </c>
      <c r="E12" t="s">
        <v>24</v>
      </c>
      <c r="F12" t="s">
        <v>29</v>
      </c>
      <c r="G12" t="s">
        <v>21</v>
      </c>
      <c r="H12">
        <v>1</v>
      </c>
      <c r="I12">
        <v>1</v>
      </c>
      <c r="J12">
        <v>1</v>
      </c>
      <c r="K12">
        <v>0</v>
      </c>
      <c r="L12">
        <v>0</v>
      </c>
      <c r="M12">
        <v>0</v>
      </c>
      <c r="N12">
        <v>0</v>
      </c>
      <c r="P12">
        <v>63.6</v>
      </c>
    </row>
    <row r="13" spans="1:16">
      <c r="A13" t="s">
        <v>43</v>
      </c>
      <c r="B13" s="2">
        <v>45732</v>
      </c>
      <c r="C13" t="s">
        <v>17</v>
      </c>
      <c r="D13" t="s">
        <v>28</v>
      </c>
      <c r="E13" t="s">
        <v>24</v>
      </c>
      <c r="F13" t="s">
        <v>41</v>
      </c>
      <c r="G13" t="s">
        <v>30</v>
      </c>
      <c r="H13">
        <v>1</v>
      </c>
      <c r="I13">
        <v>1</v>
      </c>
      <c r="J13">
        <v>1</v>
      </c>
      <c r="K13">
        <v>0</v>
      </c>
      <c r="L13">
        <v>0</v>
      </c>
      <c r="M13">
        <v>1</v>
      </c>
      <c r="N13">
        <v>0</v>
      </c>
      <c r="P13">
        <v>80.400000000000006</v>
      </c>
    </row>
    <row r="14" spans="1:16">
      <c r="A14" t="s">
        <v>44</v>
      </c>
      <c r="B14" s="2">
        <v>45695</v>
      </c>
      <c r="C14" t="s">
        <v>17</v>
      </c>
      <c r="D14" t="s">
        <v>32</v>
      </c>
      <c r="E14" t="s">
        <v>19</v>
      </c>
      <c r="F14" t="s">
        <v>20</v>
      </c>
      <c r="G14" t="s">
        <v>21</v>
      </c>
      <c r="H14">
        <v>1</v>
      </c>
      <c r="I14">
        <v>0</v>
      </c>
      <c r="J14">
        <v>0</v>
      </c>
      <c r="K14">
        <v>0</v>
      </c>
      <c r="L14">
        <v>0</v>
      </c>
      <c r="M14">
        <v>0</v>
      </c>
      <c r="N14">
        <v>0</v>
      </c>
      <c r="P14">
        <v>62.4</v>
      </c>
    </row>
    <row r="15" spans="1:16">
      <c r="A15" t="s">
        <v>45</v>
      </c>
      <c r="B15" s="2">
        <v>45718</v>
      </c>
      <c r="C15" t="s">
        <v>17</v>
      </c>
      <c r="D15" t="s">
        <v>23</v>
      </c>
      <c r="E15" t="s">
        <v>24</v>
      </c>
      <c r="F15" t="s">
        <v>41</v>
      </c>
      <c r="G15" t="s">
        <v>21</v>
      </c>
      <c r="H15">
        <v>1</v>
      </c>
      <c r="I15">
        <v>0</v>
      </c>
      <c r="J15">
        <v>0</v>
      </c>
      <c r="K15">
        <v>0</v>
      </c>
      <c r="L15">
        <v>0</v>
      </c>
      <c r="M15">
        <v>0</v>
      </c>
      <c r="N15">
        <v>0</v>
      </c>
      <c r="P15">
        <v>82.4</v>
      </c>
    </row>
    <row r="16" spans="1:16">
      <c r="A16" t="s">
        <v>46</v>
      </c>
      <c r="B16" s="2">
        <v>45807</v>
      </c>
      <c r="C16" t="s">
        <v>17</v>
      </c>
      <c r="D16" t="s">
        <v>32</v>
      </c>
      <c r="E16" t="s">
        <v>24</v>
      </c>
      <c r="F16" t="s">
        <v>25</v>
      </c>
      <c r="G16" t="s">
        <v>21</v>
      </c>
      <c r="H16">
        <v>0</v>
      </c>
      <c r="I16">
        <v>0</v>
      </c>
      <c r="J16">
        <v>0</v>
      </c>
      <c r="K16">
        <v>0</v>
      </c>
      <c r="L16">
        <v>0</v>
      </c>
      <c r="M16">
        <v>0</v>
      </c>
      <c r="N16">
        <v>0</v>
      </c>
      <c r="P16">
        <v>61.2</v>
      </c>
    </row>
    <row r="17" spans="1:16">
      <c r="A17" t="s">
        <v>47</v>
      </c>
      <c r="B17" s="2">
        <v>45741</v>
      </c>
      <c r="C17" t="s">
        <v>17</v>
      </c>
      <c r="D17" t="s">
        <v>32</v>
      </c>
      <c r="E17" t="s">
        <v>24</v>
      </c>
      <c r="F17" t="s">
        <v>41</v>
      </c>
      <c r="G17" t="s">
        <v>21</v>
      </c>
      <c r="H17">
        <v>1</v>
      </c>
      <c r="I17">
        <v>0</v>
      </c>
      <c r="J17">
        <v>0</v>
      </c>
      <c r="K17">
        <v>0</v>
      </c>
      <c r="L17">
        <v>0</v>
      </c>
      <c r="M17">
        <v>0</v>
      </c>
      <c r="N17">
        <v>0</v>
      </c>
      <c r="P17">
        <v>68.900000000000006</v>
      </c>
    </row>
    <row r="18" spans="1:16">
      <c r="A18" t="s">
        <v>48</v>
      </c>
      <c r="B18" s="2">
        <v>45743</v>
      </c>
      <c r="C18" t="s">
        <v>17</v>
      </c>
      <c r="D18" t="s">
        <v>28</v>
      </c>
      <c r="E18" t="s">
        <v>19</v>
      </c>
      <c r="F18" t="s">
        <v>29</v>
      </c>
      <c r="G18" t="s">
        <v>26</v>
      </c>
      <c r="H18">
        <v>1</v>
      </c>
      <c r="I18">
        <v>1</v>
      </c>
      <c r="J18">
        <v>1</v>
      </c>
      <c r="K18">
        <v>0</v>
      </c>
      <c r="L18">
        <v>0</v>
      </c>
      <c r="M18">
        <v>0</v>
      </c>
      <c r="N18">
        <v>0</v>
      </c>
      <c r="P18">
        <v>71.900000000000006</v>
      </c>
    </row>
    <row r="19" spans="1:16">
      <c r="A19" t="s">
        <v>49</v>
      </c>
      <c r="B19" s="2">
        <v>45805</v>
      </c>
      <c r="C19" t="s">
        <v>17</v>
      </c>
      <c r="D19" t="s">
        <v>32</v>
      </c>
      <c r="E19" t="s">
        <v>19</v>
      </c>
      <c r="F19" t="s">
        <v>29</v>
      </c>
      <c r="G19" t="s">
        <v>26</v>
      </c>
      <c r="H19">
        <v>0</v>
      </c>
      <c r="I19">
        <v>0</v>
      </c>
      <c r="J19">
        <v>0</v>
      </c>
      <c r="K19">
        <v>0</v>
      </c>
      <c r="L19">
        <v>0</v>
      </c>
      <c r="M19">
        <v>0</v>
      </c>
      <c r="N19">
        <v>0</v>
      </c>
      <c r="P19">
        <v>50.5</v>
      </c>
    </row>
    <row r="20" spans="1:16">
      <c r="A20" t="s">
        <v>50</v>
      </c>
      <c r="B20" s="2">
        <v>45703</v>
      </c>
      <c r="C20" t="s">
        <v>17</v>
      </c>
      <c r="D20" t="s">
        <v>18</v>
      </c>
      <c r="E20" t="s">
        <v>19</v>
      </c>
      <c r="F20" t="s">
        <v>29</v>
      </c>
      <c r="G20" t="s">
        <v>21</v>
      </c>
      <c r="H20">
        <v>0</v>
      </c>
      <c r="I20">
        <v>0</v>
      </c>
      <c r="J20">
        <v>0</v>
      </c>
      <c r="K20">
        <v>0</v>
      </c>
      <c r="L20">
        <v>0</v>
      </c>
      <c r="M20">
        <v>0</v>
      </c>
      <c r="N20">
        <v>0</v>
      </c>
      <c r="P20">
        <v>49.3</v>
      </c>
    </row>
    <row r="21" spans="1:16">
      <c r="A21" t="s">
        <v>51</v>
      </c>
      <c r="B21" s="2">
        <v>45782</v>
      </c>
      <c r="C21" t="s">
        <v>17</v>
      </c>
      <c r="D21" t="s">
        <v>23</v>
      </c>
      <c r="E21" t="s">
        <v>19</v>
      </c>
      <c r="F21" t="s">
        <v>25</v>
      </c>
      <c r="G21" t="s">
        <v>21</v>
      </c>
      <c r="H21">
        <v>0</v>
      </c>
      <c r="I21">
        <v>0</v>
      </c>
      <c r="J21">
        <v>0</v>
      </c>
      <c r="K21">
        <v>0</v>
      </c>
      <c r="L21">
        <v>0</v>
      </c>
      <c r="M21">
        <v>2</v>
      </c>
      <c r="N21">
        <v>0</v>
      </c>
      <c r="P21">
        <v>60.9</v>
      </c>
    </row>
    <row r="22" spans="1:16">
      <c r="A22" t="s">
        <v>52</v>
      </c>
      <c r="B22" s="2">
        <v>45760</v>
      </c>
      <c r="C22" t="s">
        <v>17</v>
      </c>
      <c r="D22" t="s">
        <v>28</v>
      </c>
      <c r="E22" t="s">
        <v>24</v>
      </c>
      <c r="F22" t="s">
        <v>41</v>
      </c>
      <c r="G22" t="s">
        <v>26</v>
      </c>
      <c r="H22">
        <v>1</v>
      </c>
      <c r="I22">
        <v>0</v>
      </c>
      <c r="J22">
        <v>0</v>
      </c>
      <c r="K22">
        <v>0</v>
      </c>
      <c r="L22">
        <v>0</v>
      </c>
      <c r="M22">
        <v>0</v>
      </c>
      <c r="N22">
        <v>0</v>
      </c>
      <c r="P22">
        <v>62.7</v>
      </c>
    </row>
    <row r="23" spans="1:16">
      <c r="A23" t="s">
        <v>53</v>
      </c>
      <c r="B23" s="2">
        <v>45784</v>
      </c>
      <c r="C23" t="s">
        <v>17</v>
      </c>
      <c r="D23" t="s">
        <v>18</v>
      </c>
      <c r="E23" t="s">
        <v>19</v>
      </c>
      <c r="F23" t="s">
        <v>29</v>
      </c>
      <c r="G23" t="s">
        <v>26</v>
      </c>
      <c r="H23">
        <v>0</v>
      </c>
      <c r="I23">
        <v>0</v>
      </c>
      <c r="J23">
        <v>0</v>
      </c>
      <c r="K23">
        <v>0</v>
      </c>
      <c r="L23">
        <v>0</v>
      </c>
      <c r="M23">
        <v>0</v>
      </c>
      <c r="N23">
        <v>0</v>
      </c>
      <c r="P23">
        <v>52.7</v>
      </c>
    </row>
    <row r="24" spans="1:16">
      <c r="A24" t="s">
        <v>54</v>
      </c>
      <c r="B24" s="2">
        <v>45802</v>
      </c>
      <c r="C24" t="s">
        <v>17</v>
      </c>
      <c r="D24" t="s">
        <v>18</v>
      </c>
      <c r="E24" t="s">
        <v>19</v>
      </c>
      <c r="F24" t="s">
        <v>25</v>
      </c>
      <c r="G24" t="s">
        <v>26</v>
      </c>
      <c r="H24">
        <v>0</v>
      </c>
      <c r="I24">
        <v>0</v>
      </c>
      <c r="J24">
        <v>0</v>
      </c>
      <c r="K24">
        <v>0</v>
      </c>
      <c r="L24">
        <v>0</v>
      </c>
      <c r="M24">
        <v>0</v>
      </c>
      <c r="N24">
        <v>0</v>
      </c>
      <c r="P24">
        <v>54</v>
      </c>
    </row>
    <row r="25" spans="1:16">
      <c r="A25" t="s">
        <v>55</v>
      </c>
      <c r="B25" s="2">
        <v>45748</v>
      </c>
      <c r="C25" t="s">
        <v>17</v>
      </c>
      <c r="D25" t="s">
        <v>28</v>
      </c>
      <c r="E25" t="s">
        <v>24</v>
      </c>
      <c r="F25" t="s">
        <v>29</v>
      </c>
      <c r="G25" t="s">
        <v>30</v>
      </c>
      <c r="H25">
        <v>1</v>
      </c>
      <c r="I25">
        <v>1</v>
      </c>
      <c r="J25">
        <v>0</v>
      </c>
      <c r="K25">
        <v>0</v>
      </c>
      <c r="L25">
        <v>0</v>
      </c>
      <c r="M25">
        <v>0</v>
      </c>
      <c r="N25">
        <v>0</v>
      </c>
      <c r="P25">
        <v>51.6</v>
      </c>
    </row>
    <row r="26" spans="1:16">
      <c r="A26" t="s">
        <v>56</v>
      </c>
      <c r="B26" s="2">
        <v>45710</v>
      </c>
      <c r="C26" t="s">
        <v>17</v>
      </c>
      <c r="D26" t="s">
        <v>18</v>
      </c>
      <c r="E26" t="s">
        <v>24</v>
      </c>
      <c r="F26" t="s">
        <v>29</v>
      </c>
      <c r="G26" t="s">
        <v>30</v>
      </c>
      <c r="H26">
        <v>0</v>
      </c>
      <c r="I26">
        <v>0</v>
      </c>
      <c r="J26">
        <v>0</v>
      </c>
      <c r="K26">
        <v>0</v>
      </c>
      <c r="L26">
        <v>0</v>
      </c>
      <c r="M26">
        <v>2</v>
      </c>
      <c r="N26">
        <v>0</v>
      </c>
      <c r="P26">
        <v>66.900000000000006</v>
      </c>
    </row>
    <row r="27" spans="1:16">
      <c r="A27" t="s">
        <v>57</v>
      </c>
      <c r="B27" s="2">
        <v>45740</v>
      </c>
      <c r="C27" t="s">
        <v>17</v>
      </c>
      <c r="D27" t="s">
        <v>28</v>
      </c>
      <c r="E27" t="s">
        <v>24</v>
      </c>
      <c r="F27" t="s">
        <v>25</v>
      </c>
      <c r="G27" t="s">
        <v>21</v>
      </c>
      <c r="H27">
        <v>0</v>
      </c>
      <c r="I27">
        <v>0</v>
      </c>
      <c r="J27">
        <v>0</v>
      </c>
      <c r="K27">
        <v>0</v>
      </c>
      <c r="L27">
        <v>0</v>
      </c>
      <c r="M27">
        <v>0</v>
      </c>
      <c r="N27">
        <v>0</v>
      </c>
      <c r="P27">
        <v>67.400000000000006</v>
      </c>
    </row>
    <row r="28" spans="1:16">
      <c r="A28" t="s">
        <v>58</v>
      </c>
      <c r="B28" s="2">
        <v>45701</v>
      </c>
      <c r="C28" t="s">
        <v>17</v>
      </c>
      <c r="D28" t="s">
        <v>18</v>
      </c>
      <c r="E28" t="s">
        <v>24</v>
      </c>
      <c r="F28" t="s">
        <v>25</v>
      </c>
      <c r="G28" t="s">
        <v>26</v>
      </c>
      <c r="H28">
        <v>0</v>
      </c>
      <c r="I28">
        <v>0</v>
      </c>
      <c r="J28">
        <v>0</v>
      </c>
      <c r="K28">
        <v>0</v>
      </c>
      <c r="L28">
        <v>0</v>
      </c>
      <c r="M28">
        <v>0</v>
      </c>
      <c r="N28">
        <v>0</v>
      </c>
      <c r="P28">
        <v>58.8</v>
      </c>
    </row>
    <row r="29" spans="1:16">
      <c r="A29" t="s">
        <v>59</v>
      </c>
      <c r="B29" s="2">
        <v>45807</v>
      </c>
      <c r="C29" t="s">
        <v>17</v>
      </c>
      <c r="D29" t="s">
        <v>32</v>
      </c>
      <c r="E29" t="s">
        <v>24</v>
      </c>
      <c r="F29" t="s">
        <v>25</v>
      </c>
      <c r="G29" t="s">
        <v>26</v>
      </c>
      <c r="H29">
        <v>1</v>
      </c>
      <c r="I29">
        <v>0</v>
      </c>
      <c r="J29">
        <v>0</v>
      </c>
      <c r="K29">
        <v>0</v>
      </c>
      <c r="L29">
        <v>0</v>
      </c>
      <c r="M29">
        <v>0</v>
      </c>
      <c r="N29">
        <v>0</v>
      </c>
      <c r="P29">
        <v>73.8</v>
      </c>
    </row>
    <row r="30" spans="1:16">
      <c r="A30" t="s">
        <v>60</v>
      </c>
      <c r="B30" s="2">
        <v>45677</v>
      </c>
      <c r="C30" t="s">
        <v>17</v>
      </c>
      <c r="D30" t="s">
        <v>28</v>
      </c>
      <c r="E30" t="s">
        <v>34</v>
      </c>
      <c r="F30" t="s">
        <v>25</v>
      </c>
      <c r="G30" t="s">
        <v>21</v>
      </c>
      <c r="H30">
        <v>0</v>
      </c>
      <c r="I30">
        <v>0</v>
      </c>
      <c r="J30">
        <v>0</v>
      </c>
      <c r="K30">
        <v>0</v>
      </c>
      <c r="L30">
        <v>0</v>
      </c>
      <c r="M30">
        <v>0</v>
      </c>
      <c r="N30">
        <v>0</v>
      </c>
      <c r="P30">
        <v>60.1</v>
      </c>
    </row>
    <row r="31" spans="1:16">
      <c r="A31" t="s">
        <v>61</v>
      </c>
      <c r="B31" s="2">
        <v>45796</v>
      </c>
      <c r="C31" t="s">
        <v>17</v>
      </c>
      <c r="D31" t="s">
        <v>28</v>
      </c>
      <c r="E31" t="s">
        <v>24</v>
      </c>
      <c r="F31" t="s">
        <v>41</v>
      </c>
      <c r="G31" t="s">
        <v>21</v>
      </c>
      <c r="H31">
        <v>1</v>
      </c>
      <c r="I31">
        <v>1</v>
      </c>
      <c r="J31">
        <v>1</v>
      </c>
      <c r="K31">
        <v>0</v>
      </c>
      <c r="L31">
        <v>0</v>
      </c>
      <c r="M31">
        <v>0</v>
      </c>
      <c r="N31">
        <v>0</v>
      </c>
      <c r="P31">
        <v>41</v>
      </c>
    </row>
    <row r="32" spans="1:16">
      <c r="A32" t="s">
        <v>62</v>
      </c>
      <c r="B32" s="2">
        <v>45706</v>
      </c>
      <c r="C32" t="s">
        <v>17</v>
      </c>
      <c r="D32" t="s">
        <v>32</v>
      </c>
      <c r="E32" t="s">
        <v>24</v>
      </c>
      <c r="F32" t="s">
        <v>25</v>
      </c>
      <c r="G32" t="s">
        <v>21</v>
      </c>
      <c r="H32">
        <v>1</v>
      </c>
      <c r="I32">
        <v>0</v>
      </c>
      <c r="J32">
        <v>0</v>
      </c>
      <c r="K32">
        <v>0</v>
      </c>
      <c r="L32">
        <v>0</v>
      </c>
      <c r="M32">
        <v>0</v>
      </c>
      <c r="N32">
        <v>0</v>
      </c>
      <c r="P32">
        <v>80.3</v>
      </c>
    </row>
    <row r="33" spans="1:16">
      <c r="A33" t="s">
        <v>63</v>
      </c>
      <c r="B33" s="2">
        <v>45701</v>
      </c>
      <c r="C33" t="s">
        <v>17</v>
      </c>
      <c r="D33" t="s">
        <v>28</v>
      </c>
      <c r="E33" t="s">
        <v>24</v>
      </c>
      <c r="F33" t="s">
        <v>25</v>
      </c>
      <c r="G33" t="s">
        <v>26</v>
      </c>
      <c r="H33">
        <v>0</v>
      </c>
      <c r="I33">
        <v>0</v>
      </c>
      <c r="J33">
        <v>0</v>
      </c>
      <c r="K33">
        <v>0</v>
      </c>
      <c r="L33">
        <v>0</v>
      </c>
      <c r="M33">
        <v>0</v>
      </c>
      <c r="N33">
        <v>0</v>
      </c>
      <c r="P33">
        <v>67.599999999999994</v>
      </c>
    </row>
    <row r="34" spans="1:16">
      <c r="A34" t="s">
        <v>64</v>
      </c>
      <c r="B34" s="2">
        <v>45724</v>
      </c>
      <c r="C34" t="s">
        <v>17</v>
      </c>
      <c r="D34" t="s">
        <v>28</v>
      </c>
      <c r="E34" t="s">
        <v>19</v>
      </c>
      <c r="F34" t="s">
        <v>39</v>
      </c>
      <c r="G34" t="s">
        <v>30</v>
      </c>
      <c r="H34">
        <v>0</v>
      </c>
      <c r="I34">
        <v>0</v>
      </c>
      <c r="J34">
        <v>0</v>
      </c>
      <c r="K34">
        <v>0</v>
      </c>
      <c r="L34">
        <v>0</v>
      </c>
      <c r="M34">
        <v>0</v>
      </c>
      <c r="N34">
        <v>0</v>
      </c>
      <c r="P34">
        <v>64</v>
      </c>
    </row>
    <row r="35" spans="1:16">
      <c r="A35" t="s">
        <v>65</v>
      </c>
      <c r="B35" s="2">
        <v>45668</v>
      </c>
      <c r="C35" t="s">
        <v>17</v>
      </c>
      <c r="D35" t="s">
        <v>18</v>
      </c>
      <c r="E35" t="s">
        <v>24</v>
      </c>
      <c r="F35" t="s">
        <v>29</v>
      </c>
      <c r="G35" t="s">
        <v>26</v>
      </c>
      <c r="H35">
        <v>1</v>
      </c>
      <c r="I35">
        <v>1</v>
      </c>
      <c r="J35">
        <v>0</v>
      </c>
      <c r="K35">
        <v>0</v>
      </c>
      <c r="L35">
        <v>0</v>
      </c>
      <c r="M35">
        <v>0</v>
      </c>
      <c r="N35">
        <v>0</v>
      </c>
      <c r="P35">
        <v>27.2</v>
      </c>
    </row>
    <row r="36" spans="1:16">
      <c r="A36" t="s">
        <v>66</v>
      </c>
      <c r="B36" s="2">
        <v>45700</v>
      </c>
      <c r="C36" t="s">
        <v>17</v>
      </c>
      <c r="D36" t="s">
        <v>18</v>
      </c>
      <c r="E36" t="s">
        <v>19</v>
      </c>
      <c r="F36" t="s">
        <v>25</v>
      </c>
      <c r="G36" t="s">
        <v>26</v>
      </c>
      <c r="H36">
        <v>1</v>
      </c>
      <c r="I36">
        <v>0</v>
      </c>
      <c r="J36">
        <v>0</v>
      </c>
      <c r="K36">
        <v>0</v>
      </c>
      <c r="L36">
        <v>0</v>
      </c>
      <c r="M36">
        <v>0</v>
      </c>
      <c r="N36">
        <v>0</v>
      </c>
      <c r="P36">
        <v>85.4</v>
      </c>
    </row>
    <row r="37" spans="1:16">
      <c r="A37" t="s">
        <v>67</v>
      </c>
      <c r="B37" s="2">
        <v>45760</v>
      </c>
      <c r="C37" t="s">
        <v>17</v>
      </c>
      <c r="D37" t="s">
        <v>28</v>
      </c>
      <c r="E37" t="s">
        <v>19</v>
      </c>
      <c r="F37" t="s">
        <v>25</v>
      </c>
      <c r="G37" t="s">
        <v>21</v>
      </c>
      <c r="H37">
        <v>1</v>
      </c>
      <c r="I37">
        <v>0</v>
      </c>
      <c r="J37">
        <v>0</v>
      </c>
      <c r="K37">
        <v>0</v>
      </c>
      <c r="L37">
        <v>0</v>
      </c>
      <c r="M37">
        <v>0</v>
      </c>
      <c r="N37">
        <v>0</v>
      </c>
      <c r="P37">
        <v>75.900000000000006</v>
      </c>
    </row>
    <row r="38" spans="1:16">
      <c r="A38" t="s">
        <v>68</v>
      </c>
      <c r="B38" s="2">
        <v>45786</v>
      </c>
      <c r="C38" t="s">
        <v>17</v>
      </c>
      <c r="D38" t="s">
        <v>28</v>
      </c>
      <c r="E38" t="s">
        <v>24</v>
      </c>
      <c r="F38" t="s">
        <v>25</v>
      </c>
      <c r="G38" t="s">
        <v>30</v>
      </c>
      <c r="H38">
        <v>1</v>
      </c>
      <c r="I38">
        <v>0</v>
      </c>
      <c r="J38">
        <v>0</v>
      </c>
      <c r="K38">
        <v>0</v>
      </c>
      <c r="L38">
        <v>0</v>
      </c>
      <c r="M38">
        <v>1</v>
      </c>
      <c r="N38">
        <v>0</v>
      </c>
      <c r="P38">
        <v>34.799999999999997</v>
      </c>
    </row>
    <row r="39" spans="1:16">
      <c r="A39" t="s">
        <v>69</v>
      </c>
      <c r="B39" s="2">
        <v>45677</v>
      </c>
      <c r="C39" t="s">
        <v>17</v>
      </c>
      <c r="D39" t="s">
        <v>28</v>
      </c>
      <c r="E39" t="s">
        <v>24</v>
      </c>
      <c r="F39" t="s">
        <v>25</v>
      </c>
      <c r="G39" t="s">
        <v>26</v>
      </c>
      <c r="H39">
        <v>1</v>
      </c>
      <c r="I39">
        <v>1</v>
      </c>
      <c r="J39">
        <v>1</v>
      </c>
      <c r="K39">
        <v>0</v>
      </c>
      <c r="L39">
        <v>0</v>
      </c>
      <c r="M39">
        <v>3</v>
      </c>
      <c r="N39">
        <v>0</v>
      </c>
      <c r="P39">
        <v>48.9</v>
      </c>
    </row>
    <row r="40" spans="1:16">
      <c r="A40" t="s">
        <v>70</v>
      </c>
      <c r="B40" s="2">
        <v>45790</v>
      </c>
      <c r="C40" t="s">
        <v>17</v>
      </c>
      <c r="D40" t="s">
        <v>28</v>
      </c>
      <c r="E40" t="s">
        <v>24</v>
      </c>
      <c r="F40" t="s">
        <v>20</v>
      </c>
      <c r="G40" t="s">
        <v>30</v>
      </c>
      <c r="H40">
        <v>1</v>
      </c>
      <c r="I40">
        <v>0</v>
      </c>
      <c r="J40">
        <v>0</v>
      </c>
      <c r="K40">
        <v>0</v>
      </c>
      <c r="L40">
        <v>0</v>
      </c>
      <c r="M40">
        <v>0</v>
      </c>
      <c r="N40">
        <v>0</v>
      </c>
      <c r="P40">
        <v>41.5</v>
      </c>
    </row>
    <row r="41" spans="1:16">
      <c r="A41" t="s">
        <v>71</v>
      </c>
      <c r="B41" s="2">
        <v>45754</v>
      </c>
      <c r="C41" t="s">
        <v>17</v>
      </c>
      <c r="D41" t="s">
        <v>18</v>
      </c>
      <c r="E41" t="s">
        <v>19</v>
      </c>
      <c r="F41" t="s">
        <v>25</v>
      </c>
      <c r="G41" t="s">
        <v>21</v>
      </c>
      <c r="H41">
        <v>1</v>
      </c>
      <c r="I41">
        <v>0</v>
      </c>
      <c r="J41">
        <v>0</v>
      </c>
      <c r="K41">
        <v>0</v>
      </c>
      <c r="L41">
        <v>0</v>
      </c>
      <c r="M41">
        <v>0</v>
      </c>
      <c r="N41">
        <v>0</v>
      </c>
      <c r="P41">
        <v>51.5</v>
      </c>
    </row>
    <row r="42" spans="1:16">
      <c r="A42" t="s">
        <v>72</v>
      </c>
      <c r="B42" s="2">
        <v>45747</v>
      </c>
      <c r="C42" t="s">
        <v>17</v>
      </c>
      <c r="D42" t="s">
        <v>18</v>
      </c>
      <c r="E42" t="s">
        <v>19</v>
      </c>
      <c r="F42" t="s">
        <v>25</v>
      </c>
      <c r="G42" t="s">
        <v>26</v>
      </c>
      <c r="H42">
        <v>0</v>
      </c>
      <c r="I42">
        <v>0</v>
      </c>
      <c r="J42">
        <v>0</v>
      </c>
      <c r="K42">
        <v>0</v>
      </c>
      <c r="L42">
        <v>0</v>
      </c>
      <c r="M42">
        <v>0</v>
      </c>
      <c r="N42">
        <v>0</v>
      </c>
      <c r="P42">
        <v>53.2</v>
      </c>
    </row>
    <row r="43" spans="1:16">
      <c r="A43" t="s">
        <v>73</v>
      </c>
      <c r="B43" s="2">
        <v>45682</v>
      </c>
      <c r="C43" t="s">
        <v>17</v>
      </c>
      <c r="D43" t="s">
        <v>28</v>
      </c>
      <c r="E43" t="s">
        <v>24</v>
      </c>
      <c r="F43" t="s">
        <v>20</v>
      </c>
      <c r="G43" t="s">
        <v>30</v>
      </c>
      <c r="H43">
        <v>0</v>
      </c>
      <c r="I43">
        <v>0</v>
      </c>
      <c r="J43">
        <v>0</v>
      </c>
      <c r="K43">
        <v>0</v>
      </c>
      <c r="L43">
        <v>0</v>
      </c>
      <c r="M43">
        <v>0</v>
      </c>
      <c r="N43">
        <v>0</v>
      </c>
      <c r="P43">
        <v>55.6</v>
      </c>
    </row>
    <row r="44" spans="1:16">
      <c r="A44" t="s">
        <v>74</v>
      </c>
      <c r="B44" s="2">
        <v>45702</v>
      </c>
      <c r="C44" t="s">
        <v>17</v>
      </c>
      <c r="D44" t="s">
        <v>32</v>
      </c>
      <c r="E44" t="s">
        <v>19</v>
      </c>
      <c r="F44" t="s">
        <v>25</v>
      </c>
      <c r="G44" t="s">
        <v>26</v>
      </c>
      <c r="H44">
        <v>0</v>
      </c>
      <c r="I44">
        <v>0</v>
      </c>
      <c r="J44">
        <v>0</v>
      </c>
      <c r="K44">
        <v>0</v>
      </c>
      <c r="L44">
        <v>0</v>
      </c>
      <c r="M44">
        <v>0</v>
      </c>
      <c r="N44">
        <v>0</v>
      </c>
      <c r="P44">
        <v>73</v>
      </c>
    </row>
    <row r="45" spans="1:16">
      <c r="A45" t="s">
        <v>75</v>
      </c>
      <c r="B45" s="2">
        <v>45715</v>
      </c>
      <c r="C45" t="s">
        <v>17</v>
      </c>
      <c r="D45" t="s">
        <v>28</v>
      </c>
      <c r="E45" t="s">
        <v>24</v>
      </c>
      <c r="F45" t="s">
        <v>20</v>
      </c>
      <c r="G45" t="s">
        <v>26</v>
      </c>
      <c r="H45">
        <v>1</v>
      </c>
      <c r="I45">
        <v>0</v>
      </c>
      <c r="J45">
        <v>0</v>
      </c>
      <c r="K45">
        <v>0</v>
      </c>
      <c r="L45">
        <v>0</v>
      </c>
      <c r="M45">
        <v>0</v>
      </c>
      <c r="N45">
        <v>0</v>
      </c>
      <c r="P45">
        <v>65</v>
      </c>
    </row>
    <row r="46" spans="1:16">
      <c r="A46" t="s">
        <v>76</v>
      </c>
      <c r="B46" s="2">
        <v>45744</v>
      </c>
      <c r="C46" t="s">
        <v>17</v>
      </c>
      <c r="D46" t="s">
        <v>28</v>
      </c>
      <c r="E46" t="s">
        <v>24</v>
      </c>
      <c r="F46" t="s">
        <v>41</v>
      </c>
      <c r="G46" t="s">
        <v>26</v>
      </c>
      <c r="H46">
        <v>1</v>
      </c>
      <c r="I46">
        <v>0</v>
      </c>
      <c r="J46">
        <v>0</v>
      </c>
      <c r="K46">
        <v>0</v>
      </c>
      <c r="L46">
        <v>0</v>
      </c>
      <c r="M46">
        <v>4</v>
      </c>
      <c r="N46">
        <v>0</v>
      </c>
      <c r="P46">
        <v>56.3</v>
      </c>
    </row>
    <row r="47" spans="1:16">
      <c r="A47" t="s">
        <v>77</v>
      </c>
      <c r="B47" s="2">
        <v>45802</v>
      </c>
      <c r="C47" t="s">
        <v>17</v>
      </c>
      <c r="D47" t="s">
        <v>28</v>
      </c>
      <c r="E47" t="s">
        <v>24</v>
      </c>
      <c r="F47" t="s">
        <v>39</v>
      </c>
      <c r="G47" t="s">
        <v>30</v>
      </c>
      <c r="H47">
        <v>1</v>
      </c>
      <c r="I47">
        <v>0</v>
      </c>
      <c r="J47">
        <v>0</v>
      </c>
      <c r="K47">
        <v>0</v>
      </c>
      <c r="L47">
        <v>0</v>
      </c>
      <c r="M47">
        <v>0</v>
      </c>
      <c r="N47">
        <v>0</v>
      </c>
      <c r="P47">
        <v>62.4</v>
      </c>
    </row>
    <row r="48" spans="1:16">
      <c r="A48" t="s">
        <v>78</v>
      </c>
      <c r="B48" s="2">
        <v>45782</v>
      </c>
      <c r="C48" t="s">
        <v>17</v>
      </c>
      <c r="D48" t="s">
        <v>23</v>
      </c>
      <c r="E48" t="s">
        <v>19</v>
      </c>
      <c r="F48" t="s">
        <v>25</v>
      </c>
      <c r="G48" t="s">
        <v>26</v>
      </c>
      <c r="H48">
        <v>1</v>
      </c>
      <c r="I48">
        <v>1</v>
      </c>
      <c r="J48">
        <v>1</v>
      </c>
      <c r="K48">
        <v>0</v>
      </c>
      <c r="L48">
        <v>0</v>
      </c>
      <c r="M48">
        <v>0</v>
      </c>
      <c r="N48">
        <v>0</v>
      </c>
      <c r="P48">
        <v>58.1</v>
      </c>
    </row>
    <row r="49" spans="1:16">
      <c r="A49" t="s">
        <v>79</v>
      </c>
      <c r="B49" s="2">
        <v>45793</v>
      </c>
      <c r="C49" t="s">
        <v>17</v>
      </c>
      <c r="D49" t="s">
        <v>18</v>
      </c>
      <c r="E49" t="s">
        <v>24</v>
      </c>
      <c r="F49" t="s">
        <v>25</v>
      </c>
      <c r="G49" t="s">
        <v>26</v>
      </c>
      <c r="H49">
        <v>1</v>
      </c>
      <c r="I49">
        <v>1</v>
      </c>
      <c r="J49">
        <v>1</v>
      </c>
      <c r="K49">
        <v>0</v>
      </c>
      <c r="L49">
        <v>0</v>
      </c>
      <c r="M49">
        <v>0</v>
      </c>
      <c r="N49">
        <v>0</v>
      </c>
      <c r="P49">
        <v>80.8</v>
      </c>
    </row>
    <row r="50" spans="1:16">
      <c r="A50" t="s">
        <v>80</v>
      </c>
      <c r="B50" s="2">
        <v>45665</v>
      </c>
      <c r="C50" t="s">
        <v>17</v>
      </c>
      <c r="D50" t="s">
        <v>18</v>
      </c>
      <c r="E50" t="s">
        <v>24</v>
      </c>
      <c r="F50" t="s">
        <v>41</v>
      </c>
      <c r="G50" t="s">
        <v>26</v>
      </c>
      <c r="H50">
        <v>1</v>
      </c>
      <c r="I50">
        <v>1</v>
      </c>
      <c r="J50">
        <v>0</v>
      </c>
      <c r="K50">
        <v>0</v>
      </c>
      <c r="L50">
        <v>0</v>
      </c>
      <c r="M50">
        <v>0</v>
      </c>
      <c r="N50">
        <v>0</v>
      </c>
      <c r="P50">
        <v>42.9</v>
      </c>
    </row>
    <row r="51" spans="1:16">
      <c r="A51" t="s">
        <v>81</v>
      </c>
      <c r="B51" s="2">
        <v>45663</v>
      </c>
      <c r="C51" t="s">
        <v>17</v>
      </c>
      <c r="D51" t="s">
        <v>23</v>
      </c>
      <c r="E51" t="s">
        <v>19</v>
      </c>
      <c r="F51" t="s">
        <v>29</v>
      </c>
      <c r="G51" t="s">
        <v>26</v>
      </c>
      <c r="H51">
        <v>1</v>
      </c>
      <c r="I51">
        <v>0</v>
      </c>
      <c r="J51">
        <v>0</v>
      </c>
      <c r="K51">
        <v>0</v>
      </c>
      <c r="L51">
        <v>0</v>
      </c>
      <c r="M51">
        <v>0</v>
      </c>
      <c r="N51">
        <v>0</v>
      </c>
      <c r="P51">
        <v>52.7</v>
      </c>
    </row>
    <row r="52" spans="1:16">
      <c r="A52" t="s">
        <v>82</v>
      </c>
      <c r="B52" s="2">
        <v>45669</v>
      </c>
      <c r="C52" t="s">
        <v>17</v>
      </c>
      <c r="D52" t="s">
        <v>18</v>
      </c>
      <c r="E52" t="s">
        <v>24</v>
      </c>
      <c r="F52" t="s">
        <v>41</v>
      </c>
      <c r="G52" t="s">
        <v>21</v>
      </c>
      <c r="H52">
        <v>0</v>
      </c>
      <c r="I52">
        <v>0</v>
      </c>
      <c r="J52">
        <v>0</v>
      </c>
      <c r="K52">
        <v>0</v>
      </c>
      <c r="L52">
        <v>0</v>
      </c>
      <c r="M52">
        <v>0</v>
      </c>
      <c r="N52">
        <v>0</v>
      </c>
      <c r="P52">
        <v>46.9</v>
      </c>
    </row>
    <row r="53" spans="1:16">
      <c r="A53" t="s">
        <v>83</v>
      </c>
      <c r="B53" s="2">
        <v>45702</v>
      </c>
      <c r="C53" t="s">
        <v>17</v>
      </c>
      <c r="D53" t="s">
        <v>28</v>
      </c>
      <c r="E53" t="s">
        <v>19</v>
      </c>
      <c r="F53" t="s">
        <v>20</v>
      </c>
      <c r="G53" t="s">
        <v>30</v>
      </c>
      <c r="H53">
        <v>1</v>
      </c>
      <c r="I53">
        <v>0</v>
      </c>
      <c r="J53">
        <v>0</v>
      </c>
      <c r="K53">
        <v>0</v>
      </c>
      <c r="L53">
        <v>0</v>
      </c>
      <c r="M53">
        <v>0</v>
      </c>
      <c r="N53">
        <v>0</v>
      </c>
      <c r="P53">
        <v>63</v>
      </c>
    </row>
    <row r="54" spans="1:16">
      <c r="A54" t="s">
        <v>84</v>
      </c>
      <c r="B54" s="2">
        <v>45726</v>
      </c>
      <c r="C54" t="s">
        <v>17</v>
      </c>
      <c r="D54" t="s">
        <v>32</v>
      </c>
      <c r="E54" t="s">
        <v>34</v>
      </c>
      <c r="F54" t="s">
        <v>25</v>
      </c>
      <c r="G54" t="s">
        <v>26</v>
      </c>
      <c r="H54">
        <v>0</v>
      </c>
      <c r="I54">
        <v>0</v>
      </c>
      <c r="J54">
        <v>0</v>
      </c>
      <c r="K54">
        <v>0</v>
      </c>
      <c r="L54">
        <v>0</v>
      </c>
      <c r="M54">
        <v>0</v>
      </c>
      <c r="N54">
        <v>0</v>
      </c>
      <c r="P54">
        <v>53.6</v>
      </c>
    </row>
    <row r="55" spans="1:16">
      <c r="A55" t="s">
        <v>85</v>
      </c>
      <c r="B55" s="2">
        <v>45767</v>
      </c>
      <c r="C55" t="s">
        <v>17</v>
      </c>
      <c r="D55" t="s">
        <v>23</v>
      </c>
      <c r="E55" t="s">
        <v>19</v>
      </c>
      <c r="F55" t="s">
        <v>25</v>
      </c>
      <c r="G55" t="s">
        <v>21</v>
      </c>
      <c r="H55">
        <v>0</v>
      </c>
      <c r="I55">
        <v>0</v>
      </c>
      <c r="J55">
        <v>0</v>
      </c>
      <c r="K55">
        <v>0</v>
      </c>
      <c r="L55">
        <v>0</v>
      </c>
      <c r="M55">
        <v>0</v>
      </c>
      <c r="N55">
        <v>0</v>
      </c>
      <c r="P55">
        <v>49.6</v>
      </c>
    </row>
    <row r="56" spans="1:16">
      <c r="A56" t="s">
        <v>86</v>
      </c>
      <c r="B56" s="2">
        <v>45707</v>
      </c>
      <c r="C56" t="s">
        <v>17</v>
      </c>
      <c r="D56" t="s">
        <v>32</v>
      </c>
      <c r="E56" t="s">
        <v>24</v>
      </c>
      <c r="F56" t="s">
        <v>25</v>
      </c>
      <c r="G56" t="s">
        <v>26</v>
      </c>
      <c r="H56">
        <v>0</v>
      </c>
      <c r="I56">
        <v>0</v>
      </c>
      <c r="J56">
        <v>0</v>
      </c>
      <c r="K56">
        <v>0</v>
      </c>
      <c r="L56">
        <v>0</v>
      </c>
      <c r="M56">
        <v>0</v>
      </c>
      <c r="N56">
        <v>0</v>
      </c>
      <c r="P56">
        <v>54</v>
      </c>
    </row>
    <row r="57" spans="1:16">
      <c r="A57" t="s">
        <v>87</v>
      </c>
      <c r="B57" s="2">
        <v>45794</v>
      </c>
      <c r="C57" t="s">
        <v>17</v>
      </c>
      <c r="D57" t="s">
        <v>32</v>
      </c>
      <c r="E57" t="s">
        <v>24</v>
      </c>
      <c r="F57" t="s">
        <v>41</v>
      </c>
      <c r="G57" t="s">
        <v>21</v>
      </c>
      <c r="H57">
        <v>1</v>
      </c>
      <c r="I57">
        <v>0</v>
      </c>
      <c r="J57">
        <v>0</v>
      </c>
      <c r="K57">
        <v>0</v>
      </c>
      <c r="L57">
        <v>0</v>
      </c>
      <c r="M57">
        <v>2</v>
      </c>
      <c r="N57">
        <v>0</v>
      </c>
      <c r="P57">
        <v>50</v>
      </c>
    </row>
    <row r="58" spans="1:16">
      <c r="A58" t="s">
        <v>88</v>
      </c>
      <c r="B58" s="2">
        <v>45748</v>
      </c>
      <c r="C58" t="s">
        <v>17</v>
      </c>
      <c r="D58" t="s">
        <v>28</v>
      </c>
      <c r="E58" t="s">
        <v>24</v>
      </c>
      <c r="F58" t="s">
        <v>41</v>
      </c>
      <c r="G58" t="s">
        <v>21</v>
      </c>
      <c r="H58">
        <v>0</v>
      </c>
      <c r="I58">
        <v>0</v>
      </c>
      <c r="J58">
        <v>0</v>
      </c>
      <c r="K58">
        <v>0</v>
      </c>
      <c r="L58">
        <v>0</v>
      </c>
      <c r="M58">
        <v>0</v>
      </c>
      <c r="N58">
        <v>0</v>
      </c>
      <c r="P58">
        <v>48.1</v>
      </c>
    </row>
    <row r="59" spans="1:16">
      <c r="A59" t="s">
        <v>89</v>
      </c>
      <c r="B59" s="2">
        <v>45692</v>
      </c>
      <c r="C59" t="s">
        <v>17</v>
      </c>
      <c r="D59" t="s">
        <v>18</v>
      </c>
      <c r="E59" t="s">
        <v>19</v>
      </c>
      <c r="F59" t="s">
        <v>25</v>
      </c>
      <c r="G59" t="s">
        <v>26</v>
      </c>
      <c r="H59">
        <v>1</v>
      </c>
      <c r="I59">
        <v>0</v>
      </c>
      <c r="J59">
        <v>0</v>
      </c>
      <c r="K59">
        <v>0</v>
      </c>
      <c r="L59">
        <v>0</v>
      </c>
      <c r="M59">
        <v>0</v>
      </c>
      <c r="N59">
        <v>0</v>
      </c>
      <c r="P59">
        <v>49.6</v>
      </c>
    </row>
    <row r="60" spans="1:16">
      <c r="A60" t="s">
        <v>90</v>
      </c>
      <c r="B60" s="2">
        <v>45761</v>
      </c>
      <c r="C60" t="s">
        <v>17</v>
      </c>
      <c r="D60" t="s">
        <v>18</v>
      </c>
      <c r="E60" t="s">
        <v>24</v>
      </c>
      <c r="F60" t="s">
        <v>41</v>
      </c>
      <c r="G60" t="s">
        <v>26</v>
      </c>
      <c r="H60">
        <v>0</v>
      </c>
      <c r="I60">
        <v>0</v>
      </c>
      <c r="J60">
        <v>0</v>
      </c>
      <c r="K60">
        <v>0</v>
      </c>
      <c r="L60">
        <v>0</v>
      </c>
      <c r="M60">
        <v>2</v>
      </c>
      <c r="N60">
        <v>0</v>
      </c>
      <c r="P60">
        <v>48.9</v>
      </c>
    </row>
    <row r="61" spans="1:16">
      <c r="A61" t="s">
        <v>91</v>
      </c>
      <c r="B61" s="2">
        <v>45658</v>
      </c>
      <c r="C61" t="s">
        <v>17</v>
      </c>
      <c r="D61" t="s">
        <v>23</v>
      </c>
      <c r="E61" t="s">
        <v>24</v>
      </c>
      <c r="F61" t="s">
        <v>41</v>
      </c>
      <c r="G61" t="s">
        <v>26</v>
      </c>
      <c r="H61">
        <v>1</v>
      </c>
      <c r="I61">
        <v>1</v>
      </c>
      <c r="J61">
        <v>1</v>
      </c>
      <c r="K61">
        <v>1</v>
      </c>
      <c r="L61">
        <v>240.42</v>
      </c>
      <c r="M61">
        <v>0</v>
      </c>
      <c r="N61">
        <v>0</v>
      </c>
      <c r="O61">
        <v>16</v>
      </c>
      <c r="P61">
        <v>56.5</v>
      </c>
    </row>
    <row r="62" spans="1:16">
      <c r="A62" t="s">
        <v>92</v>
      </c>
      <c r="B62" s="2">
        <v>45749</v>
      </c>
      <c r="C62" t="s">
        <v>17</v>
      </c>
      <c r="D62" t="s">
        <v>32</v>
      </c>
      <c r="E62" t="s">
        <v>24</v>
      </c>
      <c r="F62" t="s">
        <v>39</v>
      </c>
      <c r="G62" t="s">
        <v>26</v>
      </c>
      <c r="H62">
        <v>1</v>
      </c>
      <c r="I62">
        <v>0</v>
      </c>
      <c r="J62">
        <v>0</v>
      </c>
      <c r="K62">
        <v>0</v>
      </c>
      <c r="L62">
        <v>0</v>
      </c>
      <c r="M62">
        <v>0</v>
      </c>
      <c r="N62">
        <v>0</v>
      </c>
      <c r="P62">
        <v>53.7</v>
      </c>
    </row>
    <row r="63" spans="1:16">
      <c r="A63" t="s">
        <v>93</v>
      </c>
      <c r="B63" s="2">
        <v>45745</v>
      </c>
      <c r="C63" t="s">
        <v>17</v>
      </c>
      <c r="D63" t="s">
        <v>18</v>
      </c>
      <c r="E63" t="s">
        <v>24</v>
      </c>
      <c r="F63" t="s">
        <v>41</v>
      </c>
      <c r="G63" t="s">
        <v>30</v>
      </c>
      <c r="H63">
        <v>0</v>
      </c>
      <c r="I63">
        <v>0</v>
      </c>
      <c r="J63">
        <v>0</v>
      </c>
      <c r="K63">
        <v>0</v>
      </c>
      <c r="L63">
        <v>0</v>
      </c>
      <c r="M63">
        <v>0</v>
      </c>
      <c r="N63">
        <v>0</v>
      </c>
      <c r="P63">
        <v>62.2</v>
      </c>
    </row>
    <row r="64" spans="1:16">
      <c r="A64" t="s">
        <v>94</v>
      </c>
      <c r="B64" s="2">
        <v>45792</v>
      </c>
      <c r="C64" t="s">
        <v>17</v>
      </c>
      <c r="D64" t="s">
        <v>32</v>
      </c>
      <c r="E64" t="s">
        <v>19</v>
      </c>
      <c r="F64" t="s">
        <v>25</v>
      </c>
      <c r="G64" t="s">
        <v>26</v>
      </c>
      <c r="H64">
        <v>1</v>
      </c>
      <c r="I64">
        <v>0</v>
      </c>
      <c r="J64">
        <v>0</v>
      </c>
      <c r="K64">
        <v>0</v>
      </c>
      <c r="L64">
        <v>0</v>
      </c>
      <c r="M64">
        <v>0</v>
      </c>
      <c r="N64">
        <v>0</v>
      </c>
      <c r="P64">
        <v>50.2</v>
      </c>
    </row>
    <row r="65" spans="1:16">
      <c r="A65" t="s">
        <v>95</v>
      </c>
      <c r="B65" s="2">
        <v>45758</v>
      </c>
      <c r="C65" t="s">
        <v>17</v>
      </c>
      <c r="D65" t="s">
        <v>18</v>
      </c>
      <c r="E65" t="s">
        <v>24</v>
      </c>
      <c r="F65" t="s">
        <v>25</v>
      </c>
      <c r="G65" t="s">
        <v>21</v>
      </c>
      <c r="H65">
        <v>1</v>
      </c>
      <c r="I65">
        <v>0</v>
      </c>
      <c r="J65">
        <v>0</v>
      </c>
      <c r="K65">
        <v>0</v>
      </c>
      <c r="L65">
        <v>0</v>
      </c>
      <c r="M65">
        <v>0</v>
      </c>
      <c r="N65">
        <v>0</v>
      </c>
      <c r="P65">
        <v>74.3</v>
      </c>
    </row>
    <row r="66" spans="1:16">
      <c r="A66" t="s">
        <v>96</v>
      </c>
      <c r="B66" s="2">
        <v>45723</v>
      </c>
      <c r="C66" t="s">
        <v>17</v>
      </c>
      <c r="D66" t="s">
        <v>32</v>
      </c>
      <c r="E66" t="s">
        <v>19</v>
      </c>
      <c r="F66" t="s">
        <v>29</v>
      </c>
      <c r="G66" t="s">
        <v>26</v>
      </c>
      <c r="H66">
        <v>1</v>
      </c>
      <c r="I66">
        <v>0</v>
      </c>
      <c r="J66">
        <v>0</v>
      </c>
      <c r="K66">
        <v>0</v>
      </c>
      <c r="L66">
        <v>0</v>
      </c>
      <c r="M66">
        <v>0</v>
      </c>
      <c r="N66">
        <v>0</v>
      </c>
      <c r="P66">
        <v>58</v>
      </c>
    </row>
    <row r="67" spans="1:16">
      <c r="A67" t="s">
        <v>97</v>
      </c>
      <c r="B67" s="2">
        <v>45807</v>
      </c>
      <c r="C67" t="s">
        <v>17</v>
      </c>
      <c r="D67" t="s">
        <v>32</v>
      </c>
      <c r="E67" t="s">
        <v>24</v>
      </c>
      <c r="F67" t="s">
        <v>25</v>
      </c>
      <c r="G67" t="s">
        <v>26</v>
      </c>
      <c r="H67">
        <v>0</v>
      </c>
      <c r="I67">
        <v>0</v>
      </c>
      <c r="J67">
        <v>0</v>
      </c>
      <c r="K67">
        <v>0</v>
      </c>
      <c r="L67">
        <v>0</v>
      </c>
      <c r="M67">
        <v>0</v>
      </c>
      <c r="N67">
        <v>0</v>
      </c>
      <c r="P67">
        <v>46.7</v>
      </c>
    </row>
    <row r="68" spans="1:16">
      <c r="A68" t="s">
        <v>98</v>
      </c>
      <c r="B68" s="2">
        <v>45664</v>
      </c>
      <c r="C68" t="s">
        <v>17</v>
      </c>
      <c r="D68" t="s">
        <v>32</v>
      </c>
      <c r="E68" t="s">
        <v>19</v>
      </c>
      <c r="F68" t="s">
        <v>25</v>
      </c>
      <c r="G68" t="s">
        <v>30</v>
      </c>
      <c r="H68">
        <v>1</v>
      </c>
      <c r="I68">
        <v>0</v>
      </c>
      <c r="J68">
        <v>0</v>
      </c>
      <c r="K68">
        <v>0</v>
      </c>
      <c r="L68">
        <v>0</v>
      </c>
      <c r="M68">
        <v>1</v>
      </c>
      <c r="N68">
        <v>0</v>
      </c>
      <c r="P68">
        <v>49.6</v>
      </c>
    </row>
    <row r="69" spans="1:16">
      <c r="A69" t="s">
        <v>99</v>
      </c>
      <c r="B69" s="2">
        <v>45785</v>
      </c>
      <c r="C69" t="s">
        <v>17</v>
      </c>
      <c r="D69" t="s">
        <v>23</v>
      </c>
      <c r="E69" t="s">
        <v>24</v>
      </c>
      <c r="F69" t="s">
        <v>41</v>
      </c>
      <c r="G69" t="s">
        <v>26</v>
      </c>
      <c r="H69">
        <v>0</v>
      </c>
      <c r="I69">
        <v>0</v>
      </c>
      <c r="J69">
        <v>0</v>
      </c>
      <c r="K69">
        <v>0</v>
      </c>
      <c r="L69">
        <v>0</v>
      </c>
      <c r="M69">
        <v>0</v>
      </c>
      <c r="N69">
        <v>0</v>
      </c>
      <c r="P69">
        <v>60.4</v>
      </c>
    </row>
    <row r="70" spans="1:16">
      <c r="A70" t="s">
        <v>100</v>
      </c>
      <c r="B70" s="2">
        <v>45735</v>
      </c>
      <c r="C70" t="s">
        <v>17</v>
      </c>
      <c r="D70" t="s">
        <v>28</v>
      </c>
      <c r="E70" t="s">
        <v>19</v>
      </c>
      <c r="F70" t="s">
        <v>20</v>
      </c>
      <c r="G70" t="s">
        <v>26</v>
      </c>
      <c r="H70">
        <v>1</v>
      </c>
      <c r="I70">
        <v>1</v>
      </c>
      <c r="J70">
        <v>1</v>
      </c>
      <c r="K70">
        <v>0</v>
      </c>
      <c r="L70">
        <v>0</v>
      </c>
      <c r="M70">
        <v>0</v>
      </c>
      <c r="N70">
        <v>0</v>
      </c>
      <c r="P70">
        <v>55.3</v>
      </c>
    </row>
    <row r="71" spans="1:16">
      <c r="A71" t="s">
        <v>101</v>
      </c>
      <c r="B71" s="2">
        <v>45793</v>
      </c>
      <c r="C71" t="s">
        <v>17</v>
      </c>
      <c r="D71" t="s">
        <v>18</v>
      </c>
      <c r="E71" t="s">
        <v>19</v>
      </c>
      <c r="F71" t="s">
        <v>25</v>
      </c>
      <c r="G71" t="s">
        <v>26</v>
      </c>
      <c r="H71">
        <v>0</v>
      </c>
      <c r="I71">
        <v>0</v>
      </c>
      <c r="J71">
        <v>0</v>
      </c>
      <c r="K71">
        <v>0</v>
      </c>
      <c r="L71">
        <v>0</v>
      </c>
      <c r="M71">
        <v>0</v>
      </c>
      <c r="N71">
        <v>0</v>
      </c>
      <c r="P71">
        <v>56.2</v>
      </c>
    </row>
    <row r="72" spans="1:16">
      <c r="A72" t="s">
        <v>102</v>
      </c>
      <c r="B72" s="2">
        <v>45724</v>
      </c>
      <c r="C72" t="s">
        <v>17</v>
      </c>
      <c r="D72" t="s">
        <v>23</v>
      </c>
      <c r="E72" t="s">
        <v>24</v>
      </c>
      <c r="F72" t="s">
        <v>20</v>
      </c>
      <c r="G72" t="s">
        <v>26</v>
      </c>
      <c r="H72">
        <v>0</v>
      </c>
      <c r="I72">
        <v>0</v>
      </c>
      <c r="J72">
        <v>0</v>
      </c>
      <c r="K72">
        <v>0</v>
      </c>
      <c r="L72">
        <v>0</v>
      </c>
      <c r="M72">
        <v>0</v>
      </c>
      <c r="N72">
        <v>0</v>
      </c>
      <c r="P72">
        <v>29.4</v>
      </c>
    </row>
    <row r="73" spans="1:16">
      <c r="A73" t="s">
        <v>103</v>
      </c>
      <c r="B73" s="2">
        <v>45724</v>
      </c>
      <c r="C73" t="s">
        <v>17</v>
      </c>
      <c r="D73" t="s">
        <v>28</v>
      </c>
      <c r="E73" t="s">
        <v>24</v>
      </c>
      <c r="F73" t="s">
        <v>20</v>
      </c>
      <c r="G73" t="s">
        <v>26</v>
      </c>
      <c r="H73">
        <v>1</v>
      </c>
      <c r="I73">
        <v>0</v>
      </c>
      <c r="J73">
        <v>0</v>
      </c>
      <c r="K73">
        <v>0</v>
      </c>
      <c r="L73">
        <v>0</v>
      </c>
      <c r="M73">
        <v>0</v>
      </c>
      <c r="N73">
        <v>0</v>
      </c>
      <c r="P73">
        <v>54.2</v>
      </c>
    </row>
    <row r="74" spans="1:16">
      <c r="A74" t="s">
        <v>104</v>
      </c>
      <c r="B74" s="2">
        <v>45671</v>
      </c>
      <c r="C74" t="s">
        <v>17</v>
      </c>
      <c r="D74" t="s">
        <v>28</v>
      </c>
      <c r="E74" t="s">
        <v>19</v>
      </c>
      <c r="F74" t="s">
        <v>29</v>
      </c>
      <c r="G74" t="s">
        <v>21</v>
      </c>
      <c r="H74">
        <v>0</v>
      </c>
      <c r="I74">
        <v>0</v>
      </c>
      <c r="J74">
        <v>0</v>
      </c>
      <c r="K74">
        <v>0</v>
      </c>
      <c r="L74">
        <v>0</v>
      </c>
      <c r="M74">
        <v>0</v>
      </c>
      <c r="N74">
        <v>0</v>
      </c>
      <c r="P74">
        <v>46.4</v>
      </c>
    </row>
    <row r="75" spans="1:16">
      <c r="A75" t="s">
        <v>105</v>
      </c>
      <c r="B75" s="2">
        <v>45698</v>
      </c>
      <c r="C75" t="s">
        <v>17</v>
      </c>
      <c r="D75" t="s">
        <v>32</v>
      </c>
      <c r="E75" t="s">
        <v>24</v>
      </c>
      <c r="F75" t="s">
        <v>29</v>
      </c>
      <c r="G75" t="s">
        <v>21</v>
      </c>
      <c r="H75">
        <v>0</v>
      </c>
      <c r="I75">
        <v>0</v>
      </c>
      <c r="J75">
        <v>0</v>
      </c>
      <c r="K75">
        <v>0</v>
      </c>
      <c r="L75">
        <v>0</v>
      </c>
      <c r="M75">
        <v>0</v>
      </c>
      <c r="N75">
        <v>0</v>
      </c>
      <c r="P75">
        <v>54.5</v>
      </c>
    </row>
    <row r="76" spans="1:16">
      <c r="A76" t="s">
        <v>106</v>
      </c>
      <c r="B76" s="2">
        <v>45733</v>
      </c>
      <c r="C76" t="s">
        <v>17</v>
      </c>
      <c r="D76" t="s">
        <v>18</v>
      </c>
      <c r="E76" t="s">
        <v>24</v>
      </c>
      <c r="F76" t="s">
        <v>25</v>
      </c>
      <c r="G76" t="s">
        <v>26</v>
      </c>
      <c r="H76">
        <v>0</v>
      </c>
      <c r="I76">
        <v>0</v>
      </c>
      <c r="J76">
        <v>0</v>
      </c>
      <c r="K76">
        <v>0</v>
      </c>
      <c r="L76">
        <v>0</v>
      </c>
      <c r="M76">
        <v>0</v>
      </c>
      <c r="N76">
        <v>0</v>
      </c>
      <c r="P76">
        <v>58.5</v>
      </c>
    </row>
    <row r="77" spans="1:16">
      <c r="A77" t="s">
        <v>107</v>
      </c>
      <c r="B77" s="2">
        <v>45666</v>
      </c>
      <c r="C77" t="s">
        <v>17</v>
      </c>
      <c r="D77" t="s">
        <v>32</v>
      </c>
      <c r="E77" t="s">
        <v>24</v>
      </c>
      <c r="F77" t="s">
        <v>20</v>
      </c>
      <c r="G77" t="s">
        <v>26</v>
      </c>
      <c r="H77">
        <v>0</v>
      </c>
      <c r="I77">
        <v>0</v>
      </c>
      <c r="J77">
        <v>0</v>
      </c>
      <c r="K77">
        <v>0</v>
      </c>
      <c r="L77">
        <v>0</v>
      </c>
      <c r="M77">
        <v>0</v>
      </c>
      <c r="N77">
        <v>0</v>
      </c>
      <c r="P77">
        <v>75.900000000000006</v>
      </c>
    </row>
    <row r="78" spans="1:16">
      <c r="A78" t="s">
        <v>108</v>
      </c>
      <c r="B78" s="2">
        <v>45764</v>
      </c>
      <c r="C78" t="s">
        <v>17</v>
      </c>
      <c r="D78" t="s">
        <v>18</v>
      </c>
      <c r="E78" t="s">
        <v>24</v>
      </c>
      <c r="F78" t="s">
        <v>39</v>
      </c>
      <c r="G78" t="s">
        <v>26</v>
      </c>
      <c r="H78">
        <v>0</v>
      </c>
      <c r="I78">
        <v>0</v>
      </c>
      <c r="J78">
        <v>0</v>
      </c>
      <c r="K78">
        <v>0</v>
      </c>
      <c r="L78">
        <v>0</v>
      </c>
      <c r="M78">
        <v>1</v>
      </c>
      <c r="N78">
        <v>0</v>
      </c>
      <c r="P78">
        <v>84.9</v>
      </c>
    </row>
    <row r="79" spans="1:16">
      <c r="A79" t="s">
        <v>109</v>
      </c>
      <c r="B79" s="2">
        <v>45673</v>
      </c>
      <c r="C79" t="s">
        <v>17</v>
      </c>
      <c r="D79" t="s">
        <v>18</v>
      </c>
      <c r="E79" t="s">
        <v>24</v>
      </c>
      <c r="F79" t="s">
        <v>25</v>
      </c>
      <c r="G79" t="s">
        <v>26</v>
      </c>
      <c r="H79">
        <v>0</v>
      </c>
      <c r="I79">
        <v>0</v>
      </c>
      <c r="J79">
        <v>0</v>
      </c>
      <c r="K79">
        <v>0</v>
      </c>
      <c r="L79">
        <v>0</v>
      </c>
      <c r="M79">
        <v>2</v>
      </c>
      <c r="N79">
        <v>0</v>
      </c>
      <c r="P79">
        <v>48.4</v>
      </c>
    </row>
    <row r="80" spans="1:16">
      <c r="A80" t="s">
        <v>110</v>
      </c>
      <c r="B80" s="2">
        <v>45708</v>
      </c>
      <c r="C80" t="s">
        <v>17</v>
      </c>
      <c r="D80" t="s">
        <v>23</v>
      </c>
      <c r="E80" t="s">
        <v>19</v>
      </c>
      <c r="F80" t="s">
        <v>25</v>
      </c>
      <c r="G80" t="s">
        <v>26</v>
      </c>
      <c r="H80">
        <v>1</v>
      </c>
      <c r="I80">
        <v>1</v>
      </c>
      <c r="J80">
        <v>1</v>
      </c>
      <c r="K80">
        <v>1</v>
      </c>
      <c r="L80">
        <v>457.51</v>
      </c>
      <c r="M80">
        <v>0</v>
      </c>
      <c r="N80">
        <v>0</v>
      </c>
      <c r="O80">
        <v>7</v>
      </c>
      <c r="P80">
        <v>38</v>
      </c>
    </row>
    <row r="81" spans="1:16">
      <c r="A81" t="s">
        <v>111</v>
      </c>
      <c r="B81" s="2">
        <v>45798</v>
      </c>
      <c r="C81" t="s">
        <v>17</v>
      </c>
      <c r="D81" t="s">
        <v>28</v>
      </c>
      <c r="E81" t="s">
        <v>24</v>
      </c>
      <c r="F81" t="s">
        <v>41</v>
      </c>
      <c r="G81" t="s">
        <v>26</v>
      </c>
      <c r="H81">
        <v>1</v>
      </c>
      <c r="I81">
        <v>0</v>
      </c>
      <c r="J81">
        <v>0</v>
      </c>
      <c r="K81">
        <v>0</v>
      </c>
      <c r="L81">
        <v>0</v>
      </c>
      <c r="M81">
        <v>0</v>
      </c>
      <c r="N81">
        <v>0</v>
      </c>
      <c r="P81">
        <v>44.2</v>
      </c>
    </row>
    <row r="82" spans="1:16">
      <c r="A82" t="s">
        <v>112</v>
      </c>
      <c r="B82" s="2">
        <v>45785</v>
      </c>
      <c r="C82" t="s">
        <v>17</v>
      </c>
      <c r="D82" t="s">
        <v>32</v>
      </c>
      <c r="E82" t="s">
        <v>24</v>
      </c>
      <c r="F82" t="s">
        <v>25</v>
      </c>
      <c r="G82" t="s">
        <v>26</v>
      </c>
      <c r="H82">
        <v>1</v>
      </c>
      <c r="I82">
        <v>1</v>
      </c>
      <c r="J82">
        <v>1</v>
      </c>
      <c r="K82">
        <v>0</v>
      </c>
      <c r="L82">
        <v>0</v>
      </c>
      <c r="M82">
        <v>0</v>
      </c>
      <c r="N82">
        <v>0</v>
      </c>
      <c r="P82">
        <v>81.2</v>
      </c>
    </row>
    <row r="83" spans="1:16">
      <c r="A83" t="s">
        <v>113</v>
      </c>
      <c r="B83" s="2">
        <v>45724</v>
      </c>
      <c r="C83" t="s">
        <v>17</v>
      </c>
      <c r="D83" t="s">
        <v>32</v>
      </c>
      <c r="E83" t="s">
        <v>24</v>
      </c>
      <c r="F83" t="s">
        <v>39</v>
      </c>
      <c r="G83" t="s">
        <v>26</v>
      </c>
      <c r="H83">
        <v>1</v>
      </c>
      <c r="I83">
        <v>1</v>
      </c>
      <c r="J83">
        <v>0</v>
      </c>
      <c r="K83">
        <v>0</v>
      </c>
      <c r="L83">
        <v>0</v>
      </c>
      <c r="M83">
        <v>0</v>
      </c>
      <c r="N83">
        <v>0</v>
      </c>
      <c r="P83">
        <v>63.8</v>
      </c>
    </row>
    <row r="84" spans="1:16">
      <c r="A84" t="s">
        <v>114</v>
      </c>
      <c r="B84" s="2">
        <v>45748</v>
      </c>
      <c r="C84" t="s">
        <v>17</v>
      </c>
      <c r="D84" t="s">
        <v>32</v>
      </c>
      <c r="E84" t="s">
        <v>19</v>
      </c>
      <c r="F84" t="s">
        <v>20</v>
      </c>
      <c r="G84" t="s">
        <v>26</v>
      </c>
      <c r="H84">
        <v>0</v>
      </c>
      <c r="I84">
        <v>0</v>
      </c>
      <c r="J84">
        <v>0</v>
      </c>
      <c r="K84">
        <v>0</v>
      </c>
      <c r="L84">
        <v>0</v>
      </c>
      <c r="M84">
        <v>0</v>
      </c>
      <c r="N84">
        <v>0</v>
      </c>
      <c r="P84">
        <v>64.7</v>
      </c>
    </row>
    <row r="85" spans="1:16">
      <c r="A85" t="s">
        <v>115</v>
      </c>
      <c r="B85" s="2">
        <v>45719</v>
      </c>
      <c r="C85" t="s">
        <v>17</v>
      </c>
      <c r="D85" t="s">
        <v>23</v>
      </c>
      <c r="E85" t="s">
        <v>24</v>
      </c>
      <c r="F85" t="s">
        <v>41</v>
      </c>
      <c r="G85" t="s">
        <v>21</v>
      </c>
      <c r="H85">
        <v>0</v>
      </c>
      <c r="I85">
        <v>0</v>
      </c>
      <c r="J85">
        <v>0</v>
      </c>
      <c r="K85">
        <v>0</v>
      </c>
      <c r="L85">
        <v>0</v>
      </c>
      <c r="M85">
        <v>0</v>
      </c>
      <c r="N85">
        <v>0</v>
      </c>
      <c r="P85">
        <v>60.4</v>
      </c>
    </row>
    <row r="86" spans="1:16">
      <c r="A86" t="s">
        <v>116</v>
      </c>
      <c r="B86" s="2">
        <v>45763</v>
      </c>
      <c r="C86" t="s">
        <v>17</v>
      </c>
      <c r="D86" t="s">
        <v>32</v>
      </c>
      <c r="E86" t="s">
        <v>24</v>
      </c>
      <c r="F86" t="s">
        <v>29</v>
      </c>
      <c r="G86" t="s">
        <v>26</v>
      </c>
      <c r="H86">
        <v>0</v>
      </c>
      <c r="I86">
        <v>0</v>
      </c>
      <c r="J86">
        <v>0</v>
      </c>
      <c r="K86">
        <v>0</v>
      </c>
      <c r="L86">
        <v>0</v>
      </c>
      <c r="M86">
        <v>0</v>
      </c>
      <c r="N86">
        <v>0</v>
      </c>
      <c r="P86">
        <v>66.599999999999994</v>
      </c>
    </row>
    <row r="87" spans="1:16">
      <c r="A87" t="s">
        <v>117</v>
      </c>
      <c r="B87" s="2">
        <v>45666</v>
      </c>
      <c r="C87" t="s">
        <v>17</v>
      </c>
      <c r="D87" t="s">
        <v>18</v>
      </c>
      <c r="E87" t="s">
        <v>19</v>
      </c>
      <c r="F87" t="s">
        <v>25</v>
      </c>
      <c r="G87" t="s">
        <v>26</v>
      </c>
      <c r="H87">
        <v>1</v>
      </c>
      <c r="I87">
        <v>0</v>
      </c>
      <c r="J87">
        <v>0</v>
      </c>
      <c r="K87">
        <v>0</v>
      </c>
      <c r="L87">
        <v>0</v>
      </c>
      <c r="M87">
        <v>0</v>
      </c>
      <c r="N87">
        <v>0</v>
      </c>
      <c r="P87">
        <v>50.9</v>
      </c>
    </row>
    <row r="88" spans="1:16">
      <c r="A88" t="s">
        <v>118</v>
      </c>
      <c r="B88" s="2">
        <v>45679</v>
      </c>
      <c r="C88" t="s">
        <v>17</v>
      </c>
      <c r="D88" t="s">
        <v>23</v>
      </c>
      <c r="E88" t="s">
        <v>19</v>
      </c>
      <c r="F88" t="s">
        <v>41</v>
      </c>
      <c r="G88" t="s">
        <v>21</v>
      </c>
      <c r="H88">
        <v>0</v>
      </c>
      <c r="I88">
        <v>0</v>
      </c>
      <c r="J88">
        <v>0</v>
      </c>
      <c r="K88">
        <v>0</v>
      </c>
      <c r="L88">
        <v>0</v>
      </c>
      <c r="M88">
        <v>0</v>
      </c>
      <c r="N88">
        <v>0</v>
      </c>
      <c r="P88">
        <v>51</v>
      </c>
    </row>
    <row r="89" spans="1:16">
      <c r="A89" t="s">
        <v>119</v>
      </c>
      <c r="B89" s="2">
        <v>45777</v>
      </c>
      <c r="C89" t="s">
        <v>17</v>
      </c>
      <c r="D89" t="s">
        <v>32</v>
      </c>
      <c r="E89" t="s">
        <v>24</v>
      </c>
      <c r="F89" t="s">
        <v>20</v>
      </c>
      <c r="G89" t="s">
        <v>30</v>
      </c>
      <c r="H89">
        <v>0</v>
      </c>
      <c r="I89">
        <v>0</v>
      </c>
      <c r="J89">
        <v>0</v>
      </c>
      <c r="K89">
        <v>0</v>
      </c>
      <c r="L89">
        <v>0</v>
      </c>
      <c r="M89">
        <v>0</v>
      </c>
      <c r="N89">
        <v>0</v>
      </c>
      <c r="P89">
        <v>65.8</v>
      </c>
    </row>
    <row r="90" spans="1:16">
      <c r="A90" t="s">
        <v>120</v>
      </c>
      <c r="B90" s="2">
        <v>45772</v>
      </c>
      <c r="C90" t="s">
        <v>17</v>
      </c>
      <c r="D90" t="s">
        <v>18</v>
      </c>
      <c r="E90" t="s">
        <v>24</v>
      </c>
      <c r="F90" t="s">
        <v>39</v>
      </c>
      <c r="G90" t="s">
        <v>21</v>
      </c>
      <c r="H90">
        <v>1</v>
      </c>
      <c r="I90">
        <v>0</v>
      </c>
      <c r="J90">
        <v>0</v>
      </c>
      <c r="K90">
        <v>0</v>
      </c>
      <c r="L90">
        <v>0</v>
      </c>
      <c r="M90">
        <v>0</v>
      </c>
      <c r="N90">
        <v>0</v>
      </c>
      <c r="P90">
        <v>61.8</v>
      </c>
    </row>
    <row r="91" spans="1:16">
      <c r="A91" t="s">
        <v>121</v>
      </c>
      <c r="B91" s="2">
        <v>45689</v>
      </c>
      <c r="C91" t="s">
        <v>17</v>
      </c>
      <c r="D91" t="s">
        <v>18</v>
      </c>
      <c r="E91" t="s">
        <v>24</v>
      </c>
      <c r="F91" t="s">
        <v>25</v>
      </c>
      <c r="G91" t="s">
        <v>21</v>
      </c>
      <c r="H91">
        <v>1</v>
      </c>
      <c r="I91">
        <v>0</v>
      </c>
      <c r="J91">
        <v>0</v>
      </c>
      <c r="K91">
        <v>0</v>
      </c>
      <c r="L91">
        <v>0</v>
      </c>
      <c r="M91">
        <v>0</v>
      </c>
      <c r="N91">
        <v>0</v>
      </c>
      <c r="P91">
        <v>54.5</v>
      </c>
    </row>
    <row r="92" spans="1:16">
      <c r="A92" t="s">
        <v>122</v>
      </c>
      <c r="B92" s="2">
        <v>45770</v>
      </c>
      <c r="C92" t="s">
        <v>17</v>
      </c>
      <c r="D92" t="s">
        <v>32</v>
      </c>
      <c r="E92" t="s">
        <v>19</v>
      </c>
      <c r="F92" t="s">
        <v>25</v>
      </c>
      <c r="G92" t="s">
        <v>26</v>
      </c>
      <c r="H92">
        <v>1</v>
      </c>
      <c r="I92">
        <v>0</v>
      </c>
      <c r="J92">
        <v>0</v>
      </c>
      <c r="K92">
        <v>0</v>
      </c>
      <c r="L92">
        <v>0</v>
      </c>
      <c r="M92">
        <v>0</v>
      </c>
      <c r="N92">
        <v>0</v>
      </c>
      <c r="P92">
        <v>72.2</v>
      </c>
    </row>
    <row r="93" spans="1:16">
      <c r="A93" t="s">
        <v>123</v>
      </c>
      <c r="B93" s="2">
        <v>45715</v>
      </c>
      <c r="C93" t="s">
        <v>17</v>
      </c>
      <c r="D93" t="s">
        <v>32</v>
      </c>
      <c r="E93" t="s">
        <v>24</v>
      </c>
      <c r="F93" t="s">
        <v>41</v>
      </c>
      <c r="G93" t="s">
        <v>26</v>
      </c>
      <c r="H93">
        <v>1</v>
      </c>
      <c r="I93">
        <v>0</v>
      </c>
      <c r="J93">
        <v>0</v>
      </c>
      <c r="K93">
        <v>0</v>
      </c>
      <c r="L93">
        <v>0</v>
      </c>
      <c r="M93">
        <v>0</v>
      </c>
      <c r="N93">
        <v>0</v>
      </c>
      <c r="P93">
        <v>42.3</v>
      </c>
    </row>
    <row r="94" spans="1:16">
      <c r="A94" t="s">
        <v>124</v>
      </c>
      <c r="B94" s="2">
        <v>45756</v>
      </c>
      <c r="C94" t="s">
        <v>17</v>
      </c>
      <c r="D94" t="s">
        <v>28</v>
      </c>
      <c r="E94" t="s">
        <v>19</v>
      </c>
      <c r="F94" t="s">
        <v>25</v>
      </c>
      <c r="G94" t="s">
        <v>21</v>
      </c>
      <c r="H94">
        <v>1</v>
      </c>
      <c r="I94">
        <v>0</v>
      </c>
      <c r="J94">
        <v>0</v>
      </c>
      <c r="K94">
        <v>0</v>
      </c>
      <c r="L94">
        <v>0</v>
      </c>
      <c r="M94">
        <v>0</v>
      </c>
      <c r="N94">
        <v>0</v>
      </c>
      <c r="P94">
        <v>76.2</v>
      </c>
    </row>
    <row r="95" spans="1:16">
      <c r="A95" t="s">
        <v>125</v>
      </c>
      <c r="B95" s="2">
        <v>45790</v>
      </c>
      <c r="C95" t="s">
        <v>17</v>
      </c>
      <c r="D95" t="s">
        <v>32</v>
      </c>
      <c r="E95" t="s">
        <v>34</v>
      </c>
      <c r="F95" t="s">
        <v>25</v>
      </c>
      <c r="G95" t="s">
        <v>30</v>
      </c>
      <c r="H95">
        <v>1</v>
      </c>
      <c r="I95">
        <v>1</v>
      </c>
      <c r="J95">
        <v>1</v>
      </c>
      <c r="K95">
        <v>0</v>
      </c>
      <c r="L95">
        <v>0</v>
      </c>
      <c r="M95">
        <v>1</v>
      </c>
      <c r="N95">
        <v>0</v>
      </c>
      <c r="P95">
        <v>37.4</v>
      </c>
    </row>
    <row r="96" spans="1:16">
      <c r="A96" t="s">
        <v>126</v>
      </c>
      <c r="B96" s="2">
        <v>45760</v>
      </c>
      <c r="C96" t="s">
        <v>17</v>
      </c>
      <c r="D96" t="s">
        <v>28</v>
      </c>
      <c r="E96" t="s">
        <v>24</v>
      </c>
      <c r="F96" t="s">
        <v>25</v>
      </c>
      <c r="G96" t="s">
        <v>26</v>
      </c>
      <c r="H96">
        <v>0</v>
      </c>
      <c r="I96">
        <v>0</v>
      </c>
      <c r="J96">
        <v>0</v>
      </c>
      <c r="K96">
        <v>0</v>
      </c>
      <c r="L96">
        <v>0</v>
      </c>
      <c r="M96">
        <v>0</v>
      </c>
      <c r="N96">
        <v>0</v>
      </c>
      <c r="P96">
        <v>84.2</v>
      </c>
    </row>
    <row r="97" spans="1:16">
      <c r="A97" t="s">
        <v>127</v>
      </c>
      <c r="B97" s="2">
        <v>45693</v>
      </c>
      <c r="C97" t="s">
        <v>17</v>
      </c>
      <c r="D97" t="s">
        <v>28</v>
      </c>
      <c r="E97" t="s">
        <v>24</v>
      </c>
      <c r="F97" t="s">
        <v>41</v>
      </c>
      <c r="G97" t="s">
        <v>26</v>
      </c>
      <c r="H97">
        <v>0</v>
      </c>
      <c r="I97">
        <v>0</v>
      </c>
      <c r="J97">
        <v>0</v>
      </c>
      <c r="K97">
        <v>0</v>
      </c>
      <c r="L97">
        <v>0</v>
      </c>
      <c r="M97">
        <v>0</v>
      </c>
      <c r="N97">
        <v>0</v>
      </c>
      <c r="P97">
        <v>68</v>
      </c>
    </row>
    <row r="98" spans="1:16">
      <c r="A98" t="s">
        <v>128</v>
      </c>
      <c r="B98" s="2">
        <v>45702</v>
      </c>
      <c r="C98" t="s">
        <v>17</v>
      </c>
      <c r="D98" t="s">
        <v>23</v>
      </c>
      <c r="E98" t="s">
        <v>24</v>
      </c>
      <c r="F98" t="s">
        <v>25</v>
      </c>
      <c r="G98" t="s">
        <v>21</v>
      </c>
      <c r="H98">
        <v>1</v>
      </c>
      <c r="I98">
        <v>0</v>
      </c>
      <c r="J98">
        <v>0</v>
      </c>
      <c r="K98">
        <v>0</v>
      </c>
      <c r="L98">
        <v>0</v>
      </c>
      <c r="M98">
        <v>0</v>
      </c>
      <c r="N98">
        <v>0</v>
      </c>
      <c r="P98">
        <v>53.5</v>
      </c>
    </row>
    <row r="99" spans="1:16">
      <c r="A99" t="s">
        <v>129</v>
      </c>
      <c r="B99" s="2">
        <v>45699</v>
      </c>
      <c r="C99" t="s">
        <v>17</v>
      </c>
      <c r="D99" t="s">
        <v>18</v>
      </c>
      <c r="E99" t="s">
        <v>19</v>
      </c>
      <c r="F99" t="s">
        <v>25</v>
      </c>
      <c r="G99" t="s">
        <v>30</v>
      </c>
      <c r="H99">
        <v>1</v>
      </c>
      <c r="I99">
        <v>0</v>
      </c>
      <c r="J99">
        <v>0</v>
      </c>
      <c r="K99">
        <v>0</v>
      </c>
      <c r="L99">
        <v>0</v>
      </c>
      <c r="M99">
        <v>0</v>
      </c>
      <c r="N99">
        <v>0</v>
      </c>
      <c r="P99">
        <v>63.2</v>
      </c>
    </row>
    <row r="100" spans="1:16">
      <c r="A100" t="s">
        <v>130</v>
      </c>
      <c r="B100" s="2">
        <v>45699</v>
      </c>
      <c r="C100" t="s">
        <v>17</v>
      </c>
      <c r="D100" t="s">
        <v>28</v>
      </c>
      <c r="E100" t="s">
        <v>19</v>
      </c>
      <c r="F100" t="s">
        <v>41</v>
      </c>
      <c r="G100" t="s">
        <v>26</v>
      </c>
      <c r="H100">
        <v>1</v>
      </c>
      <c r="I100">
        <v>1</v>
      </c>
      <c r="J100">
        <v>1</v>
      </c>
      <c r="K100">
        <v>1</v>
      </c>
      <c r="L100">
        <v>363.32</v>
      </c>
      <c r="M100">
        <v>0</v>
      </c>
      <c r="N100">
        <v>0</v>
      </c>
      <c r="O100">
        <v>9</v>
      </c>
      <c r="P100">
        <v>55.9</v>
      </c>
    </row>
    <row r="101" spans="1:16">
      <c r="A101" t="s">
        <v>131</v>
      </c>
      <c r="B101" s="2">
        <v>45803</v>
      </c>
      <c r="C101" t="s">
        <v>17</v>
      </c>
      <c r="D101" t="s">
        <v>18</v>
      </c>
      <c r="E101" t="s">
        <v>24</v>
      </c>
      <c r="F101" t="s">
        <v>25</v>
      </c>
      <c r="G101" t="s">
        <v>26</v>
      </c>
      <c r="H101">
        <v>1</v>
      </c>
      <c r="I101">
        <v>0</v>
      </c>
      <c r="J101">
        <v>0</v>
      </c>
      <c r="K101">
        <v>0</v>
      </c>
      <c r="L101">
        <v>0</v>
      </c>
      <c r="M101">
        <v>0</v>
      </c>
      <c r="N101">
        <v>0</v>
      </c>
      <c r="P101">
        <v>63.5</v>
      </c>
    </row>
    <row r="102" spans="1:16">
      <c r="A102" t="s">
        <v>132</v>
      </c>
      <c r="B102" s="2">
        <v>45738</v>
      </c>
      <c r="C102" t="s">
        <v>17</v>
      </c>
      <c r="D102" t="s">
        <v>18</v>
      </c>
      <c r="E102" t="s">
        <v>24</v>
      </c>
      <c r="F102" t="s">
        <v>29</v>
      </c>
      <c r="G102" t="s">
        <v>21</v>
      </c>
      <c r="H102">
        <v>1</v>
      </c>
      <c r="I102">
        <v>0</v>
      </c>
      <c r="J102">
        <v>0</v>
      </c>
      <c r="K102">
        <v>0</v>
      </c>
      <c r="L102">
        <v>0</v>
      </c>
      <c r="M102">
        <v>0</v>
      </c>
      <c r="N102">
        <v>0</v>
      </c>
      <c r="P102">
        <v>51.5</v>
      </c>
    </row>
    <row r="103" spans="1:16">
      <c r="A103" t="s">
        <v>133</v>
      </c>
      <c r="B103" s="2">
        <v>45755</v>
      </c>
      <c r="C103" t="s">
        <v>17</v>
      </c>
      <c r="D103" t="s">
        <v>23</v>
      </c>
      <c r="E103" t="s">
        <v>24</v>
      </c>
      <c r="F103" t="s">
        <v>29</v>
      </c>
      <c r="G103" t="s">
        <v>26</v>
      </c>
      <c r="H103">
        <v>1</v>
      </c>
      <c r="I103">
        <v>0</v>
      </c>
      <c r="J103">
        <v>0</v>
      </c>
      <c r="K103">
        <v>0</v>
      </c>
      <c r="L103">
        <v>0</v>
      </c>
      <c r="M103">
        <v>0</v>
      </c>
      <c r="N103">
        <v>0</v>
      </c>
      <c r="P103">
        <v>74.400000000000006</v>
      </c>
    </row>
    <row r="104" spans="1:16">
      <c r="A104" t="s">
        <v>134</v>
      </c>
      <c r="B104" s="2">
        <v>45761</v>
      </c>
      <c r="C104" t="s">
        <v>17</v>
      </c>
      <c r="D104" t="s">
        <v>18</v>
      </c>
      <c r="E104" t="s">
        <v>19</v>
      </c>
      <c r="F104" t="s">
        <v>41</v>
      </c>
      <c r="G104" t="s">
        <v>26</v>
      </c>
      <c r="H104">
        <v>1</v>
      </c>
      <c r="I104">
        <v>1</v>
      </c>
      <c r="J104">
        <v>1</v>
      </c>
      <c r="K104">
        <v>1</v>
      </c>
      <c r="L104">
        <v>3887.98</v>
      </c>
      <c r="M104">
        <v>0</v>
      </c>
      <c r="N104">
        <v>0</v>
      </c>
      <c r="O104">
        <v>13</v>
      </c>
      <c r="P104">
        <v>60.2</v>
      </c>
    </row>
    <row r="105" spans="1:16">
      <c r="A105" t="s">
        <v>135</v>
      </c>
      <c r="B105" s="2">
        <v>45743</v>
      </c>
      <c r="C105" t="s">
        <v>17</v>
      </c>
      <c r="D105" t="s">
        <v>32</v>
      </c>
      <c r="E105" t="s">
        <v>24</v>
      </c>
      <c r="F105" t="s">
        <v>20</v>
      </c>
      <c r="G105" t="s">
        <v>26</v>
      </c>
      <c r="H105">
        <v>1</v>
      </c>
      <c r="I105">
        <v>0</v>
      </c>
      <c r="J105">
        <v>0</v>
      </c>
      <c r="K105">
        <v>0</v>
      </c>
      <c r="L105">
        <v>0</v>
      </c>
      <c r="M105">
        <v>1</v>
      </c>
      <c r="N105">
        <v>0</v>
      </c>
      <c r="P105">
        <v>67.2</v>
      </c>
    </row>
    <row r="106" spans="1:16">
      <c r="A106" t="s">
        <v>136</v>
      </c>
      <c r="B106" s="2">
        <v>45662</v>
      </c>
      <c r="C106" t="s">
        <v>17</v>
      </c>
      <c r="D106" t="s">
        <v>32</v>
      </c>
      <c r="E106" t="s">
        <v>24</v>
      </c>
      <c r="F106" t="s">
        <v>41</v>
      </c>
      <c r="G106" t="s">
        <v>26</v>
      </c>
      <c r="H106">
        <v>1</v>
      </c>
      <c r="I106">
        <v>1</v>
      </c>
      <c r="J106">
        <v>1</v>
      </c>
      <c r="K106">
        <v>0</v>
      </c>
      <c r="L106">
        <v>0</v>
      </c>
      <c r="M106">
        <v>0</v>
      </c>
      <c r="N106">
        <v>0</v>
      </c>
      <c r="P106">
        <v>79.599999999999994</v>
      </c>
    </row>
    <row r="107" spans="1:16">
      <c r="A107" t="s">
        <v>137</v>
      </c>
      <c r="B107" s="2">
        <v>45682</v>
      </c>
      <c r="C107" t="s">
        <v>17</v>
      </c>
      <c r="D107" t="s">
        <v>32</v>
      </c>
      <c r="E107" t="s">
        <v>24</v>
      </c>
      <c r="F107" t="s">
        <v>41</v>
      </c>
      <c r="G107" t="s">
        <v>21</v>
      </c>
      <c r="H107">
        <v>1</v>
      </c>
      <c r="I107">
        <v>1</v>
      </c>
      <c r="J107">
        <v>1</v>
      </c>
      <c r="K107">
        <v>1</v>
      </c>
      <c r="L107">
        <v>8610.7199999999993</v>
      </c>
      <c r="M107">
        <v>0</v>
      </c>
      <c r="N107">
        <v>0</v>
      </c>
      <c r="O107">
        <v>6</v>
      </c>
      <c r="P107">
        <v>61</v>
      </c>
    </row>
    <row r="108" spans="1:16">
      <c r="A108" t="s">
        <v>138</v>
      </c>
      <c r="B108" s="2">
        <v>45680</v>
      </c>
      <c r="C108" t="s">
        <v>17</v>
      </c>
      <c r="D108" t="s">
        <v>23</v>
      </c>
      <c r="E108" t="s">
        <v>24</v>
      </c>
      <c r="F108" t="s">
        <v>20</v>
      </c>
      <c r="G108" t="s">
        <v>26</v>
      </c>
      <c r="H108">
        <v>1</v>
      </c>
      <c r="I108">
        <v>1</v>
      </c>
      <c r="J108">
        <v>1</v>
      </c>
      <c r="K108">
        <v>0</v>
      </c>
      <c r="L108">
        <v>0</v>
      </c>
      <c r="M108">
        <v>4</v>
      </c>
      <c r="N108">
        <v>0</v>
      </c>
      <c r="P108">
        <v>51.1</v>
      </c>
    </row>
    <row r="109" spans="1:16">
      <c r="A109" t="s">
        <v>139</v>
      </c>
      <c r="B109" s="2">
        <v>45802</v>
      </c>
      <c r="C109" t="s">
        <v>17</v>
      </c>
      <c r="D109" t="s">
        <v>28</v>
      </c>
      <c r="E109" t="s">
        <v>19</v>
      </c>
      <c r="F109" t="s">
        <v>39</v>
      </c>
      <c r="G109" t="s">
        <v>26</v>
      </c>
      <c r="H109">
        <v>1</v>
      </c>
      <c r="I109">
        <v>0</v>
      </c>
      <c r="J109">
        <v>0</v>
      </c>
      <c r="K109">
        <v>0</v>
      </c>
      <c r="L109">
        <v>0</v>
      </c>
      <c r="M109">
        <v>0</v>
      </c>
      <c r="N109">
        <v>0</v>
      </c>
      <c r="P109">
        <v>92.1</v>
      </c>
    </row>
    <row r="110" spans="1:16">
      <c r="A110" t="s">
        <v>140</v>
      </c>
      <c r="B110" s="2">
        <v>45738</v>
      </c>
      <c r="C110" t="s">
        <v>17</v>
      </c>
      <c r="D110" t="s">
        <v>32</v>
      </c>
      <c r="E110" t="s">
        <v>24</v>
      </c>
      <c r="F110" t="s">
        <v>39</v>
      </c>
      <c r="G110" t="s">
        <v>21</v>
      </c>
      <c r="H110">
        <v>0</v>
      </c>
      <c r="I110">
        <v>0</v>
      </c>
      <c r="J110">
        <v>0</v>
      </c>
      <c r="K110">
        <v>0</v>
      </c>
      <c r="L110">
        <v>0</v>
      </c>
      <c r="M110">
        <v>0</v>
      </c>
      <c r="N110">
        <v>0</v>
      </c>
      <c r="P110">
        <v>82.1</v>
      </c>
    </row>
    <row r="111" spans="1:16">
      <c r="A111" t="s">
        <v>141</v>
      </c>
      <c r="B111" s="2">
        <v>45700</v>
      </c>
      <c r="C111" t="s">
        <v>17</v>
      </c>
      <c r="D111" t="s">
        <v>23</v>
      </c>
      <c r="E111" t="s">
        <v>19</v>
      </c>
      <c r="F111" t="s">
        <v>29</v>
      </c>
      <c r="G111" t="s">
        <v>21</v>
      </c>
      <c r="H111">
        <v>1</v>
      </c>
      <c r="I111">
        <v>0</v>
      </c>
      <c r="J111">
        <v>0</v>
      </c>
      <c r="K111">
        <v>0</v>
      </c>
      <c r="L111">
        <v>0</v>
      </c>
      <c r="M111">
        <v>1</v>
      </c>
      <c r="N111">
        <v>0</v>
      </c>
      <c r="P111">
        <v>74</v>
      </c>
    </row>
    <row r="112" spans="1:16">
      <c r="A112" t="s">
        <v>142</v>
      </c>
      <c r="B112" s="2">
        <v>45775</v>
      </c>
      <c r="C112" t="s">
        <v>17</v>
      </c>
      <c r="D112" t="s">
        <v>23</v>
      </c>
      <c r="E112" t="s">
        <v>19</v>
      </c>
      <c r="F112" t="s">
        <v>25</v>
      </c>
      <c r="G112" t="s">
        <v>21</v>
      </c>
      <c r="H112">
        <v>1</v>
      </c>
      <c r="I112">
        <v>0</v>
      </c>
      <c r="J112">
        <v>0</v>
      </c>
      <c r="K112">
        <v>0</v>
      </c>
      <c r="L112">
        <v>0</v>
      </c>
      <c r="M112">
        <v>0</v>
      </c>
      <c r="N112">
        <v>0</v>
      </c>
      <c r="P112">
        <v>63.4</v>
      </c>
    </row>
    <row r="113" spans="1:16">
      <c r="A113" t="s">
        <v>143</v>
      </c>
      <c r="B113" s="2">
        <v>45687</v>
      </c>
      <c r="C113" t="s">
        <v>17</v>
      </c>
      <c r="D113" t="s">
        <v>18</v>
      </c>
      <c r="E113" t="s">
        <v>24</v>
      </c>
      <c r="F113" t="s">
        <v>25</v>
      </c>
      <c r="G113" t="s">
        <v>21</v>
      </c>
      <c r="H113">
        <v>1</v>
      </c>
      <c r="I113">
        <v>0</v>
      </c>
      <c r="J113">
        <v>0</v>
      </c>
      <c r="K113">
        <v>0</v>
      </c>
      <c r="L113">
        <v>0</v>
      </c>
      <c r="M113">
        <v>0</v>
      </c>
      <c r="N113">
        <v>0</v>
      </c>
      <c r="P113">
        <v>53.2</v>
      </c>
    </row>
    <row r="114" spans="1:16">
      <c r="A114" t="s">
        <v>144</v>
      </c>
      <c r="B114" s="2">
        <v>45796</v>
      </c>
      <c r="C114" t="s">
        <v>17</v>
      </c>
      <c r="D114" t="s">
        <v>28</v>
      </c>
      <c r="E114" t="s">
        <v>34</v>
      </c>
      <c r="F114" t="s">
        <v>29</v>
      </c>
      <c r="G114" t="s">
        <v>26</v>
      </c>
      <c r="H114">
        <v>0</v>
      </c>
      <c r="I114">
        <v>0</v>
      </c>
      <c r="J114">
        <v>0</v>
      </c>
      <c r="K114">
        <v>0</v>
      </c>
      <c r="L114">
        <v>0</v>
      </c>
      <c r="M114">
        <v>0</v>
      </c>
      <c r="N114">
        <v>0</v>
      </c>
      <c r="P114">
        <v>48.1</v>
      </c>
    </row>
    <row r="115" spans="1:16">
      <c r="A115" t="s">
        <v>145</v>
      </c>
      <c r="B115" s="2">
        <v>45680</v>
      </c>
      <c r="C115" t="s">
        <v>17</v>
      </c>
      <c r="D115" t="s">
        <v>32</v>
      </c>
      <c r="E115" t="s">
        <v>24</v>
      </c>
      <c r="F115" t="s">
        <v>41</v>
      </c>
      <c r="G115" t="s">
        <v>26</v>
      </c>
      <c r="H115">
        <v>1</v>
      </c>
      <c r="I115">
        <v>1</v>
      </c>
      <c r="J115">
        <v>0</v>
      </c>
      <c r="K115">
        <v>0</v>
      </c>
      <c r="L115">
        <v>0</v>
      </c>
      <c r="M115">
        <v>0</v>
      </c>
      <c r="N115">
        <v>0</v>
      </c>
      <c r="P115">
        <v>61.5</v>
      </c>
    </row>
    <row r="116" spans="1:16">
      <c r="A116" t="s">
        <v>146</v>
      </c>
      <c r="B116" s="2">
        <v>45744</v>
      </c>
      <c r="C116" t="s">
        <v>17</v>
      </c>
      <c r="D116" t="s">
        <v>28</v>
      </c>
      <c r="E116" t="s">
        <v>19</v>
      </c>
      <c r="F116" t="s">
        <v>41</v>
      </c>
      <c r="G116" t="s">
        <v>26</v>
      </c>
      <c r="H116">
        <v>1</v>
      </c>
      <c r="I116">
        <v>0</v>
      </c>
      <c r="J116">
        <v>0</v>
      </c>
      <c r="K116">
        <v>0</v>
      </c>
      <c r="L116">
        <v>0</v>
      </c>
      <c r="M116">
        <v>0</v>
      </c>
      <c r="N116">
        <v>0</v>
      </c>
      <c r="P116">
        <v>63.2</v>
      </c>
    </row>
    <row r="117" spans="1:16">
      <c r="A117" t="s">
        <v>147</v>
      </c>
      <c r="B117" s="2">
        <v>45668</v>
      </c>
      <c r="C117" t="s">
        <v>17</v>
      </c>
      <c r="D117" t="s">
        <v>23</v>
      </c>
      <c r="E117" t="s">
        <v>24</v>
      </c>
      <c r="F117" t="s">
        <v>25</v>
      </c>
      <c r="G117" t="s">
        <v>26</v>
      </c>
      <c r="H117">
        <v>0</v>
      </c>
      <c r="I117">
        <v>0</v>
      </c>
      <c r="J117">
        <v>0</v>
      </c>
      <c r="K117">
        <v>0</v>
      </c>
      <c r="L117">
        <v>0</v>
      </c>
      <c r="M117">
        <v>0</v>
      </c>
      <c r="N117">
        <v>0</v>
      </c>
      <c r="P117">
        <v>71.900000000000006</v>
      </c>
    </row>
    <row r="118" spans="1:16">
      <c r="A118" t="s">
        <v>148</v>
      </c>
      <c r="B118" s="2">
        <v>45758</v>
      </c>
      <c r="C118" t="s">
        <v>17</v>
      </c>
      <c r="D118" t="s">
        <v>18</v>
      </c>
      <c r="E118" t="s">
        <v>24</v>
      </c>
      <c r="F118" t="s">
        <v>39</v>
      </c>
      <c r="G118" t="s">
        <v>26</v>
      </c>
      <c r="H118">
        <v>0</v>
      </c>
      <c r="I118">
        <v>0</v>
      </c>
      <c r="J118">
        <v>0</v>
      </c>
      <c r="K118">
        <v>0</v>
      </c>
      <c r="L118">
        <v>0</v>
      </c>
      <c r="M118">
        <v>0</v>
      </c>
      <c r="N118">
        <v>0</v>
      </c>
      <c r="P118">
        <v>62.7</v>
      </c>
    </row>
    <row r="119" spans="1:16">
      <c r="A119" t="s">
        <v>149</v>
      </c>
      <c r="B119" s="2">
        <v>45659</v>
      </c>
      <c r="C119" t="s">
        <v>17</v>
      </c>
      <c r="D119" t="s">
        <v>23</v>
      </c>
      <c r="E119" t="s">
        <v>24</v>
      </c>
      <c r="F119" t="s">
        <v>29</v>
      </c>
      <c r="G119" t="s">
        <v>26</v>
      </c>
      <c r="H119">
        <v>1</v>
      </c>
      <c r="I119">
        <v>0</v>
      </c>
      <c r="J119">
        <v>0</v>
      </c>
      <c r="K119">
        <v>0</v>
      </c>
      <c r="L119">
        <v>0</v>
      </c>
      <c r="M119">
        <v>0</v>
      </c>
      <c r="N119">
        <v>0</v>
      </c>
      <c r="P119">
        <v>51.5</v>
      </c>
    </row>
    <row r="120" spans="1:16">
      <c r="A120" t="s">
        <v>150</v>
      </c>
      <c r="B120" s="2">
        <v>45734</v>
      </c>
      <c r="C120" t="s">
        <v>17</v>
      </c>
      <c r="D120" t="s">
        <v>28</v>
      </c>
      <c r="E120" t="s">
        <v>24</v>
      </c>
      <c r="F120" t="s">
        <v>41</v>
      </c>
      <c r="G120" t="s">
        <v>26</v>
      </c>
      <c r="H120">
        <v>1</v>
      </c>
      <c r="I120">
        <v>1</v>
      </c>
      <c r="J120">
        <v>1</v>
      </c>
      <c r="K120">
        <v>0</v>
      </c>
      <c r="L120">
        <v>0</v>
      </c>
      <c r="M120">
        <v>0</v>
      </c>
      <c r="N120">
        <v>0</v>
      </c>
      <c r="P120">
        <v>39.1</v>
      </c>
    </row>
    <row r="121" spans="1:16">
      <c r="A121" t="s">
        <v>151</v>
      </c>
      <c r="B121" s="2">
        <v>45747</v>
      </c>
      <c r="C121" t="s">
        <v>17</v>
      </c>
      <c r="D121" t="s">
        <v>18</v>
      </c>
      <c r="E121" t="s">
        <v>24</v>
      </c>
      <c r="F121" t="s">
        <v>20</v>
      </c>
      <c r="G121" t="s">
        <v>26</v>
      </c>
      <c r="H121">
        <v>1</v>
      </c>
      <c r="I121">
        <v>0</v>
      </c>
      <c r="J121">
        <v>0</v>
      </c>
      <c r="K121">
        <v>0</v>
      </c>
      <c r="L121">
        <v>0</v>
      </c>
      <c r="M121">
        <v>0</v>
      </c>
      <c r="N121">
        <v>0</v>
      </c>
      <c r="P121">
        <v>43.8</v>
      </c>
    </row>
    <row r="122" spans="1:16">
      <c r="A122" t="s">
        <v>152</v>
      </c>
      <c r="B122" s="2">
        <v>45663</v>
      </c>
      <c r="C122" t="s">
        <v>17</v>
      </c>
      <c r="D122" t="s">
        <v>18</v>
      </c>
      <c r="E122" t="s">
        <v>24</v>
      </c>
      <c r="F122" t="s">
        <v>29</v>
      </c>
      <c r="G122" t="s">
        <v>21</v>
      </c>
      <c r="H122">
        <v>1</v>
      </c>
      <c r="I122">
        <v>0</v>
      </c>
      <c r="J122">
        <v>0</v>
      </c>
      <c r="K122">
        <v>0</v>
      </c>
      <c r="L122">
        <v>0</v>
      </c>
      <c r="M122">
        <v>0</v>
      </c>
      <c r="N122">
        <v>0</v>
      </c>
      <c r="P122">
        <v>59.9</v>
      </c>
    </row>
    <row r="123" spans="1:16">
      <c r="A123" t="s">
        <v>153</v>
      </c>
      <c r="B123" s="2">
        <v>45683</v>
      </c>
      <c r="C123" t="s">
        <v>17</v>
      </c>
      <c r="D123" t="s">
        <v>18</v>
      </c>
      <c r="E123" t="s">
        <v>24</v>
      </c>
      <c r="F123" t="s">
        <v>39</v>
      </c>
      <c r="G123" t="s">
        <v>26</v>
      </c>
      <c r="H123">
        <v>1</v>
      </c>
      <c r="I123">
        <v>1</v>
      </c>
      <c r="J123">
        <v>0</v>
      </c>
      <c r="K123">
        <v>0</v>
      </c>
      <c r="L123">
        <v>0</v>
      </c>
      <c r="M123">
        <v>0</v>
      </c>
      <c r="N123">
        <v>0</v>
      </c>
      <c r="P123">
        <v>71.400000000000006</v>
      </c>
    </row>
    <row r="124" spans="1:16">
      <c r="A124" t="s">
        <v>154</v>
      </c>
      <c r="B124" s="2">
        <v>45769</v>
      </c>
      <c r="C124" t="s">
        <v>17</v>
      </c>
      <c r="D124" t="s">
        <v>32</v>
      </c>
      <c r="E124" t="s">
        <v>24</v>
      </c>
      <c r="F124" t="s">
        <v>39</v>
      </c>
      <c r="G124" t="s">
        <v>21</v>
      </c>
      <c r="H124">
        <v>0</v>
      </c>
      <c r="I124">
        <v>0</v>
      </c>
      <c r="J124">
        <v>0</v>
      </c>
      <c r="K124">
        <v>0</v>
      </c>
      <c r="L124">
        <v>0</v>
      </c>
      <c r="M124">
        <v>0</v>
      </c>
      <c r="N124">
        <v>0</v>
      </c>
      <c r="P124">
        <v>36.1</v>
      </c>
    </row>
    <row r="125" spans="1:16">
      <c r="A125" t="s">
        <v>155</v>
      </c>
      <c r="B125" s="2">
        <v>45807</v>
      </c>
      <c r="C125" t="s">
        <v>17</v>
      </c>
      <c r="D125" t="s">
        <v>23</v>
      </c>
      <c r="F125" t="s">
        <v>20</v>
      </c>
      <c r="G125" t="s">
        <v>21</v>
      </c>
      <c r="H125">
        <v>1</v>
      </c>
      <c r="I125">
        <v>1</v>
      </c>
      <c r="J125">
        <v>0</v>
      </c>
      <c r="K125">
        <v>0</v>
      </c>
      <c r="L125">
        <v>0</v>
      </c>
      <c r="M125">
        <v>0</v>
      </c>
      <c r="N125">
        <v>0</v>
      </c>
      <c r="P125">
        <v>47.9</v>
      </c>
    </row>
    <row r="126" spans="1:16">
      <c r="A126" t="s">
        <v>156</v>
      </c>
      <c r="B126" s="2">
        <v>45795</v>
      </c>
      <c r="C126" t="s">
        <v>17</v>
      </c>
      <c r="D126" t="s">
        <v>23</v>
      </c>
      <c r="E126" t="s">
        <v>19</v>
      </c>
      <c r="F126" t="s">
        <v>25</v>
      </c>
      <c r="G126" t="s">
        <v>30</v>
      </c>
      <c r="H126">
        <v>1</v>
      </c>
      <c r="I126">
        <v>0</v>
      </c>
      <c r="J126">
        <v>0</v>
      </c>
      <c r="K126">
        <v>0</v>
      </c>
      <c r="L126">
        <v>0</v>
      </c>
      <c r="M126">
        <v>0</v>
      </c>
      <c r="N126">
        <v>0</v>
      </c>
      <c r="P126">
        <v>62.5</v>
      </c>
    </row>
    <row r="127" spans="1:16">
      <c r="A127" t="s">
        <v>157</v>
      </c>
      <c r="B127" s="2">
        <v>45670</v>
      </c>
      <c r="C127" t="s">
        <v>17</v>
      </c>
      <c r="D127" t="s">
        <v>32</v>
      </c>
      <c r="E127" t="s">
        <v>19</v>
      </c>
      <c r="F127" t="s">
        <v>29</v>
      </c>
      <c r="G127" t="s">
        <v>30</v>
      </c>
      <c r="H127">
        <v>1</v>
      </c>
      <c r="I127">
        <v>0</v>
      </c>
      <c r="J127">
        <v>0</v>
      </c>
      <c r="K127">
        <v>0</v>
      </c>
      <c r="L127">
        <v>0</v>
      </c>
      <c r="M127">
        <v>0</v>
      </c>
      <c r="N127">
        <v>0</v>
      </c>
      <c r="P127">
        <v>56.9</v>
      </c>
    </row>
    <row r="128" spans="1:16">
      <c r="A128" t="s">
        <v>158</v>
      </c>
      <c r="B128" s="2">
        <v>45741</v>
      </c>
      <c r="C128" t="s">
        <v>17</v>
      </c>
      <c r="D128" t="s">
        <v>18</v>
      </c>
      <c r="E128" t="s">
        <v>19</v>
      </c>
      <c r="F128" t="s">
        <v>20</v>
      </c>
      <c r="G128" t="s">
        <v>26</v>
      </c>
      <c r="H128">
        <v>0</v>
      </c>
      <c r="I128">
        <v>0</v>
      </c>
      <c r="J128">
        <v>0</v>
      </c>
      <c r="K128">
        <v>0</v>
      </c>
      <c r="L128">
        <v>0</v>
      </c>
      <c r="M128">
        <v>0</v>
      </c>
      <c r="N128">
        <v>0</v>
      </c>
      <c r="P128">
        <v>64.7</v>
      </c>
    </row>
    <row r="129" spans="1:16">
      <c r="A129" t="s">
        <v>159</v>
      </c>
      <c r="B129" s="2">
        <v>45776</v>
      </c>
      <c r="C129" t="s">
        <v>17</v>
      </c>
      <c r="D129" t="s">
        <v>32</v>
      </c>
      <c r="E129" t="s">
        <v>19</v>
      </c>
      <c r="F129" t="s">
        <v>25</v>
      </c>
      <c r="G129" t="s">
        <v>26</v>
      </c>
      <c r="H129">
        <v>1</v>
      </c>
      <c r="I129">
        <v>1</v>
      </c>
      <c r="J129">
        <v>1</v>
      </c>
      <c r="K129">
        <v>0</v>
      </c>
      <c r="L129">
        <v>0</v>
      </c>
      <c r="M129">
        <v>0</v>
      </c>
      <c r="N129">
        <v>0</v>
      </c>
      <c r="P129">
        <v>64</v>
      </c>
    </row>
    <row r="130" spans="1:16">
      <c r="A130" t="s">
        <v>160</v>
      </c>
      <c r="B130" s="2">
        <v>45794</v>
      </c>
      <c r="C130" t="s">
        <v>17</v>
      </c>
      <c r="D130" t="s">
        <v>28</v>
      </c>
      <c r="E130" t="s">
        <v>24</v>
      </c>
      <c r="F130" t="s">
        <v>39</v>
      </c>
      <c r="G130" t="s">
        <v>21</v>
      </c>
      <c r="H130">
        <v>1</v>
      </c>
      <c r="I130">
        <v>1</v>
      </c>
      <c r="J130">
        <v>1</v>
      </c>
      <c r="K130">
        <v>0</v>
      </c>
      <c r="L130">
        <v>0</v>
      </c>
      <c r="M130">
        <v>0</v>
      </c>
      <c r="N130">
        <v>0</v>
      </c>
      <c r="P130">
        <v>75.2</v>
      </c>
    </row>
    <row r="131" spans="1:16">
      <c r="A131" t="s">
        <v>161</v>
      </c>
      <c r="B131" s="2">
        <v>45659</v>
      </c>
      <c r="C131" t="s">
        <v>17</v>
      </c>
      <c r="D131" t="s">
        <v>18</v>
      </c>
      <c r="E131" t="s">
        <v>24</v>
      </c>
      <c r="F131" t="s">
        <v>29</v>
      </c>
      <c r="G131" t="s">
        <v>26</v>
      </c>
      <c r="H131">
        <v>1</v>
      </c>
      <c r="I131">
        <v>0</v>
      </c>
      <c r="J131">
        <v>0</v>
      </c>
      <c r="K131">
        <v>0</v>
      </c>
      <c r="L131">
        <v>0</v>
      </c>
      <c r="M131">
        <v>1</v>
      </c>
      <c r="N131">
        <v>0</v>
      </c>
      <c r="P131">
        <v>79</v>
      </c>
    </row>
    <row r="132" spans="1:16">
      <c r="A132" t="s">
        <v>162</v>
      </c>
      <c r="B132" s="2">
        <v>45691</v>
      </c>
      <c r="C132" t="s">
        <v>17</v>
      </c>
      <c r="D132" t="s">
        <v>32</v>
      </c>
      <c r="E132" t="s">
        <v>24</v>
      </c>
      <c r="F132" t="s">
        <v>25</v>
      </c>
      <c r="G132" t="s">
        <v>26</v>
      </c>
      <c r="H132">
        <v>0</v>
      </c>
      <c r="I132">
        <v>0</v>
      </c>
      <c r="J132">
        <v>0</v>
      </c>
      <c r="K132">
        <v>0</v>
      </c>
      <c r="L132">
        <v>0</v>
      </c>
      <c r="M132">
        <v>0</v>
      </c>
      <c r="N132">
        <v>0</v>
      </c>
      <c r="P132">
        <v>33</v>
      </c>
    </row>
    <row r="133" spans="1:16">
      <c r="A133" t="s">
        <v>163</v>
      </c>
      <c r="B133" s="2">
        <v>45720</v>
      </c>
      <c r="C133" t="s">
        <v>17</v>
      </c>
      <c r="D133" t="s">
        <v>28</v>
      </c>
      <c r="E133" t="s">
        <v>24</v>
      </c>
      <c r="F133" t="s">
        <v>25</v>
      </c>
      <c r="G133" t="s">
        <v>26</v>
      </c>
      <c r="H133">
        <v>1</v>
      </c>
      <c r="I133">
        <v>0</v>
      </c>
      <c r="J133">
        <v>0</v>
      </c>
      <c r="K133">
        <v>0</v>
      </c>
      <c r="L133">
        <v>0</v>
      </c>
      <c r="M133">
        <v>0</v>
      </c>
      <c r="N133">
        <v>0</v>
      </c>
      <c r="P133">
        <v>67.900000000000006</v>
      </c>
    </row>
    <row r="134" spans="1:16">
      <c r="A134" t="s">
        <v>164</v>
      </c>
      <c r="B134" s="2">
        <v>45683</v>
      </c>
      <c r="C134" t="s">
        <v>17</v>
      </c>
      <c r="D134" t="s">
        <v>32</v>
      </c>
      <c r="E134" t="s">
        <v>24</v>
      </c>
      <c r="F134" t="s">
        <v>29</v>
      </c>
      <c r="G134" t="s">
        <v>21</v>
      </c>
      <c r="H134">
        <v>0</v>
      </c>
      <c r="I134">
        <v>0</v>
      </c>
      <c r="J134">
        <v>0</v>
      </c>
      <c r="K134">
        <v>0</v>
      </c>
      <c r="L134">
        <v>0</v>
      </c>
      <c r="M134">
        <v>0</v>
      </c>
      <c r="N134">
        <v>0</v>
      </c>
      <c r="P134">
        <v>42.2</v>
      </c>
    </row>
    <row r="135" spans="1:16">
      <c r="A135" t="s">
        <v>165</v>
      </c>
      <c r="B135" s="2">
        <v>45789</v>
      </c>
      <c r="C135" t="s">
        <v>17</v>
      </c>
      <c r="D135" t="s">
        <v>23</v>
      </c>
      <c r="E135" t="s">
        <v>24</v>
      </c>
      <c r="F135" t="s">
        <v>29</v>
      </c>
      <c r="G135" t="s">
        <v>21</v>
      </c>
      <c r="H135">
        <v>1</v>
      </c>
      <c r="I135">
        <v>1</v>
      </c>
      <c r="J135">
        <v>1</v>
      </c>
      <c r="K135">
        <v>0</v>
      </c>
      <c r="L135">
        <v>0</v>
      </c>
      <c r="M135">
        <v>0</v>
      </c>
      <c r="N135">
        <v>0</v>
      </c>
      <c r="P135">
        <v>43.4</v>
      </c>
    </row>
    <row r="136" spans="1:16">
      <c r="A136" t="s">
        <v>166</v>
      </c>
      <c r="B136" s="2">
        <v>45722</v>
      </c>
      <c r="C136" t="s">
        <v>17</v>
      </c>
      <c r="D136" t="s">
        <v>18</v>
      </c>
      <c r="E136" t="s">
        <v>24</v>
      </c>
      <c r="F136" t="s">
        <v>25</v>
      </c>
      <c r="G136" t="s">
        <v>21</v>
      </c>
      <c r="H136">
        <v>0</v>
      </c>
      <c r="I136">
        <v>0</v>
      </c>
      <c r="J136">
        <v>0</v>
      </c>
      <c r="K136">
        <v>0</v>
      </c>
      <c r="L136">
        <v>0</v>
      </c>
      <c r="M136">
        <v>0</v>
      </c>
      <c r="N136">
        <v>0</v>
      </c>
      <c r="P136">
        <v>54.4</v>
      </c>
    </row>
    <row r="137" spans="1:16">
      <c r="A137" t="s">
        <v>167</v>
      </c>
      <c r="B137" s="2">
        <v>45726</v>
      </c>
      <c r="C137" t="s">
        <v>17</v>
      </c>
      <c r="D137" t="s">
        <v>32</v>
      </c>
      <c r="E137" t="s">
        <v>19</v>
      </c>
      <c r="F137" t="s">
        <v>20</v>
      </c>
      <c r="G137" t="s">
        <v>30</v>
      </c>
      <c r="H137">
        <v>0</v>
      </c>
      <c r="I137">
        <v>0</v>
      </c>
      <c r="J137">
        <v>0</v>
      </c>
      <c r="K137">
        <v>0</v>
      </c>
      <c r="L137">
        <v>0</v>
      </c>
      <c r="M137">
        <v>0</v>
      </c>
      <c r="N137">
        <v>0</v>
      </c>
      <c r="P137">
        <v>45.7</v>
      </c>
    </row>
    <row r="138" spans="1:16">
      <c r="A138" t="s">
        <v>168</v>
      </c>
      <c r="B138" s="2">
        <v>45783</v>
      </c>
      <c r="C138" t="s">
        <v>17</v>
      </c>
      <c r="D138" t="s">
        <v>18</v>
      </c>
      <c r="E138" t="s">
        <v>24</v>
      </c>
      <c r="F138" t="s">
        <v>29</v>
      </c>
      <c r="G138" t="s">
        <v>26</v>
      </c>
      <c r="H138">
        <v>0</v>
      </c>
      <c r="I138">
        <v>0</v>
      </c>
      <c r="J138">
        <v>0</v>
      </c>
      <c r="K138">
        <v>0</v>
      </c>
      <c r="L138">
        <v>0</v>
      </c>
      <c r="M138">
        <v>3</v>
      </c>
      <c r="N138">
        <v>0</v>
      </c>
      <c r="P138">
        <v>32</v>
      </c>
    </row>
    <row r="139" spans="1:16">
      <c r="A139" t="s">
        <v>169</v>
      </c>
      <c r="B139" s="2">
        <v>45711</v>
      </c>
      <c r="C139" t="s">
        <v>17</v>
      </c>
      <c r="D139" t="s">
        <v>32</v>
      </c>
      <c r="E139" t="s">
        <v>19</v>
      </c>
      <c r="F139" t="s">
        <v>29</v>
      </c>
      <c r="G139" t="s">
        <v>26</v>
      </c>
      <c r="H139">
        <v>1</v>
      </c>
      <c r="I139">
        <v>0</v>
      </c>
      <c r="J139">
        <v>0</v>
      </c>
      <c r="K139">
        <v>0</v>
      </c>
      <c r="L139">
        <v>0</v>
      </c>
      <c r="M139">
        <v>0</v>
      </c>
      <c r="N139">
        <v>0</v>
      </c>
      <c r="P139">
        <v>70.900000000000006</v>
      </c>
    </row>
    <row r="140" spans="1:16">
      <c r="A140" t="s">
        <v>170</v>
      </c>
      <c r="B140" s="2">
        <v>45686</v>
      </c>
      <c r="C140" t="s">
        <v>17</v>
      </c>
      <c r="D140" t="s">
        <v>23</v>
      </c>
      <c r="E140" t="s">
        <v>24</v>
      </c>
      <c r="F140" t="s">
        <v>41</v>
      </c>
      <c r="G140" t="s">
        <v>21</v>
      </c>
      <c r="H140">
        <v>1</v>
      </c>
      <c r="I140">
        <v>1</v>
      </c>
      <c r="J140">
        <v>1</v>
      </c>
      <c r="K140">
        <v>0</v>
      </c>
      <c r="L140">
        <v>0</v>
      </c>
      <c r="M140">
        <v>0</v>
      </c>
      <c r="N140">
        <v>0</v>
      </c>
      <c r="P140">
        <v>59.1</v>
      </c>
    </row>
    <row r="141" spans="1:16">
      <c r="A141" t="s">
        <v>171</v>
      </c>
      <c r="B141" s="2">
        <v>45688</v>
      </c>
      <c r="C141" t="s">
        <v>17</v>
      </c>
      <c r="D141" t="s">
        <v>18</v>
      </c>
      <c r="E141" t="s">
        <v>24</v>
      </c>
      <c r="F141" t="s">
        <v>25</v>
      </c>
      <c r="G141" t="s">
        <v>21</v>
      </c>
      <c r="H141">
        <v>0</v>
      </c>
      <c r="I141">
        <v>0</v>
      </c>
      <c r="J141">
        <v>0</v>
      </c>
      <c r="K141">
        <v>0</v>
      </c>
      <c r="L141">
        <v>0</v>
      </c>
      <c r="M141">
        <v>0</v>
      </c>
      <c r="N141">
        <v>0</v>
      </c>
      <c r="P141">
        <v>62.4</v>
      </c>
    </row>
    <row r="142" spans="1:16">
      <c r="A142" t="s">
        <v>172</v>
      </c>
      <c r="B142" s="2">
        <v>45676</v>
      </c>
      <c r="C142" t="s">
        <v>17</v>
      </c>
      <c r="D142" t="s">
        <v>32</v>
      </c>
      <c r="E142" t="s">
        <v>24</v>
      </c>
      <c r="F142" t="s">
        <v>25</v>
      </c>
      <c r="G142" t="s">
        <v>26</v>
      </c>
      <c r="H142">
        <v>0</v>
      </c>
      <c r="I142">
        <v>0</v>
      </c>
      <c r="J142">
        <v>0</v>
      </c>
      <c r="K142">
        <v>0</v>
      </c>
      <c r="L142">
        <v>0</v>
      </c>
      <c r="M142">
        <v>0</v>
      </c>
      <c r="N142">
        <v>0</v>
      </c>
      <c r="P142">
        <v>49.6</v>
      </c>
    </row>
    <row r="143" spans="1:16">
      <c r="A143" t="s">
        <v>173</v>
      </c>
      <c r="B143" s="2">
        <v>45750</v>
      </c>
      <c r="C143" t="s">
        <v>17</v>
      </c>
      <c r="D143" t="s">
        <v>23</v>
      </c>
      <c r="E143" t="s">
        <v>19</v>
      </c>
      <c r="F143" t="s">
        <v>41</v>
      </c>
      <c r="G143" t="s">
        <v>26</v>
      </c>
      <c r="H143">
        <v>1</v>
      </c>
      <c r="I143">
        <v>1</v>
      </c>
      <c r="J143">
        <v>1</v>
      </c>
      <c r="K143">
        <v>1</v>
      </c>
      <c r="L143">
        <v>404.4</v>
      </c>
      <c r="M143">
        <v>0</v>
      </c>
      <c r="N143">
        <v>0</v>
      </c>
      <c r="O143">
        <v>9</v>
      </c>
      <c r="P143">
        <v>80.599999999999994</v>
      </c>
    </row>
    <row r="144" spans="1:16">
      <c r="A144" t="s">
        <v>174</v>
      </c>
      <c r="B144" s="2">
        <v>45754</v>
      </c>
      <c r="C144" t="s">
        <v>17</v>
      </c>
      <c r="D144" t="s">
        <v>18</v>
      </c>
      <c r="E144" t="s">
        <v>24</v>
      </c>
      <c r="F144" t="s">
        <v>29</v>
      </c>
      <c r="G144" t="s">
        <v>26</v>
      </c>
      <c r="H144">
        <v>1</v>
      </c>
      <c r="I144">
        <v>0</v>
      </c>
      <c r="J144">
        <v>0</v>
      </c>
      <c r="K144">
        <v>0</v>
      </c>
      <c r="L144">
        <v>0</v>
      </c>
      <c r="M144">
        <v>0</v>
      </c>
      <c r="N144">
        <v>0</v>
      </c>
      <c r="P144">
        <v>47.9</v>
      </c>
    </row>
    <row r="145" spans="1:16">
      <c r="A145" t="s">
        <v>175</v>
      </c>
      <c r="B145" s="2">
        <v>45663</v>
      </c>
      <c r="C145" t="s">
        <v>17</v>
      </c>
      <c r="D145" t="s">
        <v>28</v>
      </c>
      <c r="E145" t="s">
        <v>24</v>
      </c>
      <c r="F145" t="s">
        <v>29</v>
      </c>
      <c r="G145" t="s">
        <v>21</v>
      </c>
      <c r="H145">
        <v>1</v>
      </c>
      <c r="I145">
        <v>1</v>
      </c>
      <c r="J145">
        <v>0</v>
      </c>
      <c r="K145">
        <v>0</v>
      </c>
      <c r="L145">
        <v>0</v>
      </c>
      <c r="M145">
        <v>0</v>
      </c>
      <c r="N145">
        <v>0</v>
      </c>
      <c r="P145">
        <v>54.8</v>
      </c>
    </row>
    <row r="146" spans="1:16">
      <c r="A146" t="s">
        <v>176</v>
      </c>
      <c r="B146" s="2">
        <v>45758</v>
      </c>
      <c r="C146" t="s">
        <v>17</v>
      </c>
      <c r="D146" t="s">
        <v>28</v>
      </c>
      <c r="E146" t="s">
        <v>24</v>
      </c>
      <c r="F146" t="s">
        <v>25</v>
      </c>
      <c r="G146" t="s">
        <v>26</v>
      </c>
      <c r="H146">
        <v>1</v>
      </c>
      <c r="I146">
        <v>0</v>
      </c>
      <c r="J146">
        <v>0</v>
      </c>
      <c r="K146">
        <v>0</v>
      </c>
      <c r="L146">
        <v>0</v>
      </c>
      <c r="M146">
        <v>1</v>
      </c>
      <c r="N146">
        <v>0</v>
      </c>
      <c r="P146">
        <v>53.9</v>
      </c>
    </row>
    <row r="147" spans="1:16">
      <c r="A147" t="s">
        <v>177</v>
      </c>
      <c r="B147" s="2">
        <v>45770</v>
      </c>
      <c r="C147" t="s">
        <v>17</v>
      </c>
      <c r="D147" t="s">
        <v>28</v>
      </c>
      <c r="E147" t="s">
        <v>24</v>
      </c>
      <c r="F147" t="s">
        <v>29</v>
      </c>
      <c r="G147" t="s">
        <v>26</v>
      </c>
      <c r="H147">
        <v>1</v>
      </c>
      <c r="I147">
        <v>0</v>
      </c>
      <c r="J147">
        <v>0</v>
      </c>
      <c r="K147">
        <v>0</v>
      </c>
      <c r="L147">
        <v>0</v>
      </c>
      <c r="M147">
        <v>0</v>
      </c>
      <c r="N147">
        <v>0</v>
      </c>
      <c r="P147">
        <v>41.3</v>
      </c>
    </row>
    <row r="148" spans="1:16">
      <c r="A148" t="s">
        <v>178</v>
      </c>
      <c r="B148" s="2">
        <v>45741</v>
      </c>
      <c r="C148" t="s">
        <v>17</v>
      </c>
      <c r="D148" t="s">
        <v>23</v>
      </c>
      <c r="E148" t="s">
        <v>24</v>
      </c>
      <c r="F148" t="s">
        <v>25</v>
      </c>
      <c r="G148" t="s">
        <v>21</v>
      </c>
      <c r="H148">
        <v>1</v>
      </c>
      <c r="I148">
        <v>1</v>
      </c>
      <c r="J148">
        <v>0</v>
      </c>
      <c r="K148">
        <v>0</v>
      </c>
      <c r="L148">
        <v>0</v>
      </c>
      <c r="M148">
        <v>0</v>
      </c>
      <c r="N148">
        <v>0</v>
      </c>
      <c r="P148">
        <v>38.9</v>
      </c>
    </row>
    <row r="149" spans="1:16">
      <c r="A149" t="s">
        <v>179</v>
      </c>
      <c r="B149" s="2">
        <v>45802</v>
      </c>
      <c r="C149" t="s">
        <v>17</v>
      </c>
      <c r="D149" t="s">
        <v>32</v>
      </c>
      <c r="E149" t="s">
        <v>19</v>
      </c>
      <c r="F149" t="s">
        <v>25</v>
      </c>
      <c r="G149" t="s">
        <v>21</v>
      </c>
      <c r="H149">
        <v>1</v>
      </c>
      <c r="I149">
        <v>0</v>
      </c>
      <c r="J149">
        <v>0</v>
      </c>
      <c r="K149">
        <v>0</v>
      </c>
      <c r="L149">
        <v>0</v>
      </c>
      <c r="M149">
        <v>0</v>
      </c>
      <c r="N149">
        <v>0</v>
      </c>
      <c r="P149">
        <v>63.6</v>
      </c>
    </row>
    <row r="150" spans="1:16">
      <c r="A150" t="s">
        <v>180</v>
      </c>
      <c r="B150" s="2">
        <v>45685</v>
      </c>
      <c r="C150" t="s">
        <v>17</v>
      </c>
      <c r="D150" t="s">
        <v>18</v>
      </c>
      <c r="E150" t="s">
        <v>24</v>
      </c>
      <c r="F150" t="s">
        <v>25</v>
      </c>
      <c r="G150" t="s">
        <v>26</v>
      </c>
      <c r="H150">
        <v>1</v>
      </c>
      <c r="I150">
        <v>1</v>
      </c>
      <c r="J150">
        <v>1</v>
      </c>
      <c r="K150">
        <v>1</v>
      </c>
      <c r="L150">
        <v>577.94000000000005</v>
      </c>
      <c r="M150">
        <v>0</v>
      </c>
      <c r="N150">
        <v>0</v>
      </c>
      <c r="O150">
        <v>9</v>
      </c>
      <c r="P150">
        <v>76.599999999999994</v>
      </c>
    </row>
    <row r="151" spans="1:16">
      <c r="A151" t="s">
        <v>181</v>
      </c>
      <c r="B151" s="2">
        <v>45700</v>
      </c>
      <c r="C151" t="s">
        <v>17</v>
      </c>
      <c r="D151" t="s">
        <v>23</v>
      </c>
      <c r="E151" t="s">
        <v>24</v>
      </c>
      <c r="F151" t="s">
        <v>29</v>
      </c>
      <c r="G151" t="s">
        <v>30</v>
      </c>
      <c r="H151">
        <v>0</v>
      </c>
      <c r="I151">
        <v>0</v>
      </c>
      <c r="J151">
        <v>0</v>
      </c>
      <c r="K151">
        <v>0</v>
      </c>
      <c r="L151">
        <v>0</v>
      </c>
      <c r="M151">
        <v>1</v>
      </c>
      <c r="N151">
        <v>0</v>
      </c>
      <c r="P151">
        <v>67.599999999999994</v>
      </c>
    </row>
    <row r="152" spans="1:16">
      <c r="A152" t="s">
        <v>182</v>
      </c>
      <c r="B152" s="2">
        <v>45776</v>
      </c>
      <c r="C152" t="s">
        <v>17</v>
      </c>
      <c r="D152" t="s">
        <v>18</v>
      </c>
      <c r="E152" t="s">
        <v>24</v>
      </c>
      <c r="F152" t="s">
        <v>41</v>
      </c>
      <c r="G152" t="s">
        <v>30</v>
      </c>
      <c r="H152">
        <v>1</v>
      </c>
      <c r="I152">
        <v>0</v>
      </c>
      <c r="J152">
        <v>0</v>
      </c>
      <c r="K152">
        <v>0</v>
      </c>
      <c r="L152">
        <v>0</v>
      </c>
      <c r="M152">
        <v>0</v>
      </c>
      <c r="N152">
        <v>0</v>
      </c>
      <c r="P152">
        <v>43.1</v>
      </c>
    </row>
    <row r="153" spans="1:16">
      <c r="A153" t="s">
        <v>183</v>
      </c>
      <c r="B153" s="2">
        <v>45729</v>
      </c>
      <c r="C153" t="s">
        <v>17</v>
      </c>
      <c r="D153" t="s">
        <v>32</v>
      </c>
      <c r="E153" t="s">
        <v>24</v>
      </c>
      <c r="F153" t="s">
        <v>20</v>
      </c>
      <c r="G153" t="s">
        <v>26</v>
      </c>
      <c r="H153">
        <v>1</v>
      </c>
      <c r="I153">
        <v>0</v>
      </c>
      <c r="J153">
        <v>0</v>
      </c>
      <c r="K153">
        <v>0</v>
      </c>
      <c r="L153">
        <v>0</v>
      </c>
      <c r="M153">
        <v>0</v>
      </c>
      <c r="N153">
        <v>0</v>
      </c>
      <c r="P153">
        <v>58.3</v>
      </c>
    </row>
    <row r="154" spans="1:16">
      <c r="A154" t="s">
        <v>184</v>
      </c>
      <c r="B154" s="2">
        <v>45692</v>
      </c>
      <c r="C154" t="s">
        <v>17</v>
      </c>
      <c r="D154" t="s">
        <v>28</v>
      </c>
      <c r="E154" t="s">
        <v>19</v>
      </c>
      <c r="F154" t="s">
        <v>29</v>
      </c>
      <c r="G154" t="s">
        <v>26</v>
      </c>
      <c r="H154">
        <v>1</v>
      </c>
      <c r="I154">
        <v>0</v>
      </c>
      <c r="J154">
        <v>0</v>
      </c>
      <c r="K154">
        <v>0</v>
      </c>
      <c r="L154">
        <v>0</v>
      </c>
      <c r="M154">
        <v>0</v>
      </c>
      <c r="N154">
        <v>0</v>
      </c>
      <c r="P154">
        <v>69.8</v>
      </c>
    </row>
    <row r="155" spans="1:16">
      <c r="A155" t="s">
        <v>185</v>
      </c>
      <c r="B155" s="2">
        <v>45720</v>
      </c>
      <c r="C155" t="s">
        <v>17</v>
      </c>
      <c r="D155" t="s">
        <v>32</v>
      </c>
      <c r="E155" t="s">
        <v>24</v>
      </c>
      <c r="F155" t="s">
        <v>39</v>
      </c>
      <c r="G155" t="s">
        <v>26</v>
      </c>
      <c r="H155">
        <v>1</v>
      </c>
      <c r="I155">
        <v>1</v>
      </c>
      <c r="J155">
        <v>0</v>
      </c>
      <c r="K155">
        <v>0</v>
      </c>
      <c r="L155">
        <v>0</v>
      </c>
      <c r="M155">
        <v>0</v>
      </c>
      <c r="N155">
        <v>0</v>
      </c>
    </row>
    <row r="156" spans="1:16">
      <c r="A156" t="s">
        <v>186</v>
      </c>
      <c r="B156" s="2">
        <v>45692</v>
      </c>
      <c r="C156" t="s">
        <v>17</v>
      </c>
      <c r="D156" t="s">
        <v>23</v>
      </c>
      <c r="E156" t="s">
        <v>24</v>
      </c>
      <c r="F156" t="s">
        <v>29</v>
      </c>
      <c r="G156" t="s">
        <v>21</v>
      </c>
      <c r="H156">
        <v>1</v>
      </c>
      <c r="I156">
        <v>1</v>
      </c>
      <c r="J156">
        <v>0</v>
      </c>
      <c r="K156">
        <v>0</v>
      </c>
      <c r="L156">
        <v>0</v>
      </c>
      <c r="M156">
        <v>0</v>
      </c>
      <c r="N156">
        <v>0</v>
      </c>
      <c r="P156">
        <v>41.9</v>
      </c>
    </row>
    <row r="157" spans="1:16">
      <c r="A157" t="s">
        <v>187</v>
      </c>
      <c r="B157" s="2">
        <v>45727</v>
      </c>
      <c r="C157" t="s">
        <v>17</v>
      </c>
      <c r="D157" t="s">
        <v>18</v>
      </c>
      <c r="E157" t="s">
        <v>19</v>
      </c>
      <c r="F157" t="s">
        <v>25</v>
      </c>
      <c r="G157" t="s">
        <v>26</v>
      </c>
      <c r="H157">
        <v>0</v>
      </c>
      <c r="I157">
        <v>0</v>
      </c>
      <c r="J157">
        <v>0</v>
      </c>
      <c r="K157">
        <v>0</v>
      </c>
      <c r="L157">
        <v>0</v>
      </c>
      <c r="M157">
        <v>0</v>
      </c>
      <c r="N157">
        <v>0</v>
      </c>
      <c r="P157">
        <v>33.1</v>
      </c>
    </row>
    <row r="158" spans="1:16">
      <c r="A158" t="s">
        <v>188</v>
      </c>
      <c r="B158" s="2">
        <v>45769</v>
      </c>
      <c r="C158" t="s">
        <v>17</v>
      </c>
      <c r="D158" t="s">
        <v>23</v>
      </c>
      <c r="E158" t="s">
        <v>24</v>
      </c>
      <c r="F158" t="s">
        <v>25</v>
      </c>
      <c r="G158" t="s">
        <v>26</v>
      </c>
      <c r="H158">
        <v>0</v>
      </c>
      <c r="I158">
        <v>0</v>
      </c>
      <c r="J158">
        <v>0</v>
      </c>
      <c r="K158">
        <v>0</v>
      </c>
      <c r="L158">
        <v>0</v>
      </c>
      <c r="M158">
        <v>0</v>
      </c>
      <c r="N158">
        <v>0</v>
      </c>
      <c r="P158">
        <v>58.6</v>
      </c>
    </row>
    <row r="159" spans="1:16">
      <c r="A159" t="s">
        <v>189</v>
      </c>
      <c r="B159" s="2">
        <v>45724</v>
      </c>
      <c r="C159" t="s">
        <v>17</v>
      </c>
      <c r="D159" t="s">
        <v>18</v>
      </c>
      <c r="E159" t="s">
        <v>19</v>
      </c>
      <c r="F159" t="s">
        <v>29</v>
      </c>
      <c r="G159" t="s">
        <v>26</v>
      </c>
      <c r="H159">
        <v>0</v>
      </c>
      <c r="I159">
        <v>0</v>
      </c>
      <c r="J159">
        <v>0</v>
      </c>
      <c r="K159">
        <v>0</v>
      </c>
      <c r="L159">
        <v>0</v>
      </c>
      <c r="M159">
        <v>0</v>
      </c>
      <c r="N159">
        <v>0</v>
      </c>
      <c r="P159">
        <v>55.7</v>
      </c>
    </row>
    <row r="160" spans="1:16">
      <c r="A160" t="s">
        <v>190</v>
      </c>
      <c r="B160" s="2">
        <v>45726</v>
      </c>
      <c r="C160" t="s">
        <v>17</v>
      </c>
      <c r="D160" t="s">
        <v>28</v>
      </c>
      <c r="E160" t="s">
        <v>24</v>
      </c>
      <c r="F160" t="s">
        <v>25</v>
      </c>
      <c r="G160" t="s">
        <v>26</v>
      </c>
      <c r="H160">
        <v>0</v>
      </c>
      <c r="I160">
        <v>0</v>
      </c>
      <c r="J160">
        <v>0</v>
      </c>
      <c r="K160">
        <v>0</v>
      </c>
      <c r="L160">
        <v>0</v>
      </c>
      <c r="M160">
        <v>2</v>
      </c>
      <c r="N160">
        <v>0</v>
      </c>
      <c r="P160">
        <v>64.900000000000006</v>
      </c>
    </row>
    <row r="161" spans="1:16">
      <c r="A161" t="s">
        <v>191</v>
      </c>
      <c r="B161" s="2">
        <v>45795</v>
      </c>
      <c r="C161" t="s">
        <v>17</v>
      </c>
      <c r="D161" t="s">
        <v>18</v>
      </c>
      <c r="E161" t="s">
        <v>19</v>
      </c>
      <c r="F161" t="s">
        <v>29</v>
      </c>
      <c r="G161" t="s">
        <v>21</v>
      </c>
      <c r="H161">
        <v>0</v>
      </c>
      <c r="I161">
        <v>0</v>
      </c>
      <c r="J161">
        <v>0</v>
      </c>
      <c r="K161">
        <v>0</v>
      </c>
      <c r="L161">
        <v>0</v>
      </c>
      <c r="M161">
        <v>0</v>
      </c>
      <c r="N161">
        <v>0</v>
      </c>
      <c r="P161">
        <v>72.3</v>
      </c>
    </row>
    <row r="162" spans="1:16">
      <c r="A162" t="s">
        <v>192</v>
      </c>
      <c r="B162" s="2">
        <v>45791</v>
      </c>
      <c r="C162" t="s">
        <v>17</v>
      </c>
      <c r="D162" t="s">
        <v>18</v>
      </c>
      <c r="E162" t="s">
        <v>24</v>
      </c>
      <c r="F162" t="s">
        <v>41</v>
      </c>
      <c r="G162" t="s">
        <v>21</v>
      </c>
      <c r="H162">
        <v>0</v>
      </c>
      <c r="I162">
        <v>0</v>
      </c>
      <c r="J162">
        <v>0</v>
      </c>
      <c r="K162">
        <v>0</v>
      </c>
      <c r="L162">
        <v>0</v>
      </c>
      <c r="M162">
        <v>0</v>
      </c>
      <c r="N162">
        <v>0</v>
      </c>
      <c r="P162">
        <v>42.1</v>
      </c>
    </row>
    <row r="163" spans="1:16">
      <c r="A163" t="s">
        <v>193</v>
      </c>
      <c r="B163" s="2">
        <v>45689</v>
      </c>
      <c r="C163" t="s">
        <v>17</v>
      </c>
      <c r="D163" t="s">
        <v>18</v>
      </c>
      <c r="E163" t="s">
        <v>24</v>
      </c>
      <c r="F163" t="s">
        <v>25</v>
      </c>
      <c r="G163" t="s">
        <v>26</v>
      </c>
      <c r="H163">
        <v>0</v>
      </c>
      <c r="I163">
        <v>0</v>
      </c>
      <c r="J163">
        <v>0</v>
      </c>
      <c r="K163">
        <v>0</v>
      </c>
      <c r="L163">
        <v>0</v>
      </c>
      <c r="M163">
        <v>0</v>
      </c>
      <c r="N163">
        <v>0</v>
      </c>
    </row>
    <row r="164" spans="1:16">
      <c r="A164" t="s">
        <v>194</v>
      </c>
      <c r="B164" s="2">
        <v>45758</v>
      </c>
      <c r="C164" t="s">
        <v>17</v>
      </c>
      <c r="D164" t="s">
        <v>32</v>
      </c>
      <c r="E164" t="s">
        <v>24</v>
      </c>
      <c r="F164" t="s">
        <v>25</v>
      </c>
      <c r="G164" t="s">
        <v>21</v>
      </c>
      <c r="H164">
        <v>0</v>
      </c>
      <c r="I164">
        <v>0</v>
      </c>
      <c r="J164">
        <v>0</v>
      </c>
      <c r="K164">
        <v>0</v>
      </c>
      <c r="L164">
        <v>0</v>
      </c>
      <c r="M164">
        <v>1</v>
      </c>
      <c r="N164">
        <v>0</v>
      </c>
      <c r="P164">
        <v>64.8</v>
      </c>
    </row>
    <row r="165" spans="1:16">
      <c r="A165" t="s">
        <v>195</v>
      </c>
      <c r="B165" s="2">
        <v>45702</v>
      </c>
      <c r="C165" t="s">
        <v>17</v>
      </c>
      <c r="D165" t="s">
        <v>28</v>
      </c>
      <c r="E165" t="s">
        <v>24</v>
      </c>
      <c r="F165" t="s">
        <v>25</v>
      </c>
      <c r="G165" t="s">
        <v>26</v>
      </c>
      <c r="H165">
        <v>0</v>
      </c>
      <c r="I165">
        <v>0</v>
      </c>
      <c r="J165">
        <v>0</v>
      </c>
      <c r="K165">
        <v>0</v>
      </c>
      <c r="L165">
        <v>0</v>
      </c>
      <c r="M165">
        <v>0</v>
      </c>
      <c r="N165">
        <v>0</v>
      </c>
      <c r="P165">
        <v>72.099999999999994</v>
      </c>
    </row>
    <row r="166" spans="1:16">
      <c r="A166" t="s">
        <v>196</v>
      </c>
      <c r="B166" s="2">
        <v>45796</v>
      </c>
      <c r="C166" t="s">
        <v>17</v>
      </c>
      <c r="D166" t="s">
        <v>28</v>
      </c>
      <c r="E166" t="s">
        <v>24</v>
      </c>
      <c r="F166" t="s">
        <v>41</v>
      </c>
      <c r="G166" t="s">
        <v>26</v>
      </c>
      <c r="H166">
        <v>1</v>
      </c>
      <c r="I166">
        <v>0</v>
      </c>
      <c r="J166">
        <v>0</v>
      </c>
      <c r="K166">
        <v>0</v>
      </c>
      <c r="L166">
        <v>0</v>
      </c>
      <c r="M166">
        <v>0</v>
      </c>
      <c r="N166">
        <v>0</v>
      </c>
      <c r="P166">
        <v>50.6</v>
      </c>
    </row>
    <row r="167" spans="1:16">
      <c r="A167" t="s">
        <v>197</v>
      </c>
      <c r="B167" s="2">
        <v>45773</v>
      </c>
      <c r="C167" t="s">
        <v>17</v>
      </c>
      <c r="D167" t="s">
        <v>18</v>
      </c>
      <c r="E167" t="s">
        <v>19</v>
      </c>
      <c r="F167" t="s">
        <v>29</v>
      </c>
      <c r="G167" t="s">
        <v>21</v>
      </c>
      <c r="H167">
        <v>1</v>
      </c>
      <c r="I167">
        <v>1</v>
      </c>
      <c r="J167">
        <v>1</v>
      </c>
      <c r="K167">
        <v>1</v>
      </c>
      <c r="L167">
        <v>1281.25</v>
      </c>
      <c r="M167">
        <v>1</v>
      </c>
      <c r="N167">
        <v>0</v>
      </c>
      <c r="O167">
        <v>9</v>
      </c>
      <c r="P167">
        <v>43.4</v>
      </c>
    </row>
    <row r="168" spans="1:16">
      <c r="A168" t="s">
        <v>198</v>
      </c>
      <c r="B168" s="2">
        <v>45753</v>
      </c>
      <c r="C168" t="s">
        <v>17</v>
      </c>
      <c r="D168" t="s">
        <v>32</v>
      </c>
      <c r="E168" t="s">
        <v>24</v>
      </c>
      <c r="F168" t="s">
        <v>41</v>
      </c>
      <c r="G168" t="s">
        <v>26</v>
      </c>
      <c r="H168">
        <v>1</v>
      </c>
      <c r="I168">
        <v>0</v>
      </c>
      <c r="J168">
        <v>0</v>
      </c>
      <c r="K168">
        <v>0</v>
      </c>
      <c r="L168">
        <v>0</v>
      </c>
      <c r="M168">
        <v>0</v>
      </c>
      <c r="N168">
        <v>0</v>
      </c>
      <c r="P168">
        <v>59.7</v>
      </c>
    </row>
    <row r="169" spans="1:16">
      <c r="A169" t="s">
        <v>199</v>
      </c>
      <c r="B169" s="2">
        <v>45722</v>
      </c>
      <c r="C169" t="s">
        <v>17</v>
      </c>
      <c r="D169" t="s">
        <v>32</v>
      </c>
      <c r="E169" t="s">
        <v>24</v>
      </c>
      <c r="F169" t="s">
        <v>29</v>
      </c>
      <c r="G169" t="s">
        <v>26</v>
      </c>
      <c r="H169">
        <v>1</v>
      </c>
      <c r="I169">
        <v>0</v>
      </c>
      <c r="J169">
        <v>0</v>
      </c>
      <c r="K169">
        <v>0</v>
      </c>
      <c r="L169">
        <v>0</v>
      </c>
      <c r="M169">
        <v>1</v>
      </c>
      <c r="N169">
        <v>0</v>
      </c>
    </row>
    <row r="170" spans="1:16">
      <c r="A170" t="s">
        <v>200</v>
      </c>
      <c r="B170" s="2">
        <v>45726</v>
      </c>
      <c r="C170" t="s">
        <v>17</v>
      </c>
      <c r="D170" t="s">
        <v>23</v>
      </c>
      <c r="E170" t="s">
        <v>24</v>
      </c>
      <c r="F170" t="s">
        <v>41</v>
      </c>
      <c r="G170" t="s">
        <v>21</v>
      </c>
      <c r="H170">
        <v>0</v>
      </c>
      <c r="I170">
        <v>0</v>
      </c>
      <c r="J170">
        <v>0</v>
      </c>
      <c r="K170">
        <v>0</v>
      </c>
      <c r="L170">
        <v>0</v>
      </c>
      <c r="M170">
        <v>0</v>
      </c>
      <c r="N170">
        <v>0</v>
      </c>
      <c r="P170">
        <v>54.5</v>
      </c>
    </row>
    <row r="171" spans="1:16">
      <c r="A171" t="s">
        <v>201</v>
      </c>
      <c r="B171" s="2">
        <v>45746</v>
      </c>
      <c r="C171" t="s">
        <v>17</v>
      </c>
      <c r="D171" t="s">
        <v>18</v>
      </c>
      <c r="E171" t="s">
        <v>24</v>
      </c>
      <c r="F171" t="s">
        <v>25</v>
      </c>
      <c r="G171" t="s">
        <v>26</v>
      </c>
      <c r="H171">
        <v>1</v>
      </c>
      <c r="I171">
        <v>0</v>
      </c>
      <c r="J171">
        <v>0</v>
      </c>
      <c r="K171">
        <v>0</v>
      </c>
      <c r="L171">
        <v>0</v>
      </c>
      <c r="M171">
        <v>0</v>
      </c>
      <c r="N171">
        <v>0</v>
      </c>
      <c r="P171">
        <v>71.099999999999994</v>
      </c>
    </row>
    <row r="172" spans="1:16">
      <c r="A172" t="s">
        <v>202</v>
      </c>
      <c r="B172" s="2">
        <v>45806</v>
      </c>
      <c r="C172" t="s">
        <v>17</v>
      </c>
      <c r="D172" t="s">
        <v>28</v>
      </c>
      <c r="F172" t="s">
        <v>29</v>
      </c>
      <c r="G172" t="s">
        <v>26</v>
      </c>
      <c r="H172">
        <v>1</v>
      </c>
      <c r="I172">
        <v>1</v>
      </c>
      <c r="J172">
        <v>1</v>
      </c>
      <c r="K172">
        <v>0</v>
      </c>
      <c r="L172">
        <v>0</v>
      </c>
      <c r="M172">
        <v>0</v>
      </c>
      <c r="N172">
        <v>0</v>
      </c>
      <c r="P172">
        <v>44.4</v>
      </c>
    </row>
    <row r="173" spans="1:16">
      <c r="A173" t="s">
        <v>203</v>
      </c>
      <c r="B173" s="2">
        <v>45739</v>
      </c>
      <c r="C173" t="s">
        <v>17</v>
      </c>
      <c r="D173" t="s">
        <v>18</v>
      </c>
      <c r="E173" t="s">
        <v>24</v>
      </c>
      <c r="F173" t="s">
        <v>25</v>
      </c>
      <c r="G173" t="s">
        <v>26</v>
      </c>
      <c r="H173">
        <v>1</v>
      </c>
      <c r="I173">
        <v>0</v>
      </c>
      <c r="J173">
        <v>0</v>
      </c>
      <c r="K173">
        <v>0</v>
      </c>
      <c r="L173">
        <v>0</v>
      </c>
      <c r="M173">
        <v>0</v>
      </c>
      <c r="N173">
        <v>0</v>
      </c>
      <c r="P173">
        <v>61.7</v>
      </c>
    </row>
    <row r="174" spans="1:16">
      <c r="A174" t="s">
        <v>204</v>
      </c>
      <c r="B174" s="2">
        <v>45706</v>
      </c>
      <c r="C174" t="s">
        <v>17</v>
      </c>
      <c r="D174" t="s">
        <v>18</v>
      </c>
      <c r="E174" t="s">
        <v>34</v>
      </c>
      <c r="F174" t="s">
        <v>25</v>
      </c>
      <c r="G174" t="s">
        <v>21</v>
      </c>
      <c r="H174">
        <v>0</v>
      </c>
      <c r="I174">
        <v>0</v>
      </c>
      <c r="J174">
        <v>0</v>
      </c>
      <c r="K174">
        <v>0</v>
      </c>
      <c r="L174">
        <v>0</v>
      </c>
      <c r="M174">
        <v>1</v>
      </c>
      <c r="N174">
        <v>0</v>
      </c>
      <c r="P174">
        <v>81.3</v>
      </c>
    </row>
    <row r="175" spans="1:16">
      <c r="A175" t="s">
        <v>205</v>
      </c>
      <c r="B175" s="2">
        <v>45683</v>
      </c>
      <c r="C175" t="s">
        <v>17</v>
      </c>
      <c r="D175" t="s">
        <v>18</v>
      </c>
      <c r="E175" t="s">
        <v>19</v>
      </c>
      <c r="F175" t="s">
        <v>20</v>
      </c>
      <c r="G175" t="s">
        <v>26</v>
      </c>
      <c r="H175">
        <v>1</v>
      </c>
      <c r="I175">
        <v>0</v>
      </c>
      <c r="J175">
        <v>0</v>
      </c>
      <c r="K175">
        <v>0</v>
      </c>
      <c r="L175">
        <v>0</v>
      </c>
      <c r="M175">
        <v>2</v>
      </c>
      <c r="N175">
        <v>0</v>
      </c>
      <c r="P175">
        <v>28.7</v>
      </c>
    </row>
    <row r="176" spans="1:16">
      <c r="A176" t="s">
        <v>206</v>
      </c>
      <c r="B176" s="2">
        <v>45770</v>
      </c>
      <c r="C176" t="s">
        <v>17</v>
      </c>
      <c r="D176" t="s">
        <v>28</v>
      </c>
      <c r="E176" t="s">
        <v>24</v>
      </c>
      <c r="F176" t="s">
        <v>41</v>
      </c>
      <c r="G176" t="s">
        <v>21</v>
      </c>
      <c r="H176">
        <v>0</v>
      </c>
      <c r="I176">
        <v>0</v>
      </c>
      <c r="J176">
        <v>0</v>
      </c>
      <c r="K176">
        <v>0</v>
      </c>
      <c r="L176">
        <v>0</v>
      </c>
      <c r="M176">
        <v>0</v>
      </c>
      <c r="N176">
        <v>0</v>
      </c>
      <c r="P176">
        <v>53</v>
      </c>
    </row>
    <row r="177" spans="1:16">
      <c r="A177" t="s">
        <v>207</v>
      </c>
      <c r="B177" s="2">
        <v>45732</v>
      </c>
      <c r="C177" t="s">
        <v>17</v>
      </c>
      <c r="D177" t="s">
        <v>32</v>
      </c>
      <c r="E177" t="s">
        <v>34</v>
      </c>
      <c r="F177" t="s">
        <v>39</v>
      </c>
      <c r="G177" t="s">
        <v>21</v>
      </c>
      <c r="H177">
        <v>1</v>
      </c>
      <c r="I177">
        <v>0</v>
      </c>
      <c r="J177">
        <v>0</v>
      </c>
      <c r="K177">
        <v>0</v>
      </c>
      <c r="L177">
        <v>0</v>
      </c>
      <c r="M177">
        <v>0</v>
      </c>
      <c r="N177">
        <v>0</v>
      </c>
      <c r="P177">
        <v>54.9</v>
      </c>
    </row>
    <row r="178" spans="1:16">
      <c r="A178" t="s">
        <v>208</v>
      </c>
      <c r="B178" s="2">
        <v>45776</v>
      </c>
      <c r="C178" t="s">
        <v>17</v>
      </c>
      <c r="D178" t="s">
        <v>23</v>
      </c>
      <c r="E178" t="s">
        <v>24</v>
      </c>
      <c r="F178" t="s">
        <v>25</v>
      </c>
      <c r="G178" t="s">
        <v>21</v>
      </c>
      <c r="H178">
        <v>1</v>
      </c>
      <c r="I178">
        <v>0</v>
      </c>
      <c r="J178">
        <v>0</v>
      </c>
      <c r="K178">
        <v>0</v>
      </c>
      <c r="L178">
        <v>0</v>
      </c>
      <c r="M178">
        <v>0</v>
      </c>
      <c r="N178">
        <v>0</v>
      </c>
      <c r="P178">
        <v>58.2</v>
      </c>
    </row>
    <row r="179" spans="1:16">
      <c r="A179" t="s">
        <v>209</v>
      </c>
      <c r="B179" s="2">
        <v>45753</v>
      </c>
      <c r="C179" t="s">
        <v>17</v>
      </c>
      <c r="D179" t="s">
        <v>18</v>
      </c>
      <c r="E179" t="s">
        <v>24</v>
      </c>
      <c r="F179" t="s">
        <v>25</v>
      </c>
      <c r="G179" t="s">
        <v>26</v>
      </c>
      <c r="H179">
        <v>0</v>
      </c>
      <c r="I179">
        <v>0</v>
      </c>
      <c r="J179">
        <v>0</v>
      </c>
      <c r="K179">
        <v>0</v>
      </c>
      <c r="L179">
        <v>0</v>
      </c>
      <c r="M179">
        <v>0</v>
      </c>
      <c r="N179">
        <v>0</v>
      </c>
      <c r="P179">
        <v>80.599999999999994</v>
      </c>
    </row>
    <row r="180" spans="1:16">
      <c r="A180" t="s">
        <v>210</v>
      </c>
      <c r="B180" s="2">
        <v>45764</v>
      </c>
      <c r="C180" t="s">
        <v>17</v>
      </c>
      <c r="D180" t="s">
        <v>18</v>
      </c>
      <c r="E180" t="s">
        <v>19</v>
      </c>
      <c r="F180" t="s">
        <v>39</v>
      </c>
      <c r="G180" t="s">
        <v>30</v>
      </c>
      <c r="H180">
        <v>1</v>
      </c>
      <c r="I180">
        <v>1</v>
      </c>
      <c r="J180">
        <v>1</v>
      </c>
      <c r="K180">
        <v>0</v>
      </c>
      <c r="L180">
        <v>0</v>
      </c>
      <c r="M180">
        <v>0</v>
      </c>
      <c r="N180">
        <v>0</v>
      </c>
      <c r="P180">
        <v>38.4</v>
      </c>
    </row>
    <row r="181" spans="1:16">
      <c r="A181" t="s">
        <v>211</v>
      </c>
      <c r="B181" s="2">
        <v>45750</v>
      </c>
      <c r="C181" t="s">
        <v>17</v>
      </c>
      <c r="D181" t="s">
        <v>32</v>
      </c>
      <c r="E181" t="s">
        <v>24</v>
      </c>
      <c r="F181" t="s">
        <v>29</v>
      </c>
      <c r="G181" t="s">
        <v>26</v>
      </c>
      <c r="H181">
        <v>1</v>
      </c>
      <c r="I181">
        <v>0</v>
      </c>
      <c r="J181">
        <v>0</v>
      </c>
      <c r="K181">
        <v>0</v>
      </c>
      <c r="L181">
        <v>0</v>
      </c>
      <c r="M181">
        <v>0</v>
      </c>
      <c r="N181">
        <v>0</v>
      </c>
      <c r="P181">
        <v>56.1</v>
      </c>
    </row>
    <row r="182" spans="1:16">
      <c r="A182" t="s">
        <v>212</v>
      </c>
      <c r="B182" s="2">
        <v>45772</v>
      </c>
      <c r="C182" t="s">
        <v>17</v>
      </c>
      <c r="D182" t="s">
        <v>23</v>
      </c>
      <c r="E182" t="s">
        <v>24</v>
      </c>
      <c r="F182" t="s">
        <v>29</v>
      </c>
      <c r="G182" t="s">
        <v>26</v>
      </c>
      <c r="H182">
        <v>0</v>
      </c>
      <c r="I182">
        <v>0</v>
      </c>
      <c r="J182">
        <v>0</v>
      </c>
      <c r="K182">
        <v>0</v>
      </c>
      <c r="L182">
        <v>0</v>
      </c>
      <c r="M182">
        <v>0</v>
      </c>
      <c r="N182">
        <v>0</v>
      </c>
      <c r="P182">
        <v>62.6</v>
      </c>
    </row>
    <row r="183" spans="1:16">
      <c r="A183" t="s">
        <v>213</v>
      </c>
      <c r="B183" s="2">
        <v>45777</v>
      </c>
      <c r="C183" t="s">
        <v>17</v>
      </c>
      <c r="D183" t="s">
        <v>32</v>
      </c>
      <c r="E183" t="s">
        <v>24</v>
      </c>
      <c r="F183" t="s">
        <v>25</v>
      </c>
      <c r="G183" t="s">
        <v>30</v>
      </c>
      <c r="H183">
        <v>0</v>
      </c>
      <c r="I183">
        <v>0</v>
      </c>
      <c r="J183">
        <v>0</v>
      </c>
      <c r="K183">
        <v>0</v>
      </c>
      <c r="L183">
        <v>0</v>
      </c>
      <c r="M183">
        <v>0</v>
      </c>
      <c r="N183">
        <v>0</v>
      </c>
      <c r="P183">
        <v>36.299999999999997</v>
      </c>
    </row>
    <row r="184" spans="1:16">
      <c r="A184" t="s">
        <v>214</v>
      </c>
      <c r="B184" s="2">
        <v>45728</v>
      </c>
      <c r="C184" t="s">
        <v>17</v>
      </c>
      <c r="D184" t="s">
        <v>32</v>
      </c>
      <c r="E184" t="s">
        <v>24</v>
      </c>
      <c r="F184" t="s">
        <v>29</v>
      </c>
      <c r="G184" t="s">
        <v>26</v>
      </c>
      <c r="H184">
        <v>1</v>
      </c>
      <c r="I184">
        <v>0</v>
      </c>
      <c r="J184">
        <v>0</v>
      </c>
      <c r="K184">
        <v>0</v>
      </c>
      <c r="L184">
        <v>0</v>
      </c>
      <c r="M184">
        <v>0</v>
      </c>
      <c r="N184">
        <v>0</v>
      </c>
      <c r="P184">
        <v>52.1</v>
      </c>
    </row>
    <row r="185" spans="1:16">
      <c r="A185" t="s">
        <v>215</v>
      </c>
      <c r="B185" s="2">
        <v>45781</v>
      </c>
      <c r="C185" t="s">
        <v>17</v>
      </c>
      <c r="D185" t="s">
        <v>32</v>
      </c>
      <c r="E185" t="s">
        <v>24</v>
      </c>
      <c r="F185" t="s">
        <v>25</v>
      </c>
      <c r="G185" t="s">
        <v>26</v>
      </c>
      <c r="H185">
        <v>1</v>
      </c>
      <c r="I185">
        <v>0</v>
      </c>
      <c r="J185">
        <v>0</v>
      </c>
      <c r="K185">
        <v>0</v>
      </c>
      <c r="L185">
        <v>0</v>
      </c>
      <c r="M185">
        <v>0</v>
      </c>
      <c r="N185">
        <v>0</v>
      </c>
      <c r="P185">
        <v>45.1</v>
      </c>
    </row>
    <row r="186" spans="1:16">
      <c r="A186" t="s">
        <v>216</v>
      </c>
      <c r="B186" s="2">
        <v>45695</v>
      </c>
      <c r="C186" t="s">
        <v>17</v>
      </c>
      <c r="D186" t="s">
        <v>32</v>
      </c>
      <c r="E186" t="s">
        <v>34</v>
      </c>
      <c r="F186" t="s">
        <v>29</v>
      </c>
      <c r="G186" t="s">
        <v>30</v>
      </c>
      <c r="H186">
        <v>0</v>
      </c>
      <c r="I186">
        <v>0</v>
      </c>
      <c r="J186">
        <v>0</v>
      </c>
      <c r="K186">
        <v>0</v>
      </c>
      <c r="L186">
        <v>0</v>
      </c>
      <c r="M186">
        <v>0</v>
      </c>
      <c r="N186">
        <v>0</v>
      </c>
      <c r="P186">
        <v>67.5</v>
      </c>
    </row>
    <row r="187" spans="1:16">
      <c r="A187" t="s">
        <v>217</v>
      </c>
      <c r="B187" s="2">
        <v>45775</v>
      </c>
      <c r="C187" t="s">
        <v>17</v>
      </c>
      <c r="D187" t="s">
        <v>28</v>
      </c>
      <c r="E187" t="s">
        <v>34</v>
      </c>
      <c r="F187" t="s">
        <v>20</v>
      </c>
      <c r="G187" t="s">
        <v>21</v>
      </c>
      <c r="H187">
        <v>1</v>
      </c>
      <c r="I187">
        <v>1</v>
      </c>
      <c r="J187">
        <v>1</v>
      </c>
      <c r="K187">
        <v>0</v>
      </c>
      <c r="L187">
        <v>0</v>
      </c>
      <c r="M187">
        <v>0</v>
      </c>
      <c r="N187">
        <v>0</v>
      </c>
      <c r="P187">
        <v>80</v>
      </c>
    </row>
    <row r="188" spans="1:16">
      <c r="A188" t="s">
        <v>218</v>
      </c>
      <c r="B188" s="2">
        <v>45792</v>
      </c>
      <c r="C188" t="s">
        <v>17</v>
      </c>
      <c r="D188" t="s">
        <v>28</v>
      </c>
      <c r="E188" t="s">
        <v>19</v>
      </c>
      <c r="F188" t="s">
        <v>39</v>
      </c>
      <c r="G188" t="s">
        <v>26</v>
      </c>
      <c r="H188">
        <v>0</v>
      </c>
      <c r="I188">
        <v>0</v>
      </c>
      <c r="J188">
        <v>0</v>
      </c>
      <c r="K188">
        <v>0</v>
      </c>
      <c r="L188">
        <v>0</v>
      </c>
      <c r="M188">
        <v>0</v>
      </c>
      <c r="N188">
        <v>0</v>
      </c>
      <c r="P188">
        <v>56.4</v>
      </c>
    </row>
    <row r="189" spans="1:16">
      <c r="A189" t="s">
        <v>219</v>
      </c>
      <c r="B189" s="2">
        <v>45675</v>
      </c>
      <c r="C189" t="s">
        <v>17</v>
      </c>
      <c r="D189" t="s">
        <v>23</v>
      </c>
      <c r="E189" t="s">
        <v>24</v>
      </c>
      <c r="F189" t="s">
        <v>29</v>
      </c>
      <c r="G189" t="s">
        <v>21</v>
      </c>
      <c r="H189">
        <v>0</v>
      </c>
      <c r="I189">
        <v>0</v>
      </c>
      <c r="J189">
        <v>0</v>
      </c>
      <c r="K189">
        <v>0</v>
      </c>
      <c r="L189">
        <v>0</v>
      </c>
      <c r="M189">
        <v>0</v>
      </c>
      <c r="N189">
        <v>0</v>
      </c>
      <c r="P189">
        <v>55.4</v>
      </c>
    </row>
    <row r="190" spans="1:16">
      <c r="A190" t="s">
        <v>220</v>
      </c>
      <c r="B190" s="2">
        <v>45703</v>
      </c>
      <c r="C190" t="s">
        <v>17</v>
      </c>
      <c r="D190" t="s">
        <v>32</v>
      </c>
      <c r="E190" t="s">
        <v>24</v>
      </c>
      <c r="F190" t="s">
        <v>41</v>
      </c>
      <c r="G190" t="s">
        <v>21</v>
      </c>
      <c r="H190">
        <v>1</v>
      </c>
      <c r="I190">
        <v>0</v>
      </c>
      <c r="J190">
        <v>0</v>
      </c>
      <c r="K190">
        <v>0</v>
      </c>
      <c r="L190">
        <v>0</v>
      </c>
      <c r="M190">
        <v>0</v>
      </c>
      <c r="N190">
        <v>0</v>
      </c>
      <c r="P190">
        <v>67.900000000000006</v>
      </c>
    </row>
    <row r="191" spans="1:16">
      <c r="A191" t="s">
        <v>221</v>
      </c>
      <c r="B191" s="2">
        <v>45706</v>
      </c>
      <c r="C191" t="s">
        <v>17</v>
      </c>
      <c r="D191" t="s">
        <v>18</v>
      </c>
      <c r="E191" t="s">
        <v>34</v>
      </c>
      <c r="F191" t="s">
        <v>20</v>
      </c>
      <c r="G191" t="s">
        <v>26</v>
      </c>
      <c r="H191">
        <v>1</v>
      </c>
      <c r="I191">
        <v>0</v>
      </c>
      <c r="J191">
        <v>0</v>
      </c>
      <c r="K191">
        <v>0</v>
      </c>
      <c r="L191">
        <v>0</v>
      </c>
      <c r="M191">
        <v>0</v>
      </c>
      <c r="N191">
        <v>0</v>
      </c>
      <c r="P191">
        <v>62.5</v>
      </c>
    </row>
    <row r="192" spans="1:16">
      <c r="A192" t="s">
        <v>222</v>
      </c>
      <c r="B192" s="2">
        <v>45687</v>
      </c>
      <c r="C192" t="s">
        <v>17</v>
      </c>
      <c r="D192" t="s">
        <v>32</v>
      </c>
      <c r="E192" t="s">
        <v>19</v>
      </c>
      <c r="F192" t="s">
        <v>20</v>
      </c>
      <c r="G192" t="s">
        <v>21</v>
      </c>
      <c r="H192">
        <v>1</v>
      </c>
      <c r="I192">
        <v>1</v>
      </c>
      <c r="J192">
        <v>1</v>
      </c>
      <c r="K192">
        <v>0</v>
      </c>
      <c r="L192">
        <v>0</v>
      </c>
      <c r="M192">
        <v>0</v>
      </c>
      <c r="N192">
        <v>0</v>
      </c>
      <c r="P192">
        <v>54.3</v>
      </c>
    </row>
    <row r="193" spans="1:16">
      <c r="A193" t="s">
        <v>223</v>
      </c>
      <c r="B193" s="2">
        <v>45697</v>
      </c>
      <c r="C193" t="s">
        <v>17</v>
      </c>
      <c r="D193" t="s">
        <v>32</v>
      </c>
      <c r="E193" t="s">
        <v>19</v>
      </c>
      <c r="F193" t="s">
        <v>25</v>
      </c>
      <c r="G193" t="s">
        <v>21</v>
      </c>
      <c r="H193">
        <v>1</v>
      </c>
      <c r="I193">
        <v>0</v>
      </c>
      <c r="J193">
        <v>0</v>
      </c>
      <c r="K193">
        <v>0</v>
      </c>
      <c r="L193">
        <v>0</v>
      </c>
      <c r="M193">
        <v>0</v>
      </c>
      <c r="N193">
        <v>0</v>
      </c>
      <c r="P193">
        <v>37.5</v>
      </c>
    </row>
    <row r="194" spans="1:16">
      <c r="A194" t="s">
        <v>224</v>
      </c>
      <c r="B194" s="2">
        <v>45732</v>
      </c>
      <c r="C194" t="s">
        <v>17</v>
      </c>
      <c r="D194" t="s">
        <v>23</v>
      </c>
      <c r="E194" t="s">
        <v>24</v>
      </c>
      <c r="F194" t="s">
        <v>29</v>
      </c>
      <c r="G194" t="s">
        <v>21</v>
      </c>
      <c r="H194">
        <v>1</v>
      </c>
      <c r="I194">
        <v>0</v>
      </c>
      <c r="J194">
        <v>0</v>
      </c>
      <c r="K194">
        <v>0</v>
      </c>
      <c r="L194">
        <v>0</v>
      </c>
      <c r="M194">
        <v>0</v>
      </c>
      <c r="N194">
        <v>0</v>
      </c>
      <c r="P194">
        <v>52.6</v>
      </c>
    </row>
    <row r="195" spans="1:16">
      <c r="A195" t="s">
        <v>225</v>
      </c>
      <c r="B195" s="2">
        <v>45796</v>
      </c>
      <c r="C195" t="s">
        <v>17</v>
      </c>
      <c r="D195" t="s">
        <v>18</v>
      </c>
      <c r="E195" t="s">
        <v>24</v>
      </c>
      <c r="F195" t="s">
        <v>29</v>
      </c>
      <c r="G195" t="s">
        <v>26</v>
      </c>
      <c r="H195">
        <v>1</v>
      </c>
      <c r="I195">
        <v>0</v>
      </c>
      <c r="J195">
        <v>0</v>
      </c>
      <c r="K195">
        <v>0</v>
      </c>
      <c r="L195">
        <v>0</v>
      </c>
      <c r="M195">
        <v>0</v>
      </c>
      <c r="N195">
        <v>0</v>
      </c>
      <c r="P195">
        <v>46.1</v>
      </c>
    </row>
    <row r="196" spans="1:16">
      <c r="A196" t="s">
        <v>226</v>
      </c>
      <c r="B196" s="2">
        <v>45793</v>
      </c>
      <c r="C196" t="s">
        <v>17</v>
      </c>
      <c r="D196" t="s">
        <v>32</v>
      </c>
      <c r="E196" t="s">
        <v>19</v>
      </c>
      <c r="F196" t="s">
        <v>25</v>
      </c>
      <c r="G196" t="s">
        <v>21</v>
      </c>
      <c r="H196">
        <v>1</v>
      </c>
      <c r="I196">
        <v>0</v>
      </c>
      <c r="J196">
        <v>0</v>
      </c>
      <c r="K196">
        <v>0</v>
      </c>
      <c r="L196">
        <v>0</v>
      </c>
      <c r="M196">
        <v>0</v>
      </c>
      <c r="N196">
        <v>0</v>
      </c>
      <c r="P196">
        <v>54.7</v>
      </c>
    </row>
    <row r="197" spans="1:16">
      <c r="A197" t="s">
        <v>227</v>
      </c>
      <c r="B197" s="2">
        <v>45772</v>
      </c>
      <c r="C197" t="s">
        <v>17</v>
      </c>
      <c r="D197" t="s">
        <v>23</v>
      </c>
      <c r="E197" t="s">
        <v>19</v>
      </c>
      <c r="F197" t="s">
        <v>39</v>
      </c>
      <c r="G197" t="s">
        <v>21</v>
      </c>
      <c r="H197">
        <v>0</v>
      </c>
      <c r="I197">
        <v>0</v>
      </c>
      <c r="J197">
        <v>0</v>
      </c>
      <c r="K197">
        <v>0</v>
      </c>
      <c r="L197">
        <v>0</v>
      </c>
      <c r="M197">
        <v>0</v>
      </c>
      <c r="N197">
        <v>0</v>
      </c>
      <c r="P197">
        <v>74.2</v>
      </c>
    </row>
    <row r="198" spans="1:16">
      <c r="A198" t="s">
        <v>228</v>
      </c>
      <c r="B198" s="2">
        <v>45715</v>
      </c>
      <c r="C198" t="s">
        <v>17</v>
      </c>
      <c r="D198" t="s">
        <v>18</v>
      </c>
      <c r="E198" t="s">
        <v>24</v>
      </c>
      <c r="F198" t="s">
        <v>41</v>
      </c>
      <c r="G198" t="s">
        <v>21</v>
      </c>
      <c r="H198">
        <v>1</v>
      </c>
      <c r="I198">
        <v>1</v>
      </c>
      <c r="J198">
        <v>1</v>
      </c>
      <c r="K198">
        <v>1</v>
      </c>
      <c r="L198">
        <v>1052.8</v>
      </c>
      <c r="M198">
        <v>2</v>
      </c>
      <c r="N198">
        <v>0</v>
      </c>
      <c r="O198">
        <v>6</v>
      </c>
      <c r="P198">
        <v>64.7</v>
      </c>
    </row>
    <row r="199" spans="1:16">
      <c r="A199" t="s">
        <v>229</v>
      </c>
      <c r="B199" s="2">
        <v>45773</v>
      </c>
      <c r="C199" t="s">
        <v>17</v>
      </c>
      <c r="D199" t="s">
        <v>32</v>
      </c>
      <c r="E199" t="s">
        <v>24</v>
      </c>
      <c r="F199" t="s">
        <v>29</v>
      </c>
      <c r="G199" t="s">
        <v>21</v>
      </c>
      <c r="H199">
        <v>0</v>
      </c>
      <c r="I199">
        <v>0</v>
      </c>
      <c r="J199">
        <v>0</v>
      </c>
      <c r="K199">
        <v>0</v>
      </c>
      <c r="L199">
        <v>0</v>
      </c>
      <c r="M199">
        <v>0</v>
      </c>
      <c r="N199">
        <v>0</v>
      </c>
      <c r="P199">
        <v>65.900000000000006</v>
      </c>
    </row>
    <row r="200" spans="1:16">
      <c r="A200" t="s">
        <v>230</v>
      </c>
      <c r="B200" s="2">
        <v>45791</v>
      </c>
      <c r="C200" t="s">
        <v>17</v>
      </c>
      <c r="D200" t="s">
        <v>18</v>
      </c>
      <c r="E200" t="s">
        <v>24</v>
      </c>
      <c r="F200" t="s">
        <v>25</v>
      </c>
      <c r="G200" t="s">
        <v>21</v>
      </c>
      <c r="H200">
        <v>1</v>
      </c>
      <c r="I200">
        <v>0</v>
      </c>
      <c r="J200">
        <v>0</v>
      </c>
      <c r="K200">
        <v>0</v>
      </c>
      <c r="L200">
        <v>0</v>
      </c>
      <c r="M200">
        <v>0</v>
      </c>
      <c r="N200">
        <v>0</v>
      </c>
      <c r="P200">
        <v>64</v>
      </c>
    </row>
    <row r="201" spans="1:16">
      <c r="A201" t="s">
        <v>231</v>
      </c>
      <c r="B201" s="2">
        <v>45721</v>
      </c>
      <c r="C201" t="s">
        <v>17</v>
      </c>
      <c r="D201" t="s">
        <v>18</v>
      </c>
      <c r="E201" t="s">
        <v>24</v>
      </c>
      <c r="F201" t="s">
        <v>25</v>
      </c>
      <c r="G201" t="s">
        <v>30</v>
      </c>
      <c r="H201">
        <v>1</v>
      </c>
      <c r="I201">
        <v>0</v>
      </c>
      <c r="J201">
        <v>0</v>
      </c>
      <c r="K201">
        <v>0</v>
      </c>
      <c r="L201">
        <v>0</v>
      </c>
      <c r="M201">
        <v>0</v>
      </c>
      <c r="N201">
        <v>0</v>
      </c>
      <c r="P201">
        <v>57.2</v>
      </c>
    </row>
    <row r="202" spans="1:16">
      <c r="A202" t="s">
        <v>232</v>
      </c>
      <c r="B202" s="2">
        <v>45749</v>
      </c>
      <c r="C202" t="s">
        <v>17</v>
      </c>
      <c r="D202" t="s">
        <v>23</v>
      </c>
      <c r="E202" t="s">
        <v>19</v>
      </c>
      <c r="F202" t="s">
        <v>25</v>
      </c>
      <c r="G202" t="s">
        <v>26</v>
      </c>
      <c r="H202">
        <v>1</v>
      </c>
      <c r="I202">
        <v>0</v>
      </c>
      <c r="J202">
        <v>0</v>
      </c>
      <c r="K202">
        <v>0</v>
      </c>
      <c r="L202">
        <v>0</v>
      </c>
      <c r="M202">
        <v>0</v>
      </c>
      <c r="N202">
        <v>0</v>
      </c>
      <c r="P202">
        <v>80.5</v>
      </c>
    </row>
    <row r="203" spans="1:16">
      <c r="A203" t="s">
        <v>233</v>
      </c>
      <c r="B203" s="2">
        <v>45791</v>
      </c>
      <c r="C203" t="s">
        <v>17</v>
      </c>
      <c r="D203" t="s">
        <v>32</v>
      </c>
      <c r="E203" t="s">
        <v>34</v>
      </c>
      <c r="F203" t="s">
        <v>25</v>
      </c>
      <c r="G203" t="s">
        <v>26</v>
      </c>
      <c r="H203">
        <v>0</v>
      </c>
      <c r="I203">
        <v>0</v>
      </c>
      <c r="J203">
        <v>0</v>
      </c>
      <c r="K203">
        <v>0</v>
      </c>
      <c r="L203">
        <v>0</v>
      </c>
      <c r="M203">
        <v>0</v>
      </c>
      <c r="N203">
        <v>0</v>
      </c>
      <c r="P203">
        <v>53.9</v>
      </c>
    </row>
    <row r="204" spans="1:16">
      <c r="A204" t="s">
        <v>234</v>
      </c>
      <c r="B204" s="2">
        <v>45798</v>
      </c>
      <c r="C204" t="s">
        <v>17</v>
      </c>
      <c r="D204" t="s">
        <v>18</v>
      </c>
      <c r="E204" t="s">
        <v>24</v>
      </c>
      <c r="F204" t="s">
        <v>29</v>
      </c>
      <c r="G204" t="s">
        <v>26</v>
      </c>
      <c r="H204">
        <v>1</v>
      </c>
      <c r="I204">
        <v>1</v>
      </c>
      <c r="J204">
        <v>0</v>
      </c>
      <c r="K204">
        <v>0</v>
      </c>
      <c r="L204">
        <v>0</v>
      </c>
      <c r="M204">
        <v>0</v>
      </c>
      <c r="N204">
        <v>0</v>
      </c>
      <c r="P204">
        <v>77.5</v>
      </c>
    </row>
    <row r="205" spans="1:16">
      <c r="A205" t="s">
        <v>235</v>
      </c>
      <c r="B205" s="2">
        <v>45684</v>
      </c>
      <c r="C205" t="s">
        <v>17</v>
      </c>
      <c r="D205" t="s">
        <v>28</v>
      </c>
      <c r="E205" t="s">
        <v>24</v>
      </c>
      <c r="F205" t="s">
        <v>41</v>
      </c>
      <c r="G205" t="s">
        <v>21</v>
      </c>
      <c r="H205">
        <v>0</v>
      </c>
      <c r="I205">
        <v>0</v>
      </c>
      <c r="J205">
        <v>0</v>
      </c>
      <c r="K205">
        <v>0</v>
      </c>
      <c r="L205">
        <v>0</v>
      </c>
      <c r="M205">
        <v>0</v>
      </c>
      <c r="N205">
        <v>0</v>
      </c>
      <c r="P205">
        <v>84.2</v>
      </c>
    </row>
    <row r="206" spans="1:16">
      <c r="A206" t="s">
        <v>236</v>
      </c>
      <c r="B206" s="2">
        <v>45799</v>
      </c>
      <c r="C206" t="s">
        <v>17</v>
      </c>
      <c r="D206" t="s">
        <v>23</v>
      </c>
      <c r="E206" t="s">
        <v>19</v>
      </c>
      <c r="F206" t="s">
        <v>25</v>
      </c>
      <c r="G206" t="s">
        <v>26</v>
      </c>
      <c r="H206">
        <v>1</v>
      </c>
      <c r="I206">
        <v>1</v>
      </c>
      <c r="J206">
        <v>0</v>
      </c>
      <c r="K206">
        <v>0</v>
      </c>
      <c r="L206">
        <v>0</v>
      </c>
      <c r="M206">
        <v>0</v>
      </c>
      <c r="N206">
        <v>0</v>
      </c>
      <c r="P206">
        <v>54.9</v>
      </c>
    </row>
    <row r="207" spans="1:16">
      <c r="A207" t="s">
        <v>237</v>
      </c>
      <c r="B207" s="2">
        <v>45796</v>
      </c>
      <c r="C207" t="s">
        <v>17</v>
      </c>
      <c r="D207" t="s">
        <v>32</v>
      </c>
      <c r="E207" t="s">
        <v>24</v>
      </c>
      <c r="F207" t="s">
        <v>29</v>
      </c>
      <c r="G207" t="s">
        <v>26</v>
      </c>
      <c r="H207">
        <v>0</v>
      </c>
      <c r="I207">
        <v>0</v>
      </c>
      <c r="J207">
        <v>0</v>
      </c>
      <c r="K207">
        <v>0</v>
      </c>
      <c r="L207">
        <v>0</v>
      </c>
      <c r="M207">
        <v>0</v>
      </c>
      <c r="N207">
        <v>0</v>
      </c>
      <c r="P207">
        <v>69.3</v>
      </c>
    </row>
    <row r="208" spans="1:16">
      <c r="A208" t="s">
        <v>238</v>
      </c>
      <c r="B208" s="2">
        <v>45671</v>
      </c>
      <c r="C208" t="s">
        <v>17</v>
      </c>
      <c r="D208" t="s">
        <v>32</v>
      </c>
      <c r="E208" t="s">
        <v>19</v>
      </c>
      <c r="F208" t="s">
        <v>29</v>
      </c>
      <c r="G208" t="s">
        <v>26</v>
      </c>
      <c r="H208">
        <v>1</v>
      </c>
      <c r="I208">
        <v>0</v>
      </c>
      <c r="J208">
        <v>0</v>
      </c>
      <c r="K208">
        <v>0</v>
      </c>
      <c r="L208">
        <v>0</v>
      </c>
      <c r="M208">
        <v>2</v>
      </c>
      <c r="N208">
        <v>0</v>
      </c>
      <c r="P208">
        <v>42.3</v>
      </c>
    </row>
    <row r="209" spans="1:16">
      <c r="A209" t="s">
        <v>239</v>
      </c>
      <c r="B209" s="2">
        <v>45678</v>
      </c>
      <c r="C209" t="s">
        <v>17</v>
      </c>
      <c r="D209" t="s">
        <v>18</v>
      </c>
      <c r="E209" t="s">
        <v>19</v>
      </c>
      <c r="F209" t="s">
        <v>39</v>
      </c>
      <c r="G209" t="s">
        <v>30</v>
      </c>
      <c r="H209">
        <v>1</v>
      </c>
      <c r="I209">
        <v>0</v>
      </c>
      <c r="J209">
        <v>0</v>
      </c>
      <c r="K209">
        <v>0</v>
      </c>
      <c r="L209">
        <v>0</v>
      </c>
      <c r="M209">
        <v>1</v>
      </c>
      <c r="N209">
        <v>0</v>
      </c>
      <c r="P209">
        <v>69.599999999999994</v>
      </c>
    </row>
    <row r="210" spans="1:16">
      <c r="A210" t="s">
        <v>240</v>
      </c>
      <c r="B210" s="2">
        <v>45793</v>
      </c>
      <c r="C210" t="s">
        <v>17</v>
      </c>
      <c r="D210" t="s">
        <v>28</v>
      </c>
      <c r="E210" t="s">
        <v>24</v>
      </c>
      <c r="F210" t="s">
        <v>25</v>
      </c>
      <c r="G210" t="s">
        <v>26</v>
      </c>
      <c r="H210">
        <v>0</v>
      </c>
      <c r="I210">
        <v>0</v>
      </c>
      <c r="J210">
        <v>0</v>
      </c>
      <c r="K210">
        <v>0</v>
      </c>
      <c r="L210">
        <v>0</v>
      </c>
      <c r="M210">
        <v>0</v>
      </c>
      <c r="N210">
        <v>0</v>
      </c>
      <c r="P210">
        <v>40.700000000000003</v>
      </c>
    </row>
    <row r="211" spans="1:16">
      <c r="A211" t="s">
        <v>241</v>
      </c>
      <c r="B211" s="2">
        <v>45690</v>
      </c>
      <c r="C211" t="s">
        <v>17</v>
      </c>
      <c r="D211" t="s">
        <v>18</v>
      </c>
      <c r="E211" t="s">
        <v>24</v>
      </c>
      <c r="F211" t="s">
        <v>20</v>
      </c>
      <c r="G211" t="s">
        <v>26</v>
      </c>
      <c r="H211">
        <v>1</v>
      </c>
      <c r="I211">
        <v>0</v>
      </c>
      <c r="J211">
        <v>0</v>
      </c>
      <c r="K211">
        <v>0</v>
      </c>
      <c r="L211">
        <v>0</v>
      </c>
      <c r="M211">
        <v>0</v>
      </c>
      <c r="N211">
        <v>0</v>
      </c>
      <c r="P211">
        <v>54</v>
      </c>
    </row>
    <row r="212" spans="1:16">
      <c r="A212" t="s">
        <v>242</v>
      </c>
      <c r="B212" s="2">
        <v>45739</v>
      </c>
      <c r="C212" t="s">
        <v>17</v>
      </c>
      <c r="D212" t="s">
        <v>28</v>
      </c>
      <c r="F212" t="s">
        <v>39</v>
      </c>
      <c r="G212" t="s">
        <v>26</v>
      </c>
      <c r="H212">
        <v>1</v>
      </c>
      <c r="I212">
        <v>1</v>
      </c>
      <c r="J212">
        <v>1</v>
      </c>
      <c r="K212">
        <v>1</v>
      </c>
      <c r="L212">
        <v>553.37</v>
      </c>
      <c r="M212">
        <v>0</v>
      </c>
      <c r="N212">
        <v>0</v>
      </c>
      <c r="O212">
        <v>5</v>
      </c>
      <c r="P212">
        <v>46.3</v>
      </c>
    </row>
    <row r="213" spans="1:16">
      <c r="A213" t="s">
        <v>243</v>
      </c>
      <c r="B213" s="2">
        <v>45681</v>
      </c>
      <c r="C213" t="s">
        <v>17</v>
      </c>
      <c r="D213" t="s">
        <v>28</v>
      </c>
      <c r="E213" t="s">
        <v>24</v>
      </c>
      <c r="F213" t="s">
        <v>25</v>
      </c>
      <c r="G213" t="s">
        <v>26</v>
      </c>
      <c r="H213">
        <v>1</v>
      </c>
      <c r="I213">
        <v>0</v>
      </c>
      <c r="J213">
        <v>0</v>
      </c>
      <c r="K213">
        <v>0</v>
      </c>
      <c r="L213">
        <v>0</v>
      </c>
      <c r="M213">
        <v>0</v>
      </c>
      <c r="N213">
        <v>0</v>
      </c>
      <c r="P213">
        <v>64.2</v>
      </c>
    </row>
    <row r="214" spans="1:16">
      <c r="A214" t="s">
        <v>244</v>
      </c>
      <c r="B214" s="2">
        <v>45759</v>
      </c>
      <c r="C214" t="s">
        <v>17</v>
      </c>
      <c r="D214" t="s">
        <v>18</v>
      </c>
      <c r="E214" t="s">
        <v>19</v>
      </c>
      <c r="F214" t="s">
        <v>25</v>
      </c>
      <c r="G214" t="s">
        <v>26</v>
      </c>
      <c r="H214">
        <v>1</v>
      </c>
      <c r="I214">
        <v>0</v>
      </c>
      <c r="J214">
        <v>0</v>
      </c>
      <c r="K214">
        <v>0</v>
      </c>
      <c r="L214">
        <v>0</v>
      </c>
      <c r="M214">
        <v>0</v>
      </c>
      <c r="N214">
        <v>0</v>
      </c>
      <c r="P214">
        <v>75.2</v>
      </c>
    </row>
    <row r="215" spans="1:16">
      <c r="A215" t="s">
        <v>245</v>
      </c>
      <c r="B215" s="2">
        <v>45706</v>
      </c>
      <c r="C215" t="s">
        <v>17</v>
      </c>
      <c r="D215" t="s">
        <v>28</v>
      </c>
      <c r="E215" t="s">
        <v>19</v>
      </c>
      <c r="F215" t="s">
        <v>29</v>
      </c>
      <c r="G215" t="s">
        <v>26</v>
      </c>
      <c r="H215">
        <v>1</v>
      </c>
      <c r="I215">
        <v>1</v>
      </c>
      <c r="J215">
        <v>0</v>
      </c>
      <c r="K215">
        <v>0</v>
      </c>
      <c r="L215">
        <v>0</v>
      </c>
      <c r="M215">
        <v>0</v>
      </c>
      <c r="N215">
        <v>0</v>
      </c>
      <c r="P215">
        <v>60.9</v>
      </c>
    </row>
    <row r="216" spans="1:16">
      <c r="A216" t="s">
        <v>246</v>
      </c>
      <c r="B216" s="2">
        <v>45805</v>
      </c>
      <c r="C216" t="s">
        <v>17</v>
      </c>
      <c r="D216" t="s">
        <v>32</v>
      </c>
      <c r="E216" t="s">
        <v>24</v>
      </c>
      <c r="F216" t="s">
        <v>20</v>
      </c>
      <c r="G216" t="s">
        <v>21</v>
      </c>
      <c r="H216">
        <v>1</v>
      </c>
      <c r="I216">
        <v>1</v>
      </c>
      <c r="J216">
        <v>1</v>
      </c>
      <c r="K216">
        <v>0</v>
      </c>
      <c r="L216">
        <v>0</v>
      </c>
      <c r="M216">
        <v>0</v>
      </c>
      <c r="N216">
        <v>0</v>
      </c>
      <c r="P216">
        <v>62.1</v>
      </c>
    </row>
    <row r="217" spans="1:16">
      <c r="A217" t="s">
        <v>247</v>
      </c>
      <c r="B217" s="2">
        <v>45765</v>
      </c>
      <c r="C217" t="s">
        <v>17</v>
      </c>
      <c r="D217" t="s">
        <v>32</v>
      </c>
      <c r="E217" t="s">
        <v>24</v>
      </c>
      <c r="F217" t="s">
        <v>41</v>
      </c>
      <c r="G217" t="s">
        <v>21</v>
      </c>
      <c r="H217">
        <v>0</v>
      </c>
      <c r="I217">
        <v>0</v>
      </c>
      <c r="J217">
        <v>0</v>
      </c>
      <c r="K217">
        <v>0</v>
      </c>
      <c r="L217">
        <v>0</v>
      </c>
      <c r="M217">
        <v>0</v>
      </c>
      <c r="N217">
        <v>0</v>
      </c>
      <c r="P217">
        <v>45.4</v>
      </c>
    </row>
    <row r="218" spans="1:16">
      <c r="A218" t="s">
        <v>248</v>
      </c>
      <c r="B218" s="2">
        <v>45743</v>
      </c>
      <c r="C218" t="s">
        <v>17</v>
      </c>
      <c r="D218" t="s">
        <v>18</v>
      </c>
      <c r="E218" t="s">
        <v>24</v>
      </c>
      <c r="F218" t="s">
        <v>29</v>
      </c>
      <c r="G218" t="s">
        <v>21</v>
      </c>
      <c r="H218">
        <v>1</v>
      </c>
      <c r="I218">
        <v>0</v>
      </c>
      <c r="J218">
        <v>0</v>
      </c>
      <c r="K218">
        <v>0</v>
      </c>
      <c r="L218">
        <v>0</v>
      </c>
      <c r="M218">
        <v>0</v>
      </c>
      <c r="N218">
        <v>0</v>
      </c>
      <c r="P218">
        <v>53.3</v>
      </c>
    </row>
    <row r="219" spans="1:16">
      <c r="A219" t="s">
        <v>249</v>
      </c>
      <c r="B219" s="2">
        <v>45713</v>
      </c>
      <c r="C219" t="s">
        <v>17</v>
      </c>
      <c r="D219" t="s">
        <v>18</v>
      </c>
      <c r="E219" t="s">
        <v>34</v>
      </c>
      <c r="F219" t="s">
        <v>41</v>
      </c>
      <c r="G219" t="s">
        <v>26</v>
      </c>
      <c r="H219">
        <v>1</v>
      </c>
      <c r="I219">
        <v>0</v>
      </c>
      <c r="J219">
        <v>0</v>
      </c>
      <c r="K219">
        <v>0</v>
      </c>
      <c r="L219">
        <v>0</v>
      </c>
      <c r="M219">
        <v>0</v>
      </c>
      <c r="N219">
        <v>0</v>
      </c>
    </row>
    <row r="220" spans="1:16">
      <c r="A220" t="s">
        <v>250</v>
      </c>
      <c r="B220" s="2">
        <v>45707</v>
      </c>
      <c r="C220" t="s">
        <v>17</v>
      </c>
      <c r="D220" t="s">
        <v>28</v>
      </c>
      <c r="E220" t="s">
        <v>24</v>
      </c>
      <c r="F220" t="s">
        <v>29</v>
      </c>
      <c r="G220" t="s">
        <v>26</v>
      </c>
      <c r="H220">
        <v>0</v>
      </c>
      <c r="I220">
        <v>0</v>
      </c>
      <c r="J220">
        <v>0</v>
      </c>
      <c r="K220">
        <v>0</v>
      </c>
      <c r="L220">
        <v>0</v>
      </c>
      <c r="M220">
        <v>1</v>
      </c>
      <c r="N220">
        <v>0</v>
      </c>
      <c r="P220">
        <v>38.200000000000003</v>
      </c>
    </row>
    <row r="221" spans="1:16">
      <c r="A221" t="s">
        <v>251</v>
      </c>
      <c r="B221" s="2">
        <v>45758</v>
      </c>
      <c r="C221" t="s">
        <v>17</v>
      </c>
      <c r="D221" t="s">
        <v>23</v>
      </c>
      <c r="E221" t="s">
        <v>24</v>
      </c>
      <c r="F221" t="s">
        <v>29</v>
      </c>
      <c r="G221" t="s">
        <v>26</v>
      </c>
      <c r="H221">
        <v>1</v>
      </c>
      <c r="I221">
        <v>1</v>
      </c>
      <c r="J221">
        <v>0</v>
      </c>
      <c r="K221">
        <v>0</v>
      </c>
      <c r="L221">
        <v>0</v>
      </c>
      <c r="M221">
        <v>3</v>
      </c>
      <c r="N221">
        <v>0</v>
      </c>
      <c r="P221">
        <v>59</v>
      </c>
    </row>
    <row r="222" spans="1:16">
      <c r="A222" t="s">
        <v>252</v>
      </c>
      <c r="B222" s="2">
        <v>45679</v>
      </c>
      <c r="C222" t="s">
        <v>17</v>
      </c>
      <c r="D222" t="s">
        <v>28</v>
      </c>
      <c r="E222" t="s">
        <v>34</v>
      </c>
      <c r="F222" t="s">
        <v>39</v>
      </c>
      <c r="G222" t="s">
        <v>30</v>
      </c>
      <c r="H222">
        <v>1</v>
      </c>
      <c r="I222">
        <v>1</v>
      </c>
      <c r="J222">
        <v>1</v>
      </c>
      <c r="K222">
        <v>0</v>
      </c>
      <c r="L222">
        <v>0</v>
      </c>
      <c r="M222">
        <v>0</v>
      </c>
      <c r="N222">
        <v>0</v>
      </c>
      <c r="P222">
        <v>80.599999999999994</v>
      </c>
    </row>
    <row r="223" spans="1:16">
      <c r="A223" t="s">
        <v>253</v>
      </c>
      <c r="B223" s="2">
        <v>45669</v>
      </c>
      <c r="C223" t="s">
        <v>17</v>
      </c>
      <c r="D223" t="s">
        <v>32</v>
      </c>
      <c r="E223" t="s">
        <v>24</v>
      </c>
      <c r="F223" t="s">
        <v>41</v>
      </c>
      <c r="G223" t="s">
        <v>26</v>
      </c>
      <c r="H223">
        <v>1</v>
      </c>
      <c r="I223">
        <v>0</v>
      </c>
      <c r="J223">
        <v>0</v>
      </c>
      <c r="K223">
        <v>0</v>
      </c>
      <c r="L223">
        <v>0</v>
      </c>
      <c r="M223">
        <v>0</v>
      </c>
      <c r="N223">
        <v>0</v>
      </c>
      <c r="P223">
        <v>67</v>
      </c>
    </row>
    <row r="224" spans="1:16">
      <c r="A224" t="s">
        <v>254</v>
      </c>
      <c r="B224" s="2">
        <v>45705</v>
      </c>
      <c r="C224" t="s">
        <v>17</v>
      </c>
      <c r="D224" t="s">
        <v>23</v>
      </c>
      <c r="E224" t="s">
        <v>24</v>
      </c>
      <c r="F224" t="s">
        <v>20</v>
      </c>
      <c r="G224" t="s">
        <v>26</v>
      </c>
      <c r="H224">
        <v>1</v>
      </c>
      <c r="I224">
        <v>0</v>
      </c>
      <c r="J224">
        <v>0</v>
      </c>
      <c r="K224">
        <v>0</v>
      </c>
      <c r="L224">
        <v>0</v>
      </c>
      <c r="M224">
        <v>1</v>
      </c>
      <c r="N224">
        <v>0</v>
      </c>
      <c r="P224">
        <v>72.099999999999994</v>
      </c>
    </row>
    <row r="225" spans="1:16">
      <c r="A225" t="s">
        <v>255</v>
      </c>
      <c r="B225" s="2">
        <v>45758</v>
      </c>
      <c r="C225" t="s">
        <v>17</v>
      </c>
      <c r="D225" t="s">
        <v>23</v>
      </c>
      <c r="E225" t="s">
        <v>19</v>
      </c>
      <c r="F225" t="s">
        <v>25</v>
      </c>
      <c r="G225" t="s">
        <v>26</v>
      </c>
      <c r="H225">
        <v>0</v>
      </c>
      <c r="I225">
        <v>0</v>
      </c>
      <c r="J225">
        <v>0</v>
      </c>
      <c r="K225">
        <v>0</v>
      </c>
      <c r="L225">
        <v>0</v>
      </c>
      <c r="M225">
        <v>0</v>
      </c>
      <c r="N225">
        <v>0</v>
      </c>
      <c r="P225">
        <v>74.099999999999994</v>
      </c>
    </row>
    <row r="226" spans="1:16">
      <c r="A226" t="s">
        <v>256</v>
      </c>
      <c r="B226" s="2">
        <v>45802</v>
      </c>
      <c r="C226" t="s">
        <v>17</v>
      </c>
      <c r="D226" t="s">
        <v>32</v>
      </c>
      <c r="E226" t="s">
        <v>24</v>
      </c>
      <c r="F226" t="s">
        <v>39</v>
      </c>
      <c r="G226" t="s">
        <v>30</v>
      </c>
      <c r="H226">
        <v>0</v>
      </c>
      <c r="I226">
        <v>0</v>
      </c>
      <c r="J226">
        <v>0</v>
      </c>
      <c r="K226">
        <v>0</v>
      </c>
      <c r="L226">
        <v>0</v>
      </c>
      <c r="M226">
        <v>0</v>
      </c>
      <c r="N226">
        <v>0</v>
      </c>
      <c r="P226">
        <v>84.8</v>
      </c>
    </row>
    <row r="227" spans="1:16">
      <c r="A227" t="s">
        <v>257</v>
      </c>
      <c r="B227" s="2">
        <v>45728</v>
      </c>
      <c r="C227" t="s">
        <v>17</v>
      </c>
      <c r="D227" t="s">
        <v>32</v>
      </c>
      <c r="E227" t="s">
        <v>24</v>
      </c>
      <c r="F227" t="s">
        <v>25</v>
      </c>
      <c r="G227" t="s">
        <v>21</v>
      </c>
      <c r="H227">
        <v>1</v>
      </c>
      <c r="I227">
        <v>0</v>
      </c>
      <c r="J227">
        <v>0</v>
      </c>
      <c r="K227">
        <v>0</v>
      </c>
      <c r="L227">
        <v>0</v>
      </c>
      <c r="M227">
        <v>0</v>
      </c>
      <c r="N227">
        <v>0</v>
      </c>
      <c r="P227">
        <v>33</v>
      </c>
    </row>
    <row r="228" spans="1:16">
      <c r="A228" t="s">
        <v>258</v>
      </c>
      <c r="B228" s="2">
        <v>45767</v>
      </c>
      <c r="C228" t="s">
        <v>17</v>
      </c>
      <c r="D228" t="s">
        <v>18</v>
      </c>
      <c r="E228" t="s">
        <v>34</v>
      </c>
      <c r="F228" t="s">
        <v>20</v>
      </c>
      <c r="G228" t="s">
        <v>26</v>
      </c>
      <c r="H228">
        <v>0</v>
      </c>
      <c r="I228">
        <v>0</v>
      </c>
      <c r="J228">
        <v>0</v>
      </c>
      <c r="K228">
        <v>0</v>
      </c>
      <c r="L228">
        <v>0</v>
      </c>
      <c r="M228">
        <v>0</v>
      </c>
      <c r="N228">
        <v>0</v>
      </c>
      <c r="P228">
        <v>52.5</v>
      </c>
    </row>
    <row r="229" spans="1:16">
      <c r="A229" t="s">
        <v>259</v>
      </c>
      <c r="B229" s="2">
        <v>45711</v>
      </c>
      <c r="C229" t="s">
        <v>17</v>
      </c>
      <c r="D229" t="s">
        <v>18</v>
      </c>
      <c r="E229" t="s">
        <v>34</v>
      </c>
      <c r="F229" t="s">
        <v>25</v>
      </c>
      <c r="G229" t="s">
        <v>26</v>
      </c>
      <c r="H229">
        <v>0</v>
      </c>
      <c r="I229">
        <v>0</v>
      </c>
      <c r="J229">
        <v>0</v>
      </c>
      <c r="K229">
        <v>0</v>
      </c>
      <c r="L229">
        <v>0</v>
      </c>
      <c r="M229">
        <v>0</v>
      </c>
      <c r="N229">
        <v>0</v>
      </c>
      <c r="P229">
        <v>66.900000000000006</v>
      </c>
    </row>
    <row r="230" spans="1:16">
      <c r="A230" t="s">
        <v>260</v>
      </c>
      <c r="B230" s="2">
        <v>45681</v>
      </c>
      <c r="C230" t="s">
        <v>17</v>
      </c>
      <c r="D230" t="s">
        <v>18</v>
      </c>
      <c r="E230" t="s">
        <v>24</v>
      </c>
      <c r="F230" t="s">
        <v>25</v>
      </c>
      <c r="G230" t="s">
        <v>21</v>
      </c>
      <c r="H230">
        <v>1</v>
      </c>
      <c r="I230">
        <v>1</v>
      </c>
      <c r="J230">
        <v>1</v>
      </c>
      <c r="K230">
        <v>0</v>
      </c>
      <c r="L230">
        <v>0</v>
      </c>
      <c r="M230">
        <v>1</v>
      </c>
      <c r="N230">
        <v>0</v>
      </c>
      <c r="P230">
        <v>32.700000000000003</v>
      </c>
    </row>
    <row r="231" spans="1:16">
      <c r="A231" t="s">
        <v>261</v>
      </c>
      <c r="B231" s="2">
        <v>45673</v>
      </c>
      <c r="C231" t="s">
        <v>17</v>
      </c>
      <c r="D231" t="s">
        <v>23</v>
      </c>
      <c r="E231" t="s">
        <v>24</v>
      </c>
      <c r="F231" t="s">
        <v>25</v>
      </c>
      <c r="G231" t="s">
        <v>30</v>
      </c>
      <c r="H231">
        <v>1</v>
      </c>
      <c r="I231">
        <v>1</v>
      </c>
      <c r="J231">
        <v>1</v>
      </c>
      <c r="K231">
        <v>0</v>
      </c>
      <c r="L231">
        <v>0</v>
      </c>
      <c r="M231">
        <v>1</v>
      </c>
      <c r="N231">
        <v>0</v>
      </c>
      <c r="P231">
        <v>70.599999999999994</v>
      </c>
    </row>
    <row r="232" spans="1:16">
      <c r="A232" t="s">
        <v>262</v>
      </c>
      <c r="B232" s="2">
        <v>45705</v>
      </c>
      <c r="C232" t="s">
        <v>17</v>
      </c>
      <c r="D232" t="s">
        <v>18</v>
      </c>
      <c r="E232" t="s">
        <v>24</v>
      </c>
      <c r="F232" t="s">
        <v>41</v>
      </c>
      <c r="G232" t="s">
        <v>26</v>
      </c>
      <c r="H232">
        <v>0</v>
      </c>
      <c r="I232">
        <v>0</v>
      </c>
      <c r="J232">
        <v>0</v>
      </c>
      <c r="K232">
        <v>0</v>
      </c>
      <c r="L232">
        <v>0</v>
      </c>
      <c r="M232">
        <v>0</v>
      </c>
      <c r="N232">
        <v>0</v>
      </c>
      <c r="P232">
        <v>69.400000000000006</v>
      </c>
    </row>
    <row r="233" spans="1:16">
      <c r="A233" t="s">
        <v>263</v>
      </c>
      <c r="B233" s="2">
        <v>45781</v>
      </c>
      <c r="C233" t="s">
        <v>17</v>
      </c>
      <c r="D233" t="s">
        <v>18</v>
      </c>
      <c r="E233" t="s">
        <v>19</v>
      </c>
      <c r="F233" t="s">
        <v>25</v>
      </c>
      <c r="G233" t="s">
        <v>21</v>
      </c>
      <c r="H233">
        <v>1</v>
      </c>
      <c r="I233">
        <v>0</v>
      </c>
      <c r="J233">
        <v>0</v>
      </c>
      <c r="K233">
        <v>0</v>
      </c>
      <c r="L233">
        <v>0</v>
      </c>
      <c r="M233">
        <v>0</v>
      </c>
      <c r="N233">
        <v>0</v>
      </c>
      <c r="P233">
        <v>56.1</v>
      </c>
    </row>
    <row r="234" spans="1:16">
      <c r="A234" t="s">
        <v>264</v>
      </c>
      <c r="B234" s="2">
        <v>45669</v>
      </c>
      <c r="C234" t="s">
        <v>17</v>
      </c>
      <c r="D234" t="s">
        <v>23</v>
      </c>
      <c r="E234" t="s">
        <v>24</v>
      </c>
      <c r="F234" t="s">
        <v>25</v>
      </c>
      <c r="G234" t="s">
        <v>21</v>
      </c>
      <c r="H234">
        <v>0</v>
      </c>
      <c r="I234">
        <v>0</v>
      </c>
      <c r="J234">
        <v>0</v>
      </c>
      <c r="K234">
        <v>0</v>
      </c>
      <c r="L234">
        <v>0</v>
      </c>
      <c r="M234">
        <v>0</v>
      </c>
      <c r="N234">
        <v>0</v>
      </c>
      <c r="P234">
        <v>55.8</v>
      </c>
    </row>
    <row r="235" spans="1:16">
      <c r="A235" t="s">
        <v>265</v>
      </c>
      <c r="B235" s="2">
        <v>45775</v>
      </c>
      <c r="C235" t="s">
        <v>17</v>
      </c>
      <c r="D235" t="s">
        <v>18</v>
      </c>
      <c r="E235" t="s">
        <v>34</v>
      </c>
      <c r="F235" t="s">
        <v>25</v>
      </c>
      <c r="G235" t="s">
        <v>26</v>
      </c>
      <c r="H235">
        <v>0</v>
      </c>
      <c r="I235">
        <v>0</v>
      </c>
      <c r="J235">
        <v>0</v>
      </c>
      <c r="K235">
        <v>0</v>
      </c>
      <c r="L235">
        <v>0</v>
      </c>
      <c r="M235">
        <v>0</v>
      </c>
      <c r="N235">
        <v>0</v>
      </c>
      <c r="P235">
        <v>49.3</v>
      </c>
    </row>
    <row r="236" spans="1:16">
      <c r="A236" t="s">
        <v>266</v>
      </c>
      <c r="B236" s="2">
        <v>45714</v>
      </c>
      <c r="C236" t="s">
        <v>17</v>
      </c>
      <c r="D236" t="s">
        <v>18</v>
      </c>
      <c r="E236" t="s">
        <v>24</v>
      </c>
      <c r="F236" t="s">
        <v>25</v>
      </c>
      <c r="G236" t="s">
        <v>26</v>
      </c>
      <c r="H236">
        <v>0</v>
      </c>
      <c r="I236">
        <v>0</v>
      </c>
      <c r="J236">
        <v>0</v>
      </c>
      <c r="K236">
        <v>0</v>
      </c>
      <c r="L236">
        <v>0</v>
      </c>
      <c r="M236">
        <v>0</v>
      </c>
      <c r="N236">
        <v>0</v>
      </c>
      <c r="P236">
        <v>71.8</v>
      </c>
    </row>
    <row r="237" spans="1:16">
      <c r="A237" t="s">
        <v>267</v>
      </c>
      <c r="B237" s="2">
        <v>45734</v>
      </c>
      <c r="C237" t="s">
        <v>17</v>
      </c>
      <c r="D237" t="s">
        <v>23</v>
      </c>
      <c r="E237" t="s">
        <v>24</v>
      </c>
      <c r="F237" t="s">
        <v>41</v>
      </c>
      <c r="G237" t="s">
        <v>26</v>
      </c>
      <c r="H237">
        <v>1</v>
      </c>
      <c r="I237">
        <v>0</v>
      </c>
      <c r="J237">
        <v>0</v>
      </c>
      <c r="K237">
        <v>0</v>
      </c>
      <c r="L237">
        <v>0</v>
      </c>
      <c r="M237">
        <v>3</v>
      </c>
      <c r="N237">
        <v>0</v>
      </c>
      <c r="P237">
        <v>39.700000000000003</v>
      </c>
    </row>
    <row r="238" spans="1:16">
      <c r="A238" t="s">
        <v>268</v>
      </c>
      <c r="B238" s="2">
        <v>45717</v>
      </c>
      <c r="C238" t="s">
        <v>17</v>
      </c>
      <c r="D238" t="s">
        <v>32</v>
      </c>
      <c r="E238" t="s">
        <v>19</v>
      </c>
      <c r="F238" t="s">
        <v>25</v>
      </c>
      <c r="G238" t="s">
        <v>30</v>
      </c>
      <c r="H238">
        <v>1</v>
      </c>
      <c r="I238">
        <v>0</v>
      </c>
      <c r="J238">
        <v>0</v>
      </c>
      <c r="K238">
        <v>0</v>
      </c>
      <c r="L238">
        <v>0</v>
      </c>
      <c r="M238">
        <v>0</v>
      </c>
      <c r="N238">
        <v>0</v>
      </c>
      <c r="P238">
        <v>45.4</v>
      </c>
    </row>
    <row r="239" spans="1:16">
      <c r="A239" t="s">
        <v>269</v>
      </c>
      <c r="B239" s="2">
        <v>45752</v>
      </c>
      <c r="C239" t="s">
        <v>17</v>
      </c>
      <c r="D239" t="s">
        <v>18</v>
      </c>
      <c r="E239" t="s">
        <v>19</v>
      </c>
      <c r="F239" t="s">
        <v>41</v>
      </c>
      <c r="G239" t="s">
        <v>30</v>
      </c>
      <c r="H239">
        <v>1</v>
      </c>
      <c r="I239">
        <v>0</v>
      </c>
      <c r="J239">
        <v>0</v>
      </c>
      <c r="K239">
        <v>0</v>
      </c>
      <c r="L239">
        <v>0</v>
      </c>
      <c r="M239">
        <v>0</v>
      </c>
      <c r="N239">
        <v>0</v>
      </c>
      <c r="P239">
        <v>69.900000000000006</v>
      </c>
    </row>
    <row r="240" spans="1:16">
      <c r="A240" t="s">
        <v>270</v>
      </c>
      <c r="B240" s="2">
        <v>45728</v>
      </c>
      <c r="C240" t="s">
        <v>17</v>
      </c>
      <c r="D240" t="s">
        <v>18</v>
      </c>
      <c r="E240" t="s">
        <v>19</v>
      </c>
      <c r="F240" t="s">
        <v>41</v>
      </c>
      <c r="G240" t="s">
        <v>26</v>
      </c>
      <c r="H240">
        <v>1</v>
      </c>
      <c r="I240">
        <v>1</v>
      </c>
      <c r="J240">
        <v>1</v>
      </c>
      <c r="K240">
        <v>0</v>
      </c>
      <c r="L240">
        <v>0</v>
      </c>
      <c r="M240">
        <v>0</v>
      </c>
      <c r="N240">
        <v>0</v>
      </c>
      <c r="P240">
        <v>56.1</v>
      </c>
    </row>
    <row r="241" spans="1:16">
      <c r="A241" t="s">
        <v>271</v>
      </c>
      <c r="B241" s="2">
        <v>45731</v>
      </c>
      <c r="C241" t="s">
        <v>17</v>
      </c>
      <c r="D241" t="s">
        <v>23</v>
      </c>
      <c r="E241" t="s">
        <v>24</v>
      </c>
      <c r="F241" t="s">
        <v>39</v>
      </c>
      <c r="G241" t="s">
        <v>21</v>
      </c>
      <c r="H241">
        <v>1</v>
      </c>
      <c r="I241">
        <v>1</v>
      </c>
      <c r="J241">
        <v>0</v>
      </c>
      <c r="K241">
        <v>0</v>
      </c>
      <c r="L241">
        <v>0</v>
      </c>
      <c r="M241">
        <v>0</v>
      </c>
      <c r="N241">
        <v>0</v>
      </c>
      <c r="P241">
        <v>45.9</v>
      </c>
    </row>
    <row r="242" spans="1:16">
      <c r="A242" t="s">
        <v>272</v>
      </c>
      <c r="B242" s="2">
        <v>45711</v>
      </c>
      <c r="C242" t="s">
        <v>17</v>
      </c>
      <c r="D242" t="s">
        <v>23</v>
      </c>
      <c r="E242" t="s">
        <v>24</v>
      </c>
      <c r="F242" t="s">
        <v>20</v>
      </c>
      <c r="G242" t="s">
        <v>26</v>
      </c>
      <c r="H242">
        <v>0</v>
      </c>
      <c r="I242">
        <v>0</v>
      </c>
      <c r="J242">
        <v>0</v>
      </c>
      <c r="K242">
        <v>0</v>
      </c>
      <c r="L242">
        <v>0</v>
      </c>
      <c r="M242">
        <v>0</v>
      </c>
      <c r="N242">
        <v>0</v>
      </c>
      <c r="P242">
        <v>65.8</v>
      </c>
    </row>
    <row r="243" spans="1:16">
      <c r="A243" t="s">
        <v>273</v>
      </c>
      <c r="B243" s="2">
        <v>45769</v>
      </c>
      <c r="C243" t="s">
        <v>17</v>
      </c>
      <c r="D243" t="s">
        <v>18</v>
      </c>
      <c r="E243" t="s">
        <v>24</v>
      </c>
      <c r="F243" t="s">
        <v>25</v>
      </c>
      <c r="G243" t="s">
        <v>21</v>
      </c>
      <c r="H243">
        <v>1</v>
      </c>
      <c r="I243">
        <v>0</v>
      </c>
      <c r="J243">
        <v>0</v>
      </c>
      <c r="K243">
        <v>0</v>
      </c>
      <c r="L243">
        <v>0</v>
      </c>
      <c r="M243">
        <v>0</v>
      </c>
      <c r="N243">
        <v>0</v>
      </c>
      <c r="P243">
        <v>48.2</v>
      </c>
    </row>
    <row r="244" spans="1:16">
      <c r="A244" t="s">
        <v>274</v>
      </c>
      <c r="B244" s="2">
        <v>45666</v>
      </c>
      <c r="C244" t="s">
        <v>17</v>
      </c>
      <c r="D244" t="s">
        <v>28</v>
      </c>
      <c r="E244" t="s">
        <v>24</v>
      </c>
      <c r="F244" t="s">
        <v>25</v>
      </c>
      <c r="G244" t="s">
        <v>21</v>
      </c>
      <c r="H244">
        <v>1</v>
      </c>
      <c r="I244">
        <v>1</v>
      </c>
      <c r="J244">
        <v>1</v>
      </c>
      <c r="K244">
        <v>0</v>
      </c>
      <c r="L244">
        <v>0</v>
      </c>
      <c r="M244">
        <v>0</v>
      </c>
      <c r="N244">
        <v>0</v>
      </c>
      <c r="P244">
        <v>81.099999999999994</v>
      </c>
    </row>
    <row r="245" spans="1:16">
      <c r="A245" t="s">
        <v>275</v>
      </c>
      <c r="B245" s="2">
        <v>45721</v>
      </c>
      <c r="C245" t="s">
        <v>17</v>
      </c>
      <c r="D245" t="s">
        <v>28</v>
      </c>
      <c r="E245" t="s">
        <v>34</v>
      </c>
      <c r="F245" t="s">
        <v>41</v>
      </c>
      <c r="G245" t="s">
        <v>30</v>
      </c>
      <c r="H245">
        <v>1</v>
      </c>
      <c r="I245">
        <v>1</v>
      </c>
      <c r="J245">
        <v>0</v>
      </c>
      <c r="K245">
        <v>0</v>
      </c>
      <c r="L245">
        <v>0</v>
      </c>
      <c r="M245">
        <v>0</v>
      </c>
      <c r="N245">
        <v>0</v>
      </c>
      <c r="P245">
        <v>53.2</v>
      </c>
    </row>
    <row r="246" spans="1:16">
      <c r="A246" t="s">
        <v>276</v>
      </c>
      <c r="B246" s="2">
        <v>45685</v>
      </c>
      <c r="C246" t="s">
        <v>17</v>
      </c>
      <c r="D246" t="s">
        <v>18</v>
      </c>
      <c r="E246" t="s">
        <v>24</v>
      </c>
      <c r="F246" t="s">
        <v>41</v>
      </c>
      <c r="G246" t="s">
        <v>26</v>
      </c>
      <c r="H246">
        <v>1</v>
      </c>
      <c r="I246">
        <v>1</v>
      </c>
      <c r="J246">
        <v>1</v>
      </c>
      <c r="K246">
        <v>0</v>
      </c>
      <c r="L246">
        <v>0</v>
      </c>
      <c r="M246">
        <v>0</v>
      </c>
      <c r="N246">
        <v>0</v>
      </c>
      <c r="P246">
        <v>57.7</v>
      </c>
    </row>
    <row r="247" spans="1:16">
      <c r="A247" t="s">
        <v>277</v>
      </c>
      <c r="B247" s="2">
        <v>45678</v>
      </c>
      <c r="C247" t="s">
        <v>17</v>
      </c>
      <c r="D247" t="s">
        <v>23</v>
      </c>
      <c r="E247" t="s">
        <v>24</v>
      </c>
      <c r="F247" t="s">
        <v>29</v>
      </c>
      <c r="G247" t="s">
        <v>30</v>
      </c>
      <c r="H247">
        <v>1</v>
      </c>
      <c r="I247">
        <v>1</v>
      </c>
      <c r="J247">
        <v>0</v>
      </c>
      <c r="K247">
        <v>0</v>
      </c>
      <c r="L247">
        <v>0</v>
      </c>
      <c r="M247">
        <v>0</v>
      </c>
      <c r="N247">
        <v>0</v>
      </c>
      <c r="P247">
        <v>78.900000000000006</v>
      </c>
    </row>
    <row r="248" spans="1:16">
      <c r="A248" t="s">
        <v>278</v>
      </c>
      <c r="B248" s="2">
        <v>45730</v>
      </c>
      <c r="C248" t="s">
        <v>17</v>
      </c>
      <c r="D248" t="s">
        <v>32</v>
      </c>
      <c r="E248" t="s">
        <v>24</v>
      </c>
      <c r="F248" t="s">
        <v>39</v>
      </c>
      <c r="G248" t="s">
        <v>21</v>
      </c>
      <c r="H248">
        <v>0</v>
      </c>
      <c r="I248">
        <v>0</v>
      </c>
      <c r="J248">
        <v>0</v>
      </c>
      <c r="K248">
        <v>0</v>
      </c>
      <c r="L248">
        <v>0</v>
      </c>
      <c r="M248">
        <v>0</v>
      </c>
      <c r="N248">
        <v>0</v>
      </c>
      <c r="P248">
        <v>55.7</v>
      </c>
    </row>
    <row r="249" spans="1:16">
      <c r="A249" t="s">
        <v>279</v>
      </c>
      <c r="B249" s="2">
        <v>45691</v>
      </c>
      <c r="C249" t="s">
        <v>17</v>
      </c>
      <c r="D249" t="s">
        <v>23</v>
      </c>
      <c r="E249" t="s">
        <v>24</v>
      </c>
      <c r="F249" t="s">
        <v>29</v>
      </c>
      <c r="G249" t="s">
        <v>26</v>
      </c>
      <c r="H249">
        <v>0</v>
      </c>
      <c r="I249">
        <v>0</v>
      </c>
      <c r="J249">
        <v>0</v>
      </c>
      <c r="K249">
        <v>0</v>
      </c>
      <c r="L249">
        <v>0</v>
      </c>
      <c r="M249">
        <v>0</v>
      </c>
      <c r="N249">
        <v>0</v>
      </c>
      <c r="P249">
        <v>52.3</v>
      </c>
    </row>
    <row r="250" spans="1:16">
      <c r="A250" t="s">
        <v>280</v>
      </c>
      <c r="B250" s="2">
        <v>45799</v>
      </c>
      <c r="C250" t="s">
        <v>17</v>
      </c>
      <c r="D250" t="s">
        <v>18</v>
      </c>
      <c r="E250" t="s">
        <v>24</v>
      </c>
      <c r="F250" t="s">
        <v>41</v>
      </c>
      <c r="G250" t="s">
        <v>26</v>
      </c>
      <c r="H250">
        <v>1</v>
      </c>
      <c r="I250">
        <v>0</v>
      </c>
      <c r="J250">
        <v>0</v>
      </c>
      <c r="K250">
        <v>0</v>
      </c>
      <c r="L250">
        <v>0</v>
      </c>
      <c r="M250">
        <v>0</v>
      </c>
      <c r="N250">
        <v>0</v>
      </c>
      <c r="P250">
        <v>51.5</v>
      </c>
    </row>
    <row r="251" spans="1:16">
      <c r="A251" t="s">
        <v>281</v>
      </c>
      <c r="B251" s="2">
        <v>45772</v>
      </c>
      <c r="C251" t="s">
        <v>17</v>
      </c>
      <c r="D251" t="s">
        <v>18</v>
      </c>
      <c r="E251" t="s">
        <v>19</v>
      </c>
      <c r="F251" t="s">
        <v>20</v>
      </c>
      <c r="G251" t="s">
        <v>26</v>
      </c>
      <c r="H251">
        <v>1</v>
      </c>
      <c r="I251">
        <v>0</v>
      </c>
      <c r="J251">
        <v>0</v>
      </c>
      <c r="K251">
        <v>0</v>
      </c>
      <c r="L251">
        <v>0</v>
      </c>
      <c r="M251">
        <v>0</v>
      </c>
      <c r="N251">
        <v>0</v>
      </c>
      <c r="P251">
        <v>70.8</v>
      </c>
    </row>
    <row r="252" spans="1:16">
      <c r="A252" t="s">
        <v>282</v>
      </c>
      <c r="B252" s="2">
        <v>45687</v>
      </c>
      <c r="C252" t="s">
        <v>17</v>
      </c>
      <c r="D252" t="s">
        <v>18</v>
      </c>
      <c r="E252" t="s">
        <v>19</v>
      </c>
      <c r="F252" t="s">
        <v>20</v>
      </c>
      <c r="G252" t="s">
        <v>21</v>
      </c>
      <c r="H252">
        <v>1</v>
      </c>
      <c r="I252">
        <v>1</v>
      </c>
      <c r="J252">
        <v>1</v>
      </c>
      <c r="K252">
        <v>1</v>
      </c>
      <c r="L252">
        <v>1250.78</v>
      </c>
      <c r="M252">
        <v>0</v>
      </c>
      <c r="N252">
        <v>0</v>
      </c>
      <c r="O252">
        <v>10</v>
      </c>
      <c r="P252">
        <v>39</v>
      </c>
    </row>
    <row r="253" spans="1:16">
      <c r="A253" t="s">
        <v>283</v>
      </c>
      <c r="B253" s="2">
        <v>45800</v>
      </c>
      <c r="C253" t="s">
        <v>17</v>
      </c>
      <c r="D253" t="s">
        <v>23</v>
      </c>
      <c r="E253" t="s">
        <v>24</v>
      </c>
      <c r="F253" t="s">
        <v>25</v>
      </c>
      <c r="G253" t="s">
        <v>26</v>
      </c>
      <c r="H253">
        <v>1</v>
      </c>
      <c r="I253">
        <v>0</v>
      </c>
      <c r="J253">
        <v>0</v>
      </c>
      <c r="K253">
        <v>0</v>
      </c>
      <c r="L253">
        <v>0</v>
      </c>
      <c r="M253">
        <v>0</v>
      </c>
      <c r="N253">
        <v>0</v>
      </c>
      <c r="P253">
        <v>61.6</v>
      </c>
    </row>
    <row r="254" spans="1:16">
      <c r="A254" t="s">
        <v>284</v>
      </c>
      <c r="B254" s="2">
        <v>45702</v>
      </c>
      <c r="C254" t="s">
        <v>17</v>
      </c>
      <c r="D254" t="s">
        <v>28</v>
      </c>
      <c r="E254" t="s">
        <v>19</v>
      </c>
      <c r="F254" t="s">
        <v>25</v>
      </c>
      <c r="G254" t="s">
        <v>26</v>
      </c>
      <c r="H254">
        <v>1</v>
      </c>
      <c r="I254">
        <v>1</v>
      </c>
      <c r="J254">
        <v>1</v>
      </c>
      <c r="K254">
        <v>0</v>
      </c>
      <c r="L254">
        <v>0</v>
      </c>
      <c r="M254">
        <v>0</v>
      </c>
      <c r="N254">
        <v>0</v>
      </c>
      <c r="P254">
        <v>46.8</v>
      </c>
    </row>
    <row r="255" spans="1:16">
      <c r="A255" t="s">
        <v>285</v>
      </c>
      <c r="B255" s="2">
        <v>45721</v>
      </c>
      <c r="C255" t="s">
        <v>17</v>
      </c>
      <c r="D255" t="s">
        <v>18</v>
      </c>
      <c r="E255" t="s">
        <v>24</v>
      </c>
      <c r="F255" t="s">
        <v>29</v>
      </c>
      <c r="G255" t="s">
        <v>30</v>
      </c>
      <c r="H255">
        <v>0</v>
      </c>
      <c r="I255">
        <v>0</v>
      </c>
      <c r="J255">
        <v>0</v>
      </c>
      <c r="K255">
        <v>0</v>
      </c>
      <c r="L255">
        <v>0</v>
      </c>
      <c r="M255">
        <v>1</v>
      </c>
      <c r="N255">
        <v>0</v>
      </c>
      <c r="P255">
        <v>58.5</v>
      </c>
    </row>
    <row r="256" spans="1:16">
      <c r="A256" t="s">
        <v>286</v>
      </c>
      <c r="B256" s="2">
        <v>45804</v>
      </c>
      <c r="C256" t="s">
        <v>17</v>
      </c>
      <c r="D256" t="s">
        <v>18</v>
      </c>
      <c r="E256" t="s">
        <v>24</v>
      </c>
      <c r="F256" t="s">
        <v>29</v>
      </c>
      <c r="G256" t="s">
        <v>21</v>
      </c>
      <c r="H256">
        <v>0</v>
      </c>
      <c r="I256">
        <v>0</v>
      </c>
      <c r="J256">
        <v>0</v>
      </c>
      <c r="K256">
        <v>0</v>
      </c>
      <c r="L256">
        <v>0</v>
      </c>
      <c r="M256">
        <v>0</v>
      </c>
      <c r="N256">
        <v>0</v>
      </c>
      <c r="P256">
        <v>70.900000000000006</v>
      </c>
    </row>
    <row r="257" spans="1:16">
      <c r="A257" t="s">
        <v>287</v>
      </c>
      <c r="B257" s="2">
        <v>45664</v>
      </c>
      <c r="C257" t="s">
        <v>17</v>
      </c>
      <c r="D257" t="s">
        <v>32</v>
      </c>
      <c r="E257" t="s">
        <v>24</v>
      </c>
      <c r="F257" t="s">
        <v>29</v>
      </c>
      <c r="G257" t="s">
        <v>26</v>
      </c>
      <c r="H257">
        <v>1</v>
      </c>
      <c r="I257">
        <v>0</v>
      </c>
      <c r="J257">
        <v>0</v>
      </c>
      <c r="K257">
        <v>0</v>
      </c>
      <c r="L257">
        <v>0</v>
      </c>
      <c r="M257">
        <v>0</v>
      </c>
      <c r="N257">
        <v>0</v>
      </c>
      <c r="P257">
        <v>48.4</v>
      </c>
    </row>
    <row r="258" spans="1:16">
      <c r="A258" t="s">
        <v>288</v>
      </c>
      <c r="B258" s="2">
        <v>45768</v>
      </c>
      <c r="C258" t="s">
        <v>17</v>
      </c>
      <c r="D258" t="s">
        <v>18</v>
      </c>
      <c r="E258" t="s">
        <v>24</v>
      </c>
      <c r="F258" t="s">
        <v>20</v>
      </c>
      <c r="G258" t="s">
        <v>26</v>
      </c>
      <c r="H258">
        <v>1</v>
      </c>
      <c r="I258">
        <v>0</v>
      </c>
      <c r="J258">
        <v>0</v>
      </c>
      <c r="K258">
        <v>0</v>
      </c>
      <c r="L258">
        <v>0</v>
      </c>
      <c r="M258">
        <v>0</v>
      </c>
      <c r="N258">
        <v>0</v>
      </c>
      <c r="P258">
        <v>58</v>
      </c>
    </row>
    <row r="259" spans="1:16">
      <c r="A259" t="s">
        <v>289</v>
      </c>
      <c r="B259" s="2">
        <v>45790</v>
      </c>
      <c r="C259" t="s">
        <v>17</v>
      </c>
      <c r="D259" t="s">
        <v>18</v>
      </c>
      <c r="E259" t="s">
        <v>24</v>
      </c>
      <c r="F259" t="s">
        <v>29</v>
      </c>
      <c r="G259" t="s">
        <v>26</v>
      </c>
      <c r="H259">
        <v>0</v>
      </c>
      <c r="I259">
        <v>0</v>
      </c>
      <c r="J259">
        <v>0</v>
      </c>
      <c r="K259">
        <v>0</v>
      </c>
      <c r="L259">
        <v>0</v>
      </c>
      <c r="M259">
        <v>0</v>
      </c>
      <c r="N259">
        <v>0</v>
      </c>
      <c r="P259">
        <v>61.6</v>
      </c>
    </row>
    <row r="260" spans="1:16">
      <c r="A260" t="s">
        <v>290</v>
      </c>
      <c r="B260" s="2">
        <v>45685</v>
      </c>
      <c r="C260" t="s">
        <v>17</v>
      </c>
      <c r="D260" t="s">
        <v>28</v>
      </c>
      <c r="E260" t="s">
        <v>19</v>
      </c>
      <c r="F260" t="s">
        <v>25</v>
      </c>
      <c r="G260" t="s">
        <v>26</v>
      </c>
      <c r="H260">
        <v>1</v>
      </c>
      <c r="I260">
        <v>0</v>
      </c>
      <c r="J260">
        <v>0</v>
      </c>
      <c r="K260">
        <v>0</v>
      </c>
      <c r="L260">
        <v>0</v>
      </c>
      <c r="M260">
        <v>0</v>
      </c>
      <c r="N260">
        <v>0</v>
      </c>
      <c r="P260">
        <v>43.2</v>
      </c>
    </row>
    <row r="261" spans="1:16">
      <c r="A261" t="s">
        <v>291</v>
      </c>
      <c r="B261" s="2">
        <v>45732</v>
      </c>
      <c r="C261" t="s">
        <v>17</v>
      </c>
      <c r="D261" t="s">
        <v>28</v>
      </c>
      <c r="E261" t="s">
        <v>19</v>
      </c>
      <c r="F261" t="s">
        <v>29</v>
      </c>
      <c r="G261" t="s">
        <v>21</v>
      </c>
      <c r="H261">
        <v>1</v>
      </c>
      <c r="I261">
        <v>0</v>
      </c>
      <c r="J261">
        <v>0</v>
      </c>
      <c r="K261">
        <v>0</v>
      </c>
      <c r="L261">
        <v>0</v>
      </c>
      <c r="M261">
        <v>1</v>
      </c>
      <c r="N261">
        <v>0</v>
      </c>
      <c r="P261">
        <v>53.3</v>
      </c>
    </row>
    <row r="262" spans="1:16">
      <c r="A262" t="s">
        <v>292</v>
      </c>
      <c r="B262" s="2">
        <v>45757</v>
      </c>
      <c r="C262" t="s">
        <v>17</v>
      </c>
      <c r="D262" t="s">
        <v>28</v>
      </c>
      <c r="E262" t="s">
        <v>19</v>
      </c>
      <c r="F262" t="s">
        <v>41</v>
      </c>
      <c r="G262" t="s">
        <v>21</v>
      </c>
      <c r="H262">
        <v>0</v>
      </c>
      <c r="I262">
        <v>0</v>
      </c>
      <c r="J262">
        <v>0</v>
      </c>
      <c r="K262">
        <v>0</v>
      </c>
      <c r="L262">
        <v>0</v>
      </c>
      <c r="M262">
        <v>0</v>
      </c>
      <c r="N262">
        <v>0</v>
      </c>
      <c r="P262">
        <v>33.9</v>
      </c>
    </row>
    <row r="263" spans="1:16">
      <c r="A263" t="s">
        <v>293</v>
      </c>
      <c r="B263" s="2">
        <v>45731</v>
      </c>
      <c r="C263" t="s">
        <v>17</v>
      </c>
      <c r="D263" t="s">
        <v>28</v>
      </c>
      <c r="E263" t="s">
        <v>19</v>
      </c>
      <c r="F263" t="s">
        <v>39</v>
      </c>
      <c r="G263" t="s">
        <v>26</v>
      </c>
      <c r="H263">
        <v>1</v>
      </c>
      <c r="I263">
        <v>1</v>
      </c>
      <c r="J263">
        <v>1</v>
      </c>
      <c r="K263">
        <v>0</v>
      </c>
      <c r="L263">
        <v>0</v>
      </c>
      <c r="M263">
        <v>0</v>
      </c>
      <c r="N263">
        <v>0</v>
      </c>
      <c r="P263">
        <v>35.4</v>
      </c>
    </row>
    <row r="264" spans="1:16">
      <c r="A264" t="s">
        <v>294</v>
      </c>
      <c r="B264" s="2">
        <v>45754</v>
      </c>
      <c r="C264" t="s">
        <v>17</v>
      </c>
      <c r="D264" t="s">
        <v>23</v>
      </c>
      <c r="E264" t="s">
        <v>19</v>
      </c>
      <c r="F264" t="s">
        <v>25</v>
      </c>
      <c r="G264" t="s">
        <v>21</v>
      </c>
      <c r="H264">
        <v>1</v>
      </c>
      <c r="I264">
        <v>0</v>
      </c>
      <c r="J264">
        <v>0</v>
      </c>
      <c r="K264">
        <v>0</v>
      </c>
      <c r="L264">
        <v>0</v>
      </c>
      <c r="M264">
        <v>0</v>
      </c>
      <c r="N264">
        <v>0</v>
      </c>
      <c r="P264">
        <v>45</v>
      </c>
    </row>
    <row r="265" spans="1:16">
      <c r="A265" t="s">
        <v>295</v>
      </c>
      <c r="B265" s="2">
        <v>45700</v>
      </c>
      <c r="C265" t="s">
        <v>17</v>
      </c>
      <c r="D265" t="s">
        <v>32</v>
      </c>
      <c r="E265" t="s">
        <v>24</v>
      </c>
      <c r="F265" t="s">
        <v>25</v>
      </c>
      <c r="G265" t="s">
        <v>26</v>
      </c>
      <c r="H265">
        <v>1</v>
      </c>
      <c r="I265">
        <v>1</v>
      </c>
      <c r="J265">
        <v>0</v>
      </c>
      <c r="K265">
        <v>0</v>
      </c>
      <c r="L265">
        <v>0</v>
      </c>
      <c r="M265">
        <v>0</v>
      </c>
      <c r="N265">
        <v>0</v>
      </c>
      <c r="P265">
        <v>86.5</v>
      </c>
    </row>
    <row r="266" spans="1:16">
      <c r="A266" t="s">
        <v>296</v>
      </c>
      <c r="B266" s="2">
        <v>45782</v>
      </c>
      <c r="C266" t="s">
        <v>17</v>
      </c>
      <c r="D266" t="s">
        <v>23</v>
      </c>
      <c r="E266" t="s">
        <v>24</v>
      </c>
      <c r="F266" t="s">
        <v>41</v>
      </c>
      <c r="G266" t="s">
        <v>26</v>
      </c>
      <c r="H266">
        <v>0</v>
      </c>
      <c r="I266">
        <v>0</v>
      </c>
      <c r="J266">
        <v>0</v>
      </c>
      <c r="K266">
        <v>0</v>
      </c>
      <c r="L266">
        <v>0</v>
      </c>
      <c r="M266">
        <v>0</v>
      </c>
      <c r="N266">
        <v>0</v>
      </c>
      <c r="P266">
        <v>58.1</v>
      </c>
    </row>
    <row r="267" spans="1:16">
      <c r="A267" t="s">
        <v>297</v>
      </c>
      <c r="B267" s="2">
        <v>45727</v>
      </c>
      <c r="C267" t="s">
        <v>17</v>
      </c>
      <c r="D267" t="s">
        <v>23</v>
      </c>
      <c r="E267" t="s">
        <v>24</v>
      </c>
      <c r="F267" t="s">
        <v>39</v>
      </c>
      <c r="G267" t="s">
        <v>26</v>
      </c>
      <c r="H267">
        <v>1</v>
      </c>
      <c r="I267">
        <v>0</v>
      </c>
      <c r="J267">
        <v>0</v>
      </c>
      <c r="K267">
        <v>0</v>
      </c>
      <c r="L267">
        <v>0</v>
      </c>
      <c r="M267">
        <v>0</v>
      </c>
      <c r="N267">
        <v>0</v>
      </c>
      <c r="P267">
        <v>36.1</v>
      </c>
    </row>
    <row r="268" spans="1:16">
      <c r="A268" t="s">
        <v>298</v>
      </c>
      <c r="B268" s="2">
        <v>45698</v>
      </c>
      <c r="C268" t="s">
        <v>17</v>
      </c>
      <c r="D268" t="s">
        <v>28</v>
      </c>
      <c r="E268" t="s">
        <v>24</v>
      </c>
      <c r="F268" t="s">
        <v>41</v>
      </c>
      <c r="G268" t="s">
        <v>26</v>
      </c>
      <c r="H268">
        <v>0</v>
      </c>
      <c r="I268">
        <v>0</v>
      </c>
      <c r="J268">
        <v>0</v>
      </c>
      <c r="K268">
        <v>0</v>
      </c>
      <c r="L268">
        <v>0</v>
      </c>
      <c r="M268">
        <v>0</v>
      </c>
      <c r="N268">
        <v>0</v>
      </c>
      <c r="P268">
        <v>62.8</v>
      </c>
    </row>
    <row r="269" spans="1:16">
      <c r="A269" t="s">
        <v>299</v>
      </c>
      <c r="B269" s="2">
        <v>45753</v>
      </c>
      <c r="C269" t="s">
        <v>17</v>
      </c>
      <c r="D269" t="s">
        <v>32</v>
      </c>
      <c r="E269" t="s">
        <v>24</v>
      </c>
      <c r="F269" t="s">
        <v>25</v>
      </c>
      <c r="G269" t="s">
        <v>26</v>
      </c>
      <c r="H269">
        <v>0</v>
      </c>
      <c r="I269">
        <v>0</v>
      </c>
      <c r="J269">
        <v>0</v>
      </c>
      <c r="K269">
        <v>0</v>
      </c>
      <c r="L269">
        <v>0</v>
      </c>
      <c r="M269">
        <v>0</v>
      </c>
      <c r="N269">
        <v>0</v>
      </c>
      <c r="P269">
        <v>54.2</v>
      </c>
    </row>
    <row r="270" spans="1:16">
      <c r="A270" t="s">
        <v>300</v>
      </c>
      <c r="B270" s="2">
        <v>45663</v>
      </c>
      <c r="C270" t="s">
        <v>17</v>
      </c>
      <c r="D270" t="s">
        <v>28</v>
      </c>
      <c r="E270" t="s">
        <v>24</v>
      </c>
      <c r="F270" t="s">
        <v>39</v>
      </c>
      <c r="G270" t="s">
        <v>26</v>
      </c>
      <c r="H270">
        <v>0</v>
      </c>
      <c r="I270">
        <v>0</v>
      </c>
      <c r="J270">
        <v>0</v>
      </c>
      <c r="K270">
        <v>0</v>
      </c>
      <c r="L270">
        <v>0</v>
      </c>
      <c r="M270">
        <v>0</v>
      </c>
      <c r="N270">
        <v>0</v>
      </c>
      <c r="P270">
        <v>50</v>
      </c>
    </row>
    <row r="271" spans="1:16">
      <c r="A271" t="s">
        <v>301</v>
      </c>
      <c r="B271" s="2">
        <v>45741</v>
      </c>
      <c r="C271" t="s">
        <v>17</v>
      </c>
      <c r="D271" t="s">
        <v>28</v>
      </c>
      <c r="E271" t="s">
        <v>34</v>
      </c>
      <c r="F271" t="s">
        <v>29</v>
      </c>
      <c r="G271" t="s">
        <v>21</v>
      </c>
      <c r="H271">
        <v>1</v>
      </c>
      <c r="I271">
        <v>0</v>
      </c>
      <c r="J271">
        <v>0</v>
      </c>
      <c r="K271">
        <v>0</v>
      </c>
      <c r="L271">
        <v>0</v>
      </c>
      <c r="M271">
        <v>0</v>
      </c>
      <c r="N271">
        <v>0</v>
      </c>
      <c r="P271">
        <v>62</v>
      </c>
    </row>
    <row r="272" spans="1:16">
      <c r="A272" t="s">
        <v>302</v>
      </c>
      <c r="B272" s="2">
        <v>45701</v>
      </c>
      <c r="C272" t="s">
        <v>17</v>
      </c>
      <c r="D272" t="s">
        <v>28</v>
      </c>
      <c r="E272" t="s">
        <v>19</v>
      </c>
      <c r="F272" t="s">
        <v>39</v>
      </c>
      <c r="G272" t="s">
        <v>26</v>
      </c>
      <c r="H272">
        <v>1</v>
      </c>
      <c r="I272">
        <v>0</v>
      </c>
      <c r="J272">
        <v>0</v>
      </c>
      <c r="K272">
        <v>0</v>
      </c>
      <c r="L272">
        <v>0</v>
      </c>
      <c r="M272">
        <v>0</v>
      </c>
      <c r="N272">
        <v>0</v>
      </c>
      <c r="P272">
        <v>29.3</v>
      </c>
    </row>
    <row r="273" spans="1:16">
      <c r="A273" t="s">
        <v>303</v>
      </c>
      <c r="B273" s="2">
        <v>45733</v>
      </c>
      <c r="C273" t="s">
        <v>17</v>
      </c>
      <c r="D273" t="s">
        <v>23</v>
      </c>
      <c r="E273" t="s">
        <v>19</v>
      </c>
      <c r="F273" t="s">
        <v>25</v>
      </c>
      <c r="G273" t="s">
        <v>26</v>
      </c>
      <c r="H273">
        <v>1</v>
      </c>
      <c r="I273">
        <v>0</v>
      </c>
      <c r="J273">
        <v>0</v>
      </c>
      <c r="K273">
        <v>0</v>
      </c>
      <c r="L273">
        <v>0</v>
      </c>
      <c r="M273">
        <v>0</v>
      </c>
      <c r="N273">
        <v>0</v>
      </c>
      <c r="P273">
        <v>67.900000000000006</v>
      </c>
    </row>
    <row r="274" spans="1:16">
      <c r="A274" t="s">
        <v>304</v>
      </c>
      <c r="B274" s="2">
        <v>45787</v>
      </c>
      <c r="C274" t="s">
        <v>17</v>
      </c>
      <c r="D274" t="s">
        <v>18</v>
      </c>
      <c r="E274" t="s">
        <v>24</v>
      </c>
      <c r="F274" t="s">
        <v>39</v>
      </c>
      <c r="G274" t="s">
        <v>26</v>
      </c>
      <c r="H274">
        <v>1</v>
      </c>
      <c r="I274">
        <v>1</v>
      </c>
      <c r="J274">
        <v>1</v>
      </c>
      <c r="K274">
        <v>0</v>
      </c>
      <c r="L274">
        <v>0</v>
      </c>
      <c r="M274">
        <v>0</v>
      </c>
      <c r="N274">
        <v>0</v>
      </c>
      <c r="P274">
        <v>67.599999999999994</v>
      </c>
    </row>
    <row r="275" spans="1:16">
      <c r="A275" t="s">
        <v>305</v>
      </c>
      <c r="B275" s="2">
        <v>45784</v>
      </c>
      <c r="C275" t="s">
        <v>17</v>
      </c>
      <c r="D275" t="s">
        <v>32</v>
      </c>
      <c r="E275" t="s">
        <v>24</v>
      </c>
      <c r="F275" t="s">
        <v>29</v>
      </c>
      <c r="G275" t="s">
        <v>21</v>
      </c>
      <c r="H275">
        <v>0</v>
      </c>
      <c r="I275">
        <v>0</v>
      </c>
      <c r="J275">
        <v>0</v>
      </c>
      <c r="K275">
        <v>0</v>
      </c>
      <c r="L275">
        <v>0</v>
      </c>
      <c r="M275">
        <v>0</v>
      </c>
      <c r="N275">
        <v>0</v>
      </c>
      <c r="P275">
        <v>67.400000000000006</v>
      </c>
    </row>
    <row r="276" spans="1:16">
      <c r="A276" t="s">
        <v>306</v>
      </c>
      <c r="B276" s="2">
        <v>45714</v>
      </c>
      <c r="C276" t="s">
        <v>17</v>
      </c>
      <c r="D276" t="s">
        <v>23</v>
      </c>
      <c r="E276" t="s">
        <v>19</v>
      </c>
      <c r="F276" t="s">
        <v>29</v>
      </c>
      <c r="G276" t="s">
        <v>30</v>
      </c>
      <c r="H276">
        <v>0</v>
      </c>
      <c r="I276">
        <v>0</v>
      </c>
      <c r="J276">
        <v>0</v>
      </c>
      <c r="K276">
        <v>0</v>
      </c>
      <c r="L276">
        <v>0</v>
      </c>
      <c r="M276">
        <v>2</v>
      </c>
      <c r="N276">
        <v>0</v>
      </c>
      <c r="P276">
        <v>53</v>
      </c>
    </row>
    <row r="277" spans="1:16">
      <c r="A277" t="s">
        <v>307</v>
      </c>
      <c r="B277" s="2">
        <v>45788</v>
      </c>
      <c r="C277" t="s">
        <v>17</v>
      </c>
      <c r="D277" t="s">
        <v>18</v>
      </c>
      <c r="E277" t="s">
        <v>24</v>
      </c>
      <c r="F277" t="s">
        <v>25</v>
      </c>
      <c r="G277" t="s">
        <v>21</v>
      </c>
      <c r="H277">
        <v>0</v>
      </c>
      <c r="I277">
        <v>0</v>
      </c>
      <c r="J277">
        <v>0</v>
      </c>
      <c r="K277">
        <v>0</v>
      </c>
      <c r="L277">
        <v>0</v>
      </c>
      <c r="M277">
        <v>0</v>
      </c>
      <c r="N277">
        <v>0</v>
      </c>
      <c r="P277">
        <v>65.5</v>
      </c>
    </row>
    <row r="278" spans="1:16">
      <c r="A278" t="s">
        <v>308</v>
      </c>
      <c r="B278" s="2">
        <v>45736</v>
      </c>
      <c r="C278" t="s">
        <v>17</v>
      </c>
      <c r="D278" t="s">
        <v>32</v>
      </c>
      <c r="E278" t="s">
        <v>24</v>
      </c>
      <c r="F278" t="s">
        <v>25</v>
      </c>
      <c r="G278" t="s">
        <v>21</v>
      </c>
      <c r="H278">
        <v>1</v>
      </c>
      <c r="I278">
        <v>1</v>
      </c>
      <c r="J278">
        <v>0</v>
      </c>
      <c r="K278">
        <v>0</v>
      </c>
      <c r="L278">
        <v>0</v>
      </c>
      <c r="M278">
        <v>0</v>
      </c>
      <c r="N278">
        <v>0</v>
      </c>
      <c r="P278">
        <v>49.6</v>
      </c>
    </row>
    <row r="279" spans="1:16">
      <c r="A279" t="s">
        <v>309</v>
      </c>
      <c r="B279" s="2">
        <v>45676</v>
      </c>
      <c r="C279" t="s">
        <v>17</v>
      </c>
      <c r="D279" t="s">
        <v>18</v>
      </c>
      <c r="E279" t="s">
        <v>24</v>
      </c>
      <c r="F279" t="s">
        <v>20</v>
      </c>
      <c r="G279" t="s">
        <v>26</v>
      </c>
      <c r="H279">
        <v>1</v>
      </c>
      <c r="I279">
        <v>1</v>
      </c>
      <c r="J279">
        <v>0</v>
      </c>
      <c r="K279">
        <v>0</v>
      </c>
      <c r="L279">
        <v>0</v>
      </c>
      <c r="M279">
        <v>0</v>
      </c>
      <c r="N279">
        <v>0</v>
      </c>
      <c r="P279">
        <v>74.5</v>
      </c>
    </row>
    <row r="280" spans="1:16">
      <c r="A280" t="s">
        <v>310</v>
      </c>
      <c r="B280" s="2">
        <v>45724</v>
      </c>
      <c r="C280" t="s">
        <v>17</v>
      </c>
      <c r="D280" t="s">
        <v>18</v>
      </c>
      <c r="E280" t="s">
        <v>34</v>
      </c>
      <c r="F280" t="s">
        <v>29</v>
      </c>
      <c r="G280" t="s">
        <v>30</v>
      </c>
      <c r="H280">
        <v>1</v>
      </c>
      <c r="I280">
        <v>0</v>
      </c>
      <c r="J280">
        <v>0</v>
      </c>
      <c r="K280">
        <v>0</v>
      </c>
      <c r="L280">
        <v>0</v>
      </c>
      <c r="M280">
        <v>1</v>
      </c>
      <c r="N280">
        <v>0</v>
      </c>
      <c r="P280">
        <v>46.9</v>
      </c>
    </row>
    <row r="281" spans="1:16">
      <c r="A281" t="s">
        <v>311</v>
      </c>
      <c r="B281" s="2">
        <v>45772</v>
      </c>
      <c r="C281" t="s">
        <v>17</v>
      </c>
      <c r="D281" t="s">
        <v>18</v>
      </c>
      <c r="E281" t="s">
        <v>24</v>
      </c>
      <c r="F281" t="s">
        <v>25</v>
      </c>
      <c r="G281" t="s">
        <v>26</v>
      </c>
      <c r="H281">
        <v>0</v>
      </c>
      <c r="I281">
        <v>0</v>
      </c>
      <c r="J281">
        <v>0</v>
      </c>
      <c r="K281">
        <v>0</v>
      </c>
      <c r="L281">
        <v>0</v>
      </c>
      <c r="M281">
        <v>0</v>
      </c>
      <c r="N281">
        <v>0</v>
      </c>
      <c r="P281">
        <v>87.1</v>
      </c>
    </row>
    <row r="282" spans="1:16">
      <c r="A282" t="s">
        <v>312</v>
      </c>
      <c r="B282" s="2">
        <v>45751</v>
      </c>
      <c r="C282" t="s">
        <v>17</v>
      </c>
      <c r="D282" t="s">
        <v>18</v>
      </c>
      <c r="E282" t="s">
        <v>19</v>
      </c>
      <c r="F282" t="s">
        <v>25</v>
      </c>
      <c r="G282" t="s">
        <v>26</v>
      </c>
      <c r="H282">
        <v>1</v>
      </c>
      <c r="I282">
        <v>0</v>
      </c>
      <c r="J282">
        <v>0</v>
      </c>
      <c r="K282">
        <v>0</v>
      </c>
      <c r="L282">
        <v>0</v>
      </c>
      <c r="M282">
        <v>0</v>
      </c>
      <c r="N282">
        <v>0</v>
      </c>
      <c r="P282">
        <v>56</v>
      </c>
    </row>
    <row r="283" spans="1:16">
      <c r="A283" t="s">
        <v>313</v>
      </c>
      <c r="B283" s="2">
        <v>45778</v>
      </c>
      <c r="C283" t="s">
        <v>17</v>
      </c>
      <c r="D283" t="s">
        <v>28</v>
      </c>
      <c r="E283" t="s">
        <v>24</v>
      </c>
      <c r="F283" t="s">
        <v>29</v>
      </c>
      <c r="G283" t="s">
        <v>30</v>
      </c>
      <c r="H283">
        <v>1</v>
      </c>
      <c r="I283">
        <v>0</v>
      </c>
      <c r="J283">
        <v>0</v>
      </c>
      <c r="K283">
        <v>0</v>
      </c>
      <c r="L283">
        <v>0</v>
      </c>
      <c r="M283">
        <v>1</v>
      </c>
      <c r="N283">
        <v>0</v>
      </c>
      <c r="P283">
        <v>61.7</v>
      </c>
    </row>
    <row r="284" spans="1:16">
      <c r="A284" t="s">
        <v>314</v>
      </c>
      <c r="B284" s="2">
        <v>45678</v>
      </c>
      <c r="C284" t="s">
        <v>17</v>
      </c>
      <c r="D284" t="s">
        <v>32</v>
      </c>
      <c r="E284" t="s">
        <v>24</v>
      </c>
      <c r="F284" t="s">
        <v>41</v>
      </c>
      <c r="G284" t="s">
        <v>26</v>
      </c>
      <c r="H284">
        <v>1</v>
      </c>
      <c r="I284">
        <v>0</v>
      </c>
      <c r="J284">
        <v>0</v>
      </c>
      <c r="K284">
        <v>0</v>
      </c>
      <c r="L284">
        <v>0</v>
      </c>
      <c r="M284">
        <v>1</v>
      </c>
      <c r="N284">
        <v>0</v>
      </c>
      <c r="P284">
        <v>70.5</v>
      </c>
    </row>
    <row r="285" spans="1:16">
      <c r="A285" t="s">
        <v>315</v>
      </c>
      <c r="B285" s="2">
        <v>45698</v>
      </c>
      <c r="C285" t="s">
        <v>17</v>
      </c>
      <c r="D285" t="s">
        <v>18</v>
      </c>
      <c r="E285" t="s">
        <v>19</v>
      </c>
      <c r="F285" t="s">
        <v>39</v>
      </c>
      <c r="G285" t="s">
        <v>21</v>
      </c>
      <c r="H285">
        <v>1</v>
      </c>
      <c r="I285">
        <v>0</v>
      </c>
      <c r="J285">
        <v>0</v>
      </c>
      <c r="K285">
        <v>0</v>
      </c>
      <c r="L285">
        <v>0</v>
      </c>
      <c r="M285">
        <v>0</v>
      </c>
      <c r="N285">
        <v>0</v>
      </c>
      <c r="P285">
        <v>33.4</v>
      </c>
    </row>
    <row r="286" spans="1:16">
      <c r="A286" t="s">
        <v>316</v>
      </c>
      <c r="B286" s="2">
        <v>45783</v>
      </c>
      <c r="C286" t="s">
        <v>17</v>
      </c>
      <c r="D286" t="s">
        <v>32</v>
      </c>
      <c r="E286" t="s">
        <v>19</v>
      </c>
      <c r="F286" t="s">
        <v>25</v>
      </c>
      <c r="G286" t="s">
        <v>26</v>
      </c>
      <c r="H286">
        <v>1</v>
      </c>
      <c r="I286">
        <v>0</v>
      </c>
      <c r="J286">
        <v>0</v>
      </c>
      <c r="K286">
        <v>0</v>
      </c>
      <c r="L286">
        <v>0</v>
      </c>
      <c r="M286">
        <v>0</v>
      </c>
      <c r="N286">
        <v>0</v>
      </c>
      <c r="P286">
        <v>57.5</v>
      </c>
    </row>
    <row r="287" spans="1:16">
      <c r="A287" t="s">
        <v>317</v>
      </c>
      <c r="B287" s="2">
        <v>45696</v>
      </c>
      <c r="C287" t="s">
        <v>17</v>
      </c>
      <c r="D287" t="s">
        <v>18</v>
      </c>
      <c r="E287" t="s">
        <v>19</v>
      </c>
      <c r="F287" t="s">
        <v>29</v>
      </c>
      <c r="G287" t="s">
        <v>21</v>
      </c>
      <c r="H287">
        <v>1</v>
      </c>
      <c r="I287">
        <v>1</v>
      </c>
      <c r="J287">
        <v>0</v>
      </c>
      <c r="K287">
        <v>0</v>
      </c>
      <c r="L287">
        <v>0</v>
      </c>
      <c r="M287">
        <v>0</v>
      </c>
      <c r="N287">
        <v>0</v>
      </c>
      <c r="P287">
        <v>85.7</v>
      </c>
    </row>
    <row r="288" spans="1:16">
      <c r="A288" t="s">
        <v>318</v>
      </c>
      <c r="B288" s="2">
        <v>45808</v>
      </c>
      <c r="C288" t="s">
        <v>17</v>
      </c>
      <c r="D288" t="s">
        <v>28</v>
      </c>
      <c r="E288" t="s">
        <v>24</v>
      </c>
      <c r="F288" t="s">
        <v>41</v>
      </c>
      <c r="G288" t="s">
        <v>26</v>
      </c>
      <c r="H288">
        <v>1</v>
      </c>
      <c r="I288">
        <v>0</v>
      </c>
      <c r="J288">
        <v>0</v>
      </c>
      <c r="K288">
        <v>0</v>
      </c>
      <c r="L288">
        <v>0</v>
      </c>
      <c r="M288">
        <v>0</v>
      </c>
      <c r="N288">
        <v>0</v>
      </c>
      <c r="P288">
        <v>41.9</v>
      </c>
    </row>
    <row r="289" spans="1:16">
      <c r="A289" t="s">
        <v>319</v>
      </c>
      <c r="B289" s="2">
        <v>45695</v>
      </c>
      <c r="C289" t="s">
        <v>17</v>
      </c>
      <c r="D289" t="s">
        <v>23</v>
      </c>
      <c r="E289" t="s">
        <v>24</v>
      </c>
      <c r="F289" t="s">
        <v>20</v>
      </c>
      <c r="G289" t="s">
        <v>21</v>
      </c>
      <c r="H289">
        <v>1</v>
      </c>
      <c r="I289">
        <v>0</v>
      </c>
      <c r="J289">
        <v>0</v>
      </c>
      <c r="K289">
        <v>0</v>
      </c>
      <c r="L289">
        <v>0</v>
      </c>
      <c r="M289">
        <v>0</v>
      </c>
      <c r="N289">
        <v>0</v>
      </c>
      <c r="P289">
        <v>70.2</v>
      </c>
    </row>
    <row r="290" spans="1:16">
      <c r="A290" t="s">
        <v>320</v>
      </c>
      <c r="B290" s="2">
        <v>45698</v>
      </c>
      <c r="C290" t="s">
        <v>17</v>
      </c>
      <c r="D290" t="s">
        <v>18</v>
      </c>
      <c r="E290" t="s">
        <v>24</v>
      </c>
      <c r="F290" t="s">
        <v>41</v>
      </c>
      <c r="G290" t="s">
        <v>26</v>
      </c>
      <c r="H290">
        <v>1</v>
      </c>
      <c r="I290">
        <v>0</v>
      </c>
      <c r="J290">
        <v>0</v>
      </c>
      <c r="K290">
        <v>0</v>
      </c>
      <c r="L290">
        <v>0</v>
      </c>
      <c r="M290">
        <v>0</v>
      </c>
      <c r="N290">
        <v>0</v>
      </c>
      <c r="P290">
        <v>42.6</v>
      </c>
    </row>
    <row r="291" spans="1:16">
      <c r="A291" t="s">
        <v>321</v>
      </c>
      <c r="B291" s="2">
        <v>45688</v>
      </c>
      <c r="C291" t="s">
        <v>17</v>
      </c>
      <c r="D291" t="s">
        <v>23</v>
      </c>
      <c r="E291" t="s">
        <v>24</v>
      </c>
      <c r="F291" t="s">
        <v>41</v>
      </c>
      <c r="G291" t="s">
        <v>21</v>
      </c>
      <c r="H291">
        <v>0</v>
      </c>
      <c r="I291">
        <v>0</v>
      </c>
      <c r="J291">
        <v>0</v>
      </c>
      <c r="K291">
        <v>0</v>
      </c>
      <c r="L291">
        <v>0</v>
      </c>
      <c r="M291">
        <v>2</v>
      </c>
      <c r="N291">
        <v>0</v>
      </c>
      <c r="P291">
        <v>30.4</v>
      </c>
    </row>
    <row r="292" spans="1:16">
      <c r="A292" t="s">
        <v>322</v>
      </c>
      <c r="B292" s="2">
        <v>45732</v>
      </c>
      <c r="C292" t="s">
        <v>17</v>
      </c>
      <c r="D292" t="s">
        <v>28</v>
      </c>
      <c r="E292" t="s">
        <v>24</v>
      </c>
      <c r="F292" t="s">
        <v>29</v>
      </c>
      <c r="G292" t="s">
        <v>21</v>
      </c>
      <c r="H292">
        <v>1</v>
      </c>
      <c r="I292">
        <v>0</v>
      </c>
      <c r="J292">
        <v>0</v>
      </c>
      <c r="K292">
        <v>0</v>
      </c>
      <c r="L292">
        <v>0</v>
      </c>
      <c r="M292">
        <v>0</v>
      </c>
      <c r="N292">
        <v>0</v>
      </c>
      <c r="P292">
        <v>63.7</v>
      </c>
    </row>
    <row r="293" spans="1:16">
      <c r="A293" t="s">
        <v>323</v>
      </c>
      <c r="B293" s="2">
        <v>45771</v>
      </c>
      <c r="C293" t="s">
        <v>17</v>
      </c>
      <c r="D293" t="s">
        <v>32</v>
      </c>
      <c r="E293" t="s">
        <v>24</v>
      </c>
      <c r="F293" t="s">
        <v>41</v>
      </c>
      <c r="G293" t="s">
        <v>21</v>
      </c>
      <c r="H293">
        <v>0</v>
      </c>
      <c r="I293">
        <v>0</v>
      </c>
      <c r="J293">
        <v>0</v>
      </c>
      <c r="K293">
        <v>0</v>
      </c>
      <c r="L293">
        <v>0</v>
      </c>
      <c r="M293">
        <v>0</v>
      </c>
      <c r="N293">
        <v>0</v>
      </c>
      <c r="P293">
        <v>42.7</v>
      </c>
    </row>
    <row r="294" spans="1:16">
      <c r="A294" t="s">
        <v>324</v>
      </c>
      <c r="B294" s="2">
        <v>45685</v>
      </c>
      <c r="C294" t="s">
        <v>17</v>
      </c>
      <c r="D294" t="s">
        <v>18</v>
      </c>
      <c r="E294" t="s">
        <v>24</v>
      </c>
      <c r="F294" t="s">
        <v>25</v>
      </c>
      <c r="G294" t="s">
        <v>26</v>
      </c>
      <c r="H294">
        <v>0</v>
      </c>
      <c r="I294">
        <v>0</v>
      </c>
      <c r="J294">
        <v>0</v>
      </c>
      <c r="K294">
        <v>0</v>
      </c>
      <c r="L294">
        <v>0</v>
      </c>
      <c r="M294">
        <v>0</v>
      </c>
      <c r="N294">
        <v>0</v>
      </c>
      <c r="P294">
        <v>74.3</v>
      </c>
    </row>
    <row r="295" spans="1:16">
      <c r="A295" t="s">
        <v>325</v>
      </c>
      <c r="B295" s="2">
        <v>45704</v>
      </c>
      <c r="C295" t="s">
        <v>17</v>
      </c>
      <c r="D295" t="s">
        <v>23</v>
      </c>
      <c r="E295" t="s">
        <v>19</v>
      </c>
      <c r="F295" t="s">
        <v>20</v>
      </c>
      <c r="G295" t="s">
        <v>26</v>
      </c>
      <c r="H295">
        <v>1</v>
      </c>
      <c r="I295">
        <v>0</v>
      </c>
      <c r="J295">
        <v>0</v>
      </c>
      <c r="K295">
        <v>0</v>
      </c>
      <c r="L295">
        <v>0</v>
      </c>
      <c r="M295">
        <v>0</v>
      </c>
      <c r="N295">
        <v>0</v>
      </c>
      <c r="P295">
        <v>40.6</v>
      </c>
    </row>
    <row r="296" spans="1:16">
      <c r="A296" t="s">
        <v>326</v>
      </c>
      <c r="B296" s="2">
        <v>45739</v>
      </c>
      <c r="C296" t="s">
        <v>17</v>
      </c>
      <c r="D296" t="s">
        <v>28</v>
      </c>
      <c r="E296" t="s">
        <v>24</v>
      </c>
      <c r="F296" t="s">
        <v>25</v>
      </c>
      <c r="G296" t="s">
        <v>30</v>
      </c>
      <c r="H296">
        <v>0</v>
      </c>
      <c r="I296">
        <v>0</v>
      </c>
      <c r="J296">
        <v>0</v>
      </c>
      <c r="K296">
        <v>0</v>
      </c>
      <c r="L296">
        <v>0</v>
      </c>
      <c r="M296">
        <v>0</v>
      </c>
      <c r="N296">
        <v>0</v>
      </c>
      <c r="P296">
        <v>67</v>
      </c>
    </row>
    <row r="297" spans="1:16">
      <c r="A297" t="s">
        <v>327</v>
      </c>
      <c r="B297" s="2">
        <v>45808</v>
      </c>
      <c r="C297" t="s">
        <v>17</v>
      </c>
      <c r="D297" t="s">
        <v>28</v>
      </c>
      <c r="E297" t="s">
        <v>24</v>
      </c>
      <c r="F297" t="s">
        <v>29</v>
      </c>
      <c r="G297" t="s">
        <v>30</v>
      </c>
      <c r="H297">
        <v>0</v>
      </c>
      <c r="I297">
        <v>0</v>
      </c>
      <c r="J297">
        <v>0</v>
      </c>
      <c r="K297">
        <v>0</v>
      </c>
      <c r="L297">
        <v>0</v>
      </c>
      <c r="M297">
        <v>0</v>
      </c>
      <c r="N297">
        <v>0</v>
      </c>
      <c r="P297">
        <v>51</v>
      </c>
    </row>
    <row r="298" spans="1:16">
      <c r="A298" t="s">
        <v>328</v>
      </c>
      <c r="B298" s="2">
        <v>45760</v>
      </c>
      <c r="C298" t="s">
        <v>17</v>
      </c>
      <c r="D298" t="s">
        <v>23</v>
      </c>
      <c r="E298" t="s">
        <v>24</v>
      </c>
      <c r="F298" t="s">
        <v>41</v>
      </c>
      <c r="G298" t="s">
        <v>21</v>
      </c>
      <c r="H298">
        <v>1</v>
      </c>
      <c r="I298">
        <v>1</v>
      </c>
      <c r="J298">
        <v>0</v>
      </c>
      <c r="K298">
        <v>0</v>
      </c>
      <c r="L298">
        <v>0</v>
      </c>
      <c r="M298">
        <v>1</v>
      </c>
      <c r="N298">
        <v>0</v>
      </c>
      <c r="P298">
        <v>54.8</v>
      </c>
    </row>
    <row r="299" spans="1:16">
      <c r="A299" t="s">
        <v>329</v>
      </c>
      <c r="B299" s="2">
        <v>45791</v>
      </c>
      <c r="C299" t="s">
        <v>17</v>
      </c>
      <c r="D299" t="s">
        <v>18</v>
      </c>
      <c r="E299" t="s">
        <v>34</v>
      </c>
      <c r="F299" t="s">
        <v>20</v>
      </c>
      <c r="G299" t="s">
        <v>21</v>
      </c>
      <c r="H299">
        <v>0</v>
      </c>
      <c r="I299">
        <v>0</v>
      </c>
      <c r="J299">
        <v>0</v>
      </c>
      <c r="K299">
        <v>0</v>
      </c>
      <c r="L299">
        <v>0</v>
      </c>
      <c r="M299">
        <v>0</v>
      </c>
      <c r="N299">
        <v>0</v>
      </c>
      <c r="P299">
        <v>40.799999999999997</v>
      </c>
    </row>
    <row r="300" spans="1:16">
      <c r="A300" t="s">
        <v>330</v>
      </c>
      <c r="B300" s="2">
        <v>45707</v>
      </c>
      <c r="C300" t="s">
        <v>17</v>
      </c>
      <c r="D300" t="s">
        <v>28</v>
      </c>
      <c r="E300" t="s">
        <v>24</v>
      </c>
      <c r="F300" t="s">
        <v>29</v>
      </c>
      <c r="G300" t="s">
        <v>26</v>
      </c>
      <c r="H300">
        <v>0</v>
      </c>
      <c r="I300">
        <v>0</v>
      </c>
      <c r="J300">
        <v>0</v>
      </c>
      <c r="K300">
        <v>0</v>
      </c>
      <c r="L300">
        <v>0</v>
      </c>
      <c r="M300">
        <v>0</v>
      </c>
      <c r="N300">
        <v>0</v>
      </c>
      <c r="P300">
        <v>48.8</v>
      </c>
    </row>
    <row r="301" spans="1:16">
      <c r="A301" t="s">
        <v>331</v>
      </c>
      <c r="B301" s="2">
        <v>45681</v>
      </c>
      <c r="C301" t="s">
        <v>17</v>
      </c>
      <c r="D301" t="s">
        <v>32</v>
      </c>
      <c r="E301" t="s">
        <v>24</v>
      </c>
      <c r="G301" t="s">
        <v>21</v>
      </c>
      <c r="H301">
        <v>1</v>
      </c>
      <c r="I301">
        <v>1</v>
      </c>
      <c r="J301">
        <v>1</v>
      </c>
      <c r="K301">
        <v>1</v>
      </c>
      <c r="L301">
        <v>1198.69</v>
      </c>
      <c r="M301">
        <v>1</v>
      </c>
      <c r="N301">
        <v>0</v>
      </c>
      <c r="O301">
        <v>6</v>
      </c>
      <c r="P301">
        <v>88.9</v>
      </c>
    </row>
    <row r="302" spans="1:16">
      <c r="A302" t="s">
        <v>332</v>
      </c>
      <c r="B302" s="2">
        <v>45786</v>
      </c>
      <c r="C302" t="s">
        <v>17</v>
      </c>
      <c r="D302" t="s">
        <v>18</v>
      </c>
      <c r="E302" t="s">
        <v>24</v>
      </c>
      <c r="F302" t="s">
        <v>20</v>
      </c>
      <c r="G302" t="s">
        <v>21</v>
      </c>
      <c r="H302">
        <v>1</v>
      </c>
      <c r="I302">
        <v>1</v>
      </c>
      <c r="J302">
        <v>1</v>
      </c>
      <c r="K302">
        <v>0</v>
      </c>
      <c r="L302">
        <v>0</v>
      </c>
      <c r="M302">
        <v>1</v>
      </c>
      <c r="N302">
        <v>0</v>
      </c>
      <c r="P302">
        <v>60.5</v>
      </c>
    </row>
    <row r="303" spans="1:16">
      <c r="A303" t="s">
        <v>333</v>
      </c>
      <c r="B303" s="2">
        <v>45699</v>
      </c>
      <c r="C303" t="s">
        <v>17</v>
      </c>
      <c r="D303" t="s">
        <v>18</v>
      </c>
      <c r="E303" t="s">
        <v>24</v>
      </c>
      <c r="F303" t="s">
        <v>25</v>
      </c>
      <c r="G303" t="s">
        <v>21</v>
      </c>
      <c r="H303">
        <v>1</v>
      </c>
      <c r="I303">
        <v>0</v>
      </c>
      <c r="J303">
        <v>0</v>
      </c>
      <c r="K303">
        <v>0</v>
      </c>
      <c r="L303">
        <v>0</v>
      </c>
      <c r="M303">
        <v>0</v>
      </c>
      <c r="N303">
        <v>0</v>
      </c>
      <c r="P303">
        <v>63.6</v>
      </c>
    </row>
    <row r="304" spans="1:16">
      <c r="A304" t="s">
        <v>334</v>
      </c>
      <c r="B304" s="2">
        <v>45714</v>
      </c>
      <c r="C304" t="s">
        <v>17</v>
      </c>
      <c r="D304" t="s">
        <v>18</v>
      </c>
      <c r="E304" t="s">
        <v>19</v>
      </c>
      <c r="F304" t="s">
        <v>25</v>
      </c>
      <c r="G304" t="s">
        <v>21</v>
      </c>
      <c r="H304">
        <v>1</v>
      </c>
      <c r="I304">
        <v>1</v>
      </c>
      <c r="J304">
        <v>1</v>
      </c>
      <c r="K304">
        <v>1</v>
      </c>
      <c r="L304">
        <v>6788.95</v>
      </c>
      <c r="M304">
        <v>0</v>
      </c>
      <c r="N304">
        <v>0</v>
      </c>
      <c r="O304">
        <v>17</v>
      </c>
      <c r="P304">
        <v>58.4</v>
      </c>
    </row>
    <row r="305" spans="1:16">
      <c r="A305" t="s">
        <v>335</v>
      </c>
      <c r="B305" s="2">
        <v>45700</v>
      </c>
      <c r="C305" t="s">
        <v>17</v>
      </c>
      <c r="D305" t="s">
        <v>32</v>
      </c>
      <c r="E305" t="s">
        <v>24</v>
      </c>
      <c r="F305" t="s">
        <v>41</v>
      </c>
      <c r="G305" t="s">
        <v>30</v>
      </c>
      <c r="H305">
        <v>0</v>
      </c>
      <c r="I305">
        <v>0</v>
      </c>
      <c r="J305">
        <v>0</v>
      </c>
      <c r="K305">
        <v>0</v>
      </c>
      <c r="L305">
        <v>0</v>
      </c>
      <c r="M305">
        <v>0</v>
      </c>
      <c r="N305">
        <v>0</v>
      </c>
      <c r="P305">
        <v>52.7</v>
      </c>
    </row>
    <row r="306" spans="1:16">
      <c r="A306" t="s">
        <v>336</v>
      </c>
      <c r="B306" s="2">
        <v>45662</v>
      </c>
      <c r="C306" t="s">
        <v>17</v>
      </c>
      <c r="D306" t="s">
        <v>32</v>
      </c>
      <c r="E306" t="s">
        <v>34</v>
      </c>
      <c r="F306" t="s">
        <v>41</v>
      </c>
      <c r="G306" t="s">
        <v>30</v>
      </c>
      <c r="H306">
        <v>1</v>
      </c>
      <c r="I306">
        <v>1</v>
      </c>
      <c r="J306">
        <v>1</v>
      </c>
      <c r="K306">
        <v>0</v>
      </c>
      <c r="L306">
        <v>0</v>
      </c>
      <c r="M306">
        <v>2</v>
      </c>
      <c r="N306">
        <v>0</v>
      </c>
      <c r="P306">
        <v>48.9</v>
      </c>
    </row>
    <row r="307" spans="1:16">
      <c r="A307" t="s">
        <v>337</v>
      </c>
      <c r="B307" s="2">
        <v>45796</v>
      </c>
      <c r="C307" t="s">
        <v>17</v>
      </c>
      <c r="D307" t="s">
        <v>23</v>
      </c>
      <c r="E307" t="s">
        <v>24</v>
      </c>
      <c r="F307" t="s">
        <v>25</v>
      </c>
      <c r="G307" t="s">
        <v>30</v>
      </c>
      <c r="H307">
        <v>0</v>
      </c>
      <c r="I307">
        <v>0</v>
      </c>
      <c r="J307">
        <v>0</v>
      </c>
      <c r="K307">
        <v>0</v>
      </c>
      <c r="L307">
        <v>0</v>
      </c>
      <c r="M307">
        <v>0</v>
      </c>
      <c r="N307">
        <v>0</v>
      </c>
      <c r="P307">
        <v>79.7</v>
      </c>
    </row>
    <row r="308" spans="1:16">
      <c r="A308" t="s">
        <v>338</v>
      </c>
      <c r="B308" s="2">
        <v>45690</v>
      </c>
      <c r="C308" t="s">
        <v>17</v>
      </c>
      <c r="D308" t="s">
        <v>18</v>
      </c>
      <c r="E308" t="s">
        <v>24</v>
      </c>
      <c r="F308" t="s">
        <v>41</v>
      </c>
      <c r="G308" t="s">
        <v>26</v>
      </c>
      <c r="H308">
        <v>1</v>
      </c>
      <c r="I308">
        <v>0</v>
      </c>
      <c r="J308">
        <v>0</v>
      </c>
      <c r="K308">
        <v>0</v>
      </c>
      <c r="L308">
        <v>0</v>
      </c>
      <c r="M308">
        <v>0</v>
      </c>
      <c r="N308">
        <v>0</v>
      </c>
      <c r="P308">
        <v>44.9</v>
      </c>
    </row>
    <row r="309" spans="1:16">
      <c r="A309" t="s">
        <v>339</v>
      </c>
      <c r="B309" s="2">
        <v>45687</v>
      </c>
      <c r="C309" t="s">
        <v>17</v>
      </c>
      <c r="D309" t="s">
        <v>23</v>
      </c>
      <c r="E309" t="s">
        <v>34</v>
      </c>
      <c r="F309" t="s">
        <v>29</v>
      </c>
      <c r="G309" t="s">
        <v>26</v>
      </c>
      <c r="H309">
        <v>1</v>
      </c>
      <c r="I309">
        <v>1</v>
      </c>
      <c r="J309">
        <v>1</v>
      </c>
      <c r="K309">
        <v>1</v>
      </c>
      <c r="L309">
        <v>409.39</v>
      </c>
      <c r="M309">
        <v>0</v>
      </c>
      <c r="N309">
        <v>0</v>
      </c>
      <c r="O309">
        <v>10</v>
      </c>
      <c r="P309">
        <v>38.799999999999997</v>
      </c>
    </row>
    <row r="310" spans="1:16">
      <c r="A310" t="s">
        <v>340</v>
      </c>
      <c r="B310" s="2">
        <v>45778</v>
      </c>
      <c r="C310" t="s">
        <v>17</v>
      </c>
      <c r="D310" t="s">
        <v>32</v>
      </c>
      <c r="E310" t="s">
        <v>19</v>
      </c>
      <c r="F310" t="s">
        <v>20</v>
      </c>
      <c r="G310" t="s">
        <v>26</v>
      </c>
      <c r="H310">
        <v>0</v>
      </c>
      <c r="I310">
        <v>0</v>
      </c>
      <c r="J310">
        <v>0</v>
      </c>
      <c r="K310">
        <v>0</v>
      </c>
      <c r="L310">
        <v>0</v>
      </c>
      <c r="M310">
        <v>0</v>
      </c>
      <c r="N310">
        <v>0</v>
      </c>
      <c r="P310">
        <v>70</v>
      </c>
    </row>
    <row r="311" spans="1:16">
      <c r="A311" t="s">
        <v>341</v>
      </c>
      <c r="B311" s="2">
        <v>45793</v>
      </c>
      <c r="C311" t="s">
        <v>17</v>
      </c>
      <c r="D311" t="s">
        <v>32</v>
      </c>
      <c r="E311" t="s">
        <v>19</v>
      </c>
      <c r="F311" t="s">
        <v>39</v>
      </c>
      <c r="G311" t="s">
        <v>21</v>
      </c>
      <c r="H311">
        <v>1</v>
      </c>
      <c r="I311">
        <v>0</v>
      </c>
      <c r="J311">
        <v>0</v>
      </c>
      <c r="K311">
        <v>0</v>
      </c>
      <c r="L311">
        <v>0</v>
      </c>
      <c r="M311">
        <v>0</v>
      </c>
      <c r="N311">
        <v>0</v>
      </c>
      <c r="P311">
        <v>77.7</v>
      </c>
    </row>
    <row r="312" spans="1:16">
      <c r="A312" t="s">
        <v>342</v>
      </c>
      <c r="B312" s="2">
        <v>45724</v>
      </c>
      <c r="C312" t="s">
        <v>17</v>
      </c>
      <c r="D312" t="s">
        <v>23</v>
      </c>
      <c r="E312" t="s">
        <v>24</v>
      </c>
      <c r="F312" t="s">
        <v>25</v>
      </c>
      <c r="G312" t="s">
        <v>26</v>
      </c>
      <c r="H312">
        <v>0</v>
      </c>
      <c r="I312">
        <v>0</v>
      </c>
      <c r="J312">
        <v>0</v>
      </c>
      <c r="K312">
        <v>0</v>
      </c>
      <c r="L312">
        <v>0</v>
      </c>
      <c r="M312">
        <v>0</v>
      </c>
      <c r="N312">
        <v>0</v>
      </c>
      <c r="P312">
        <v>71.2</v>
      </c>
    </row>
    <row r="313" spans="1:16">
      <c r="A313" t="s">
        <v>343</v>
      </c>
      <c r="B313" s="2">
        <v>45751</v>
      </c>
      <c r="C313" t="s">
        <v>17</v>
      </c>
      <c r="D313" t="s">
        <v>18</v>
      </c>
      <c r="E313" t="s">
        <v>24</v>
      </c>
      <c r="F313" t="s">
        <v>25</v>
      </c>
      <c r="G313" t="s">
        <v>21</v>
      </c>
      <c r="H313">
        <v>1</v>
      </c>
      <c r="I313">
        <v>0</v>
      </c>
      <c r="J313">
        <v>0</v>
      </c>
      <c r="K313">
        <v>0</v>
      </c>
      <c r="L313">
        <v>0</v>
      </c>
      <c r="M313">
        <v>0</v>
      </c>
      <c r="N313">
        <v>0</v>
      </c>
      <c r="P313">
        <v>43.8</v>
      </c>
    </row>
    <row r="314" spans="1:16">
      <c r="A314" t="s">
        <v>344</v>
      </c>
      <c r="B314" s="2">
        <v>45807</v>
      </c>
      <c r="C314" t="s">
        <v>17</v>
      </c>
      <c r="D314" t="s">
        <v>32</v>
      </c>
      <c r="E314" t="s">
        <v>34</v>
      </c>
      <c r="F314" t="s">
        <v>25</v>
      </c>
      <c r="G314" t="s">
        <v>26</v>
      </c>
      <c r="H314">
        <v>1</v>
      </c>
      <c r="I314">
        <v>0</v>
      </c>
      <c r="J314">
        <v>0</v>
      </c>
      <c r="K314">
        <v>0</v>
      </c>
      <c r="L314">
        <v>0</v>
      </c>
      <c r="M314">
        <v>0</v>
      </c>
      <c r="N314">
        <v>0</v>
      </c>
      <c r="P314">
        <v>50.9</v>
      </c>
    </row>
    <row r="315" spans="1:16">
      <c r="A315" t="s">
        <v>345</v>
      </c>
      <c r="B315" s="2">
        <v>45662</v>
      </c>
      <c r="C315" t="s">
        <v>17</v>
      </c>
      <c r="D315" t="s">
        <v>23</v>
      </c>
      <c r="E315" t="s">
        <v>24</v>
      </c>
      <c r="F315" t="s">
        <v>25</v>
      </c>
      <c r="G315" t="s">
        <v>30</v>
      </c>
      <c r="H315">
        <v>0</v>
      </c>
      <c r="I315">
        <v>0</v>
      </c>
      <c r="J315">
        <v>0</v>
      </c>
      <c r="K315">
        <v>0</v>
      </c>
      <c r="L315">
        <v>0</v>
      </c>
      <c r="M315">
        <v>0</v>
      </c>
      <c r="N315">
        <v>0</v>
      </c>
      <c r="P315">
        <v>58.5</v>
      </c>
    </row>
    <row r="316" spans="1:16">
      <c r="A316" t="s">
        <v>346</v>
      </c>
      <c r="B316" s="2">
        <v>45677</v>
      </c>
      <c r="C316" t="s">
        <v>17</v>
      </c>
      <c r="D316" t="s">
        <v>28</v>
      </c>
      <c r="E316" t="s">
        <v>24</v>
      </c>
      <c r="F316" t="s">
        <v>25</v>
      </c>
      <c r="G316" t="s">
        <v>26</v>
      </c>
      <c r="H316">
        <v>1</v>
      </c>
      <c r="I316">
        <v>1</v>
      </c>
      <c r="J316">
        <v>1</v>
      </c>
      <c r="K316">
        <v>0</v>
      </c>
      <c r="L316">
        <v>0</v>
      </c>
      <c r="M316">
        <v>0</v>
      </c>
      <c r="N316">
        <v>0</v>
      </c>
      <c r="P316">
        <v>53.6</v>
      </c>
    </row>
    <row r="317" spans="1:16">
      <c r="A317" t="s">
        <v>347</v>
      </c>
      <c r="B317" s="2">
        <v>45778</v>
      </c>
      <c r="C317" t="s">
        <v>17</v>
      </c>
      <c r="D317" t="s">
        <v>28</v>
      </c>
      <c r="E317" t="s">
        <v>24</v>
      </c>
      <c r="F317" t="s">
        <v>20</v>
      </c>
      <c r="G317" t="s">
        <v>26</v>
      </c>
      <c r="H317">
        <v>0</v>
      </c>
      <c r="I317">
        <v>0</v>
      </c>
      <c r="J317">
        <v>0</v>
      </c>
      <c r="K317">
        <v>0</v>
      </c>
      <c r="L317">
        <v>0</v>
      </c>
      <c r="M317">
        <v>0</v>
      </c>
      <c r="N317">
        <v>0</v>
      </c>
      <c r="P317">
        <v>54.9</v>
      </c>
    </row>
    <row r="318" spans="1:16">
      <c r="A318" t="s">
        <v>348</v>
      </c>
      <c r="B318" s="2">
        <v>45721</v>
      </c>
      <c r="C318" t="s">
        <v>17</v>
      </c>
      <c r="D318" t="s">
        <v>18</v>
      </c>
      <c r="E318" t="s">
        <v>19</v>
      </c>
      <c r="F318" t="s">
        <v>25</v>
      </c>
      <c r="G318" t="s">
        <v>30</v>
      </c>
      <c r="H318">
        <v>0</v>
      </c>
      <c r="I318">
        <v>0</v>
      </c>
      <c r="J318">
        <v>0</v>
      </c>
      <c r="K318">
        <v>0</v>
      </c>
      <c r="L318">
        <v>0</v>
      </c>
      <c r="M318">
        <v>0</v>
      </c>
      <c r="N318">
        <v>0</v>
      </c>
      <c r="P318">
        <v>57.3</v>
      </c>
    </row>
    <row r="319" spans="1:16">
      <c r="A319" t="s">
        <v>349</v>
      </c>
      <c r="B319" s="2">
        <v>45748</v>
      </c>
      <c r="C319" t="s">
        <v>17</v>
      </c>
      <c r="D319" t="s">
        <v>28</v>
      </c>
      <c r="E319" t="s">
        <v>19</v>
      </c>
      <c r="F319" t="s">
        <v>39</v>
      </c>
      <c r="G319" t="s">
        <v>26</v>
      </c>
      <c r="H319">
        <v>1</v>
      </c>
      <c r="I319">
        <v>0</v>
      </c>
      <c r="J319">
        <v>0</v>
      </c>
      <c r="K319">
        <v>0</v>
      </c>
      <c r="L319">
        <v>0</v>
      </c>
      <c r="M319">
        <v>0</v>
      </c>
      <c r="N319">
        <v>0</v>
      </c>
      <c r="P319">
        <v>52.1</v>
      </c>
    </row>
    <row r="320" spans="1:16">
      <c r="A320" t="s">
        <v>350</v>
      </c>
      <c r="B320" s="2">
        <v>45780</v>
      </c>
      <c r="C320" t="s">
        <v>17</v>
      </c>
      <c r="D320" t="s">
        <v>18</v>
      </c>
      <c r="E320" t="s">
        <v>24</v>
      </c>
      <c r="F320" t="s">
        <v>25</v>
      </c>
      <c r="G320" t="s">
        <v>26</v>
      </c>
      <c r="H320">
        <v>1</v>
      </c>
      <c r="I320">
        <v>0</v>
      </c>
      <c r="J320">
        <v>0</v>
      </c>
      <c r="K320">
        <v>0</v>
      </c>
      <c r="L320">
        <v>0</v>
      </c>
      <c r="M320">
        <v>0</v>
      </c>
      <c r="N320">
        <v>0</v>
      </c>
      <c r="P320">
        <v>80</v>
      </c>
    </row>
    <row r="321" spans="1:16">
      <c r="A321" t="s">
        <v>351</v>
      </c>
      <c r="B321" s="2">
        <v>45722</v>
      </c>
      <c r="C321" t="s">
        <v>17</v>
      </c>
      <c r="D321" t="s">
        <v>32</v>
      </c>
      <c r="E321" t="s">
        <v>19</v>
      </c>
      <c r="F321" t="s">
        <v>29</v>
      </c>
      <c r="G321" t="s">
        <v>30</v>
      </c>
      <c r="H321">
        <v>1</v>
      </c>
      <c r="I321">
        <v>0</v>
      </c>
      <c r="J321">
        <v>0</v>
      </c>
      <c r="K321">
        <v>0</v>
      </c>
      <c r="L321">
        <v>0</v>
      </c>
      <c r="M321">
        <v>0</v>
      </c>
      <c r="N321">
        <v>0</v>
      </c>
      <c r="P321">
        <v>39.299999999999997</v>
      </c>
    </row>
    <row r="322" spans="1:16">
      <c r="A322" t="s">
        <v>352</v>
      </c>
      <c r="B322" s="2">
        <v>45748</v>
      </c>
      <c r="C322" t="s">
        <v>17</v>
      </c>
      <c r="D322" t="s">
        <v>18</v>
      </c>
      <c r="E322" t="s">
        <v>19</v>
      </c>
      <c r="F322" t="s">
        <v>39</v>
      </c>
      <c r="G322" t="s">
        <v>30</v>
      </c>
      <c r="H322">
        <v>0</v>
      </c>
      <c r="I322">
        <v>0</v>
      </c>
      <c r="J322">
        <v>0</v>
      </c>
      <c r="K322">
        <v>0</v>
      </c>
      <c r="L322">
        <v>0</v>
      </c>
      <c r="M322">
        <v>0</v>
      </c>
      <c r="N322">
        <v>0</v>
      </c>
      <c r="P322">
        <v>45.7</v>
      </c>
    </row>
    <row r="323" spans="1:16">
      <c r="A323" t="s">
        <v>353</v>
      </c>
      <c r="B323" s="2">
        <v>45697</v>
      </c>
      <c r="C323" t="s">
        <v>17</v>
      </c>
      <c r="D323" t="s">
        <v>18</v>
      </c>
      <c r="E323" t="s">
        <v>19</v>
      </c>
      <c r="F323" t="s">
        <v>41</v>
      </c>
      <c r="G323" t="s">
        <v>21</v>
      </c>
      <c r="H323">
        <v>1</v>
      </c>
      <c r="I323">
        <v>0</v>
      </c>
      <c r="J323">
        <v>0</v>
      </c>
      <c r="K323">
        <v>0</v>
      </c>
      <c r="L323">
        <v>0</v>
      </c>
      <c r="M323">
        <v>2</v>
      </c>
      <c r="N323">
        <v>0</v>
      </c>
      <c r="P323">
        <v>61.2</v>
      </c>
    </row>
    <row r="324" spans="1:16">
      <c r="A324" t="s">
        <v>354</v>
      </c>
      <c r="B324" s="2">
        <v>45759</v>
      </c>
      <c r="C324" t="s">
        <v>17</v>
      </c>
      <c r="D324" t="s">
        <v>23</v>
      </c>
      <c r="E324" t="s">
        <v>24</v>
      </c>
      <c r="F324" t="s">
        <v>25</v>
      </c>
      <c r="G324" t="s">
        <v>21</v>
      </c>
      <c r="H324">
        <v>1</v>
      </c>
      <c r="I324">
        <v>1</v>
      </c>
      <c r="J324">
        <v>0</v>
      </c>
      <c r="K324">
        <v>0</v>
      </c>
      <c r="L324">
        <v>0</v>
      </c>
      <c r="M324">
        <v>0</v>
      </c>
      <c r="N324">
        <v>0</v>
      </c>
      <c r="P324">
        <v>66.2</v>
      </c>
    </row>
    <row r="325" spans="1:16">
      <c r="A325" t="s">
        <v>355</v>
      </c>
      <c r="B325" s="2">
        <v>45734</v>
      </c>
      <c r="C325" t="s">
        <v>17</v>
      </c>
      <c r="D325" t="s">
        <v>28</v>
      </c>
      <c r="E325" t="s">
        <v>24</v>
      </c>
      <c r="F325" t="s">
        <v>41</v>
      </c>
      <c r="G325" t="s">
        <v>26</v>
      </c>
      <c r="H325">
        <v>1</v>
      </c>
      <c r="I325">
        <v>1</v>
      </c>
      <c r="J325">
        <v>1</v>
      </c>
      <c r="K325">
        <v>0</v>
      </c>
      <c r="L325">
        <v>0</v>
      </c>
      <c r="M325">
        <v>0</v>
      </c>
      <c r="N325">
        <v>0</v>
      </c>
      <c r="P325">
        <v>61.3</v>
      </c>
    </row>
    <row r="326" spans="1:16">
      <c r="A326" t="s">
        <v>356</v>
      </c>
      <c r="B326" s="2">
        <v>45750</v>
      </c>
      <c r="C326" t="s">
        <v>17</v>
      </c>
      <c r="D326" t="s">
        <v>28</v>
      </c>
      <c r="E326" t="s">
        <v>24</v>
      </c>
      <c r="F326" t="s">
        <v>29</v>
      </c>
      <c r="G326" t="s">
        <v>26</v>
      </c>
      <c r="H326">
        <v>1</v>
      </c>
      <c r="I326">
        <v>0</v>
      </c>
      <c r="J326">
        <v>0</v>
      </c>
      <c r="K326">
        <v>0</v>
      </c>
      <c r="L326">
        <v>0</v>
      </c>
      <c r="M326">
        <v>0</v>
      </c>
      <c r="N326">
        <v>0</v>
      </c>
      <c r="P326">
        <v>72.2</v>
      </c>
    </row>
    <row r="327" spans="1:16">
      <c r="A327" t="s">
        <v>357</v>
      </c>
      <c r="B327" s="2">
        <v>45749</v>
      </c>
      <c r="C327" t="s">
        <v>17</v>
      </c>
      <c r="D327" t="s">
        <v>23</v>
      </c>
      <c r="E327" t="s">
        <v>24</v>
      </c>
      <c r="F327" t="s">
        <v>20</v>
      </c>
      <c r="G327" t="s">
        <v>30</v>
      </c>
      <c r="H327">
        <v>1</v>
      </c>
      <c r="I327">
        <v>1</v>
      </c>
      <c r="J327">
        <v>1</v>
      </c>
      <c r="K327">
        <v>0</v>
      </c>
      <c r="L327">
        <v>0</v>
      </c>
      <c r="M327">
        <v>0</v>
      </c>
      <c r="N327">
        <v>0</v>
      </c>
      <c r="P327">
        <v>84</v>
      </c>
    </row>
    <row r="328" spans="1:16">
      <c r="A328" t="s">
        <v>358</v>
      </c>
      <c r="B328" s="2">
        <v>45787</v>
      </c>
      <c r="C328" t="s">
        <v>17</v>
      </c>
      <c r="D328" t="s">
        <v>23</v>
      </c>
      <c r="E328" t="s">
        <v>19</v>
      </c>
      <c r="F328" t="s">
        <v>20</v>
      </c>
      <c r="G328" t="s">
        <v>21</v>
      </c>
      <c r="H328">
        <v>0</v>
      </c>
      <c r="I328">
        <v>0</v>
      </c>
      <c r="J328">
        <v>0</v>
      </c>
      <c r="K328">
        <v>0</v>
      </c>
      <c r="L328">
        <v>0</v>
      </c>
      <c r="M328">
        <v>0</v>
      </c>
      <c r="N328">
        <v>0</v>
      </c>
      <c r="P328">
        <v>59.8</v>
      </c>
    </row>
    <row r="329" spans="1:16">
      <c r="A329" t="s">
        <v>359</v>
      </c>
      <c r="B329" s="2">
        <v>45776</v>
      </c>
      <c r="C329" t="s">
        <v>17</v>
      </c>
      <c r="D329" t="s">
        <v>23</v>
      </c>
      <c r="E329" t="s">
        <v>19</v>
      </c>
      <c r="F329" t="s">
        <v>29</v>
      </c>
      <c r="G329" t="s">
        <v>26</v>
      </c>
      <c r="H329">
        <v>1</v>
      </c>
      <c r="I329">
        <v>0</v>
      </c>
      <c r="J329">
        <v>0</v>
      </c>
      <c r="K329">
        <v>0</v>
      </c>
      <c r="L329">
        <v>0</v>
      </c>
      <c r="M329">
        <v>0</v>
      </c>
      <c r="N329">
        <v>0</v>
      </c>
      <c r="P329">
        <v>64.900000000000006</v>
      </c>
    </row>
    <row r="330" spans="1:16">
      <c r="A330" t="s">
        <v>360</v>
      </c>
      <c r="B330" s="2">
        <v>45715</v>
      </c>
      <c r="C330" t="s">
        <v>17</v>
      </c>
      <c r="D330" t="s">
        <v>32</v>
      </c>
      <c r="E330" t="s">
        <v>24</v>
      </c>
      <c r="F330" t="s">
        <v>29</v>
      </c>
      <c r="G330" t="s">
        <v>26</v>
      </c>
      <c r="H330">
        <v>1</v>
      </c>
      <c r="I330">
        <v>0</v>
      </c>
      <c r="J330">
        <v>0</v>
      </c>
      <c r="K330">
        <v>0</v>
      </c>
      <c r="L330">
        <v>0</v>
      </c>
      <c r="M330">
        <v>0</v>
      </c>
      <c r="N330">
        <v>0</v>
      </c>
      <c r="P330">
        <v>66.8</v>
      </c>
    </row>
    <row r="331" spans="1:16">
      <c r="A331" t="s">
        <v>361</v>
      </c>
      <c r="B331" s="2">
        <v>45757</v>
      </c>
      <c r="C331" t="s">
        <v>17</v>
      </c>
      <c r="D331" t="s">
        <v>18</v>
      </c>
      <c r="E331" t="s">
        <v>19</v>
      </c>
      <c r="F331" t="s">
        <v>25</v>
      </c>
      <c r="G331" t="s">
        <v>30</v>
      </c>
      <c r="H331">
        <v>0</v>
      </c>
      <c r="I331">
        <v>0</v>
      </c>
      <c r="J331">
        <v>0</v>
      </c>
      <c r="K331">
        <v>0</v>
      </c>
      <c r="L331">
        <v>0</v>
      </c>
      <c r="M331">
        <v>0</v>
      </c>
      <c r="N331">
        <v>0</v>
      </c>
      <c r="P331">
        <v>70.900000000000006</v>
      </c>
    </row>
    <row r="332" spans="1:16">
      <c r="A332" t="s">
        <v>362</v>
      </c>
      <c r="B332" s="2">
        <v>45701</v>
      </c>
      <c r="C332" t="s">
        <v>17</v>
      </c>
      <c r="D332" t="s">
        <v>28</v>
      </c>
      <c r="E332" t="s">
        <v>24</v>
      </c>
      <c r="F332" t="s">
        <v>25</v>
      </c>
      <c r="G332" t="s">
        <v>26</v>
      </c>
      <c r="H332">
        <v>1</v>
      </c>
      <c r="I332">
        <v>1</v>
      </c>
      <c r="J332">
        <v>1</v>
      </c>
      <c r="K332">
        <v>1</v>
      </c>
      <c r="L332">
        <v>426.82</v>
      </c>
      <c r="M332">
        <v>1</v>
      </c>
      <c r="N332">
        <v>0</v>
      </c>
      <c r="O332">
        <v>14</v>
      </c>
      <c r="P332">
        <v>68.8</v>
      </c>
    </row>
    <row r="333" spans="1:16">
      <c r="A333" t="s">
        <v>363</v>
      </c>
      <c r="B333" s="2">
        <v>45780</v>
      </c>
      <c r="C333" t="s">
        <v>17</v>
      </c>
      <c r="D333" t="s">
        <v>18</v>
      </c>
      <c r="E333" t="s">
        <v>24</v>
      </c>
      <c r="F333" t="s">
        <v>25</v>
      </c>
      <c r="G333" t="s">
        <v>21</v>
      </c>
      <c r="H333">
        <v>1</v>
      </c>
      <c r="I333">
        <v>0</v>
      </c>
      <c r="J333">
        <v>0</v>
      </c>
      <c r="K333">
        <v>0</v>
      </c>
      <c r="L333">
        <v>0</v>
      </c>
      <c r="M333">
        <v>0</v>
      </c>
      <c r="N333">
        <v>0</v>
      </c>
      <c r="P333">
        <v>72.400000000000006</v>
      </c>
    </row>
    <row r="334" spans="1:16">
      <c r="A334" t="s">
        <v>364</v>
      </c>
      <c r="B334" s="2">
        <v>45726</v>
      </c>
      <c r="C334" t="s">
        <v>17</v>
      </c>
      <c r="D334" t="s">
        <v>28</v>
      </c>
      <c r="E334" t="s">
        <v>24</v>
      </c>
      <c r="F334" t="s">
        <v>25</v>
      </c>
      <c r="G334" t="s">
        <v>21</v>
      </c>
      <c r="H334">
        <v>0</v>
      </c>
      <c r="I334">
        <v>0</v>
      </c>
      <c r="J334">
        <v>0</v>
      </c>
      <c r="K334">
        <v>0</v>
      </c>
      <c r="L334">
        <v>0</v>
      </c>
      <c r="M334">
        <v>0</v>
      </c>
      <c r="N334">
        <v>0</v>
      </c>
      <c r="P334">
        <v>63.3</v>
      </c>
    </row>
    <row r="335" spans="1:16">
      <c r="A335" t="s">
        <v>365</v>
      </c>
      <c r="B335" s="2">
        <v>45667</v>
      </c>
      <c r="C335" t="s">
        <v>17</v>
      </c>
      <c r="D335" t="s">
        <v>23</v>
      </c>
      <c r="E335" t="s">
        <v>34</v>
      </c>
      <c r="F335" t="s">
        <v>41</v>
      </c>
      <c r="G335" t="s">
        <v>26</v>
      </c>
      <c r="H335">
        <v>1</v>
      </c>
      <c r="I335">
        <v>0</v>
      </c>
      <c r="J335">
        <v>0</v>
      </c>
      <c r="K335">
        <v>0</v>
      </c>
      <c r="L335">
        <v>0</v>
      </c>
      <c r="M335">
        <v>0</v>
      </c>
      <c r="N335">
        <v>0</v>
      </c>
      <c r="P335">
        <v>30.8</v>
      </c>
    </row>
    <row r="336" spans="1:16">
      <c r="A336" t="s">
        <v>366</v>
      </c>
      <c r="B336" s="2">
        <v>45673</v>
      </c>
      <c r="C336" t="s">
        <v>17</v>
      </c>
      <c r="D336" t="s">
        <v>32</v>
      </c>
      <c r="E336" t="s">
        <v>24</v>
      </c>
      <c r="F336" t="s">
        <v>20</v>
      </c>
      <c r="G336" t="s">
        <v>21</v>
      </c>
      <c r="H336">
        <v>1</v>
      </c>
      <c r="I336">
        <v>1</v>
      </c>
      <c r="J336">
        <v>1</v>
      </c>
      <c r="K336">
        <v>1</v>
      </c>
      <c r="L336">
        <v>874.55</v>
      </c>
      <c r="M336">
        <v>0</v>
      </c>
      <c r="N336">
        <v>0</v>
      </c>
      <c r="O336">
        <v>9</v>
      </c>
      <c r="P336">
        <v>44.2</v>
      </c>
    </row>
    <row r="337" spans="1:16">
      <c r="A337" t="s">
        <v>367</v>
      </c>
      <c r="B337" s="2">
        <v>45699</v>
      </c>
      <c r="C337" t="s">
        <v>17</v>
      </c>
      <c r="D337" t="s">
        <v>32</v>
      </c>
      <c r="E337" t="s">
        <v>19</v>
      </c>
      <c r="F337" t="s">
        <v>25</v>
      </c>
      <c r="G337" t="s">
        <v>30</v>
      </c>
      <c r="H337">
        <v>1</v>
      </c>
      <c r="I337">
        <v>1</v>
      </c>
      <c r="J337">
        <v>1</v>
      </c>
      <c r="K337">
        <v>1</v>
      </c>
      <c r="L337">
        <v>2206.88</v>
      </c>
      <c r="M337">
        <v>0</v>
      </c>
      <c r="N337">
        <v>0</v>
      </c>
      <c r="O337">
        <v>10</v>
      </c>
      <c r="P337">
        <v>56.2</v>
      </c>
    </row>
    <row r="338" spans="1:16">
      <c r="A338" t="s">
        <v>368</v>
      </c>
      <c r="B338" s="2">
        <v>45760</v>
      </c>
      <c r="C338" t="s">
        <v>17</v>
      </c>
      <c r="D338" t="s">
        <v>23</v>
      </c>
      <c r="E338" t="s">
        <v>24</v>
      </c>
      <c r="F338" t="s">
        <v>25</v>
      </c>
      <c r="G338" t="s">
        <v>26</v>
      </c>
      <c r="H338">
        <v>0</v>
      </c>
      <c r="I338">
        <v>0</v>
      </c>
      <c r="J338">
        <v>0</v>
      </c>
      <c r="K338">
        <v>0</v>
      </c>
      <c r="L338">
        <v>0</v>
      </c>
      <c r="M338">
        <v>0</v>
      </c>
      <c r="N338">
        <v>0</v>
      </c>
      <c r="P338">
        <v>40.4</v>
      </c>
    </row>
    <row r="339" spans="1:16">
      <c r="A339" t="s">
        <v>369</v>
      </c>
      <c r="B339" s="2">
        <v>45696</v>
      </c>
      <c r="C339" t="s">
        <v>17</v>
      </c>
      <c r="D339" t="s">
        <v>28</v>
      </c>
      <c r="E339" t="s">
        <v>24</v>
      </c>
      <c r="F339" t="s">
        <v>29</v>
      </c>
      <c r="G339" t="s">
        <v>26</v>
      </c>
      <c r="H339">
        <v>1</v>
      </c>
      <c r="I339">
        <v>1</v>
      </c>
      <c r="J339">
        <v>1</v>
      </c>
      <c r="K339">
        <v>0</v>
      </c>
      <c r="L339">
        <v>0</v>
      </c>
      <c r="M339">
        <v>0</v>
      </c>
      <c r="N339">
        <v>0</v>
      </c>
      <c r="P339">
        <v>68.099999999999994</v>
      </c>
    </row>
    <row r="340" spans="1:16">
      <c r="A340" t="s">
        <v>370</v>
      </c>
      <c r="B340" s="2">
        <v>45747</v>
      </c>
      <c r="C340" t="s">
        <v>17</v>
      </c>
      <c r="D340" t="s">
        <v>23</v>
      </c>
      <c r="E340" t="s">
        <v>19</v>
      </c>
      <c r="F340" t="s">
        <v>39</v>
      </c>
      <c r="G340" t="s">
        <v>26</v>
      </c>
      <c r="H340">
        <v>1</v>
      </c>
      <c r="I340">
        <v>0</v>
      </c>
      <c r="J340">
        <v>0</v>
      </c>
      <c r="K340">
        <v>0</v>
      </c>
      <c r="L340">
        <v>0</v>
      </c>
      <c r="M340">
        <v>0</v>
      </c>
      <c r="N340">
        <v>0</v>
      </c>
      <c r="P340">
        <v>86.3</v>
      </c>
    </row>
    <row r="341" spans="1:16">
      <c r="A341" t="s">
        <v>371</v>
      </c>
      <c r="B341" s="2">
        <v>45688</v>
      </c>
      <c r="C341" t="s">
        <v>17</v>
      </c>
      <c r="D341" t="s">
        <v>23</v>
      </c>
      <c r="E341" t="s">
        <v>19</v>
      </c>
      <c r="F341" t="s">
        <v>39</v>
      </c>
      <c r="G341" t="s">
        <v>26</v>
      </c>
      <c r="H341">
        <v>1</v>
      </c>
      <c r="I341">
        <v>1</v>
      </c>
      <c r="J341">
        <v>0</v>
      </c>
      <c r="K341">
        <v>0</v>
      </c>
      <c r="L341">
        <v>0</v>
      </c>
      <c r="M341">
        <v>0</v>
      </c>
      <c r="N341">
        <v>0</v>
      </c>
      <c r="P341">
        <v>42.9</v>
      </c>
    </row>
    <row r="342" spans="1:16">
      <c r="A342" t="s">
        <v>372</v>
      </c>
      <c r="B342" s="2">
        <v>45785</v>
      </c>
      <c r="C342" t="s">
        <v>17</v>
      </c>
      <c r="D342" t="s">
        <v>23</v>
      </c>
      <c r="E342" t="s">
        <v>34</v>
      </c>
      <c r="F342" t="s">
        <v>25</v>
      </c>
      <c r="G342" t="s">
        <v>26</v>
      </c>
      <c r="H342">
        <v>0</v>
      </c>
      <c r="I342">
        <v>0</v>
      </c>
      <c r="J342">
        <v>0</v>
      </c>
      <c r="K342">
        <v>0</v>
      </c>
      <c r="L342">
        <v>0</v>
      </c>
      <c r="M342">
        <v>0</v>
      </c>
      <c r="N342">
        <v>0</v>
      </c>
      <c r="P342">
        <v>61.4</v>
      </c>
    </row>
    <row r="343" spans="1:16">
      <c r="A343" t="s">
        <v>373</v>
      </c>
      <c r="B343" s="2">
        <v>45731</v>
      </c>
      <c r="C343" t="s">
        <v>17</v>
      </c>
      <c r="D343" t="s">
        <v>18</v>
      </c>
      <c r="E343" t="s">
        <v>24</v>
      </c>
      <c r="F343" t="s">
        <v>29</v>
      </c>
      <c r="G343" t="s">
        <v>26</v>
      </c>
      <c r="H343">
        <v>1</v>
      </c>
      <c r="I343">
        <v>0</v>
      </c>
      <c r="J343">
        <v>0</v>
      </c>
      <c r="K343">
        <v>0</v>
      </c>
      <c r="L343">
        <v>0</v>
      </c>
      <c r="M343">
        <v>1</v>
      </c>
      <c r="N343">
        <v>0</v>
      </c>
      <c r="P343">
        <v>73.3</v>
      </c>
    </row>
    <row r="344" spans="1:16">
      <c r="A344" t="s">
        <v>374</v>
      </c>
      <c r="B344" s="2">
        <v>45670</v>
      </c>
      <c r="C344" t="s">
        <v>17</v>
      </c>
      <c r="D344" t="s">
        <v>32</v>
      </c>
      <c r="E344" t="s">
        <v>24</v>
      </c>
      <c r="F344" t="s">
        <v>39</v>
      </c>
      <c r="G344" t="s">
        <v>21</v>
      </c>
      <c r="H344">
        <v>1</v>
      </c>
      <c r="I344">
        <v>0</v>
      </c>
      <c r="J344">
        <v>0</v>
      </c>
      <c r="K344">
        <v>0</v>
      </c>
      <c r="L344">
        <v>0</v>
      </c>
      <c r="M344">
        <v>0</v>
      </c>
      <c r="N344">
        <v>0</v>
      </c>
      <c r="P344">
        <v>59.4</v>
      </c>
    </row>
    <row r="345" spans="1:16">
      <c r="A345" t="s">
        <v>375</v>
      </c>
      <c r="B345" s="2">
        <v>45723</v>
      </c>
      <c r="C345" t="s">
        <v>17</v>
      </c>
      <c r="D345" t="s">
        <v>32</v>
      </c>
      <c r="E345" t="s">
        <v>34</v>
      </c>
      <c r="F345" t="s">
        <v>25</v>
      </c>
      <c r="G345" t="s">
        <v>21</v>
      </c>
      <c r="H345">
        <v>1</v>
      </c>
      <c r="I345">
        <v>0</v>
      </c>
      <c r="J345">
        <v>0</v>
      </c>
      <c r="K345">
        <v>0</v>
      </c>
      <c r="L345">
        <v>0</v>
      </c>
      <c r="M345">
        <v>0</v>
      </c>
      <c r="N345">
        <v>0</v>
      </c>
      <c r="P345">
        <v>35.200000000000003</v>
      </c>
    </row>
    <row r="346" spans="1:16">
      <c r="A346" t="s">
        <v>376</v>
      </c>
      <c r="B346" s="2">
        <v>45698</v>
      </c>
      <c r="C346" t="s">
        <v>17</v>
      </c>
      <c r="D346" t="s">
        <v>32</v>
      </c>
      <c r="E346" t="s">
        <v>24</v>
      </c>
      <c r="F346" t="s">
        <v>41</v>
      </c>
      <c r="G346" t="s">
        <v>30</v>
      </c>
      <c r="H346">
        <v>1</v>
      </c>
      <c r="I346">
        <v>1</v>
      </c>
      <c r="J346">
        <v>0</v>
      </c>
      <c r="K346">
        <v>0</v>
      </c>
      <c r="L346">
        <v>0</v>
      </c>
      <c r="M346">
        <v>0</v>
      </c>
      <c r="N346">
        <v>0</v>
      </c>
      <c r="P346">
        <v>55.3</v>
      </c>
    </row>
    <row r="347" spans="1:16">
      <c r="A347" t="s">
        <v>377</v>
      </c>
      <c r="B347" s="2">
        <v>45728</v>
      </c>
      <c r="C347" t="s">
        <v>17</v>
      </c>
      <c r="D347" t="s">
        <v>28</v>
      </c>
      <c r="E347" t="s">
        <v>24</v>
      </c>
      <c r="F347" t="s">
        <v>29</v>
      </c>
      <c r="G347" t="s">
        <v>26</v>
      </c>
      <c r="H347">
        <v>0</v>
      </c>
      <c r="I347">
        <v>0</v>
      </c>
      <c r="J347">
        <v>0</v>
      </c>
      <c r="K347">
        <v>0</v>
      </c>
      <c r="L347">
        <v>0</v>
      </c>
      <c r="M347">
        <v>0</v>
      </c>
      <c r="N347">
        <v>0</v>
      </c>
      <c r="P347">
        <v>37.5</v>
      </c>
    </row>
    <row r="348" spans="1:16">
      <c r="A348" t="s">
        <v>378</v>
      </c>
      <c r="B348" s="2">
        <v>45660</v>
      </c>
      <c r="C348" t="s">
        <v>17</v>
      </c>
      <c r="D348" t="s">
        <v>32</v>
      </c>
      <c r="E348" t="s">
        <v>19</v>
      </c>
      <c r="F348" t="s">
        <v>29</v>
      </c>
      <c r="G348" t="s">
        <v>26</v>
      </c>
      <c r="H348">
        <v>0</v>
      </c>
      <c r="I348">
        <v>0</v>
      </c>
      <c r="J348">
        <v>0</v>
      </c>
      <c r="K348">
        <v>0</v>
      </c>
      <c r="L348">
        <v>0</v>
      </c>
      <c r="M348">
        <v>1</v>
      </c>
      <c r="N348">
        <v>0</v>
      </c>
      <c r="P348">
        <v>66.400000000000006</v>
      </c>
    </row>
    <row r="349" spans="1:16">
      <c r="A349" t="s">
        <v>379</v>
      </c>
      <c r="B349" s="2">
        <v>45775</v>
      </c>
      <c r="C349" t="s">
        <v>17</v>
      </c>
      <c r="D349" t="s">
        <v>18</v>
      </c>
      <c r="E349" t="s">
        <v>34</v>
      </c>
      <c r="F349" t="s">
        <v>41</v>
      </c>
      <c r="G349" t="s">
        <v>21</v>
      </c>
      <c r="H349">
        <v>1</v>
      </c>
      <c r="I349">
        <v>0</v>
      </c>
      <c r="J349">
        <v>0</v>
      </c>
      <c r="K349">
        <v>0</v>
      </c>
      <c r="L349">
        <v>0</v>
      </c>
      <c r="M349">
        <v>0</v>
      </c>
      <c r="N349">
        <v>0</v>
      </c>
      <c r="P349">
        <v>61.9</v>
      </c>
    </row>
    <row r="350" spans="1:16">
      <c r="A350" t="s">
        <v>380</v>
      </c>
      <c r="B350" s="2">
        <v>45764</v>
      </c>
      <c r="C350" t="s">
        <v>17</v>
      </c>
      <c r="D350" t="s">
        <v>28</v>
      </c>
      <c r="E350" t="s">
        <v>24</v>
      </c>
      <c r="F350" t="s">
        <v>25</v>
      </c>
      <c r="G350" t="s">
        <v>26</v>
      </c>
      <c r="H350">
        <v>0</v>
      </c>
      <c r="I350">
        <v>0</v>
      </c>
      <c r="J350">
        <v>0</v>
      </c>
      <c r="K350">
        <v>0</v>
      </c>
      <c r="L350">
        <v>0</v>
      </c>
      <c r="M350">
        <v>0</v>
      </c>
      <c r="N350">
        <v>0</v>
      </c>
      <c r="P350">
        <v>56</v>
      </c>
    </row>
    <row r="351" spans="1:16">
      <c r="A351" t="s">
        <v>381</v>
      </c>
      <c r="B351" s="2">
        <v>45800</v>
      </c>
      <c r="C351" t="s">
        <v>17</v>
      </c>
      <c r="D351" t="s">
        <v>32</v>
      </c>
      <c r="E351" t="s">
        <v>19</v>
      </c>
      <c r="F351" t="s">
        <v>41</v>
      </c>
      <c r="G351" t="s">
        <v>21</v>
      </c>
      <c r="H351">
        <v>1</v>
      </c>
      <c r="I351">
        <v>0</v>
      </c>
      <c r="J351">
        <v>0</v>
      </c>
      <c r="K351">
        <v>0</v>
      </c>
      <c r="L351">
        <v>0</v>
      </c>
      <c r="M351">
        <v>0</v>
      </c>
      <c r="N351">
        <v>0</v>
      </c>
      <c r="P351">
        <v>55.5</v>
      </c>
    </row>
    <row r="352" spans="1:16">
      <c r="A352" t="s">
        <v>382</v>
      </c>
      <c r="B352" s="2">
        <v>45707</v>
      </c>
      <c r="C352" t="s">
        <v>17</v>
      </c>
      <c r="D352" t="s">
        <v>23</v>
      </c>
      <c r="E352" t="s">
        <v>34</v>
      </c>
      <c r="F352" t="s">
        <v>39</v>
      </c>
      <c r="G352" t="s">
        <v>21</v>
      </c>
      <c r="H352">
        <v>1</v>
      </c>
      <c r="I352">
        <v>0</v>
      </c>
      <c r="J352">
        <v>0</v>
      </c>
      <c r="K352">
        <v>0</v>
      </c>
      <c r="L352">
        <v>0</v>
      </c>
      <c r="M352">
        <v>0</v>
      </c>
      <c r="N352">
        <v>0</v>
      </c>
      <c r="P352">
        <v>37.200000000000003</v>
      </c>
    </row>
    <row r="353" spans="1:16">
      <c r="A353" t="s">
        <v>383</v>
      </c>
      <c r="B353" s="2">
        <v>45675</v>
      </c>
      <c r="C353" t="s">
        <v>17</v>
      </c>
      <c r="D353" t="s">
        <v>32</v>
      </c>
      <c r="E353" t="s">
        <v>19</v>
      </c>
      <c r="F353" t="s">
        <v>25</v>
      </c>
      <c r="G353" t="s">
        <v>26</v>
      </c>
      <c r="H353">
        <v>1</v>
      </c>
      <c r="I353">
        <v>1</v>
      </c>
      <c r="J353">
        <v>0</v>
      </c>
      <c r="K353">
        <v>0</v>
      </c>
      <c r="L353">
        <v>0</v>
      </c>
      <c r="M353">
        <v>1</v>
      </c>
      <c r="N353">
        <v>0</v>
      </c>
      <c r="P353">
        <v>70.5</v>
      </c>
    </row>
    <row r="354" spans="1:16">
      <c r="A354" t="s">
        <v>384</v>
      </c>
      <c r="B354" s="2">
        <v>45764</v>
      </c>
      <c r="C354" t="s">
        <v>17</v>
      </c>
      <c r="D354" t="s">
        <v>18</v>
      </c>
      <c r="E354" t="s">
        <v>24</v>
      </c>
      <c r="F354" t="s">
        <v>25</v>
      </c>
      <c r="G354" t="s">
        <v>26</v>
      </c>
      <c r="H354">
        <v>0</v>
      </c>
      <c r="I354">
        <v>0</v>
      </c>
      <c r="J354">
        <v>0</v>
      </c>
      <c r="K354">
        <v>0</v>
      </c>
      <c r="L354">
        <v>0</v>
      </c>
      <c r="M354">
        <v>0</v>
      </c>
      <c r="N354">
        <v>0</v>
      </c>
      <c r="P354">
        <v>61.2</v>
      </c>
    </row>
    <row r="355" spans="1:16">
      <c r="A355" t="s">
        <v>385</v>
      </c>
      <c r="B355" s="2">
        <v>45759</v>
      </c>
      <c r="C355" t="s">
        <v>17</v>
      </c>
      <c r="D355" t="s">
        <v>28</v>
      </c>
      <c r="E355" t="s">
        <v>34</v>
      </c>
      <c r="F355" t="s">
        <v>41</v>
      </c>
      <c r="G355" t="s">
        <v>26</v>
      </c>
      <c r="H355">
        <v>1</v>
      </c>
      <c r="I355">
        <v>1</v>
      </c>
      <c r="J355">
        <v>1</v>
      </c>
      <c r="K355">
        <v>0</v>
      </c>
      <c r="L355">
        <v>0</v>
      </c>
      <c r="M355">
        <v>0</v>
      </c>
      <c r="N355">
        <v>0</v>
      </c>
      <c r="P355">
        <v>64.599999999999994</v>
      </c>
    </row>
    <row r="356" spans="1:16">
      <c r="A356" t="s">
        <v>386</v>
      </c>
      <c r="B356" s="2">
        <v>45793</v>
      </c>
      <c r="C356" t="s">
        <v>17</v>
      </c>
      <c r="D356" t="s">
        <v>28</v>
      </c>
      <c r="E356" t="s">
        <v>24</v>
      </c>
      <c r="F356" t="s">
        <v>20</v>
      </c>
      <c r="G356" t="s">
        <v>26</v>
      </c>
      <c r="H356">
        <v>1</v>
      </c>
      <c r="I356">
        <v>1</v>
      </c>
      <c r="J356">
        <v>0</v>
      </c>
      <c r="K356">
        <v>0</v>
      </c>
      <c r="L356">
        <v>0</v>
      </c>
      <c r="M356">
        <v>0</v>
      </c>
      <c r="N356">
        <v>0</v>
      </c>
      <c r="P356">
        <v>91.7</v>
      </c>
    </row>
    <row r="357" spans="1:16">
      <c r="A357" t="s">
        <v>387</v>
      </c>
      <c r="B357" s="2">
        <v>45740</v>
      </c>
      <c r="C357" t="s">
        <v>17</v>
      </c>
      <c r="D357" t="s">
        <v>23</v>
      </c>
      <c r="E357" t="s">
        <v>24</v>
      </c>
      <c r="F357" t="s">
        <v>41</v>
      </c>
      <c r="G357" t="s">
        <v>26</v>
      </c>
      <c r="H357">
        <v>0</v>
      </c>
      <c r="I357">
        <v>0</v>
      </c>
      <c r="J357">
        <v>0</v>
      </c>
      <c r="K357">
        <v>0</v>
      </c>
      <c r="L357">
        <v>0</v>
      </c>
      <c r="M357">
        <v>0</v>
      </c>
      <c r="N357">
        <v>0</v>
      </c>
      <c r="P357">
        <v>46</v>
      </c>
    </row>
    <row r="358" spans="1:16">
      <c r="A358" t="s">
        <v>388</v>
      </c>
      <c r="B358" s="2">
        <v>45704</v>
      </c>
      <c r="C358" t="s">
        <v>17</v>
      </c>
      <c r="D358" t="s">
        <v>23</v>
      </c>
      <c r="E358" t="s">
        <v>24</v>
      </c>
      <c r="F358" t="s">
        <v>25</v>
      </c>
      <c r="G358" t="s">
        <v>21</v>
      </c>
      <c r="H358">
        <v>0</v>
      </c>
      <c r="I358">
        <v>0</v>
      </c>
      <c r="J358">
        <v>0</v>
      </c>
      <c r="K358">
        <v>0</v>
      </c>
      <c r="L358">
        <v>0</v>
      </c>
      <c r="M358">
        <v>0</v>
      </c>
      <c r="N358">
        <v>0</v>
      </c>
      <c r="P358">
        <v>50.8</v>
      </c>
    </row>
    <row r="359" spans="1:16">
      <c r="A359" t="s">
        <v>389</v>
      </c>
      <c r="B359" s="2">
        <v>45735</v>
      </c>
      <c r="C359" t="s">
        <v>17</v>
      </c>
      <c r="D359" t="s">
        <v>18</v>
      </c>
      <c r="E359" t="s">
        <v>34</v>
      </c>
      <c r="F359" t="s">
        <v>25</v>
      </c>
      <c r="G359" t="s">
        <v>26</v>
      </c>
      <c r="H359">
        <v>1</v>
      </c>
      <c r="I359">
        <v>1</v>
      </c>
      <c r="J359">
        <v>1</v>
      </c>
      <c r="K359">
        <v>0</v>
      </c>
      <c r="L359">
        <v>0</v>
      </c>
      <c r="M359">
        <v>0</v>
      </c>
      <c r="N359">
        <v>0</v>
      </c>
      <c r="P359">
        <v>52.8</v>
      </c>
    </row>
    <row r="360" spans="1:16">
      <c r="A360" t="s">
        <v>390</v>
      </c>
      <c r="B360" s="2">
        <v>45768</v>
      </c>
      <c r="C360" t="s">
        <v>17</v>
      </c>
      <c r="D360" t="s">
        <v>32</v>
      </c>
      <c r="E360" t="s">
        <v>24</v>
      </c>
      <c r="F360" t="s">
        <v>25</v>
      </c>
      <c r="G360" t="s">
        <v>21</v>
      </c>
      <c r="H360">
        <v>1</v>
      </c>
      <c r="I360">
        <v>1</v>
      </c>
      <c r="J360">
        <v>1</v>
      </c>
      <c r="K360">
        <v>0</v>
      </c>
      <c r="L360">
        <v>0</v>
      </c>
      <c r="M360">
        <v>0</v>
      </c>
      <c r="N360">
        <v>0</v>
      </c>
      <c r="P360">
        <v>63</v>
      </c>
    </row>
    <row r="361" spans="1:16">
      <c r="A361" t="s">
        <v>391</v>
      </c>
      <c r="B361" s="2">
        <v>45668</v>
      </c>
      <c r="C361" t="s">
        <v>17</v>
      </c>
      <c r="D361" t="s">
        <v>23</v>
      </c>
      <c r="E361" t="s">
        <v>24</v>
      </c>
      <c r="F361" t="s">
        <v>25</v>
      </c>
      <c r="G361" t="s">
        <v>26</v>
      </c>
      <c r="H361">
        <v>0</v>
      </c>
      <c r="I361">
        <v>0</v>
      </c>
      <c r="J361">
        <v>0</v>
      </c>
      <c r="K361">
        <v>0</v>
      </c>
      <c r="L361">
        <v>0</v>
      </c>
      <c r="M361">
        <v>0</v>
      </c>
      <c r="N361">
        <v>0</v>
      </c>
      <c r="P361">
        <v>28.4</v>
      </c>
    </row>
    <row r="362" spans="1:16">
      <c r="A362" t="s">
        <v>392</v>
      </c>
      <c r="B362" s="2">
        <v>45771</v>
      </c>
      <c r="C362" t="s">
        <v>17</v>
      </c>
      <c r="D362" t="s">
        <v>23</v>
      </c>
      <c r="E362" t="s">
        <v>19</v>
      </c>
      <c r="F362" t="s">
        <v>25</v>
      </c>
      <c r="G362" t="s">
        <v>26</v>
      </c>
      <c r="H362">
        <v>1</v>
      </c>
      <c r="I362">
        <v>1</v>
      </c>
      <c r="J362">
        <v>0</v>
      </c>
      <c r="K362">
        <v>0</v>
      </c>
      <c r="L362">
        <v>0</v>
      </c>
      <c r="M362">
        <v>0</v>
      </c>
      <c r="N362">
        <v>0</v>
      </c>
      <c r="P362">
        <v>65.599999999999994</v>
      </c>
    </row>
    <row r="363" spans="1:16">
      <c r="A363" t="s">
        <v>393</v>
      </c>
      <c r="B363" s="2">
        <v>45729</v>
      </c>
      <c r="C363" t="s">
        <v>17</v>
      </c>
      <c r="D363" t="s">
        <v>18</v>
      </c>
      <c r="E363" t="s">
        <v>24</v>
      </c>
      <c r="F363" t="s">
        <v>41</v>
      </c>
      <c r="G363" t="s">
        <v>30</v>
      </c>
      <c r="H363">
        <v>1</v>
      </c>
      <c r="I363">
        <v>1</v>
      </c>
      <c r="J363">
        <v>1</v>
      </c>
      <c r="K363">
        <v>0</v>
      </c>
      <c r="L363">
        <v>0</v>
      </c>
      <c r="M363">
        <v>0</v>
      </c>
      <c r="N363">
        <v>0</v>
      </c>
      <c r="P363">
        <v>54.7</v>
      </c>
    </row>
    <row r="364" spans="1:16">
      <c r="A364" t="s">
        <v>394</v>
      </c>
      <c r="B364" s="2">
        <v>45687</v>
      </c>
      <c r="C364" t="s">
        <v>17</v>
      </c>
      <c r="D364" t="s">
        <v>18</v>
      </c>
      <c r="E364" t="s">
        <v>24</v>
      </c>
      <c r="F364" t="s">
        <v>41</v>
      </c>
      <c r="G364" t="s">
        <v>21</v>
      </c>
      <c r="H364">
        <v>0</v>
      </c>
      <c r="I364">
        <v>0</v>
      </c>
      <c r="J364">
        <v>0</v>
      </c>
      <c r="K364">
        <v>0</v>
      </c>
      <c r="L364">
        <v>0</v>
      </c>
      <c r="M364">
        <v>0</v>
      </c>
      <c r="N364">
        <v>0</v>
      </c>
      <c r="P364">
        <v>36.1</v>
      </c>
    </row>
    <row r="365" spans="1:16">
      <c r="A365" t="s">
        <v>395</v>
      </c>
      <c r="B365" s="2">
        <v>45785</v>
      </c>
      <c r="C365" t="s">
        <v>17</v>
      </c>
      <c r="D365" t="s">
        <v>32</v>
      </c>
      <c r="E365" t="s">
        <v>24</v>
      </c>
      <c r="F365" t="s">
        <v>41</v>
      </c>
      <c r="G365" t="s">
        <v>21</v>
      </c>
      <c r="H365">
        <v>1</v>
      </c>
      <c r="I365">
        <v>1</v>
      </c>
      <c r="J365">
        <v>1</v>
      </c>
      <c r="K365">
        <v>0</v>
      </c>
      <c r="L365">
        <v>0</v>
      </c>
      <c r="M365">
        <v>0</v>
      </c>
      <c r="N365">
        <v>0</v>
      </c>
      <c r="P365">
        <v>70.400000000000006</v>
      </c>
    </row>
    <row r="366" spans="1:16">
      <c r="A366" t="s">
        <v>396</v>
      </c>
      <c r="B366" s="2">
        <v>45665</v>
      </c>
      <c r="C366" t="s">
        <v>17</v>
      </c>
      <c r="D366" t="s">
        <v>28</v>
      </c>
      <c r="E366" t="s">
        <v>19</v>
      </c>
      <c r="F366" t="s">
        <v>41</v>
      </c>
      <c r="G366" t="s">
        <v>26</v>
      </c>
      <c r="H366">
        <v>1</v>
      </c>
      <c r="I366">
        <v>0</v>
      </c>
      <c r="J366">
        <v>0</v>
      </c>
      <c r="K366">
        <v>0</v>
      </c>
      <c r="L366">
        <v>0</v>
      </c>
      <c r="M366">
        <v>0</v>
      </c>
      <c r="N366">
        <v>0</v>
      </c>
      <c r="P366">
        <v>56.4</v>
      </c>
    </row>
    <row r="367" spans="1:16">
      <c r="A367" t="s">
        <v>397</v>
      </c>
      <c r="B367" s="2">
        <v>45780</v>
      </c>
      <c r="C367" t="s">
        <v>17</v>
      </c>
      <c r="D367" t="s">
        <v>32</v>
      </c>
      <c r="E367" t="s">
        <v>24</v>
      </c>
      <c r="F367" t="s">
        <v>25</v>
      </c>
      <c r="G367" t="s">
        <v>26</v>
      </c>
      <c r="H367">
        <v>1</v>
      </c>
      <c r="I367">
        <v>0</v>
      </c>
      <c r="J367">
        <v>0</v>
      </c>
      <c r="K367">
        <v>0</v>
      </c>
      <c r="L367">
        <v>0</v>
      </c>
      <c r="M367">
        <v>0</v>
      </c>
      <c r="N367">
        <v>0</v>
      </c>
      <c r="P367">
        <v>79.2</v>
      </c>
    </row>
    <row r="368" spans="1:16">
      <c r="A368" t="s">
        <v>398</v>
      </c>
      <c r="B368" s="2">
        <v>45700</v>
      </c>
      <c r="C368" t="s">
        <v>17</v>
      </c>
      <c r="D368" t="s">
        <v>28</v>
      </c>
      <c r="E368" t="s">
        <v>24</v>
      </c>
      <c r="F368" t="s">
        <v>29</v>
      </c>
      <c r="G368" t="s">
        <v>26</v>
      </c>
      <c r="H368">
        <v>1</v>
      </c>
      <c r="I368">
        <v>1</v>
      </c>
      <c r="J368">
        <v>1</v>
      </c>
      <c r="K368">
        <v>0</v>
      </c>
      <c r="L368">
        <v>0</v>
      </c>
      <c r="M368">
        <v>0</v>
      </c>
      <c r="N368">
        <v>0</v>
      </c>
      <c r="P368">
        <v>60.1</v>
      </c>
    </row>
    <row r="369" spans="1:16">
      <c r="A369" t="s">
        <v>399</v>
      </c>
      <c r="B369" s="2">
        <v>45713</v>
      </c>
      <c r="C369" t="s">
        <v>17</v>
      </c>
      <c r="D369" t="s">
        <v>32</v>
      </c>
      <c r="E369" t="s">
        <v>34</v>
      </c>
      <c r="F369" t="s">
        <v>25</v>
      </c>
      <c r="G369" t="s">
        <v>26</v>
      </c>
      <c r="H369">
        <v>0</v>
      </c>
      <c r="I369">
        <v>0</v>
      </c>
      <c r="J369">
        <v>0</v>
      </c>
      <c r="K369">
        <v>0</v>
      </c>
      <c r="L369">
        <v>0</v>
      </c>
      <c r="M369">
        <v>0</v>
      </c>
      <c r="N369">
        <v>0</v>
      </c>
      <c r="P369">
        <v>58</v>
      </c>
    </row>
    <row r="370" spans="1:16">
      <c r="A370" t="s">
        <v>400</v>
      </c>
      <c r="B370" s="2">
        <v>45761</v>
      </c>
      <c r="C370" t="s">
        <v>17</v>
      </c>
      <c r="D370" t="s">
        <v>32</v>
      </c>
      <c r="E370" t="s">
        <v>24</v>
      </c>
      <c r="F370" t="s">
        <v>39</v>
      </c>
      <c r="G370" t="s">
        <v>26</v>
      </c>
      <c r="H370">
        <v>1</v>
      </c>
      <c r="I370">
        <v>1</v>
      </c>
      <c r="J370">
        <v>1</v>
      </c>
      <c r="K370">
        <v>0</v>
      </c>
      <c r="L370">
        <v>0</v>
      </c>
      <c r="M370">
        <v>0</v>
      </c>
      <c r="N370">
        <v>0</v>
      </c>
      <c r="P370">
        <v>69</v>
      </c>
    </row>
    <row r="371" spans="1:16">
      <c r="A371" t="s">
        <v>401</v>
      </c>
      <c r="B371" s="2">
        <v>45665</v>
      </c>
      <c r="C371" t="s">
        <v>17</v>
      </c>
      <c r="D371" t="s">
        <v>18</v>
      </c>
      <c r="E371" t="s">
        <v>24</v>
      </c>
      <c r="F371" t="s">
        <v>39</v>
      </c>
      <c r="G371" t="s">
        <v>30</v>
      </c>
      <c r="H371">
        <v>1</v>
      </c>
      <c r="I371">
        <v>1</v>
      </c>
      <c r="J371">
        <v>1</v>
      </c>
      <c r="K371">
        <v>0</v>
      </c>
      <c r="L371">
        <v>0</v>
      </c>
      <c r="M371">
        <v>1</v>
      </c>
      <c r="N371">
        <v>0</v>
      </c>
      <c r="P371">
        <v>80.8</v>
      </c>
    </row>
    <row r="372" spans="1:16">
      <c r="A372" t="s">
        <v>402</v>
      </c>
      <c r="B372" s="2">
        <v>45730</v>
      </c>
      <c r="C372" t="s">
        <v>17</v>
      </c>
      <c r="D372" t="s">
        <v>28</v>
      </c>
      <c r="E372" t="s">
        <v>24</v>
      </c>
      <c r="F372" t="s">
        <v>20</v>
      </c>
      <c r="G372" t="s">
        <v>26</v>
      </c>
      <c r="H372">
        <v>0</v>
      </c>
      <c r="I372">
        <v>0</v>
      </c>
      <c r="J372">
        <v>0</v>
      </c>
      <c r="K372">
        <v>0</v>
      </c>
      <c r="L372">
        <v>0</v>
      </c>
      <c r="M372">
        <v>0</v>
      </c>
      <c r="N372">
        <v>0</v>
      </c>
      <c r="P372">
        <v>32.799999999999997</v>
      </c>
    </row>
    <row r="373" spans="1:16">
      <c r="A373" t="s">
        <v>403</v>
      </c>
      <c r="B373" s="2">
        <v>45776</v>
      </c>
      <c r="C373" t="s">
        <v>17</v>
      </c>
      <c r="D373" t="s">
        <v>18</v>
      </c>
      <c r="E373" t="s">
        <v>19</v>
      </c>
      <c r="F373" t="s">
        <v>29</v>
      </c>
      <c r="G373" t="s">
        <v>30</v>
      </c>
      <c r="H373">
        <v>1</v>
      </c>
      <c r="I373">
        <v>0</v>
      </c>
      <c r="J373">
        <v>0</v>
      </c>
      <c r="K373">
        <v>0</v>
      </c>
      <c r="L373">
        <v>0</v>
      </c>
      <c r="M373">
        <v>0</v>
      </c>
      <c r="N373">
        <v>0</v>
      </c>
      <c r="P373">
        <v>56</v>
      </c>
    </row>
    <row r="374" spans="1:16">
      <c r="A374" t="s">
        <v>404</v>
      </c>
      <c r="B374" s="2">
        <v>45778</v>
      </c>
      <c r="C374" t="s">
        <v>17</v>
      </c>
      <c r="D374" t="s">
        <v>28</v>
      </c>
      <c r="E374" t="s">
        <v>19</v>
      </c>
      <c r="F374" t="s">
        <v>41</v>
      </c>
      <c r="G374" t="s">
        <v>26</v>
      </c>
      <c r="H374">
        <v>1</v>
      </c>
      <c r="I374">
        <v>0</v>
      </c>
      <c r="J374">
        <v>0</v>
      </c>
      <c r="K374">
        <v>0</v>
      </c>
      <c r="L374">
        <v>0</v>
      </c>
      <c r="M374">
        <v>0</v>
      </c>
      <c r="N374">
        <v>0</v>
      </c>
      <c r="P374">
        <v>76.400000000000006</v>
      </c>
    </row>
    <row r="375" spans="1:16">
      <c r="A375" t="s">
        <v>405</v>
      </c>
      <c r="B375" s="2">
        <v>45735</v>
      </c>
      <c r="C375" t="s">
        <v>17</v>
      </c>
      <c r="D375" t="s">
        <v>18</v>
      </c>
      <c r="E375" t="s">
        <v>24</v>
      </c>
      <c r="F375" t="s">
        <v>39</v>
      </c>
      <c r="G375" t="s">
        <v>26</v>
      </c>
      <c r="H375">
        <v>1</v>
      </c>
      <c r="I375">
        <v>0</v>
      </c>
      <c r="J375">
        <v>0</v>
      </c>
      <c r="K375">
        <v>0</v>
      </c>
      <c r="L375">
        <v>0</v>
      </c>
      <c r="M375">
        <v>0</v>
      </c>
      <c r="N375">
        <v>0</v>
      </c>
      <c r="P375">
        <v>28.5</v>
      </c>
    </row>
    <row r="376" spans="1:16">
      <c r="A376" t="s">
        <v>406</v>
      </c>
      <c r="B376" s="2">
        <v>45778</v>
      </c>
      <c r="C376" t="s">
        <v>17</v>
      </c>
      <c r="D376" t="s">
        <v>32</v>
      </c>
      <c r="E376" t="s">
        <v>19</v>
      </c>
      <c r="F376" t="s">
        <v>41</v>
      </c>
      <c r="G376" t="s">
        <v>21</v>
      </c>
      <c r="H376">
        <v>1</v>
      </c>
      <c r="I376">
        <v>1</v>
      </c>
      <c r="J376">
        <v>1</v>
      </c>
      <c r="K376">
        <v>0</v>
      </c>
      <c r="L376">
        <v>0</v>
      </c>
      <c r="M376">
        <v>0</v>
      </c>
      <c r="N376">
        <v>0</v>
      </c>
      <c r="P376">
        <v>48.3</v>
      </c>
    </row>
    <row r="377" spans="1:16">
      <c r="A377" t="s">
        <v>407</v>
      </c>
      <c r="B377" s="2">
        <v>45730</v>
      </c>
      <c r="C377" t="s">
        <v>17</v>
      </c>
      <c r="D377" t="s">
        <v>23</v>
      </c>
      <c r="E377" t="s">
        <v>24</v>
      </c>
      <c r="F377" t="s">
        <v>25</v>
      </c>
      <c r="G377" t="s">
        <v>26</v>
      </c>
      <c r="H377">
        <v>1</v>
      </c>
      <c r="I377">
        <v>1</v>
      </c>
      <c r="J377">
        <v>0</v>
      </c>
      <c r="K377">
        <v>0</v>
      </c>
      <c r="L377">
        <v>0</v>
      </c>
      <c r="M377">
        <v>0</v>
      </c>
      <c r="N377">
        <v>0</v>
      </c>
      <c r="P377">
        <v>43.4</v>
      </c>
    </row>
    <row r="378" spans="1:16">
      <c r="A378" t="s">
        <v>408</v>
      </c>
      <c r="B378" s="2">
        <v>45739</v>
      </c>
      <c r="C378" t="s">
        <v>17</v>
      </c>
      <c r="D378" t="s">
        <v>18</v>
      </c>
      <c r="E378" t="s">
        <v>24</v>
      </c>
      <c r="F378" t="s">
        <v>29</v>
      </c>
      <c r="G378" t="s">
        <v>26</v>
      </c>
      <c r="H378">
        <v>0</v>
      </c>
      <c r="I378">
        <v>0</v>
      </c>
      <c r="J378">
        <v>0</v>
      </c>
      <c r="K378">
        <v>0</v>
      </c>
      <c r="L378">
        <v>0</v>
      </c>
      <c r="M378">
        <v>0</v>
      </c>
      <c r="N378">
        <v>0</v>
      </c>
      <c r="P378">
        <v>43</v>
      </c>
    </row>
    <row r="379" spans="1:16">
      <c r="A379" t="s">
        <v>409</v>
      </c>
      <c r="B379" s="2">
        <v>45696</v>
      </c>
      <c r="C379" t="s">
        <v>17</v>
      </c>
      <c r="D379" t="s">
        <v>28</v>
      </c>
      <c r="E379" t="s">
        <v>24</v>
      </c>
      <c r="F379" t="s">
        <v>39</v>
      </c>
      <c r="G379" t="s">
        <v>21</v>
      </c>
      <c r="H379">
        <v>1</v>
      </c>
      <c r="I379">
        <v>1</v>
      </c>
      <c r="J379">
        <v>1</v>
      </c>
      <c r="K379">
        <v>0</v>
      </c>
      <c r="L379">
        <v>0</v>
      </c>
      <c r="M379">
        <v>0</v>
      </c>
      <c r="N379">
        <v>0</v>
      </c>
      <c r="P379">
        <v>91.8</v>
      </c>
    </row>
    <row r="380" spans="1:16">
      <c r="A380" t="s">
        <v>410</v>
      </c>
      <c r="B380" s="2">
        <v>45762</v>
      </c>
      <c r="C380" t="s">
        <v>17</v>
      </c>
      <c r="D380" t="s">
        <v>23</v>
      </c>
      <c r="E380" t="s">
        <v>34</v>
      </c>
      <c r="F380" t="s">
        <v>29</v>
      </c>
      <c r="G380" t="s">
        <v>21</v>
      </c>
      <c r="H380">
        <v>1</v>
      </c>
      <c r="I380">
        <v>0</v>
      </c>
      <c r="J380">
        <v>0</v>
      </c>
      <c r="K380">
        <v>0</v>
      </c>
      <c r="L380">
        <v>0</v>
      </c>
      <c r="M380">
        <v>1</v>
      </c>
      <c r="N380">
        <v>0</v>
      </c>
      <c r="P380">
        <v>69.3</v>
      </c>
    </row>
    <row r="381" spans="1:16">
      <c r="A381" t="s">
        <v>411</v>
      </c>
      <c r="B381" s="2">
        <v>45660</v>
      </c>
      <c r="C381" t="s">
        <v>17</v>
      </c>
      <c r="D381" t="s">
        <v>32</v>
      </c>
      <c r="E381" t="s">
        <v>19</v>
      </c>
      <c r="F381" t="s">
        <v>29</v>
      </c>
      <c r="G381" t="s">
        <v>21</v>
      </c>
      <c r="H381">
        <v>1</v>
      </c>
      <c r="I381">
        <v>0</v>
      </c>
      <c r="J381">
        <v>0</v>
      </c>
      <c r="K381">
        <v>0</v>
      </c>
      <c r="L381">
        <v>0</v>
      </c>
      <c r="M381">
        <v>0</v>
      </c>
      <c r="N381">
        <v>0</v>
      </c>
      <c r="P381">
        <v>58.9</v>
      </c>
    </row>
    <row r="382" spans="1:16">
      <c r="A382" t="s">
        <v>412</v>
      </c>
      <c r="B382" s="2">
        <v>45739</v>
      </c>
      <c r="C382" t="s">
        <v>17</v>
      </c>
      <c r="D382" t="s">
        <v>23</v>
      </c>
      <c r="E382" t="s">
        <v>24</v>
      </c>
      <c r="F382" t="s">
        <v>41</v>
      </c>
      <c r="G382" t="s">
        <v>26</v>
      </c>
      <c r="H382">
        <v>1</v>
      </c>
      <c r="I382">
        <v>1</v>
      </c>
      <c r="J382">
        <v>1</v>
      </c>
      <c r="K382">
        <v>0</v>
      </c>
      <c r="L382">
        <v>0</v>
      </c>
      <c r="M382">
        <v>0</v>
      </c>
      <c r="N382">
        <v>0</v>
      </c>
      <c r="P382">
        <v>76</v>
      </c>
    </row>
    <row r="383" spans="1:16">
      <c r="A383" t="s">
        <v>413</v>
      </c>
      <c r="B383" s="2">
        <v>45804</v>
      </c>
      <c r="C383" t="s">
        <v>17</v>
      </c>
      <c r="D383" t="s">
        <v>32</v>
      </c>
      <c r="E383" t="s">
        <v>24</v>
      </c>
      <c r="F383" t="s">
        <v>39</v>
      </c>
      <c r="G383" t="s">
        <v>30</v>
      </c>
      <c r="H383">
        <v>1</v>
      </c>
      <c r="I383">
        <v>0</v>
      </c>
      <c r="J383">
        <v>0</v>
      </c>
      <c r="K383">
        <v>0</v>
      </c>
      <c r="L383">
        <v>0</v>
      </c>
      <c r="M383">
        <v>0</v>
      </c>
      <c r="N383">
        <v>0</v>
      </c>
      <c r="P383">
        <v>46</v>
      </c>
    </row>
    <row r="384" spans="1:16">
      <c r="A384" t="s">
        <v>414</v>
      </c>
      <c r="B384" s="2">
        <v>45777</v>
      </c>
      <c r="C384" t="s">
        <v>17</v>
      </c>
      <c r="D384" t="s">
        <v>28</v>
      </c>
      <c r="E384" t="s">
        <v>24</v>
      </c>
      <c r="F384" t="s">
        <v>25</v>
      </c>
      <c r="G384" t="s">
        <v>26</v>
      </c>
      <c r="H384">
        <v>1</v>
      </c>
      <c r="I384">
        <v>0</v>
      </c>
      <c r="J384">
        <v>0</v>
      </c>
      <c r="K384">
        <v>0</v>
      </c>
      <c r="L384">
        <v>0</v>
      </c>
      <c r="M384">
        <v>0</v>
      </c>
      <c r="N384">
        <v>0</v>
      </c>
      <c r="P384">
        <v>54.1</v>
      </c>
    </row>
    <row r="385" spans="1:16">
      <c r="A385" t="s">
        <v>415</v>
      </c>
      <c r="B385" s="2">
        <v>45723</v>
      </c>
      <c r="C385" t="s">
        <v>17</v>
      </c>
      <c r="D385" t="s">
        <v>23</v>
      </c>
      <c r="E385" t="s">
        <v>24</v>
      </c>
      <c r="F385" t="s">
        <v>41</v>
      </c>
      <c r="G385" t="s">
        <v>21</v>
      </c>
      <c r="H385">
        <v>1</v>
      </c>
      <c r="I385">
        <v>0</v>
      </c>
      <c r="J385">
        <v>0</v>
      </c>
      <c r="K385">
        <v>0</v>
      </c>
      <c r="L385">
        <v>0</v>
      </c>
      <c r="M385">
        <v>0</v>
      </c>
      <c r="N385">
        <v>0</v>
      </c>
      <c r="P385">
        <v>82.4</v>
      </c>
    </row>
    <row r="386" spans="1:16">
      <c r="A386" t="s">
        <v>416</v>
      </c>
      <c r="B386" s="2">
        <v>45787</v>
      </c>
      <c r="C386" t="s">
        <v>17</v>
      </c>
      <c r="D386" t="s">
        <v>32</v>
      </c>
      <c r="E386" t="s">
        <v>24</v>
      </c>
      <c r="F386" t="s">
        <v>25</v>
      </c>
      <c r="G386" t="s">
        <v>21</v>
      </c>
      <c r="H386">
        <v>1</v>
      </c>
      <c r="I386">
        <v>1</v>
      </c>
      <c r="J386">
        <v>1</v>
      </c>
      <c r="K386">
        <v>0</v>
      </c>
      <c r="L386">
        <v>0</v>
      </c>
      <c r="M386">
        <v>0</v>
      </c>
      <c r="N386">
        <v>0</v>
      </c>
      <c r="P386">
        <v>71.900000000000006</v>
      </c>
    </row>
    <row r="387" spans="1:16">
      <c r="A387" t="s">
        <v>417</v>
      </c>
      <c r="B387" s="2">
        <v>45799</v>
      </c>
      <c r="C387" t="s">
        <v>17</v>
      </c>
      <c r="D387" t="s">
        <v>28</v>
      </c>
      <c r="E387" t="s">
        <v>24</v>
      </c>
      <c r="F387" t="s">
        <v>25</v>
      </c>
      <c r="G387" t="s">
        <v>26</v>
      </c>
      <c r="H387">
        <v>0</v>
      </c>
      <c r="I387">
        <v>0</v>
      </c>
      <c r="J387">
        <v>0</v>
      </c>
      <c r="K387">
        <v>0</v>
      </c>
      <c r="L387">
        <v>0</v>
      </c>
      <c r="M387">
        <v>2</v>
      </c>
      <c r="N387">
        <v>0</v>
      </c>
      <c r="P387">
        <v>38</v>
      </c>
    </row>
    <row r="388" spans="1:16">
      <c r="A388" t="s">
        <v>418</v>
      </c>
      <c r="B388" s="2">
        <v>45697</v>
      </c>
      <c r="C388" t="s">
        <v>17</v>
      </c>
      <c r="D388" t="s">
        <v>28</v>
      </c>
      <c r="E388" t="s">
        <v>24</v>
      </c>
      <c r="F388" t="s">
        <v>29</v>
      </c>
      <c r="G388" t="s">
        <v>26</v>
      </c>
      <c r="H388">
        <v>1</v>
      </c>
      <c r="I388">
        <v>1</v>
      </c>
      <c r="J388">
        <v>0</v>
      </c>
      <c r="K388">
        <v>0</v>
      </c>
      <c r="L388">
        <v>0</v>
      </c>
      <c r="M388">
        <v>0</v>
      </c>
      <c r="N388">
        <v>0</v>
      </c>
      <c r="P388">
        <v>43.7</v>
      </c>
    </row>
    <row r="389" spans="1:16">
      <c r="A389" t="s">
        <v>419</v>
      </c>
      <c r="B389" s="2">
        <v>45807</v>
      </c>
      <c r="C389" t="s">
        <v>17</v>
      </c>
      <c r="D389" t="s">
        <v>23</v>
      </c>
      <c r="E389" t="s">
        <v>19</v>
      </c>
      <c r="F389" t="s">
        <v>25</v>
      </c>
      <c r="G389" t="s">
        <v>30</v>
      </c>
      <c r="H389">
        <v>1</v>
      </c>
      <c r="I389">
        <v>0</v>
      </c>
      <c r="J389">
        <v>0</v>
      </c>
      <c r="K389">
        <v>0</v>
      </c>
      <c r="L389">
        <v>0</v>
      </c>
      <c r="M389">
        <v>1</v>
      </c>
      <c r="N389">
        <v>0</v>
      </c>
      <c r="P389">
        <v>32.200000000000003</v>
      </c>
    </row>
    <row r="390" spans="1:16">
      <c r="A390" t="s">
        <v>420</v>
      </c>
      <c r="B390" s="2">
        <v>45778</v>
      </c>
      <c r="C390" t="s">
        <v>17</v>
      </c>
      <c r="D390" t="s">
        <v>32</v>
      </c>
      <c r="E390" t="s">
        <v>24</v>
      </c>
      <c r="F390" t="s">
        <v>25</v>
      </c>
      <c r="G390" t="s">
        <v>30</v>
      </c>
      <c r="H390">
        <v>1</v>
      </c>
      <c r="I390">
        <v>0</v>
      </c>
      <c r="J390">
        <v>0</v>
      </c>
      <c r="K390">
        <v>0</v>
      </c>
      <c r="L390">
        <v>0</v>
      </c>
      <c r="M390">
        <v>0</v>
      </c>
      <c r="N390">
        <v>0</v>
      </c>
      <c r="P390">
        <v>61</v>
      </c>
    </row>
    <row r="391" spans="1:16">
      <c r="A391" t="s">
        <v>421</v>
      </c>
      <c r="B391" s="2">
        <v>45660</v>
      </c>
      <c r="C391" t="s">
        <v>17</v>
      </c>
      <c r="D391" t="s">
        <v>32</v>
      </c>
      <c r="E391" t="s">
        <v>24</v>
      </c>
      <c r="F391" t="s">
        <v>29</v>
      </c>
      <c r="G391" t="s">
        <v>26</v>
      </c>
      <c r="H391">
        <v>1</v>
      </c>
      <c r="I391">
        <v>0</v>
      </c>
      <c r="J391">
        <v>0</v>
      </c>
      <c r="K391">
        <v>0</v>
      </c>
      <c r="L391">
        <v>0</v>
      </c>
      <c r="M391">
        <v>0</v>
      </c>
      <c r="N391">
        <v>0</v>
      </c>
      <c r="P391">
        <v>49</v>
      </c>
    </row>
    <row r="392" spans="1:16">
      <c r="A392" t="s">
        <v>422</v>
      </c>
      <c r="B392" s="2">
        <v>45701</v>
      </c>
      <c r="C392" t="s">
        <v>17</v>
      </c>
      <c r="D392" t="s">
        <v>28</v>
      </c>
      <c r="E392" t="s">
        <v>24</v>
      </c>
      <c r="F392" t="s">
        <v>25</v>
      </c>
      <c r="G392" t="s">
        <v>26</v>
      </c>
      <c r="H392">
        <v>0</v>
      </c>
      <c r="I392">
        <v>0</v>
      </c>
      <c r="J392">
        <v>0</v>
      </c>
      <c r="K392">
        <v>0</v>
      </c>
      <c r="L392">
        <v>0</v>
      </c>
      <c r="M392">
        <v>0</v>
      </c>
      <c r="N392">
        <v>0</v>
      </c>
      <c r="P392">
        <v>48.1</v>
      </c>
    </row>
    <row r="393" spans="1:16">
      <c r="A393" t="s">
        <v>423</v>
      </c>
      <c r="B393" s="2">
        <v>45671</v>
      </c>
      <c r="C393" t="s">
        <v>17</v>
      </c>
      <c r="D393" t="s">
        <v>32</v>
      </c>
      <c r="E393" t="s">
        <v>19</v>
      </c>
      <c r="F393" t="s">
        <v>25</v>
      </c>
      <c r="G393" t="s">
        <v>26</v>
      </c>
      <c r="H393">
        <v>0</v>
      </c>
      <c r="I393">
        <v>0</v>
      </c>
      <c r="J393">
        <v>0</v>
      </c>
      <c r="K393">
        <v>0</v>
      </c>
      <c r="L393">
        <v>0</v>
      </c>
      <c r="M393">
        <v>2</v>
      </c>
      <c r="N393">
        <v>0</v>
      </c>
      <c r="P393">
        <v>46.3</v>
      </c>
    </row>
    <row r="394" spans="1:16">
      <c r="A394" t="s">
        <v>424</v>
      </c>
      <c r="B394" s="2">
        <v>45712</v>
      </c>
      <c r="C394" t="s">
        <v>17</v>
      </c>
      <c r="D394" t="s">
        <v>18</v>
      </c>
      <c r="E394" t="s">
        <v>24</v>
      </c>
      <c r="F394" t="s">
        <v>39</v>
      </c>
      <c r="G394" t="s">
        <v>26</v>
      </c>
      <c r="H394">
        <v>0</v>
      </c>
      <c r="I394">
        <v>0</v>
      </c>
      <c r="J394">
        <v>0</v>
      </c>
      <c r="K394">
        <v>0</v>
      </c>
      <c r="L394">
        <v>0</v>
      </c>
      <c r="M394">
        <v>0</v>
      </c>
      <c r="N394">
        <v>0</v>
      </c>
      <c r="P394">
        <v>64</v>
      </c>
    </row>
    <row r="395" spans="1:16">
      <c r="A395" t="s">
        <v>425</v>
      </c>
      <c r="B395" s="2">
        <v>45793</v>
      </c>
      <c r="C395" t="s">
        <v>17</v>
      </c>
      <c r="D395" t="s">
        <v>23</v>
      </c>
      <c r="E395" t="s">
        <v>19</v>
      </c>
      <c r="F395" t="s">
        <v>25</v>
      </c>
      <c r="G395" t="s">
        <v>21</v>
      </c>
      <c r="H395">
        <v>1</v>
      </c>
      <c r="I395">
        <v>1</v>
      </c>
      <c r="J395">
        <v>0</v>
      </c>
      <c r="K395">
        <v>0</v>
      </c>
      <c r="L395">
        <v>0</v>
      </c>
      <c r="M395">
        <v>0</v>
      </c>
      <c r="N395">
        <v>0</v>
      </c>
      <c r="P395">
        <v>56.2</v>
      </c>
    </row>
    <row r="396" spans="1:16">
      <c r="A396" t="s">
        <v>426</v>
      </c>
      <c r="B396" s="2">
        <v>45776</v>
      </c>
      <c r="C396" t="s">
        <v>17</v>
      </c>
      <c r="D396" t="s">
        <v>18</v>
      </c>
      <c r="E396" t="s">
        <v>24</v>
      </c>
      <c r="F396" t="s">
        <v>29</v>
      </c>
      <c r="G396" t="s">
        <v>26</v>
      </c>
      <c r="H396">
        <v>1</v>
      </c>
      <c r="I396">
        <v>1</v>
      </c>
      <c r="J396">
        <v>1</v>
      </c>
      <c r="K396">
        <v>0</v>
      </c>
      <c r="L396">
        <v>0</v>
      </c>
      <c r="M396">
        <v>0</v>
      </c>
      <c r="N396">
        <v>0</v>
      </c>
      <c r="P396">
        <v>77.5</v>
      </c>
    </row>
    <row r="397" spans="1:16">
      <c r="A397" t="s">
        <v>427</v>
      </c>
      <c r="B397" s="2">
        <v>45777</v>
      </c>
      <c r="C397" t="s">
        <v>17</v>
      </c>
      <c r="D397" t="s">
        <v>32</v>
      </c>
      <c r="E397" t="s">
        <v>19</v>
      </c>
      <c r="F397" t="s">
        <v>20</v>
      </c>
      <c r="G397" t="s">
        <v>21</v>
      </c>
      <c r="H397">
        <v>1</v>
      </c>
      <c r="I397">
        <v>0</v>
      </c>
      <c r="J397">
        <v>0</v>
      </c>
      <c r="K397">
        <v>0</v>
      </c>
      <c r="L397">
        <v>0</v>
      </c>
      <c r="M397">
        <v>0</v>
      </c>
      <c r="N397">
        <v>0</v>
      </c>
      <c r="P397">
        <v>59.9</v>
      </c>
    </row>
    <row r="398" spans="1:16">
      <c r="A398" t="s">
        <v>428</v>
      </c>
      <c r="B398" s="2">
        <v>45666</v>
      </c>
      <c r="C398" t="s">
        <v>17</v>
      </c>
      <c r="D398" t="s">
        <v>32</v>
      </c>
      <c r="E398" t="s">
        <v>19</v>
      </c>
      <c r="F398" t="s">
        <v>25</v>
      </c>
      <c r="G398" t="s">
        <v>26</v>
      </c>
      <c r="H398">
        <v>1</v>
      </c>
      <c r="I398">
        <v>1</v>
      </c>
      <c r="J398">
        <v>0</v>
      </c>
      <c r="K398">
        <v>0</v>
      </c>
      <c r="L398">
        <v>0</v>
      </c>
      <c r="M398">
        <v>0</v>
      </c>
      <c r="N398">
        <v>0</v>
      </c>
      <c r="P398">
        <v>63</v>
      </c>
    </row>
    <row r="399" spans="1:16">
      <c r="A399" t="s">
        <v>429</v>
      </c>
      <c r="B399" s="2">
        <v>45772</v>
      </c>
      <c r="C399" t="s">
        <v>17</v>
      </c>
      <c r="D399" t="s">
        <v>32</v>
      </c>
      <c r="E399" t="s">
        <v>24</v>
      </c>
      <c r="F399" t="s">
        <v>25</v>
      </c>
      <c r="G399" t="s">
        <v>26</v>
      </c>
      <c r="H399">
        <v>1</v>
      </c>
      <c r="I399">
        <v>1</v>
      </c>
      <c r="J399">
        <v>0</v>
      </c>
      <c r="K399">
        <v>0</v>
      </c>
      <c r="L399">
        <v>0</v>
      </c>
      <c r="M399">
        <v>0</v>
      </c>
      <c r="N399">
        <v>0</v>
      </c>
      <c r="P399">
        <v>76.5</v>
      </c>
    </row>
    <row r="400" spans="1:16">
      <c r="A400" t="s">
        <v>430</v>
      </c>
      <c r="B400" s="2">
        <v>45728</v>
      </c>
      <c r="C400" t="s">
        <v>17</v>
      </c>
      <c r="D400" t="s">
        <v>18</v>
      </c>
      <c r="E400" t="s">
        <v>19</v>
      </c>
      <c r="F400" t="s">
        <v>29</v>
      </c>
      <c r="G400" t="s">
        <v>26</v>
      </c>
      <c r="H400">
        <v>1</v>
      </c>
      <c r="I400">
        <v>0</v>
      </c>
      <c r="J400">
        <v>0</v>
      </c>
      <c r="K400">
        <v>0</v>
      </c>
      <c r="L400">
        <v>0</v>
      </c>
      <c r="M400">
        <v>0</v>
      </c>
      <c r="N400">
        <v>0</v>
      </c>
      <c r="P400">
        <v>39.700000000000003</v>
      </c>
    </row>
    <row r="401" spans="1:16">
      <c r="A401" t="s">
        <v>431</v>
      </c>
      <c r="B401" s="2">
        <v>45736</v>
      </c>
      <c r="C401" t="s">
        <v>17</v>
      </c>
      <c r="D401" t="s">
        <v>18</v>
      </c>
      <c r="E401" t="s">
        <v>24</v>
      </c>
      <c r="F401" t="s">
        <v>25</v>
      </c>
      <c r="G401" t="s">
        <v>26</v>
      </c>
      <c r="H401">
        <v>1</v>
      </c>
      <c r="I401">
        <v>1</v>
      </c>
      <c r="J401">
        <v>0</v>
      </c>
      <c r="K401">
        <v>0</v>
      </c>
      <c r="L401">
        <v>0</v>
      </c>
      <c r="M401">
        <v>0</v>
      </c>
      <c r="N401">
        <v>0</v>
      </c>
      <c r="P401">
        <v>80.2</v>
      </c>
    </row>
    <row r="402" spans="1:16">
      <c r="A402" t="s">
        <v>432</v>
      </c>
      <c r="B402" s="2">
        <v>45706</v>
      </c>
      <c r="C402" t="s">
        <v>17</v>
      </c>
      <c r="D402" t="s">
        <v>23</v>
      </c>
      <c r="E402" t="s">
        <v>24</v>
      </c>
      <c r="F402" t="s">
        <v>29</v>
      </c>
      <c r="G402" t="s">
        <v>26</v>
      </c>
      <c r="H402">
        <v>1</v>
      </c>
      <c r="I402">
        <v>0</v>
      </c>
      <c r="J402">
        <v>0</v>
      </c>
      <c r="K402">
        <v>0</v>
      </c>
      <c r="L402">
        <v>0</v>
      </c>
      <c r="M402">
        <v>0</v>
      </c>
      <c r="N402">
        <v>0</v>
      </c>
      <c r="P402">
        <v>72.2</v>
      </c>
    </row>
    <row r="403" spans="1:16">
      <c r="A403" t="s">
        <v>433</v>
      </c>
      <c r="B403" s="2">
        <v>45679</v>
      </c>
      <c r="C403" t="s">
        <v>17</v>
      </c>
      <c r="D403" t="s">
        <v>18</v>
      </c>
      <c r="E403" t="s">
        <v>24</v>
      </c>
      <c r="F403" t="s">
        <v>41</v>
      </c>
      <c r="G403" t="s">
        <v>21</v>
      </c>
      <c r="H403">
        <v>0</v>
      </c>
      <c r="I403">
        <v>0</v>
      </c>
      <c r="J403">
        <v>0</v>
      </c>
      <c r="K403">
        <v>0</v>
      </c>
      <c r="L403">
        <v>0</v>
      </c>
      <c r="M403">
        <v>0</v>
      </c>
      <c r="N403">
        <v>0</v>
      </c>
      <c r="P403">
        <v>56</v>
      </c>
    </row>
    <row r="404" spans="1:16">
      <c r="A404" t="s">
        <v>434</v>
      </c>
      <c r="B404" s="2">
        <v>45696</v>
      </c>
      <c r="C404" t="s">
        <v>17</v>
      </c>
      <c r="D404" t="s">
        <v>23</v>
      </c>
      <c r="E404" t="s">
        <v>24</v>
      </c>
      <c r="F404" t="s">
        <v>20</v>
      </c>
      <c r="G404" t="s">
        <v>21</v>
      </c>
      <c r="H404">
        <v>1</v>
      </c>
      <c r="I404">
        <v>1</v>
      </c>
      <c r="J404">
        <v>1</v>
      </c>
      <c r="K404">
        <v>0</v>
      </c>
      <c r="L404">
        <v>0</v>
      </c>
      <c r="M404">
        <v>0</v>
      </c>
      <c r="N404">
        <v>0</v>
      </c>
      <c r="P404">
        <v>69.099999999999994</v>
      </c>
    </row>
    <row r="405" spans="1:16">
      <c r="A405" t="s">
        <v>435</v>
      </c>
      <c r="B405" s="2">
        <v>45677</v>
      </c>
      <c r="C405" t="s">
        <v>17</v>
      </c>
      <c r="D405" t="s">
        <v>18</v>
      </c>
      <c r="E405" t="s">
        <v>24</v>
      </c>
      <c r="F405" t="s">
        <v>20</v>
      </c>
      <c r="G405" t="s">
        <v>30</v>
      </c>
      <c r="H405">
        <v>0</v>
      </c>
      <c r="I405">
        <v>0</v>
      </c>
      <c r="J405">
        <v>0</v>
      </c>
      <c r="K405">
        <v>0</v>
      </c>
      <c r="L405">
        <v>0</v>
      </c>
      <c r="M405">
        <v>1</v>
      </c>
      <c r="N405">
        <v>0</v>
      </c>
      <c r="P405">
        <v>70.599999999999994</v>
      </c>
    </row>
    <row r="406" spans="1:16">
      <c r="A406" t="s">
        <v>436</v>
      </c>
      <c r="B406" s="2">
        <v>45769</v>
      </c>
      <c r="C406" t="s">
        <v>17</v>
      </c>
      <c r="D406" t="s">
        <v>23</v>
      </c>
      <c r="E406" t="s">
        <v>19</v>
      </c>
      <c r="F406" t="s">
        <v>39</v>
      </c>
      <c r="G406" t="s">
        <v>26</v>
      </c>
      <c r="H406">
        <v>1</v>
      </c>
      <c r="I406">
        <v>0</v>
      </c>
      <c r="J406">
        <v>0</v>
      </c>
      <c r="K406">
        <v>0</v>
      </c>
      <c r="L406">
        <v>0</v>
      </c>
      <c r="M406">
        <v>0</v>
      </c>
      <c r="N406">
        <v>0</v>
      </c>
      <c r="P406">
        <v>57.9</v>
      </c>
    </row>
    <row r="407" spans="1:16">
      <c r="A407" t="s">
        <v>437</v>
      </c>
      <c r="B407" s="2">
        <v>45679</v>
      </c>
      <c r="C407" t="s">
        <v>17</v>
      </c>
      <c r="D407" t="s">
        <v>28</v>
      </c>
      <c r="E407" t="s">
        <v>24</v>
      </c>
      <c r="F407" t="s">
        <v>25</v>
      </c>
      <c r="G407" t="s">
        <v>21</v>
      </c>
      <c r="H407">
        <v>1</v>
      </c>
      <c r="I407">
        <v>1</v>
      </c>
      <c r="J407">
        <v>0</v>
      </c>
      <c r="K407">
        <v>0</v>
      </c>
      <c r="L407">
        <v>0</v>
      </c>
      <c r="M407">
        <v>0</v>
      </c>
      <c r="N407">
        <v>0</v>
      </c>
      <c r="P407">
        <v>41.4</v>
      </c>
    </row>
    <row r="408" spans="1:16">
      <c r="A408" t="s">
        <v>438</v>
      </c>
      <c r="B408" s="2">
        <v>45788</v>
      </c>
      <c r="C408" t="s">
        <v>17</v>
      </c>
      <c r="D408" t="s">
        <v>23</v>
      </c>
      <c r="E408" t="s">
        <v>24</v>
      </c>
      <c r="F408" t="s">
        <v>25</v>
      </c>
      <c r="G408" t="s">
        <v>21</v>
      </c>
      <c r="H408">
        <v>1</v>
      </c>
      <c r="I408">
        <v>0</v>
      </c>
      <c r="J408">
        <v>0</v>
      </c>
      <c r="K408">
        <v>0</v>
      </c>
      <c r="L408">
        <v>0</v>
      </c>
      <c r="M408">
        <v>0</v>
      </c>
      <c r="N408">
        <v>0</v>
      </c>
      <c r="P408">
        <v>60.9</v>
      </c>
    </row>
    <row r="409" spans="1:16">
      <c r="A409" t="s">
        <v>439</v>
      </c>
      <c r="B409" s="2">
        <v>45694</v>
      </c>
      <c r="C409" t="s">
        <v>17</v>
      </c>
      <c r="D409" t="s">
        <v>32</v>
      </c>
      <c r="E409" t="s">
        <v>24</v>
      </c>
      <c r="F409" t="s">
        <v>25</v>
      </c>
      <c r="G409" t="s">
        <v>21</v>
      </c>
      <c r="H409">
        <v>0</v>
      </c>
      <c r="I409">
        <v>0</v>
      </c>
      <c r="J409">
        <v>0</v>
      </c>
      <c r="K409">
        <v>0</v>
      </c>
      <c r="L409">
        <v>0</v>
      </c>
      <c r="M409">
        <v>1</v>
      </c>
      <c r="N409">
        <v>0</v>
      </c>
      <c r="P409">
        <v>63.8</v>
      </c>
    </row>
    <row r="410" spans="1:16">
      <c r="A410" t="s">
        <v>440</v>
      </c>
      <c r="B410" s="2">
        <v>45709</v>
      </c>
      <c r="C410" t="s">
        <v>17</v>
      </c>
      <c r="D410" t="s">
        <v>18</v>
      </c>
      <c r="E410" t="s">
        <v>19</v>
      </c>
      <c r="F410" t="s">
        <v>25</v>
      </c>
      <c r="G410" t="s">
        <v>30</v>
      </c>
      <c r="H410">
        <v>1</v>
      </c>
      <c r="I410">
        <v>0</v>
      </c>
      <c r="J410">
        <v>0</v>
      </c>
      <c r="K410">
        <v>0</v>
      </c>
      <c r="L410">
        <v>0</v>
      </c>
      <c r="M410">
        <v>0</v>
      </c>
      <c r="N410">
        <v>0</v>
      </c>
      <c r="P410">
        <v>79.2</v>
      </c>
    </row>
    <row r="411" spans="1:16">
      <c r="A411" t="s">
        <v>441</v>
      </c>
      <c r="B411" s="2">
        <v>45670</v>
      </c>
      <c r="C411" t="s">
        <v>17</v>
      </c>
      <c r="D411" t="s">
        <v>23</v>
      </c>
      <c r="E411" t="s">
        <v>24</v>
      </c>
      <c r="F411" t="s">
        <v>20</v>
      </c>
      <c r="G411" t="s">
        <v>30</v>
      </c>
      <c r="H411">
        <v>1</v>
      </c>
      <c r="I411">
        <v>1</v>
      </c>
      <c r="J411">
        <v>1</v>
      </c>
      <c r="K411">
        <v>0</v>
      </c>
      <c r="L411">
        <v>0</v>
      </c>
      <c r="M411">
        <v>0</v>
      </c>
      <c r="N411">
        <v>0</v>
      </c>
      <c r="P411">
        <v>53.3</v>
      </c>
    </row>
    <row r="412" spans="1:16">
      <c r="A412" t="s">
        <v>442</v>
      </c>
      <c r="B412" s="2">
        <v>45723</v>
      </c>
      <c r="C412" t="s">
        <v>17</v>
      </c>
      <c r="D412" t="s">
        <v>18</v>
      </c>
      <c r="E412" t="s">
        <v>24</v>
      </c>
      <c r="F412" t="s">
        <v>39</v>
      </c>
      <c r="G412" t="s">
        <v>30</v>
      </c>
      <c r="H412">
        <v>1</v>
      </c>
      <c r="I412">
        <v>1</v>
      </c>
      <c r="J412">
        <v>1</v>
      </c>
      <c r="K412">
        <v>1</v>
      </c>
      <c r="L412">
        <v>2144.8200000000002</v>
      </c>
      <c r="M412">
        <v>0</v>
      </c>
      <c r="N412">
        <v>0</v>
      </c>
      <c r="O412">
        <v>6</v>
      </c>
      <c r="P412">
        <v>52.3</v>
      </c>
    </row>
    <row r="413" spans="1:16">
      <c r="A413" t="s">
        <v>443</v>
      </c>
      <c r="B413" s="2">
        <v>45714</v>
      </c>
      <c r="C413" t="s">
        <v>17</v>
      </c>
      <c r="D413" t="s">
        <v>23</v>
      </c>
      <c r="E413" t="s">
        <v>19</v>
      </c>
      <c r="F413" t="s">
        <v>25</v>
      </c>
      <c r="G413" t="s">
        <v>21</v>
      </c>
      <c r="H413">
        <v>1</v>
      </c>
      <c r="I413">
        <v>1</v>
      </c>
      <c r="J413">
        <v>0</v>
      </c>
      <c r="K413">
        <v>0</v>
      </c>
      <c r="L413">
        <v>0</v>
      </c>
      <c r="M413">
        <v>0</v>
      </c>
      <c r="N413">
        <v>0</v>
      </c>
      <c r="P413">
        <v>62.4</v>
      </c>
    </row>
    <row r="414" spans="1:16">
      <c r="A414" t="s">
        <v>444</v>
      </c>
      <c r="B414" s="2">
        <v>45782</v>
      </c>
      <c r="C414" t="s">
        <v>17</v>
      </c>
      <c r="D414" t="s">
        <v>18</v>
      </c>
      <c r="E414" t="s">
        <v>24</v>
      </c>
      <c r="F414" t="s">
        <v>39</v>
      </c>
      <c r="G414" t="s">
        <v>30</v>
      </c>
      <c r="H414">
        <v>1</v>
      </c>
      <c r="I414">
        <v>0</v>
      </c>
      <c r="J414">
        <v>0</v>
      </c>
      <c r="K414">
        <v>0</v>
      </c>
      <c r="L414">
        <v>0</v>
      </c>
      <c r="M414">
        <v>0</v>
      </c>
      <c r="N414">
        <v>0</v>
      </c>
      <c r="P414">
        <v>45.5</v>
      </c>
    </row>
    <row r="415" spans="1:16">
      <c r="A415" t="s">
        <v>445</v>
      </c>
      <c r="B415" s="2">
        <v>45665</v>
      </c>
      <c r="C415" t="s">
        <v>17</v>
      </c>
      <c r="D415" t="s">
        <v>28</v>
      </c>
      <c r="E415" t="s">
        <v>19</v>
      </c>
      <c r="F415" t="s">
        <v>25</v>
      </c>
      <c r="G415" t="s">
        <v>21</v>
      </c>
      <c r="H415">
        <v>0</v>
      </c>
      <c r="I415">
        <v>0</v>
      </c>
      <c r="J415">
        <v>0</v>
      </c>
      <c r="K415">
        <v>0</v>
      </c>
      <c r="L415">
        <v>0</v>
      </c>
      <c r="M415">
        <v>1</v>
      </c>
      <c r="N415">
        <v>0</v>
      </c>
      <c r="P415">
        <v>72.599999999999994</v>
      </c>
    </row>
    <row r="416" spans="1:16">
      <c r="A416" t="s">
        <v>446</v>
      </c>
      <c r="B416" s="2">
        <v>45735</v>
      </c>
      <c r="C416" t="s">
        <v>17</v>
      </c>
      <c r="D416" t="s">
        <v>32</v>
      </c>
      <c r="E416" t="s">
        <v>24</v>
      </c>
      <c r="F416" t="s">
        <v>20</v>
      </c>
      <c r="G416" t="s">
        <v>30</v>
      </c>
      <c r="H416">
        <v>1</v>
      </c>
      <c r="I416">
        <v>1</v>
      </c>
      <c r="J416">
        <v>1</v>
      </c>
      <c r="K416">
        <v>0</v>
      </c>
      <c r="L416">
        <v>0</v>
      </c>
      <c r="M416">
        <v>0</v>
      </c>
      <c r="N416">
        <v>0</v>
      </c>
      <c r="P416">
        <v>50.1</v>
      </c>
    </row>
    <row r="417" spans="1:16">
      <c r="A417" t="s">
        <v>447</v>
      </c>
      <c r="B417" s="2">
        <v>45687</v>
      </c>
      <c r="C417" t="s">
        <v>17</v>
      </c>
      <c r="D417" t="s">
        <v>28</v>
      </c>
      <c r="E417" t="s">
        <v>19</v>
      </c>
      <c r="F417" t="s">
        <v>29</v>
      </c>
      <c r="G417" t="s">
        <v>26</v>
      </c>
      <c r="H417">
        <v>1</v>
      </c>
      <c r="I417">
        <v>1</v>
      </c>
      <c r="J417">
        <v>1</v>
      </c>
      <c r="K417">
        <v>0</v>
      </c>
      <c r="L417">
        <v>0</v>
      </c>
      <c r="M417">
        <v>2</v>
      </c>
      <c r="N417">
        <v>0</v>
      </c>
      <c r="P417">
        <v>58.1</v>
      </c>
    </row>
    <row r="418" spans="1:16">
      <c r="A418" t="s">
        <v>448</v>
      </c>
      <c r="B418" s="2">
        <v>45775</v>
      </c>
      <c r="C418" t="s">
        <v>17</v>
      </c>
      <c r="D418" t="s">
        <v>28</v>
      </c>
      <c r="E418" t="s">
        <v>24</v>
      </c>
      <c r="F418" t="s">
        <v>25</v>
      </c>
      <c r="G418" t="s">
        <v>21</v>
      </c>
      <c r="H418">
        <v>1</v>
      </c>
      <c r="I418">
        <v>0</v>
      </c>
      <c r="J418">
        <v>0</v>
      </c>
      <c r="K418">
        <v>0</v>
      </c>
      <c r="L418">
        <v>0</v>
      </c>
      <c r="M418">
        <v>0</v>
      </c>
      <c r="N418">
        <v>0</v>
      </c>
      <c r="P418">
        <v>42.9</v>
      </c>
    </row>
    <row r="419" spans="1:16">
      <c r="A419" t="s">
        <v>449</v>
      </c>
      <c r="B419" s="2">
        <v>45723</v>
      </c>
      <c r="C419" t="s">
        <v>17</v>
      </c>
      <c r="D419" t="s">
        <v>18</v>
      </c>
      <c r="E419" t="s">
        <v>24</v>
      </c>
      <c r="F419" t="s">
        <v>39</v>
      </c>
      <c r="G419" t="s">
        <v>21</v>
      </c>
      <c r="H419">
        <v>0</v>
      </c>
      <c r="I419">
        <v>0</v>
      </c>
      <c r="J419">
        <v>0</v>
      </c>
      <c r="K419">
        <v>0</v>
      </c>
      <c r="L419">
        <v>0</v>
      </c>
      <c r="M419">
        <v>0</v>
      </c>
      <c r="N419">
        <v>0</v>
      </c>
      <c r="P419">
        <v>69.7</v>
      </c>
    </row>
    <row r="420" spans="1:16">
      <c r="A420" t="s">
        <v>450</v>
      </c>
      <c r="B420" s="2">
        <v>45754</v>
      </c>
      <c r="C420" t="s">
        <v>17</v>
      </c>
      <c r="D420" t="s">
        <v>18</v>
      </c>
      <c r="E420" t="s">
        <v>19</v>
      </c>
      <c r="F420" t="s">
        <v>25</v>
      </c>
      <c r="G420" t="s">
        <v>26</v>
      </c>
      <c r="H420">
        <v>0</v>
      </c>
      <c r="I420">
        <v>0</v>
      </c>
      <c r="J420">
        <v>0</v>
      </c>
      <c r="K420">
        <v>0</v>
      </c>
      <c r="L420">
        <v>0</v>
      </c>
      <c r="M420">
        <v>0</v>
      </c>
      <c r="N420">
        <v>0</v>
      </c>
      <c r="P420">
        <v>63.3</v>
      </c>
    </row>
    <row r="421" spans="1:16">
      <c r="A421" t="s">
        <v>451</v>
      </c>
      <c r="B421" s="2">
        <v>45785</v>
      </c>
      <c r="C421" t="s">
        <v>17</v>
      </c>
      <c r="D421" t="s">
        <v>18</v>
      </c>
      <c r="E421" t="s">
        <v>19</v>
      </c>
      <c r="F421" t="s">
        <v>25</v>
      </c>
      <c r="G421" t="s">
        <v>30</v>
      </c>
      <c r="H421">
        <v>1</v>
      </c>
      <c r="I421">
        <v>0</v>
      </c>
      <c r="J421">
        <v>0</v>
      </c>
      <c r="K421">
        <v>0</v>
      </c>
      <c r="L421">
        <v>0</v>
      </c>
      <c r="M421">
        <v>0</v>
      </c>
      <c r="N421">
        <v>0</v>
      </c>
      <c r="P421">
        <v>71.2</v>
      </c>
    </row>
    <row r="422" spans="1:16">
      <c r="A422" t="s">
        <v>452</v>
      </c>
      <c r="B422" s="2">
        <v>45762</v>
      </c>
      <c r="C422" t="s">
        <v>17</v>
      </c>
      <c r="D422" t="s">
        <v>32</v>
      </c>
      <c r="E422" t="s">
        <v>24</v>
      </c>
      <c r="F422" t="s">
        <v>20</v>
      </c>
      <c r="G422" t="s">
        <v>26</v>
      </c>
      <c r="H422">
        <v>1</v>
      </c>
      <c r="I422">
        <v>0</v>
      </c>
      <c r="J422">
        <v>0</v>
      </c>
      <c r="K422">
        <v>0</v>
      </c>
      <c r="L422">
        <v>0</v>
      </c>
      <c r="M422">
        <v>0</v>
      </c>
      <c r="N422">
        <v>0</v>
      </c>
      <c r="P422">
        <v>39.1</v>
      </c>
    </row>
    <row r="423" spans="1:16">
      <c r="A423" t="s">
        <v>453</v>
      </c>
      <c r="B423" s="2">
        <v>45767</v>
      </c>
      <c r="C423" t="s">
        <v>17</v>
      </c>
      <c r="D423" t="s">
        <v>28</v>
      </c>
      <c r="E423" t="s">
        <v>19</v>
      </c>
      <c r="F423" t="s">
        <v>41</v>
      </c>
      <c r="G423" t="s">
        <v>26</v>
      </c>
      <c r="H423">
        <v>1</v>
      </c>
      <c r="I423">
        <v>0</v>
      </c>
      <c r="J423">
        <v>0</v>
      </c>
      <c r="K423">
        <v>0</v>
      </c>
      <c r="L423">
        <v>0</v>
      </c>
      <c r="M423">
        <v>0</v>
      </c>
      <c r="N423">
        <v>0</v>
      </c>
      <c r="P423">
        <v>42.6</v>
      </c>
    </row>
    <row r="424" spans="1:16">
      <c r="A424" t="s">
        <v>454</v>
      </c>
      <c r="B424" s="2">
        <v>45807</v>
      </c>
      <c r="C424" t="s">
        <v>17</v>
      </c>
      <c r="D424" t="s">
        <v>32</v>
      </c>
      <c r="E424" t="s">
        <v>34</v>
      </c>
      <c r="F424" t="s">
        <v>25</v>
      </c>
      <c r="G424" t="s">
        <v>26</v>
      </c>
      <c r="H424">
        <v>0</v>
      </c>
      <c r="I424">
        <v>0</v>
      </c>
      <c r="J424">
        <v>0</v>
      </c>
      <c r="K424">
        <v>0</v>
      </c>
      <c r="L424">
        <v>0</v>
      </c>
      <c r="M424">
        <v>0</v>
      </c>
      <c r="N424">
        <v>0</v>
      </c>
      <c r="P424">
        <v>74.400000000000006</v>
      </c>
    </row>
    <row r="425" spans="1:16">
      <c r="A425" t="s">
        <v>455</v>
      </c>
      <c r="B425" s="2">
        <v>45701</v>
      </c>
      <c r="C425" t="s">
        <v>17</v>
      </c>
      <c r="D425" t="s">
        <v>23</v>
      </c>
      <c r="E425" t="s">
        <v>24</v>
      </c>
      <c r="F425" t="s">
        <v>39</v>
      </c>
      <c r="G425" t="s">
        <v>26</v>
      </c>
      <c r="H425">
        <v>0</v>
      </c>
      <c r="I425">
        <v>0</v>
      </c>
      <c r="J425">
        <v>0</v>
      </c>
      <c r="K425">
        <v>0</v>
      </c>
      <c r="L425">
        <v>0</v>
      </c>
      <c r="M425">
        <v>0</v>
      </c>
      <c r="N425">
        <v>0</v>
      </c>
      <c r="P425">
        <v>55.6</v>
      </c>
    </row>
    <row r="426" spans="1:16">
      <c r="A426" t="s">
        <v>456</v>
      </c>
      <c r="B426" s="2">
        <v>45775</v>
      </c>
      <c r="C426" t="s">
        <v>17</v>
      </c>
      <c r="D426" t="s">
        <v>23</v>
      </c>
      <c r="E426" t="s">
        <v>24</v>
      </c>
      <c r="F426" t="s">
        <v>41</v>
      </c>
      <c r="G426" t="s">
        <v>26</v>
      </c>
      <c r="H426">
        <v>1</v>
      </c>
      <c r="I426">
        <v>0</v>
      </c>
      <c r="J426">
        <v>0</v>
      </c>
      <c r="K426">
        <v>0</v>
      </c>
      <c r="L426">
        <v>0</v>
      </c>
      <c r="M426">
        <v>0</v>
      </c>
      <c r="N426">
        <v>0</v>
      </c>
      <c r="P426">
        <v>35.799999999999997</v>
      </c>
    </row>
    <row r="427" spans="1:16">
      <c r="A427" t="s">
        <v>457</v>
      </c>
      <c r="B427" s="2">
        <v>45700</v>
      </c>
      <c r="C427" t="s">
        <v>17</v>
      </c>
      <c r="D427" t="s">
        <v>18</v>
      </c>
      <c r="E427" t="s">
        <v>24</v>
      </c>
      <c r="F427" t="s">
        <v>29</v>
      </c>
      <c r="G427" t="s">
        <v>21</v>
      </c>
      <c r="H427">
        <v>1</v>
      </c>
      <c r="I427">
        <v>0</v>
      </c>
      <c r="J427">
        <v>0</v>
      </c>
      <c r="K427">
        <v>0</v>
      </c>
      <c r="L427">
        <v>0</v>
      </c>
      <c r="M427">
        <v>1</v>
      </c>
      <c r="N427">
        <v>0</v>
      </c>
      <c r="P427">
        <v>28.2</v>
      </c>
    </row>
    <row r="428" spans="1:16">
      <c r="A428" t="s">
        <v>458</v>
      </c>
      <c r="B428" s="2">
        <v>45700</v>
      </c>
      <c r="C428" t="s">
        <v>17</v>
      </c>
      <c r="D428" t="s">
        <v>28</v>
      </c>
      <c r="E428" t="s">
        <v>24</v>
      </c>
      <c r="F428" t="s">
        <v>25</v>
      </c>
      <c r="G428" t="s">
        <v>26</v>
      </c>
      <c r="H428">
        <v>0</v>
      </c>
      <c r="I428">
        <v>0</v>
      </c>
      <c r="J428">
        <v>0</v>
      </c>
      <c r="K428">
        <v>0</v>
      </c>
      <c r="L428">
        <v>0</v>
      </c>
      <c r="M428">
        <v>2</v>
      </c>
      <c r="N428">
        <v>0</v>
      </c>
      <c r="P428">
        <v>44.4</v>
      </c>
    </row>
    <row r="429" spans="1:16">
      <c r="A429" t="s">
        <v>459</v>
      </c>
      <c r="B429" s="2">
        <v>45743</v>
      </c>
      <c r="C429" t="s">
        <v>17</v>
      </c>
      <c r="D429" t="s">
        <v>18</v>
      </c>
      <c r="E429" t="s">
        <v>24</v>
      </c>
      <c r="F429" t="s">
        <v>20</v>
      </c>
      <c r="G429" t="s">
        <v>30</v>
      </c>
      <c r="H429">
        <v>1</v>
      </c>
      <c r="I429">
        <v>0</v>
      </c>
      <c r="J429">
        <v>0</v>
      </c>
      <c r="K429">
        <v>0</v>
      </c>
      <c r="L429">
        <v>0</v>
      </c>
      <c r="M429">
        <v>0</v>
      </c>
      <c r="N429">
        <v>0</v>
      </c>
      <c r="P429">
        <v>49.9</v>
      </c>
    </row>
    <row r="430" spans="1:16">
      <c r="A430" t="s">
        <v>460</v>
      </c>
      <c r="B430" s="2">
        <v>45759</v>
      </c>
      <c r="C430" t="s">
        <v>17</v>
      </c>
      <c r="D430" t="s">
        <v>32</v>
      </c>
      <c r="E430" t="s">
        <v>19</v>
      </c>
      <c r="F430" t="s">
        <v>25</v>
      </c>
      <c r="G430" t="s">
        <v>26</v>
      </c>
      <c r="H430">
        <v>0</v>
      </c>
      <c r="I430">
        <v>0</v>
      </c>
      <c r="J430">
        <v>0</v>
      </c>
      <c r="K430">
        <v>0</v>
      </c>
      <c r="L430">
        <v>0</v>
      </c>
      <c r="M430">
        <v>0</v>
      </c>
      <c r="N430">
        <v>0</v>
      </c>
      <c r="P430">
        <v>40.4</v>
      </c>
    </row>
    <row r="431" spans="1:16">
      <c r="A431" t="s">
        <v>461</v>
      </c>
      <c r="B431" s="2">
        <v>45687</v>
      </c>
      <c r="C431" t="s">
        <v>17</v>
      </c>
      <c r="D431" t="s">
        <v>23</v>
      </c>
      <c r="E431" t="s">
        <v>24</v>
      </c>
      <c r="F431" t="s">
        <v>41</v>
      </c>
      <c r="G431" t="s">
        <v>26</v>
      </c>
      <c r="H431">
        <v>0</v>
      </c>
      <c r="I431">
        <v>0</v>
      </c>
      <c r="J431">
        <v>0</v>
      </c>
      <c r="K431">
        <v>0</v>
      </c>
      <c r="L431">
        <v>0</v>
      </c>
      <c r="M431">
        <v>0</v>
      </c>
      <c r="N431">
        <v>0</v>
      </c>
      <c r="P431">
        <v>60.4</v>
      </c>
    </row>
    <row r="432" spans="1:16">
      <c r="A432" t="s">
        <v>462</v>
      </c>
      <c r="B432" s="2">
        <v>45805</v>
      </c>
      <c r="C432" t="s">
        <v>17</v>
      </c>
      <c r="D432" t="s">
        <v>23</v>
      </c>
      <c r="E432" t="s">
        <v>24</v>
      </c>
      <c r="F432" t="s">
        <v>41</v>
      </c>
      <c r="G432" t="s">
        <v>30</v>
      </c>
      <c r="H432">
        <v>0</v>
      </c>
      <c r="I432">
        <v>0</v>
      </c>
      <c r="J432">
        <v>0</v>
      </c>
      <c r="K432">
        <v>0</v>
      </c>
      <c r="L432">
        <v>0</v>
      </c>
      <c r="M432">
        <v>1</v>
      </c>
      <c r="N432">
        <v>0</v>
      </c>
      <c r="P432">
        <v>52.4</v>
      </c>
    </row>
    <row r="433" spans="1:16">
      <c r="A433" t="s">
        <v>463</v>
      </c>
      <c r="B433" s="2">
        <v>45778</v>
      </c>
      <c r="C433" t="s">
        <v>17</v>
      </c>
      <c r="D433" t="s">
        <v>32</v>
      </c>
      <c r="E433" t="s">
        <v>24</v>
      </c>
      <c r="F433" t="s">
        <v>25</v>
      </c>
      <c r="G433" t="s">
        <v>21</v>
      </c>
      <c r="H433">
        <v>1</v>
      </c>
      <c r="I433">
        <v>1</v>
      </c>
      <c r="J433">
        <v>0</v>
      </c>
      <c r="K433">
        <v>0</v>
      </c>
      <c r="L433">
        <v>0</v>
      </c>
      <c r="M433">
        <v>0</v>
      </c>
      <c r="N433">
        <v>0</v>
      </c>
      <c r="P433">
        <v>48.8</v>
      </c>
    </row>
    <row r="434" spans="1:16">
      <c r="A434" t="s">
        <v>464</v>
      </c>
      <c r="B434" s="2">
        <v>45691</v>
      </c>
      <c r="C434" t="s">
        <v>17</v>
      </c>
      <c r="D434" t="s">
        <v>18</v>
      </c>
      <c r="E434" t="s">
        <v>34</v>
      </c>
      <c r="F434" t="s">
        <v>20</v>
      </c>
      <c r="G434" t="s">
        <v>21</v>
      </c>
      <c r="H434">
        <v>1</v>
      </c>
      <c r="I434">
        <v>0</v>
      </c>
      <c r="J434">
        <v>0</v>
      </c>
      <c r="K434">
        <v>0</v>
      </c>
      <c r="L434">
        <v>0</v>
      </c>
      <c r="M434">
        <v>0</v>
      </c>
      <c r="N434">
        <v>0</v>
      </c>
      <c r="P434">
        <v>60.9</v>
      </c>
    </row>
    <row r="435" spans="1:16">
      <c r="A435" t="s">
        <v>465</v>
      </c>
      <c r="B435" s="2">
        <v>45667</v>
      </c>
      <c r="C435" t="s">
        <v>17</v>
      </c>
      <c r="D435" t="s">
        <v>32</v>
      </c>
      <c r="E435" t="s">
        <v>19</v>
      </c>
      <c r="F435" t="s">
        <v>41</v>
      </c>
      <c r="G435" t="s">
        <v>21</v>
      </c>
      <c r="H435">
        <v>0</v>
      </c>
      <c r="I435">
        <v>0</v>
      </c>
      <c r="J435">
        <v>0</v>
      </c>
      <c r="K435">
        <v>0</v>
      </c>
      <c r="L435">
        <v>0</v>
      </c>
      <c r="M435">
        <v>0</v>
      </c>
      <c r="N435">
        <v>0</v>
      </c>
      <c r="P435">
        <v>68.2</v>
      </c>
    </row>
    <row r="436" spans="1:16">
      <c r="A436" t="s">
        <v>466</v>
      </c>
      <c r="B436" s="2">
        <v>45779</v>
      </c>
      <c r="C436" t="s">
        <v>17</v>
      </c>
      <c r="D436" t="s">
        <v>18</v>
      </c>
      <c r="E436" t="s">
        <v>19</v>
      </c>
      <c r="F436" t="s">
        <v>25</v>
      </c>
      <c r="G436" t="s">
        <v>21</v>
      </c>
      <c r="H436">
        <v>1</v>
      </c>
      <c r="I436">
        <v>0</v>
      </c>
      <c r="J436">
        <v>0</v>
      </c>
      <c r="K436">
        <v>0</v>
      </c>
      <c r="L436">
        <v>0</v>
      </c>
      <c r="M436">
        <v>0</v>
      </c>
      <c r="N436">
        <v>0</v>
      </c>
      <c r="P436">
        <v>65.599999999999994</v>
      </c>
    </row>
    <row r="437" spans="1:16">
      <c r="A437" t="s">
        <v>467</v>
      </c>
      <c r="B437" s="2">
        <v>45803</v>
      </c>
      <c r="C437" t="s">
        <v>17</v>
      </c>
      <c r="D437" t="s">
        <v>18</v>
      </c>
      <c r="E437" t="s">
        <v>19</v>
      </c>
      <c r="F437" t="s">
        <v>25</v>
      </c>
      <c r="G437" t="s">
        <v>21</v>
      </c>
      <c r="H437">
        <v>1</v>
      </c>
      <c r="I437">
        <v>0</v>
      </c>
      <c r="J437">
        <v>0</v>
      </c>
      <c r="K437">
        <v>0</v>
      </c>
      <c r="L437">
        <v>0</v>
      </c>
      <c r="M437">
        <v>0</v>
      </c>
      <c r="N437">
        <v>0</v>
      </c>
      <c r="P437">
        <v>65.400000000000006</v>
      </c>
    </row>
    <row r="438" spans="1:16">
      <c r="A438" t="s">
        <v>468</v>
      </c>
      <c r="B438" s="2">
        <v>45669</v>
      </c>
      <c r="C438" t="s">
        <v>17</v>
      </c>
      <c r="D438" t="s">
        <v>23</v>
      </c>
      <c r="E438" t="s">
        <v>24</v>
      </c>
      <c r="F438" t="s">
        <v>25</v>
      </c>
      <c r="G438" t="s">
        <v>21</v>
      </c>
      <c r="H438">
        <v>1</v>
      </c>
      <c r="I438">
        <v>0</v>
      </c>
      <c r="J438">
        <v>0</v>
      </c>
      <c r="K438">
        <v>0</v>
      </c>
      <c r="L438">
        <v>0</v>
      </c>
      <c r="M438">
        <v>0</v>
      </c>
      <c r="N438">
        <v>0</v>
      </c>
      <c r="P438">
        <v>78.900000000000006</v>
      </c>
    </row>
    <row r="439" spans="1:16">
      <c r="A439" t="s">
        <v>469</v>
      </c>
      <c r="B439" s="2">
        <v>45804</v>
      </c>
      <c r="C439" t="s">
        <v>17</v>
      </c>
      <c r="D439" t="s">
        <v>28</v>
      </c>
      <c r="E439" t="s">
        <v>24</v>
      </c>
      <c r="F439" t="s">
        <v>29</v>
      </c>
      <c r="G439" t="s">
        <v>21</v>
      </c>
      <c r="H439">
        <v>1</v>
      </c>
      <c r="I439">
        <v>1</v>
      </c>
      <c r="J439">
        <v>1</v>
      </c>
      <c r="K439">
        <v>0</v>
      </c>
      <c r="L439">
        <v>0</v>
      </c>
      <c r="M439">
        <v>0</v>
      </c>
      <c r="N439">
        <v>0</v>
      </c>
      <c r="P439">
        <v>78.3</v>
      </c>
    </row>
    <row r="440" spans="1:16">
      <c r="A440" t="s">
        <v>470</v>
      </c>
      <c r="B440" s="2">
        <v>45799</v>
      </c>
      <c r="C440" t="s">
        <v>17</v>
      </c>
      <c r="D440" t="s">
        <v>23</v>
      </c>
      <c r="E440" t="s">
        <v>19</v>
      </c>
      <c r="F440" t="s">
        <v>20</v>
      </c>
      <c r="G440" t="s">
        <v>21</v>
      </c>
      <c r="H440">
        <v>0</v>
      </c>
      <c r="I440">
        <v>0</v>
      </c>
      <c r="J440">
        <v>0</v>
      </c>
      <c r="K440">
        <v>0</v>
      </c>
      <c r="L440">
        <v>0</v>
      </c>
      <c r="M440">
        <v>0</v>
      </c>
      <c r="N440">
        <v>0</v>
      </c>
      <c r="P440">
        <v>49.2</v>
      </c>
    </row>
    <row r="441" spans="1:16">
      <c r="A441" t="s">
        <v>471</v>
      </c>
      <c r="B441" s="2">
        <v>45748</v>
      </c>
      <c r="C441" t="s">
        <v>17</v>
      </c>
      <c r="D441" t="s">
        <v>28</v>
      </c>
      <c r="E441" t="s">
        <v>24</v>
      </c>
      <c r="F441" t="s">
        <v>41</v>
      </c>
      <c r="G441" t="s">
        <v>30</v>
      </c>
      <c r="H441">
        <v>1</v>
      </c>
      <c r="I441">
        <v>1</v>
      </c>
      <c r="J441">
        <v>1</v>
      </c>
      <c r="K441">
        <v>1</v>
      </c>
      <c r="L441">
        <v>1518.83</v>
      </c>
      <c r="M441">
        <v>0</v>
      </c>
      <c r="N441">
        <v>0</v>
      </c>
      <c r="O441">
        <v>9</v>
      </c>
      <c r="P441">
        <v>32.200000000000003</v>
      </c>
    </row>
    <row r="442" spans="1:16">
      <c r="A442" t="s">
        <v>472</v>
      </c>
      <c r="B442" s="2">
        <v>45679</v>
      </c>
      <c r="C442" t="s">
        <v>17</v>
      </c>
      <c r="D442" t="s">
        <v>18</v>
      </c>
      <c r="E442" t="s">
        <v>24</v>
      </c>
      <c r="F442" t="s">
        <v>29</v>
      </c>
      <c r="G442" t="s">
        <v>21</v>
      </c>
      <c r="H442">
        <v>1</v>
      </c>
      <c r="I442">
        <v>1</v>
      </c>
      <c r="J442">
        <v>1</v>
      </c>
      <c r="K442">
        <v>0</v>
      </c>
      <c r="L442">
        <v>0</v>
      </c>
      <c r="M442">
        <v>0</v>
      </c>
      <c r="N442">
        <v>0</v>
      </c>
      <c r="P442">
        <v>46.3</v>
      </c>
    </row>
    <row r="443" spans="1:16">
      <c r="A443" t="s">
        <v>473</v>
      </c>
      <c r="B443" s="2">
        <v>45801</v>
      </c>
      <c r="C443" t="s">
        <v>17</v>
      </c>
      <c r="D443" t="s">
        <v>28</v>
      </c>
      <c r="E443" t="s">
        <v>24</v>
      </c>
      <c r="F443" t="s">
        <v>29</v>
      </c>
      <c r="G443" t="s">
        <v>21</v>
      </c>
      <c r="H443">
        <v>1</v>
      </c>
      <c r="I443">
        <v>0</v>
      </c>
      <c r="J443">
        <v>0</v>
      </c>
      <c r="K443">
        <v>0</v>
      </c>
      <c r="L443">
        <v>0</v>
      </c>
      <c r="M443">
        <v>0</v>
      </c>
      <c r="N443">
        <v>0</v>
      </c>
      <c r="P443">
        <v>55.7</v>
      </c>
    </row>
    <row r="444" spans="1:16">
      <c r="A444" t="s">
        <v>474</v>
      </c>
      <c r="B444" s="2">
        <v>45772</v>
      </c>
      <c r="C444" t="s">
        <v>17</v>
      </c>
      <c r="D444" t="s">
        <v>32</v>
      </c>
      <c r="E444" t="s">
        <v>24</v>
      </c>
      <c r="F444" t="s">
        <v>41</v>
      </c>
      <c r="G444" t="s">
        <v>26</v>
      </c>
      <c r="H444">
        <v>1</v>
      </c>
      <c r="I444">
        <v>0</v>
      </c>
      <c r="J444">
        <v>0</v>
      </c>
      <c r="K444">
        <v>0</v>
      </c>
      <c r="L444">
        <v>0</v>
      </c>
      <c r="M444">
        <v>0</v>
      </c>
      <c r="N444">
        <v>0</v>
      </c>
      <c r="P444">
        <v>44.5</v>
      </c>
    </row>
    <row r="445" spans="1:16">
      <c r="A445" t="s">
        <v>475</v>
      </c>
      <c r="B445" s="2">
        <v>45759</v>
      </c>
      <c r="C445" t="s">
        <v>17</v>
      </c>
      <c r="D445" t="s">
        <v>23</v>
      </c>
      <c r="E445" t="s">
        <v>19</v>
      </c>
      <c r="F445" t="s">
        <v>39</v>
      </c>
      <c r="G445" t="s">
        <v>26</v>
      </c>
      <c r="H445">
        <v>1</v>
      </c>
      <c r="I445">
        <v>1</v>
      </c>
      <c r="J445">
        <v>1</v>
      </c>
      <c r="K445">
        <v>0</v>
      </c>
      <c r="L445">
        <v>0</v>
      </c>
      <c r="M445">
        <v>1</v>
      </c>
      <c r="N445">
        <v>0</v>
      </c>
      <c r="P445">
        <v>47.9</v>
      </c>
    </row>
    <row r="446" spans="1:16">
      <c r="A446" t="s">
        <v>476</v>
      </c>
      <c r="B446" s="2">
        <v>45770</v>
      </c>
      <c r="C446" t="s">
        <v>17</v>
      </c>
      <c r="D446" t="s">
        <v>32</v>
      </c>
      <c r="E446" t="s">
        <v>24</v>
      </c>
      <c r="F446" t="s">
        <v>25</v>
      </c>
      <c r="G446" t="s">
        <v>30</v>
      </c>
      <c r="H446">
        <v>1</v>
      </c>
      <c r="I446">
        <v>0</v>
      </c>
      <c r="J446">
        <v>0</v>
      </c>
      <c r="K446">
        <v>0</v>
      </c>
      <c r="L446">
        <v>0</v>
      </c>
      <c r="M446">
        <v>0</v>
      </c>
      <c r="N446">
        <v>0</v>
      </c>
      <c r="P446">
        <v>43.9</v>
      </c>
    </row>
    <row r="447" spans="1:16">
      <c r="A447" t="s">
        <v>477</v>
      </c>
      <c r="B447" s="2">
        <v>45746</v>
      </c>
      <c r="C447" t="s">
        <v>17</v>
      </c>
      <c r="D447" t="s">
        <v>18</v>
      </c>
      <c r="E447" t="s">
        <v>19</v>
      </c>
      <c r="F447" t="s">
        <v>39</v>
      </c>
      <c r="G447" t="s">
        <v>26</v>
      </c>
      <c r="H447">
        <v>1</v>
      </c>
      <c r="I447">
        <v>1</v>
      </c>
      <c r="J447">
        <v>1</v>
      </c>
      <c r="K447">
        <v>0</v>
      </c>
      <c r="L447">
        <v>0</v>
      </c>
      <c r="M447">
        <v>1</v>
      </c>
      <c r="N447">
        <v>0</v>
      </c>
      <c r="P447">
        <v>67.7</v>
      </c>
    </row>
    <row r="448" spans="1:16">
      <c r="A448" t="s">
        <v>478</v>
      </c>
      <c r="B448" s="2">
        <v>45675</v>
      </c>
      <c r="C448" t="s">
        <v>17</v>
      </c>
      <c r="D448" t="s">
        <v>28</v>
      </c>
      <c r="E448" t="s">
        <v>24</v>
      </c>
      <c r="F448" t="s">
        <v>39</v>
      </c>
      <c r="G448" t="s">
        <v>21</v>
      </c>
      <c r="H448">
        <v>0</v>
      </c>
      <c r="I448">
        <v>0</v>
      </c>
      <c r="J448">
        <v>0</v>
      </c>
      <c r="K448">
        <v>0</v>
      </c>
      <c r="L448">
        <v>0</v>
      </c>
      <c r="M448">
        <v>0</v>
      </c>
      <c r="N448">
        <v>0</v>
      </c>
      <c r="P448">
        <v>43.7</v>
      </c>
    </row>
    <row r="449" spans="1:16">
      <c r="A449" t="s">
        <v>479</v>
      </c>
      <c r="B449" s="2">
        <v>45756</v>
      </c>
      <c r="C449" t="s">
        <v>17</v>
      </c>
      <c r="D449" t="s">
        <v>28</v>
      </c>
      <c r="E449" t="s">
        <v>24</v>
      </c>
      <c r="F449" t="s">
        <v>25</v>
      </c>
      <c r="G449" t="s">
        <v>26</v>
      </c>
      <c r="H449">
        <v>1</v>
      </c>
      <c r="I449">
        <v>0</v>
      </c>
      <c r="J449">
        <v>0</v>
      </c>
      <c r="K449">
        <v>0</v>
      </c>
      <c r="L449">
        <v>0</v>
      </c>
      <c r="M449">
        <v>0</v>
      </c>
      <c r="N449">
        <v>0</v>
      </c>
      <c r="P449">
        <v>68.8</v>
      </c>
    </row>
    <row r="450" spans="1:16">
      <c r="A450" t="s">
        <v>480</v>
      </c>
      <c r="B450" s="2">
        <v>45668</v>
      </c>
      <c r="C450" t="s">
        <v>17</v>
      </c>
      <c r="D450" t="s">
        <v>23</v>
      </c>
      <c r="E450" t="s">
        <v>24</v>
      </c>
      <c r="F450" t="s">
        <v>25</v>
      </c>
      <c r="G450" t="s">
        <v>26</v>
      </c>
      <c r="H450">
        <v>1</v>
      </c>
      <c r="I450">
        <v>1</v>
      </c>
      <c r="J450">
        <v>1</v>
      </c>
      <c r="K450">
        <v>0</v>
      </c>
      <c r="L450">
        <v>0</v>
      </c>
      <c r="M450">
        <v>0</v>
      </c>
      <c r="N450">
        <v>0</v>
      </c>
      <c r="P450">
        <v>59.2</v>
      </c>
    </row>
    <row r="451" spans="1:16">
      <c r="A451" t="s">
        <v>481</v>
      </c>
      <c r="B451" s="2">
        <v>45721</v>
      </c>
      <c r="C451" t="s">
        <v>17</v>
      </c>
      <c r="D451" t="s">
        <v>28</v>
      </c>
      <c r="E451" t="s">
        <v>24</v>
      </c>
      <c r="F451" t="s">
        <v>29</v>
      </c>
      <c r="G451" t="s">
        <v>26</v>
      </c>
      <c r="H451">
        <v>1</v>
      </c>
      <c r="I451">
        <v>0</v>
      </c>
      <c r="J451">
        <v>0</v>
      </c>
      <c r="K451">
        <v>0</v>
      </c>
      <c r="L451">
        <v>0</v>
      </c>
      <c r="M451">
        <v>0</v>
      </c>
      <c r="N451">
        <v>0</v>
      </c>
      <c r="P451">
        <v>48.6</v>
      </c>
    </row>
    <row r="452" spans="1:16">
      <c r="A452" t="s">
        <v>482</v>
      </c>
      <c r="B452" s="2">
        <v>45705</v>
      </c>
      <c r="C452" t="s">
        <v>17</v>
      </c>
      <c r="D452" t="s">
        <v>18</v>
      </c>
      <c r="E452" t="s">
        <v>34</v>
      </c>
      <c r="F452" t="s">
        <v>41</v>
      </c>
      <c r="G452" t="s">
        <v>26</v>
      </c>
      <c r="H452">
        <v>1</v>
      </c>
      <c r="I452">
        <v>1</v>
      </c>
      <c r="J452">
        <v>1</v>
      </c>
      <c r="K452">
        <v>0</v>
      </c>
      <c r="L452">
        <v>0</v>
      </c>
      <c r="M452">
        <v>0</v>
      </c>
      <c r="N452">
        <v>0</v>
      </c>
      <c r="P452">
        <v>56.9</v>
      </c>
    </row>
    <row r="453" spans="1:16">
      <c r="A453" t="s">
        <v>483</v>
      </c>
      <c r="B453" s="2">
        <v>45784</v>
      </c>
      <c r="C453" t="s">
        <v>17</v>
      </c>
      <c r="D453" t="s">
        <v>18</v>
      </c>
      <c r="E453" t="s">
        <v>19</v>
      </c>
      <c r="F453" t="s">
        <v>29</v>
      </c>
      <c r="G453" t="s">
        <v>26</v>
      </c>
      <c r="H453">
        <v>0</v>
      </c>
      <c r="I453">
        <v>0</v>
      </c>
      <c r="J453">
        <v>0</v>
      </c>
      <c r="K453">
        <v>0</v>
      </c>
      <c r="L453">
        <v>0</v>
      </c>
      <c r="M453">
        <v>0</v>
      </c>
      <c r="N453">
        <v>0</v>
      </c>
      <c r="P453">
        <v>55.8</v>
      </c>
    </row>
    <row r="454" spans="1:16">
      <c r="A454" t="s">
        <v>484</v>
      </c>
      <c r="B454" s="2">
        <v>45757</v>
      </c>
      <c r="C454" t="s">
        <v>17</v>
      </c>
      <c r="D454" t="s">
        <v>28</v>
      </c>
      <c r="E454" t="s">
        <v>24</v>
      </c>
      <c r="F454" t="s">
        <v>29</v>
      </c>
      <c r="G454" t="s">
        <v>30</v>
      </c>
      <c r="H454">
        <v>0</v>
      </c>
      <c r="I454">
        <v>0</v>
      </c>
      <c r="J454">
        <v>0</v>
      </c>
      <c r="K454">
        <v>0</v>
      </c>
      <c r="L454">
        <v>0</v>
      </c>
      <c r="M454">
        <v>0</v>
      </c>
      <c r="N454">
        <v>0</v>
      </c>
      <c r="P454">
        <v>63.3</v>
      </c>
    </row>
    <row r="455" spans="1:16">
      <c r="A455" t="s">
        <v>485</v>
      </c>
      <c r="B455" s="2">
        <v>45768</v>
      </c>
      <c r="C455" t="s">
        <v>17</v>
      </c>
      <c r="D455" t="s">
        <v>18</v>
      </c>
      <c r="E455" t="s">
        <v>24</v>
      </c>
      <c r="F455" t="s">
        <v>41</v>
      </c>
      <c r="G455" t="s">
        <v>26</v>
      </c>
      <c r="H455">
        <v>1</v>
      </c>
      <c r="I455">
        <v>0</v>
      </c>
      <c r="J455">
        <v>0</v>
      </c>
      <c r="K455">
        <v>0</v>
      </c>
      <c r="L455">
        <v>0</v>
      </c>
      <c r="M455">
        <v>0</v>
      </c>
      <c r="N455">
        <v>0</v>
      </c>
      <c r="P455">
        <v>52.2</v>
      </c>
    </row>
    <row r="456" spans="1:16">
      <c r="A456" t="s">
        <v>486</v>
      </c>
      <c r="B456" s="2">
        <v>45713</v>
      </c>
      <c r="C456" t="s">
        <v>17</v>
      </c>
      <c r="D456" t="s">
        <v>32</v>
      </c>
      <c r="E456" t="s">
        <v>34</v>
      </c>
      <c r="G456" t="s">
        <v>26</v>
      </c>
      <c r="H456">
        <v>0</v>
      </c>
      <c r="I456">
        <v>0</v>
      </c>
      <c r="J456">
        <v>0</v>
      </c>
      <c r="K456">
        <v>0</v>
      </c>
      <c r="L456">
        <v>0</v>
      </c>
      <c r="M456">
        <v>0</v>
      </c>
      <c r="N456">
        <v>0</v>
      </c>
      <c r="P456">
        <v>51.5</v>
      </c>
    </row>
    <row r="457" spans="1:16">
      <c r="A457" t="s">
        <v>487</v>
      </c>
      <c r="B457" s="2">
        <v>45791</v>
      </c>
      <c r="C457" t="s">
        <v>17</v>
      </c>
      <c r="D457" t="s">
        <v>28</v>
      </c>
      <c r="E457" t="s">
        <v>19</v>
      </c>
      <c r="F457" t="s">
        <v>25</v>
      </c>
      <c r="G457" t="s">
        <v>26</v>
      </c>
      <c r="H457">
        <v>0</v>
      </c>
      <c r="I457">
        <v>0</v>
      </c>
      <c r="J457">
        <v>0</v>
      </c>
      <c r="K457">
        <v>0</v>
      </c>
      <c r="L457">
        <v>0</v>
      </c>
      <c r="M457">
        <v>0</v>
      </c>
      <c r="N457">
        <v>0</v>
      </c>
      <c r="P457">
        <v>50.3</v>
      </c>
    </row>
    <row r="458" spans="1:16">
      <c r="A458" t="s">
        <v>488</v>
      </c>
      <c r="B458" s="2">
        <v>45726</v>
      </c>
      <c r="C458" t="s">
        <v>17</v>
      </c>
      <c r="D458" t="s">
        <v>18</v>
      </c>
      <c r="E458" t="s">
        <v>24</v>
      </c>
      <c r="F458" t="s">
        <v>20</v>
      </c>
      <c r="G458" t="s">
        <v>21</v>
      </c>
      <c r="H458">
        <v>1</v>
      </c>
      <c r="I458">
        <v>0</v>
      </c>
      <c r="J458">
        <v>0</v>
      </c>
      <c r="K458">
        <v>0</v>
      </c>
      <c r="L458">
        <v>0</v>
      </c>
      <c r="M458">
        <v>1</v>
      </c>
      <c r="N458">
        <v>0</v>
      </c>
      <c r="P458">
        <v>35.4</v>
      </c>
    </row>
    <row r="459" spans="1:16">
      <c r="A459" t="s">
        <v>489</v>
      </c>
      <c r="B459" s="2">
        <v>45688</v>
      </c>
      <c r="C459" t="s">
        <v>17</v>
      </c>
      <c r="D459" t="s">
        <v>23</v>
      </c>
      <c r="E459" t="s">
        <v>19</v>
      </c>
      <c r="F459" t="s">
        <v>25</v>
      </c>
      <c r="G459" t="s">
        <v>30</v>
      </c>
      <c r="H459">
        <v>1</v>
      </c>
      <c r="I459">
        <v>0</v>
      </c>
      <c r="J459">
        <v>0</v>
      </c>
      <c r="K459">
        <v>0</v>
      </c>
      <c r="L459">
        <v>0</v>
      </c>
      <c r="M459">
        <v>1</v>
      </c>
      <c r="N459">
        <v>0</v>
      </c>
      <c r="P459">
        <v>54.1</v>
      </c>
    </row>
    <row r="460" spans="1:16">
      <c r="A460" t="s">
        <v>490</v>
      </c>
      <c r="B460" s="2">
        <v>45674</v>
      </c>
      <c r="C460" t="s">
        <v>17</v>
      </c>
      <c r="D460" t="s">
        <v>32</v>
      </c>
      <c r="E460" t="s">
        <v>24</v>
      </c>
      <c r="F460" t="s">
        <v>25</v>
      </c>
      <c r="G460" t="s">
        <v>30</v>
      </c>
      <c r="H460">
        <v>1</v>
      </c>
      <c r="I460">
        <v>0</v>
      </c>
      <c r="J460">
        <v>0</v>
      </c>
      <c r="K460">
        <v>0</v>
      </c>
      <c r="L460">
        <v>0</v>
      </c>
      <c r="M460">
        <v>0</v>
      </c>
      <c r="N460">
        <v>0</v>
      </c>
      <c r="P460">
        <v>56.2</v>
      </c>
    </row>
    <row r="461" spans="1:16">
      <c r="A461" t="s">
        <v>491</v>
      </c>
      <c r="B461" s="2">
        <v>45728</v>
      </c>
      <c r="C461" t="s">
        <v>17</v>
      </c>
      <c r="D461" t="s">
        <v>32</v>
      </c>
      <c r="E461" t="s">
        <v>24</v>
      </c>
      <c r="F461" t="s">
        <v>29</v>
      </c>
      <c r="G461" t="s">
        <v>26</v>
      </c>
      <c r="H461">
        <v>0</v>
      </c>
      <c r="I461">
        <v>0</v>
      </c>
      <c r="J461">
        <v>0</v>
      </c>
      <c r="K461">
        <v>0</v>
      </c>
      <c r="L461">
        <v>0</v>
      </c>
      <c r="M461">
        <v>3</v>
      </c>
      <c r="N461">
        <v>0</v>
      </c>
      <c r="P461">
        <v>43.7</v>
      </c>
    </row>
    <row r="462" spans="1:16">
      <c r="A462" t="s">
        <v>492</v>
      </c>
      <c r="B462" s="2">
        <v>45716</v>
      </c>
      <c r="C462" t="s">
        <v>17</v>
      </c>
      <c r="D462" t="s">
        <v>23</v>
      </c>
      <c r="E462" t="s">
        <v>19</v>
      </c>
      <c r="F462" t="s">
        <v>25</v>
      </c>
      <c r="G462" t="s">
        <v>30</v>
      </c>
      <c r="H462">
        <v>1</v>
      </c>
      <c r="I462">
        <v>1</v>
      </c>
      <c r="J462">
        <v>0</v>
      </c>
      <c r="K462">
        <v>0</v>
      </c>
      <c r="L462">
        <v>0</v>
      </c>
      <c r="M462">
        <v>0</v>
      </c>
      <c r="N462">
        <v>0</v>
      </c>
      <c r="P462">
        <v>51.3</v>
      </c>
    </row>
    <row r="463" spans="1:16">
      <c r="A463" t="s">
        <v>493</v>
      </c>
      <c r="B463" s="2">
        <v>45796</v>
      </c>
      <c r="C463" t="s">
        <v>17</v>
      </c>
      <c r="D463" t="s">
        <v>18</v>
      </c>
      <c r="F463" t="s">
        <v>25</v>
      </c>
      <c r="G463" t="s">
        <v>21</v>
      </c>
      <c r="H463">
        <v>1</v>
      </c>
      <c r="I463">
        <v>0</v>
      </c>
      <c r="J463">
        <v>0</v>
      </c>
      <c r="K463">
        <v>0</v>
      </c>
      <c r="L463">
        <v>0</v>
      </c>
      <c r="M463">
        <v>0</v>
      </c>
      <c r="N463">
        <v>0</v>
      </c>
      <c r="P463">
        <v>50.5</v>
      </c>
    </row>
    <row r="464" spans="1:16">
      <c r="A464" t="s">
        <v>494</v>
      </c>
      <c r="B464" s="2">
        <v>45711</v>
      </c>
      <c r="C464" t="s">
        <v>17</v>
      </c>
      <c r="D464" t="s">
        <v>18</v>
      </c>
      <c r="E464" t="s">
        <v>24</v>
      </c>
      <c r="F464" t="s">
        <v>39</v>
      </c>
      <c r="G464" t="s">
        <v>21</v>
      </c>
      <c r="H464">
        <v>1</v>
      </c>
      <c r="I464">
        <v>0</v>
      </c>
      <c r="J464">
        <v>0</v>
      </c>
      <c r="K464">
        <v>0</v>
      </c>
      <c r="L464">
        <v>0</v>
      </c>
      <c r="M464">
        <v>0</v>
      </c>
      <c r="N464">
        <v>0</v>
      </c>
      <c r="P464">
        <v>57.3</v>
      </c>
    </row>
    <row r="465" spans="1:16">
      <c r="A465" t="s">
        <v>495</v>
      </c>
      <c r="B465" s="2">
        <v>45708</v>
      </c>
      <c r="C465" t="s">
        <v>17</v>
      </c>
      <c r="D465" t="s">
        <v>23</v>
      </c>
      <c r="E465" t="s">
        <v>19</v>
      </c>
      <c r="F465" t="s">
        <v>25</v>
      </c>
      <c r="G465" t="s">
        <v>26</v>
      </c>
      <c r="H465">
        <v>1</v>
      </c>
      <c r="I465">
        <v>1</v>
      </c>
      <c r="J465">
        <v>1</v>
      </c>
      <c r="K465">
        <v>0</v>
      </c>
      <c r="L465">
        <v>0</v>
      </c>
      <c r="M465">
        <v>0</v>
      </c>
      <c r="N465">
        <v>0</v>
      </c>
      <c r="P465">
        <v>58.4</v>
      </c>
    </row>
    <row r="466" spans="1:16">
      <c r="A466" t="s">
        <v>496</v>
      </c>
      <c r="B466" s="2">
        <v>45759</v>
      </c>
      <c r="C466" t="s">
        <v>17</v>
      </c>
      <c r="D466" t="s">
        <v>18</v>
      </c>
      <c r="E466" t="s">
        <v>24</v>
      </c>
      <c r="G466" t="s">
        <v>26</v>
      </c>
      <c r="H466">
        <v>0</v>
      </c>
      <c r="I466">
        <v>0</v>
      </c>
      <c r="J466">
        <v>0</v>
      </c>
      <c r="K466">
        <v>0</v>
      </c>
      <c r="L466">
        <v>0</v>
      </c>
      <c r="M466">
        <v>0</v>
      </c>
      <c r="N466">
        <v>0</v>
      </c>
      <c r="P466">
        <v>56.5</v>
      </c>
    </row>
    <row r="467" spans="1:16">
      <c r="A467" t="s">
        <v>497</v>
      </c>
      <c r="B467" s="2">
        <v>45665</v>
      </c>
      <c r="C467" t="s">
        <v>17</v>
      </c>
      <c r="D467" t="s">
        <v>23</v>
      </c>
      <c r="E467" t="s">
        <v>24</v>
      </c>
      <c r="F467" t="s">
        <v>20</v>
      </c>
      <c r="G467" t="s">
        <v>26</v>
      </c>
      <c r="H467">
        <v>0</v>
      </c>
      <c r="I467">
        <v>0</v>
      </c>
      <c r="J467">
        <v>0</v>
      </c>
      <c r="K467">
        <v>0</v>
      </c>
      <c r="L467">
        <v>0</v>
      </c>
      <c r="M467">
        <v>0</v>
      </c>
      <c r="N467">
        <v>0</v>
      </c>
      <c r="P467">
        <v>69.599999999999994</v>
      </c>
    </row>
    <row r="468" spans="1:16">
      <c r="A468" t="s">
        <v>498</v>
      </c>
      <c r="B468" s="2">
        <v>45701</v>
      </c>
      <c r="C468" t="s">
        <v>17</v>
      </c>
      <c r="D468" t="s">
        <v>23</v>
      </c>
      <c r="E468" t="s">
        <v>24</v>
      </c>
      <c r="F468" t="s">
        <v>25</v>
      </c>
      <c r="G468" t="s">
        <v>21</v>
      </c>
      <c r="H468">
        <v>0</v>
      </c>
      <c r="I468">
        <v>0</v>
      </c>
      <c r="J468">
        <v>0</v>
      </c>
      <c r="K468">
        <v>0</v>
      </c>
      <c r="L468">
        <v>0</v>
      </c>
      <c r="M468">
        <v>0</v>
      </c>
      <c r="N468">
        <v>0</v>
      </c>
      <c r="P468">
        <v>6.2</v>
      </c>
    </row>
    <row r="469" spans="1:16">
      <c r="A469" t="s">
        <v>499</v>
      </c>
      <c r="B469" s="2">
        <v>45798</v>
      </c>
      <c r="C469" t="s">
        <v>17</v>
      </c>
      <c r="D469" t="s">
        <v>28</v>
      </c>
      <c r="E469" t="s">
        <v>19</v>
      </c>
      <c r="F469" t="s">
        <v>20</v>
      </c>
      <c r="G469" t="s">
        <v>26</v>
      </c>
      <c r="H469">
        <v>1</v>
      </c>
      <c r="I469">
        <v>1</v>
      </c>
      <c r="J469">
        <v>1</v>
      </c>
      <c r="K469">
        <v>0</v>
      </c>
      <c r="L469">
        <v>0</v>
      </c>
      <c r="M469">
        <v>0</v>
      </c>
      <c r="N469">
        <v>0</v>
      </c>
      <c r="P469">
        <v>54.3</v>
      </c>
    </row>
    <row r="470" spans="1:16">
      <c r="A470" t="s">
        <v>500</v>
      </c>
      <c r="B470" s="2">
        <v>45807</v>
      </c>
      <c r="C470" t="s">
        <v>17</v>
      </c>
      <c r="D470" t="s">
        <v>18</v>
      </c>
      <c r="E470" t="s">
        <v>24</v>
      </c>
      <c r="F470" t="s">
        <v>25</v>
      </c>
      <c r="G470" t="s">
        <v>21</v>
      </c>
      <c r="H470">
        <v>0</v>
      </c>
      <c r="I470">
        <v>0</v>
      </c>
      <c r="J470">
        <v>0</v>
      </c>
      <c r="K470">
        <v>0</v>
      </c>
      <c r="L470">
        <v>0</v>
      </c>
      <c r="M470">
        <v>0</v>
      </c>
      <c r="N470">
        <v>0</v>
      </c>
      <c r="P470">
        <v>59.8</v>
      </c>
    </row>
    <row r="471" spans="1:16">
      <c r="A471" t="s">
        <v>501</v>
      </c>
      <c r="B471" s="2">
        <v>45797</v>
      </c>
      <c r="C471" t="s">
        <v>17</v>
      </c>
      <c r="D471" t="s">
        <v>23</v>
      </c>
      <c r="E471" t="s">
        <v>24</v>
      </c>
      <c r="F471" t="s">
        <v>29</v>
      </c>
      <c r="G471" t="s">
        <v>26</v>
      </c>
      <c r="H471">
        <v>0</v>
      </c>
      <c r="I471">
        <v>0</v>
      </c>
      <c r="J471">
        <v>0</v>
      </c>
      <c r="K471">
        <v>0</v>
      </c>
      <c r="L471">
        <v>0</v>
      </c>
      <c r="M471">
        <v>0</v>
      </c>
      <c r="N471">
        <v>0</v>
      </c>
      <c r="P471">
        <v>58.9</v>
      </c>
    </row>
    <row r="472" spans="1:16">
      <c r="A472" t="s">
        <v>502</v>
      </c>
      <c r="B472" s="2">
        <v>45666</v>
      </c>
      <c r="C472" t="s">
        <v>17</v>
      </c>
      <c r="D472" t="s">
        <v>28</v>
      </c>
      <c r="E472" t="s">
        <v>19</v>
      </c>
      <c r="F472" t="s">
        <v>25</v>
      </c>
      <c r="G472" t="s">
        <v>26</v>
      </c>
      <c r="H472">
        <v>0</v>
      </c>
      <c r="I472">
        <v>0</v>
      </c>
      <c r="J472">
        <v>0</v>
      </c>
      <c r="K472">
        <v>0</v>
      </c>
      <c r="L472">
        <v>0</v>
      </c>
      <c r="M472">
        <v>1</v>
      </c>
      <c r="N472">
        <v>0</v>
      </c>
      <c r="P472">
        <v>52.9</v>
      </c>
    </row>
    <row r="473" spans="1:16">
      <c r="A473" t="s">
        <v>503</v>
      </c>
      <c r="B473" s="2">
        <v>45723</v>
      </c>
      <c r="C473" t="s">
        <v>17</v>
      </c>
      <c r="D473" t="s">
        <v>23</v>
      </c>
      <c r="E473" t="s">
        <v>24</v>
      </c>
      <c r="F473" t="s">
        <v>25</v>
      </c>
      <c r="G473" t="s">
        <v>26</v>
      </c>
      <c r="H473">
        <v>0</v>
      </c>
      <c r="I473">
        <v>0</v>
      </c>
      <c r="J473">
        <v>0</v>
      </c>
      <c r="K473">
        <v>0</v>
      </c>
      <c r="L473">
        <v>0</v>
      </c>
      <c r="M473">
        <v>0</v>
      </c>
      <c r="N473">
        <v>0</v>
      </c>
      <c r="P473">
        <v>67.8</v>
      </c>
    </row>
    <row r="474" spans="1:16">
      <c r="A474" t="s">
        <v>504</v>
      </c>
      <c r="B474" s="2">
        <v>45770</v>
      </c>
      <c r="C474" t="s">
        <v>17</v>
      </c>
      <c r="D474" t="s">
        <v>32</v>
      </c>
      <c r="E474" t="s">
        <v>24</v>
      </c>
      <c r="F474" t="s">
        <v>41</v>
      </c>
      <c r="G474" t="s">
        <v>26</v>
      </c>
      <c r="H474">
        <v>0</v>
      </c>
      <c r="I474">
        <v>0</v>
      </c>
      <c r="J474">
        <v>0</v>
      </c>
      <c r="K474">
        <v>0</v>
      </c>
      <c r="L474">
        <v>0</v>
      </c>
      <c r="M474">
        <v>0</v>
      </c>
      <c r="N474">
        <v>0</v>
      </c>
      <c r="P474">
        <v>48.7</v>
      </c>
    </row>
    <row r="475" spans="1:16">
      <c r="A475" t="s">
        <v>505</v>
      </c>
      <c r="B475" s="2">
        <v>45724</v>
      </c>
      <c r="C475" t="s">
        <v>17</v>
      </c>
      <c r="D475" t="s">
        <v>28</v>
      </c>
      <c r="E475" t="s">
        <v>24</v>
      </c>
      <c r="F475" t="s">
        <v>25</v>
      </c>
      <c r="G475" t="s">
        <v>21</v>
      </c>
      <c r="H475">
        <v>0</v>
      </c>
      <c r="I475">
        <v>0</v>
      </c>
      <c r="J475">
        <v>0</v>
      </c>
      <c r="K475">
        <v>0</v>
      </c>
      <c r="L475">
        <v>0</v>
      </c>
      <c r="M475">
        <v>0</v>
      </c>
      <c r="N475">
        <v>0</v>
      </c>
      <c r="P475">
        <v>59</v>
      </c>
    </row>
    <row r="476" spans="1:16">
      <c r="A476" t="s">
        <v>506</v>
      </c>
      <c r="B476" s="2">
        <v>45702</v>
      </c>
      <c r="C476" t="s">
        <v>17</v>
      </c>
      <c r="D476" t="s">
        <v>32</v>
      </c>
      <c r="E476" t="s">
        <v>24</v>
      </c>
      <c r="F476" t="s">
        <v>39</v>
      </c>
      <c r="G476" t="s">
        <v>26</v>
      </c>
      <c r="H476">
        <v>0</v>
      </c>
      <c r="I476">
        <v>0</v>
      </c>
      <c r="J476">
        <v>0</v>
      </c>
      <c r="K476">
        <v>0</v>
      </c>
      <c r="L476">
        <v>0</v>
      </c>
      <c r="M476">
        <v>0</v>
      </c>
      <c r="N476">
        <v>0</v>
      </c>
      <c r="P476">
        <v>63.2</v>
      </c>
    </row>
    <row r="477" spans="1:16">
      <c r="A477" t="s">
        <v>507</v>
      </c>
      <c r="B477" s="2">
        <v>45794</v>
      </c>
      <c r="C477" t="s">
        <v>17</v>
      </c>
      <c r="D477" t="s">
        <v>23</v>
      </c>
      <c r="E477" t="s">
        <v>24</v>
      </c>
      <c r="F477" t="s">
        <v>39</v>
      </c>
      <c r="G477" t="s">
        <v>21</v>
      </c>
      <c r="H477">
        <v>1</v>
      </c>
      <c r="I477">
        <v>0</v>
      </c>
      <c r="J477">
        <v>0</v>
      </c>
      <c r="K477">
        <v>0</v>
      </c>
      <c r="L477">
        <v>0</v>
      </c>
      <c r="M477">
        <v>0</v>
      </c>
      <c r="N477">
        <v>0</v>
      </c>
      <c r="P477">
        <v>68.7</v>
      </c>
    </row>
    <row r="478" spans="1:16">
      <c r="A478" t="s">
        <v>508</v>
      </c>
      <c r="B478" s="2">
        <v>45772</v>
      </c>
      <c r="C478" t="s">
        <v>17</v>
      </c>
      <c r="D478" t="s">
        <v>32</v>
      </c>
      <c r="E478" t="s">
        <v>24</v>
      </c>
      <c r="F478" t="s">
        <v>39</v>
      </c>
      <c r="G478" t="s">
        <v>26</v>
      </c>
      <c r="H478">
        <v>0</v>
      </c>
      <c r="I478">
        <v>0</v>
      </c>
      <c r="J478">
        <v>0</v>
      </c>
      <c r="K478">
        <v>0</v>
      </c>
      <c r="L478">
        <v>0</v>
      </c>
      <c r="M478">
        <v>0</v>
      </c>
      <c r="N478">
        <v>0</v>
      </c>
      <c r="P478">
        <v>52.1</v>
      </c>
    </row>
    <row r="479" spans="1:16">
      <c r="A479" t="s">
        <v>509</v>
      </c>
      <c r="B479" s="2">
        <v>45720</v>
      </c>
      <c r="C479" t="s">
        <v>17</v>
      </c>
      <c r="D479" t="s">
        <v>32</v>
      </c>
      <c r="E479" t="s">
        <v>19</v>
      </c>
      <c r="F479" t="s">
        <v>41</v>
      </c>
      <c r="G479" t="s">
        <v>21</v>
      </c>
      <c r="H479">
        <v>0</v>
      </c>
      <c r="I479">
        <v>0</v>
      </c>
      <c r="J479">
        <v>0</v>
      </c>
      <c r="K479">
        <v>0</v>
      </c>
      <c r="L479">
        <v>0</v>
      </c>
      <c r="M479">
        <v>0</v>
      </c>
      <c r="N479">
        <v>0</v>
      </c>
      <c r="P479">
        <v>56.5</v>
      </c>
    </row>
    <row r="480" spans="1:16">
      <c r="A480" t="s">
        <v>510</v>
      </c>
      <c r="B480" s="2">
        <v>45734</v>
      </c>
      <c r="C480" t="s">
        <v>17</v>
      </c>
      <c r="D480" t="s">
        <v>32</v>
      </c>
      <c r="E480" t="s">
        <v>24</v>
      </c>
      <c r="F480" t="s">
        <v>25</v>
      </c>
      <c r="G480" t="s">
        <v>26</v>
      </c>
      <c r="H480">
        <v>1</v>
      </c>
      <c r="I480">
        <v>0</v>
      </c>
      <c r="J480">
        <v>0</v>
      </c>
      <c r="K480">
        <v>0</v>
      </c>
      <c r="L480">
        <v>0</v>
      </c>
      <c r="M480">
        <v>0</v>
      </c>
      <c r="N480">
        <v>0</v>
      </c>
      <c r="P480">
        <v>64.400000000000006</v>
      </c>
    </row>
    <row r="481" spans="1:16">
      <c r="A481" t="s">
        <v>511</v>
      </c>
      <c r="B481" s="2">
        <v>45687</v>
      </c>
      <c r="C481" t="s">
        <v>17</v>
      </c>
      <c r="D481" t="s">
        <v>23</v>
      </c>
      <c r="E481" t="s">
        <v>24</v>
      </c>
      <c r="F481" t="s">
        <v>29</v>
      </c>
      <c r="G481" t="s">
        <v>30</v>
      </c>
      <c r="H481">
        <v>1</v>
      </c>
      <c r="I481">
        <v>0</v>
      </c>
      <c r="J481">
        <v>0</v>
      </c>
      <c r="K481">
        <v>0</v>
      </c>
      <c r="L481">
        <v>0</v>
      </c>
      <c r="M481">
        <v>0</v>
      </c>
      <c r="N481">
        <v>0</v>
      </c>
      <c r="P481">
        <v>65.900000000000006</v>
      </c>
    </row>
    <row r="482" spans="1:16">
      <c r="A482" t="s">
        <v>512</v>
      </c>
      <c r="B482" s="2">
        <v>45797</v>
      </c>
      <c r="C482" t="s">
        <v>17</v>
      </c>
      <c r="D482" t="s">
        <v>23</v>
      </c>
      <c r="E482" t="s">
        <v>34</v>
      </c>
      <c r="F482" t="s">
        <v>39</v>
      </c>
      <c r="G482" t="s">
        <v>26</v>
      </c>
      <c r="H482">
        <v>1</v>
      </c>
      <c r="I482">
        <v>1</v>
      </c>
      <c r="J482">
        <v>1</v>
      </c>
      <c r="K482">
        <v>0</v>
      </c>
      <c r="L482">
        <v>0</v>
      </c>
      <c r="M482">
        <v>0</v>
      </c>
      <c r="N482">
        <v>0</v>
      </c>
      <c r="P482">
        <v>100</v>
      </c>
    </row>
    <row r="483" spans="1:16">
      <c r="A483" t="s">
        <v>513</v>
      </c>
      <c r="B483" s="2">
        <v>45701</v>
      </c>
      <c r="C483" t="s">
        <v>17</v>
      </c>
      <c r="D483" t="s">
        <v>18</v>
      </c>
      <c r="F483" t="s">
        <v>25</v>
      </c>
      <c r="G483" t="s">
        <v>21</v>
      </c>
      <c r="H483">
        <v>1</v>
      </c>
      <c r="I483">
        <v>1</v>
      </c>
      <c r="J483">
        <v>1</v>
      </c>
      <c r="K483">
        <v>0</v>
      </c>
      <c r="L483">
        <v>0</v>
      </c>
      <c r="M483">
        <v>0</v>
      </c>
      <c r="N483">
        <v>0</v>
      </c>
      <c r="P483">
        <v>50.4</v>
      </c>
    </row>
    <row r="484" spans="1:16">
      <c r="A484" t="s">
        <v>514</v>
      </c>
      <c r="B484" s="2">
        <v>45759</v>
      </c>
      <c r="C484" t="s">
        <v>17</v>
      </c>
      <c r="D484" t="s">
        <v>23</v>
      </c>
      <c r="E484" t="s">
        <v>19</v>
      </c>
      <c r="F484" t="s">
        <v>25</v>
      </c>
      <c r="G484" t="s">
        <v>21</v>
      </c>
      <c r="H484">
        <v>0</v>
      </c>
      <c r="I484">
        <v>0</v>
      </c>
      <c r="J484">
        <v>0</v>
      </c>
      <c r="K484">
        <v>0</v>
      </c>
      <c r="L484">
        <v>0</v>
      </c>
      <c r="M484">
        <v>0</v>
      </c>
      <c r="N484">
        <v>0</v>
      </c>
      <c r="P484">
        <v>41.5</v>
      </c>
    </row>
    <row r="485" spans="1:16">
      <c r="A485" t="s">
        <v>515</v>
      </c>
      <c r="B485" s="2">
        <v>45754</v>
      </c>
      <c r="C485" t="s">
        <v>17</v>
      </c>
      <c r="D485" t="s">
        <v>18</v>
      </c>
      <c r="E485" t="s">
        <v>24</v>
      </c>
      <c r="F485" t="s">
        <v>20</v>
      </c>
      <c r="G485" t="s">
        <v>26</v>
      </c>
      <c r="H485">
        <v>0</v>
      </c>
      <c r="I485">
        <v>0</v>
      </c>
      <c r="J485">
        <v>0</v>
      </c>
      <c r="K485">
        <v>0</v>
      </c>
      <c r="L485">
        <v>0</v>
      </c>
      <c r="M485">
        <v>0</v>
      </c>
      <c r="N485">
        <v>0</v>
      </c>
      <c r="P485">
        <v>86.2</v>
      </c>
    </row>
    <row r="486" spans="1:16">
      <c r="A486" t="s">
        <v>516</v>
      </c>
      <c r="B486" s="2">
        <v>45728</v>
      </c>
      <c r="C486" t="s">
        <v>17</v>
      </c>
      <c r="D486" t="s">
        <v>18</v>
      </c>
      <c r="E486" t="s">
        <v>19</v>
      </c>
      <c r="F486" t="s">
        <v>41</v>
      </c>
      <c r="G486" t="s">
        <v>26</v>
      </c>
      <c r="H486">
        <v>1</v>
      </c>
      <c r="I486">
        <v>1</v>
      </c>
      <c r="J486">
        <v>1</v>
      </c>
      <c r="K486">
        <v>0</v>
      </c>
      <c r="L486">
        <v>0</v>
      </c>
      <c r="M486">
        <v>2</v>
      </c>
      <c r="N486">
        <v>0</v>
      </c>
      <c r="P486">
        <v>50.8</v>
      </c>
    </row>
    <row r="487" spans="1:16">
      <c r="A487" t="s">
        <v>517</v>
      </c>
      <c r="B487" s="2">
        <v>45695</v>
      </c>
      <c r="C487" t="s">
        <v>17</v>
      </c>
      <c r="D487" t="s">
        <v>23</v>
      </c>
      <c r="E487" t="s">
        <v>24</v>
      </c>
      <c r="F487" t="s">
        <v>25</v>
      </c>
      <c r="G487" t="s">
        <v>26</v>
      </c>
      <c r="H487">
        <v>1</v>
      </c>
      <c r="I487">
        <v>0</v>
      </c>
      <c r="J487">
        <v>0</v>
      </c>
      <c r="K487">
        <v>0</v>
      </c>
      <c r="L487">
        <v>0</v>
      </c>
      <c r="M487">
        <v>0</v>
      </c>
      <c r="N487">
        <v>0</v>
      </c>
      <c r="P487">
        <v>50.9</v>
      </c>
    </row>
    <row r="488" spans="1:16">
      <c r="A488" t="s">
        <v>518</v>
      </c>
      <c r="B488" s="2">
        <v>45782</v>
      </c>
      <c r="C488" t="s">
        <v>17</v>
      </c>
      <c r="D488" t="s">
        <v>18</v>
      </c>
      <c r="E488" t="s">
        <v>24</v>
      </c>
      <c r="F488" t="s">
        <v>25</v>
      </c>
      <c r="G488" t="s">
        <v>30</v>
      </c>
      <c r="H488">
        <v>1</v>
      </c>
      <c r="I488">
        <v>1</v>
      </c>
      <c r="J488">
        <v>0</v>
      </c>
      <c r="K488">
        <v>0</v>
      </c>
      <c r="L488">
        <v>0</v>
      </c>
      <c r="M488">
        <v>0</v>
      </c>
      <c r="N488">
        <v>0</v>
      </c>
      <c r="P488">
        <v>87.5</v>
      </c>
    </row>
    <row r="489" spans="1:16">
      <c r="A489" t="s">
        <v>519</v>
      </c>
      <c r="B489" s="2">
        <v>45734</v>
      </c>
      <c r="C489" t="s">
        <v>17</v>
      </c>
      <c r="D489" t="s">
        <v>32</v>
      </c>
      <c r="E489" t="s">
        <v>24</v>
      </c>
      <c r="F489" t="s">
        <v>39</v>
      </c>
      <c r="G489" t="s">
        <v>26</v>
      </c>
      <c r="H489">
        <v>0</v>
      </c>
      <c r="I489">
        <v>0</v>
      </c>
      <c r="J489">
        <v>0</v>
      </c>
      <c r="K489">
        <v>0</v>
      </c>
      <c r="L489">
        <v>0</v>
      </c>
      <c r="M489">
        <v>0</v>
      </c>
      <c r="N489">
        <v>0</v>
      </c>
      <c r="P489">
        <v>43.6</v>
      </c>
    </row>
    <row r="490" spans="1:16">
      <c r="A490" t="s">
        <v>520</v>
      </c>
      <c r="B490" s="2">
        <v>45662</v>
      </c>
      <c r="C490" t="s">
        <v>17</v>
      </c>
      <c r="D490" t="s">
        <v>32</v>
      </c>
      <c r="E490" t="s">
        <v>24</v>
      </c>
      <c r="F490" t="s">
        <v>29</v>
      </c>
      <c r="G490" t="s">
        <v>21</v>
      </c>
      <c r="H490">
        <v>1</v>
      </c>
      <c r="I490">
        <v>0</v>
      </c>
      <c r="J490">
        <v>0</v>
      </c>
      <c r="K490">
        <v>0</v>
      </c>
      <c r="L490">
        <v>0</v>
      </c>
      <c r="M490">
        <v>0</v>
      </c>
      <c r="N490">
        <v>0</v>
      </c>
      <c r="P490">
        <v>55.5</v>
      </c>
    </row>
    <row r="491" spans="1:16">
      <c r="A491" t="s">
        <v>521</v>
      </c>
      <c r="B491" s="2">
        <v>45787</v>
      </c>
      <c r="C491" t="s">
        <v>17</v>
      </c>
      <c r="D491" t="s">
        <v>32</v>
      </c>
      <c r="E491" t="s">
        <v>19</v>
      </c>
      <c r="F491" t="s">
        <v>39</v>
      </c>
      <c r="G491" t="s">
        <v>21</v>
      </c>
      <c r="H491">
        <v>0</v>
      </c>
      <c r="I491">
        <v>0</v>
      </c>
      <c r="J491">
        <v>0</v>
      </c>
      <c r="K491">
        <v>0</v>
      </c>
      <c r="L491">
        <v>0</v>
      </c>
      <c r="M491">
        <v>0</v>
      </c>
      <c r="N491">
        <v>0</v>
      </c>
      <c r="P491">
        <v>78.599999999999994</v>
      </c>
    </row>
    <row r="492" spans="1:16">
      <c r="A492" t="s">
        <v>522</v>
      </c>
      <c r="B492" s="2">
        <v>45660</v>
      </c>
      <c r="C492" t="s">
        <v>17</v>
      </c>
      <c r="D492" t="s">
        <v>32</v>
      </c>
      <c r="E492" t="s">
        <v>24</v>
      </c>
      <c r="F492" t="s">
        <v>41</v>
      </c>
      <c r="G492" t="s">
        <v>21</v>
      </c>
      <c r="H492">
        <v>1</v>
      </c>
      <c r="I492">
        <v>1</v>
      </c>
      <c r="J492">
        <v>0</v>
      </c>
      <c r="K492">
        <v>0</v>
      </c>
      <c r="L492">
        <v>0</v>
      </c>
      <c r="M492">
        <v>1</v>
      </c>
      <c r="N492">
        <v>0</v>
      </c>
      <c r="P492">
        <v>44.3</v>
      </c>
    </row>
    <row r="493" spans="1:16">
      <c r="A493" t="s">
        <v>523</v>
      </c>
      <c r="B493" s="2">
        <v>45785</v>
      </c>
      <c r="C493" t="s">
        <v>17</v>
      </c>
      <c r="D493" t="s">
        <v>32</v>
      </c>
      <c r="E493" t="s">
        <v>24</v>
      </c>
      <c r="F493" t="s">
        <v>29</v>
      </c>
      <c r="G493" t="s">
        <v>26</v>
      </c>
      <c r="H493">
        <v>1</v>
      </c>
      <c r="I493">
        <v>1</v>
      </c>
      <c r="J493">
        <v>0</v>
      </c>
      <c r="K493">
        <v>0</v>
      </c>
      <c r="L493">
        <v>0</v>
      </c>
      <c r="M493">
        <v>0</v>
      </c>
      <c r="N493">
        <v>0</v>
      </c>
      <c r="P493">
        <v>45.2</v>
      </c>
    </row>
    <row r="494" spans="1:16">
      <c r="A494" t="s">
        <v>524</v>
      </c>
      <c r="B494" s="2">
        <v>45721</v>
      </c>
      <c r="C494" t="s">
        <v>17</v>
      </c>
      <c r="D494" t="s">
        <v>32</v>
      </c>
      <c r="E494" t="s">
        <v>19</v>
      </c>
      <c r="F494" t="s">
        <v>20</v>
      </c>
      <c r="G494" t="s">
        <v>21</v>
      </c>
      <c r="H494">
        <v>1</v>
      </c>
      <c r="I494">
        <v>0</v>
      </c>
      <c r="J494">
        <v>0</v>
      </c>
      <c r="K494">
        <v>0</v>
      </c>
      <c r="L494">
        <v>0</v>
      </c>
      <c r="M494">
        <v>2</v>
      </c>
      <c r="N494">
        <v>0</v>
      </c>
      <c r="P494">
        <v>46.1</v>
      </c>
    </row>
    <row r="495" spans="1:16">
      <c r="A495" t="s">
        <v>525</v>
      </c>
      <c r="B495" s="2">
        <v>45705</v>
      </c>
      <c r="C495" t="s">
        <v>17</v>
      </c>
      <c r="D495" t="s">
        <v>18</v>
      </c>
      <c r="E495" t="s">
        <v>24</v>
      </c>
      <c r="F495" t="s">
        <v>25</v>
      </c>
      <c r="G495" t="s">
        <v>30</v>
      </c>
      <c r="H495">
        <v>1</v>
      </c>
      <c r="I495">
        <v>0</v>
      </c>
      <c r="J495">
        <v>0</v>
      </c>
      <c r="K495">
        <v>0</v>
      </c>
      <c r="L495">
        <v>0</v>
      </c>
      <c r="M495">
        <v>0</v>
      </c>
      <c r="N495">
        <v>0</v>
      </c>
      <c r="P495">
        <v>49.6</v>
      </c>
    </row>
    <row r="496" spans="1:16">
      <c r="A496" t="s">
        <v>526</v>
      </c>
      <c r="B496" s="2">
        <v>45666</v>
      </c>
      <c r="C496" t="s">
        <v>17</v>
      </c>
      <c r="D496" t="s">
        <v>32</v>
      </c>
      <c r="E496" t="s">
        <v>24</v>
      </c>
      <c r="F496" t="s">
        <v>39</v>
      </c>
      <c r="G496" t="s">
        <v>21</v>
      </c>
      <c r="H496">
        <v>0</v>
      </c>
      <c r="I496">
        <v>0</v>
      </c>
      <c r="J496">
        <v>0</v>
      </c>
      <c r="K496">
        <v>0</v>
      </c>
      <c r="L496">
        <v>0</v>
      </c>
      <c r="M496">
        <v>0</v>
      </c>
      <c r="N496">
        <v>0</v>
      </c>
      <c r="P496">
        <v>70.5</v>
      </c>
    </row>
    <row r="497" spans="1:16">
      <c r="A497" t="s">
        <v>527</v>
      </c>
      <c r="B497" s="2">
        <v>45782</v>
      </c>
      <c r="C497" t="s">
        <v>17</v>
      </c>
      <c r="D497" t="s">
        <v>32</v>
      </c>
      <c r="E497" t="s">
        <v>24</v>
      </c>
      <c r="F497" t="s">
        <v>20</v>
      </c>
      <c r="G497" t="s">
        <v>21</v>
      </c>
      <c r="H497">
        <v>0</v>
      </c>
      <c r="I497">
        <v>0</v>
      </c>
      <c r="J497">
        <v>0</v>
      </c>
      <c r="K497">
        <v>0</v>
      </c>
      <c r="L497">
        <v>0</v>
      </c>
      <c r="M497">
        <v>1</v>
      </c>
      <c r="N497">
        <v>0</v>
      </c>
      <c r="P497">
        <v>60.8</v>
      </c>
    </row>
    <row r="498" spans="1:16">
      <c r="A498" t="s">
        <v>528</v>
      </c>
      <c r="B498" s="2">
        <v>45763</v>
      </c>
      <c r="C498" t="s">
        <v>17</v>
      </c>
      <c r="D498" t="s">
        <v>28</v>
      </c>
      <c r="E498" t="s">
        <v>24</v>
      </c>
      <c r="F498" t="s">
        <v>20</v>
      </c>
      <c r="G498" t="s">
        <v>21</v>
      </c>
      <c r="H498">
        <v>0</v>
      </c>
      <c r="I498">
        <v>0</v>
      </c>
      <c r="J498">
        <v>0</v>
      </c>
      <c r="K498">
        <v>0</v>
      </c>
      <c r="L498">
        <v>0</v>
      </c>
      <c r="M498">
        <v>1</v>
      </c>
      <c r="N498">
        <v>0</v>
      </c>
      <c r="P498">
        <v>50.5</v>
      </c>
    </row>
    <row r="499" spans="1:16">
      <c r="A499" t="s">
        <v>529</v>
      </c>
      <c r="B499" s="2">
        <v>45718</v>
      </c>
      <c r="C499" t="s">
        <v>17</v>
      </c>
      <c r="D499" t="s">
        <v>32</v>
      </c>
      <c r="E499" t="s">
        <v>19</v>
      </c>
      <c r="F499" t="s">
        <v>25</v>
      </c>
      <c r="G499" t="s">
        <v>26</v>
      </c>
      <c r="H499">
        <v>1</v>
      </c>
      <c r="I499">
        <v>0</v>
      </c>
      <c r="J499">
        <v>0</v>
      </c>
      <c r="K499">
        <v>0</v>
      </c>
      <c r="L499">
        <v>0</v>
      </c>
      <c r="M499">
        <v>0</v>
      </c>
      <c r="N499">
        <v>0</v>
      </c>
      <c r="P499">
        <v>54.9</v>
      </c>
    </row>
    <row r="500" spans="1:16">
      <c r="A500" t="s">
        <v>530</v>
      </c>
      <c r="B500" s="2">
        <v>45761</v>
      </c>
      <c r="C500" t="s">
        <v>17</v>
      </c>
      <c r="D500" t="s">
        <v>32</v>
      </c>
      <c r="E500" t="s">
        <v>24</v>
      </c>
      <c r="F500" t="s">
        <v>41</v>
      </c>
      <c r="G500" t="s">
        <v>30</v>
      </c>
      <c r="H500">
        <v>0</v>
      </c>
      <c r="I500">
        <v>0</v>
      </c>
      <c r="J500">
        <v>0</v>
      </c>
      <c r="K500">
        <v>0</v>
      </c>
      <c r="L500">
        <v>0</v>
      </c>
      <c r="M500">
        <v>0</v>
      </c>
      <c r="N500">
        <v>0</v>
      </c>
      <c r="P500">
        <v>29.9</v>
      </c>
    </row>
    <row r="501" spans="1:16">
      <c r="A501" t="s">
        <v>531</v>
      </c>
      <c r="B501" s="2">
        <v>45703</v>
      </c>
      <c r="C501" t="s">
        <v>17</v>
      </c>
      <c r="D501" t="s">
        <v>28</v>
      </c>
      <c r="E501" t="s">
        <v>19</v>
      </c>
      <c r="F501" t="s">
        <v>29</v>
      </c>
      <c r="G501" t="s">
        <v>21</v>
      </c>
      <c r="H501">
        <v>0</v>
      </c>
      <c r="I501">
        <v>0</v>
      </c>
      <c r="J501">
        <v>0</v>
      </c>
      <c r="K501">
        <v>0</v>
      </c>
      <c r="L501">
        <v>0</v>
      </c>
      <c r="M501">
        <v>0</v>
      </c>
      <c r="N501">
        <v>0</v>
      </c>
      <c r="P501">
        <v>48.3</v>
      </c>
    </row>
    <row r="502" spans="1:16">
      <c r="A502" t="s">
        <v>532</v>
      </c>
      <c r="B502" s="2">
        <v>45701</v>
      </c>
      <c r="C502" t="s">
        <v>17</v>
      </c>
      <c r="D502" t="s">
        <v>23</v>
      </c>
      <c r="E502" t="s">
        <v>24</v>
      </c>
      <c r="F502" t="s">
        <v>41</v>
      </c>
      <c r="G502" t="s">
        <v>26</v>
      </c>
      <c r="H502">
        <v>1</v>
      </c>
      <c r="I502">
        <v>1</v>
      </c>
      <c r="J502">
        <v>1</v>
      </c>
      <c r="K502">
        <v>1</v>
      </c>
      <c r="L502">
        <v>513.61</v>
      </c>
      <c r="M502">
        <v>0</v>
      </c>
      <c r="N502">
        <v>0</v>
      </c>
      <c r="O502">
        <v>7</v>
      </c>
      <c r="P502">
        <v>41.3</v>
      </c>
    </row>
    <row r="503" spans="1:16">
      <c r="A503" t="s">
        <v>533</v>
      </c>
      <c r="B503" s="2">
        <v>45722</v>
      </c>
      <c r="C503" t="s">
        <v>17</v>
      </c>
      <c r="D503" t="s">
        <v>18</v>
      </c>
      <c r="E503" t="s">
        <v>24</v>
      </c>
      <c r="F503" t="s">
        <v>20</v>
      </c>
      <c r="G503" t="s">
        <v>26</v>
      </c>
      <c r="H503">
        <v>0</v>
      </c>
      <c r="I503">
        <v>0</v>
      </c>
      <c r="J503">
        <v>0</v>
      </c>
      <c r="K503">
        <v>0</v>
      </c>
      <c r="L503">
        <v>0</v>
      </c>
      <c r="M503">
        <v>0</v>
      </c>
      <c r="N503">
        <v>0</v>
      </c>
      <c r="P503">
        <v>61.4</v>
      </c>
    </row>
    <row r="504" spans="1:16">
      <c r="A504" t="s">
        <v>534</v>
      </c>
      <c r="B504" s="2">
        <v>45706</v>
      </c>
      <c r="C504" t="s">
        <v>17</v>
      </c>
      <c r="D504" t="s">
        <v>32</v>
      </c>
      <c r="E504" t="s">
        <v>19</v>
      </c>
      <c r="F504" t="s">
        <v>41</v>
      </c>
      <c r="G504" t="s">
        <v>26</v>
      </c>
      <c r="H504">
        <v>0</v>
      </c>
      <c r="I504">
        <v>0</v>
      </c>
      <c r="J504">
        <v>0</v>
      </c>
      <c r="K504">
        <v>0</v>
      </c>
      <c r="L504">
        <v>0</v>
      </c>
      <c r="M504">
        <v>0</v>
      </c>
      <c r="N504">
        <v>0</v>
      </c>
      <c r="P504">
        <v>57.8</v>
      </c>
    </row>
    <row r="505" spans="1:16">
      <c r="A505" t="s">
        <v>535</v>
      </c>
      <c r="B505" s="2">
        <v>45754</v>
      </c>
      <c r="C505" t="s">
        <v>17</v>
      </c>
      <c r="D505" t="s">
        <v>18</v>
      </c>
      <c r="E505" t="s">
        <v>19</v>
      </c>
      <c r="F505" t="s">
        <v>25</v>
      </c>
      <c r="G505" t="s">
        <v>26</v>
      </c>
      <c r="H505">
        <v>0</v>
      </c>
      <c r="I505">
        <v>0</v>
      </c>
      <c r="J505">
        <v>0</v>
      </c>
      <c r="K505">
        <v>0</v>
      </c>
      <c r="L505">
        <v>0</v>
      </c>
      <c r="M505">
        <v>0</v>
      </c>
      <c r="N505">
        <v>0</v>
      </c>
      <c r="P505">
        <v>78.2</v>
      </c>
    </row>
    <row r="506" spans="1:16">
      <c r="A506" t="s">
        <v>536</v>
      </c>
      <c r="B506" s="2">
        <v>45753</v>
      </c>
      <c r="C506" t="s">
        <v>17</v>
      </c>
      <c r="D506" t="s">
        <v>18</v>
      </c>
      <c r="E506" t="s">
        <v>24</v>
      </c>
      <c r="F506" t="s">
        <v>39</v>
      </c>
      <c r="G506" t="s">
        <v>26</v>
      </c>
      <c r="H506">
        <v>0</v>
      </c>
      <c r="I506">
        <v>0</v>
      </c>
      <c r="J506">
        <v>0</v>
      </c>
      <c r="K506">
        <v>0</v>
      </c>
      <c r="L506">
        <v>0</v>
      </c>
      <c r="M506">
        <v>0</v>
      </c>
      <c r="N506">
        <v>0</v>
      </c>
      <c r="P506">
        <v>63.8</v>
      </c>
    </row>
    <row r="507" spans="1:16">
      <c r="A507" t="s">
        <v>537</v>
      </c>
      <c r="B507" s="2">
        <v>45687</v>
      </c>
      <c r="C507" t="s">
        <v>17</v>
      </c>
      <c r="D507" t="s">
        <v>18</v>
      </c>
      <c r="E507" t="s">
        <v>19</v>
      </c>
      <c r="F507" t="s">
        <v>41</v>
      </c>
      <c r="G507" t="s">
        <v>26</v>
      </c>
      <c r="H507">
        <v>1</v>
      </c>
      <c r="I507">
        <v>0</v>
      </c>
      <c r="J507">
        <v>0</v>
      </c>
      <c r="K507">
        <v>0</v>
      </c>
      <c r="L507">
        <v>0</v>
      </c>
      <c r="M507">
        <v>0</v>
      </c>
      <c r="N507">
        <v>0</v>
      </c>
      <c r="P507">
        <v>56.8</v>
      </c>
    </row>
    <row r="508" spans="1:16">
      <c r="A508" t="s">
        <v>538</v>
      </c>
      <c r="B508" s="2">
        <v>45790</v>
      </c>
      <c r="C508" t="s">
        <v>17</v>
      </c>
      <c r="D508" t="s">
        <v>32</v>
      </c>
      <c r="E508" t="s">
        <v>19</v>
      </c>
      <c r="F508" t="s">
        <v>25</v>
      </c>
      <c r="G508" t="s">
        <v>21</v>
      </c>
      <c r="H508">
        <v>1</v>
      </c>
      <c r="I508">
        <v>1</v>
      </c>
      <c r="J508">
        <v>0</v>
      </c>
      <c r="K508">
        <v>0</v>
      </c>
      <c r="L508">
        <v>0</v>
      </c>
      <c r="M508">
        <v>0</v>
      </c>
      <c r="N508">
        <v>0</v>
      </c>
      <c r="P508">
        <v>59.6</v>
      </c>
    </row>
    <row r="509" spans="1:16">
      <c r="A509" t="s">
        <v>539</v>
      </c>
      <c r="B509" s="2">
        <v>45677</v>
      </c>
      <c r="C509" t="s">
        <v>17</v>
      </c>
      <c r="D509" t="s">
        <v>23</v>
      </c>
      <c r="E509" t="s">
        <v>24</v>
      </c>
      <c r="F509" t="s">
        <v>29</v>
      </c>
      <c r="G509" t="s">
        <v>30</v>
      </c>
      <c r="H509">
        <v>1</v>
      </c>
      <c r="I509">
        <v>1</v>
      </c>
      <c r="J509">
        <v>0</v>
      </c>
      <c r="K509">
        <v>0</v>
      </c>
      <c r="L509">
        <v>0</v>
      </c>
      <c r="M509">
        <v>0</v>
      </c>
      <c r="N509">
        <v>0</v>
      </c>
      <c r="P509">
        <v>50</v>
      </c>
    </row>
    <row r="510" spans="1:16">
      <c r="A510" t="s">
        <v>540</v>
      </c>
      <c r="B510" s="2">
        <v>45687</v>
      </c>
      <c r="C510" t="s">
        <v>17</v>
      </c>
      <c r="D510" t="s">
        <v>18</v>
      </c>
      <c r="E510" t="s">
        <v>34</v>
      </c>
      <c r="F510" t="s">
        <v>25</v>
      </c>
      <c r="G510" t="s">
        <v>26</v>
      </c>
      <c r="H510">
        <v>1</v>
      </c>
      <c r="I510">
        <v>0</v>
      </c>
      <c r="J510">
        <v>0</v>
      </c>
      <c r="K510">
        <v>0</v>
      </c>
      <c r="L510">
        <v>0</v>
      </c>
      <c r="M510">
        <v>0</v>
      </c>
      <c r="N510">
        <v>0</v>
      </c>
      <c r="P510">
        <v>35.700000000000003</v>
      </c>
    </row>
    <row r="511" spans="1:16">
      <c r="A511" t="s">
        <v>541</v>
      </c>
      <c r="B511" s="2">
        <v>45670</v>
      </c>
      <c r="C511" t="s">
        <v>17</v>
      </c>
      <c r="D511" t="s">
        <v>32</v>
      </c>
      <c r="E511" t="s">
        <v>24</v>
      </c>
      <c r="F511" t="s">
        <v>25</v>
      </c>
      <c r="G511" t="s">
        <v>26</v>
      </c>
      <c r="H511">
        <v>0</v>
      </c>
      <c r="I511">
        <v>0</v>
      </c>
      <c r="J511">
        <v>0</v>
      </c>
      <c r="K511">
        <v>0</v>
      </c>
      <c r="L511">
        <v>0</v>
      </c>
      <c r="M511">
        <v>2</v>
      </c>
      <c r="N511">
        <v>0</v>
      </c>
      <c r="P511">
        <v>47.2</v>
      </c>
    </row>
    <row r="512" spans="1:16">
      <c r="A512" t="s">
        <v>542</v>
      </c>
      <c r="B512" s="2">
        <v>45699</v>
      </c>
      <c r="C512" t="s">
        <v>17</v>
      </c>
      <c r="D512" t="s">
        <v>18</v>
      </c>
      <c r="E512" t="s">
        <v>24</v>
      </c>
      <c r="F512" t="s">
        <v>41</v>
      </c>
      <c r="G512" t="s">
        <v>26</v>
      </c>
      <c r="H512">
        <v>1</v>
      </c>
      <c r="I512">
        <v>1</v>
      </c>
      <c r="J512">
        <v>0</v>
      </c>
      <c r="K512">
        <v>0</v>
      </c>
      <c r="L512">
        <v>0</v>
      </c>
      <c r="M512">
        <v>0</v>
      </c>
      <c r="N512">
        <v>0</v>
      </c>
      <c r="P512">
        <v>56.9</v>
      </c>
    </row>
    <row r="513" spans="1:16">
      <c r="A513" t="s">
        <v>543</v>
      </c>
      <c r="B513" s="2">
        <v>45762</v>
      </c>
      <c r="C513" t="s">
        <v>17</v>
      </c>
      <c r="D513" t="s">
        <v>32</v>
      </c>
      <c r="E513" t="s">
        <v>24</v>
      </c>
      <c r="F513" t="s">
        <v>25</v>
      </c>
      <c r="G513" t="s">
        <v>26</v>
      </c>
      <c r="H513">
        <v>0</v>
      </c>
      <c r="I513">
        <v>0</v>
      </c>
      <c r="J513">
        <v>0</v>
      </c>
      <c r="K513">
        <v>0</v>
      </c>
      <c r="L513">
        <v>0</v>
      </c>
      <c r="M513">
        <v>1</v>
      </c>
      <c r="N513">
        <v>0</v>
      </c>
      <c r="P513">
        <v>57.2</v>
      </c>
    </row>
    <row r="514" spans="1:16">
      <c r="A514" t="s">
        <v>544</v>
      </c>
      <c r="B514" s="2">
        <v>45701</v>
      </c>
      <c r="C514" t="s">
        <v>17</v>
      </c>
      <c r="D514" t="s">
        <v>32</v>
      </c>
      <c r="E514" t="s">
        <v>24</v>
      </c>
      <c r="G514" t="s">
        <v>26</v>
      </c>
      <c r="H514">
        <v>1</v>
      </c>
      <c r="I514">
        <v>1</v>
      </c>
      <c r="J514">
        <v>0</v>
      </c>
      <c r="K514">
        <v>0</v>
      </c>
      <c r="L514">
        <v>0</v>
      </c>
      <c r="M514">
        <v>0</v>
      </c>
      <c r="N514">
        <v>0</v>
      </c>
      <c r="P514">
        <v>31.4</v>
      </c>
    </row>
    <row r="515" spans="1:16">
      <c r="A515" t="s">
        <v>545</v>
      </c>
      <c r="B515" s="2">
        <v>45786</v>
      </c>
      <c r="C515" t="s">
        <v>17</v>
      </c>
      <c r="D515" t="s">
        <v>32</v>
      </c>
      <c r="E515" t="s">
        <v>19</v>
      </c>
      <c r="F515" t="s">
        <v>25</v>
      </c>
      <c r="G515" t="s">
        <v>26</v>
      </c>
      <c r="H515">
        <v>0</v>
      </c>
      <c r="I515">
        <v>0</v>
      </c>
      <c r="J515">
        <v>0</v>
      </c>
      <c r="K515">
        <v>0</v>
      </c>
      <c r="L515">
        <v>0</v>
      </c>
      <c r="M515">
        <v>0</v>
      </c>
      <c r="N515">
        <v>0</v>
      </c>
      <c r="P515">
        <v>71.2</v>
      </c>
    </row>
    <row r="516" spans="1:16">
      <c r="A516" t="s">
        <v>546</v>
      </c>
      <c r="B516" s="2">
        <v>45726</v>
      </c>
      <c r="C516" t="s">
        <v>17</v>
      </c>
      <c r="D516" t="s">
        <v>18</v>
      </c>
      <c r="E516" t="s">
        <v>24</v>
      </c>
      <c r="F516" t="s">
        <v>29</v>
      </c>
      <c r="G516" t="s">
        <v>26</v>
      </c>
      <c r="H516">
        <v>1</v>
      </c>
      <c r="I516">
        <v>1</v>
      </c>
      <c r="J516">
        <v>1</v>
      </c>
      <c r="K516">
        <v>0</v>
      </c>
      <c r="L516">
        <v>0</v>
      </c>
      <c r="M516">
        <v>1</v>
      </c>
      <c r="N516">
        <v>0</v>
      </c>
      <c r="P516">
        <v>38.299999999999997</v>
      </c>
    </row>
    <row r="517" spans="1:16">
      <c r="A517" t="s">
        <v>547</v>
      </c>
      <c r="B517" s="2">
        <v>45748</v>
      </c>
      <c r="C517" t="s">
        <v>17</v>
      </c>
      <c r="D517" t="s">
        <v>18</v>
      </c>
      <c r="E517" t="s">
        <v>24</v>
      </c>
      <c r="F517" t="s">
        <v>25</v>
      </c>
      <c r="G517" t="s">
        <v>26</v>
      </c>
      <c r="H517">
        <v>1</v>
      </c>
      <c r="I517">
        <v>1</v>
      </c>
      <c r="J517">
        <v>0</v>
      </c>
      <c r="K517">
        <v>0</v>
      </c>
      <c r="L517">
        <v>0</v>
      </c>
      <c r="M517">
        <v>0</v>
      </c>
      <c r="N517">
        <v>0</v>
      </c>
      <c r="P517">
        <v>63.1</v>
      </c>
    </row>
    <row r="518" spans="1:16">
      <c r="A518" t="s">
        <v>548</v>
      </c>
      <c r="B518" s="2">
        <v>45792</v>
      </c>
      <c r="C518" t="s">
        <v>17</v>
      </c>
      <c r="D518" t="s">
        <v>28</v>
      </c>
      <c r="E518" t="s">
        <v>24</v>
      </c>
      <c r="F518" t="s">
        <v>39</v>
      </c>
      <c r="G518" t="s">
        <v>21</v>
      </c>
      <c r="H518">
        <v>1</v>
      </c>
      <c r="I518">
        <v>0</v>
      </c>
      <c r="J518">
        <v>0</v>
      </c>
      <c r="K518">
        <v>0</v>
      </c>
      <c r="L518">
        <v>0</v>
      </c>
      <c r="M518">
        <v>0</v>
      </c>
      <c r="N518">
        <v>0</v>
      </c>
      <c r="P518">
        <v>59.7</v>
      </c>
    </row>
    <row r="519" spans="1:16">
      <c r="A519" t="s">
        <v>549</v>
      </c>
      <c r="B519" s="2">
        <v>45781</v>
      </c>
      <c r="C519" t="s">
        <v>17</v>
      </c>
      <c r="D519" t="s">
        <v>32</v>
      </c>
      <c r="E519" t="s">
        <v>19</v>
      </c>
      <c r="F519" t="s">
        <v>41</v>
      </c>
      <c r="G519" t="s">
        <v>30</v>
      </c>
      <c r="H519">
        <v>1</v>
      </c>
      <c r="I519">
        <v>1</v>
      </c>
      <c r="J519">
        <v>1</v>
      </c>
      <c r="K519">
        <v>0</v>
      </c>
      <c r="L519">
        <v>0</v>
      </c>
      <c r="M519">
        <v>0</v>
      </c>
      <c r="N519">
        <v>0</v>
      </c>
      <c r="P519">
        <v>59.5</v>
      </c>
    </row>
    <row r="520" spans="1:16">
      <c r="A520" t="s">
        <v>550</v>
      </c>
      <c r="B520" s="2">
        <v>45797</v>
      </c>
      <c r="C520" t="s">
        <v>17</v>
      </c>
      <c r="D520" t="s">
        <v>28</v>
      </c>
      <c r="E520" t="s">
        <v>24</v>
      </c>
      <c r="F520" t="s">
        <v>29</v>
      </c>
      <c r="G520" t="s">
        <v>26</v>
      </c>
      <c r="H520">
        <v>0</v>
      </c>
      <c r="I520">
        <v>0</v>
      </c>
      <c r="J520">
        <v>0</v>
      </c>
      <c r="K520">
        <v>0</v>
      </c>
      <c r="L520">
        <v>0</v>
      </c>
      <c r="M520">
        <v>0</v>
      </c>
      <c r="N520">
        <v>0</v>
      </c>
      <c r="P520">
        <v>78.8</v>
      </c>
    </row>
    <row r="521" spans="1:16">
      <c r="A521" t="s">
        <v>551</v>
      </c>
      <c r="B521" s="2">
        <v>45793</v>
      </c>
      <c r="C521" t="s">
        <v>17</v>
      </c>
      <c r="D521" t="s">
        <v>23</v>
      </c>
      <c r="E521" t="s">
        <v>19</v>
      </c>
      <c r="F521" t="s">
        <v>39</v>
      </c>
      <c r="G521" t="s">
        <v>26</v>
      </c>
      <c r="H521">
        <v>0</v>
      </c>
      <c r="I521">
        <v>0</v>
      </c>
      <c r="J521">
        <v>0</v>
      </c>
      <c r="K521">
        <v>0</v>
      </c>
      <c r="L521">
        <v>0</v>
      </c>
      <c r="M521">
        <v>0</v>
      </c>
      <c r="N521">
        <v>0</v>
      </c>
      <c r="P521">
        <v>54</v>
      </c>
    </row>
    <row r="522" spans="1:16">
      <c r="A522" t="s">
        <v>552</v>
      </c>
      <c r="B522" s="2">
        <v>45733</v>
      </c>
      <c r="C522" t="s">
        <v>17</v>
      </c>
      <c r="D522" t="s">
        <v>23</v>
      </c>
      <c r="E522" t="s">
        <v>24</v>
      </c>
      <c r="F522" t="s">
        <v>25</v>
      </c>
      <c r="G522" t="s">
        <v>26</v>
      </c>
      <c r="H522">
        <v>1</v>
      </c>
      <c r="I522">
        <v>0</v>
      </c>
      <c r="J522">
        <v>0</v>
      </c>
      <c r="K522">
        <v>0</v>
      </c>
      <c r="L522">
        <v>0</v>
      </c>
      <c r="M522">
        <v>0</v>
      </c>
      <c r="N522">
        <v>0</v>
      </c>
      <c r="P522">
        <v>66.3</v>
      </c>
    </row>
    <row r="523" spans="1:16">
      <c r="A523" t="s">
        <v>553</v>
      </c>
      <c r="B523" s="2">
        <v>45684</v>
      </c>
      <c r="C523" t="s">
        <v>17</v>
      </c>
      <c r="D523" t="s">
        <v>28</v>
      </c>
      <c r="E523" t="s">
        <v>34</v>
      </c>
      <c r="F523" t="s">
        <v>29</v>
      </c>
      <c r="G523" t="s">
        <v>26</v>
      </c>
      <c r="H523">
        <v>1</v>
      </c>
      <c r="I523">
        <v>1</v>
      </c>
      <c r="J523">
        <v>0</v>
      </c>
      <c r="K523">
        <v>0</v>
      </c>
      <c r="L523">
        <v>0</v>
      </c>
      <c r="M523">
        <v>0</v>
      </c>
      <c r="N523">
        <v>0</v>
      </c>
      <c r="P523">
        <v>54.7</v>
      </c>
    </row>
    <row r="524" spans="1:16">
      <c r="A524" t="s">
        <v>554</v>
      </c>
      <c r="B524" s="2">
        <v>45760</v>
      </c>
      <c r="C524" t="s">
        <v>17</v>
      </c>
      <c r="D524" t="s">
        <v>32</v>
      </c>
      <c r="E524" t="s">
        <v>24</v>
      </c>
      <c r="F524" t="s">
        <v>25</v>
      </c>
      <c r="G524" t="s">
        <v>21</v>
      </c>
      <c r="H524">
        <v>1</v>
      </c>
      <c r="I524">
        <v>0</v>
      </c>
      <c r="J524">
        <v>0</v>
      </c>
      <c r="K524">
        <v>0</v>
      </c>
      <c r="L524">
        <v>0</v>
      </c>
      <c r="M524">
        <v>0</v>
      </c>
      <c r="N524">
        <v>0</v>
      </c>
      <c r="P524">
        <v>76.7</v>
      </c>
    </row>
    <row r="525" spans="1:16">
      <c r="A525" t="s">
        <v>555</v>
      </c>
      <c r="B525" s="2">
        <v>45780</v>
      </c>
      <c r="C525" t="s">
        <v>17</v>
      </c>
      <c r="D525" t="s">
        <v>32</v>
      </c>
      <c r="E525" t="s">
        <v>19</v>
      </c>
      <c r="F525" t="s">
        <v>20</v>
      </c>
      <c r="G525" t="s">
        <v>21</v>
      </c>
      <c r="H525">
        <v>1</v>
      </c>
      <c r="I525">
        <v>0</v>
      </c>
      <c r="J525">
        <v>0</v>
      </c>
      <c r="K525">
        <v>0</v>
      </c>
      <c r="L525">
        <v>0</v>
      </c>
      <c r="M525">
        <v>2</v>
      </c>
      <c r="N525">
        <v>0</v>
      </c>
      <c r="P525">
        <v>47.4</v>
      </c>
    </row>
    <row r="526" spans="1:16">
      <c r="A526" t="s">
        <v>556</v>
      </c>
      <c r="B526" s="2">
        <v>45746</v>
      </c>
      <c r="C526" t="s">
        <v>17</v>
      </c>
      <c r="D526" t="s">
        <v>18</v>
      </c>
      <c r="E526" t="s">
        <v>24</v>
      </c>
      <c r="F526" t="s">
        <v>25</v>
      </c>
      <c r="G526" t="s">
        <v>26</v>
      </c>
      <c r="H526">
        <v>1</v>
      </c>
      <c r="I526">
        <v>1</v>
      </c>
      <c r="J526">
        <v>1</v>
      </c>
      <c r="K526">
        <v>0</v>
      </c>
      <c r="L526">
        <v>0</v>
      </c>
      <c r="M526">
        <v>0</v>
      </c>
      <c r="N526">
        <v>0</v>
      </c>
      <c r="P526">
        <v>81.7</v>
      </c>
    </row>
    <row r="527" spans="1:16">
      <c r="A527" t="s">
        <v>557</v>
      </c>
      <c r="B527" s="2">
        <v>45658</v>
      </c>
      <c r="C527" t="s">
        <v>17</v>
      </c>
      <c r="D527" t="s">
        <v>23</v>
      </c>
      <c r="E527" t="s">
        <v>24</v>
      </c>
      <c r="F527" t="s">
        <v>29</v>
      </c>
      <c r="G527" t="s">
        <v>21</v>
      </c>
      <c r="H527">
        <v>1</v>
      </c>
      <c r="I527">
        <v>1</v>
      </c>
      <c r="J527">
        <v>1</v>
      </c>
      <c r="K527">
        <v>0</v>
      </c>
      <c r="L527">
        <v>0</v>
      </c>
      <c r="M527">
        <v>0</v>
      </c>
      <c r="N527">
        <v>0</v>
      </c>
      <c r="P527">
        <v>67.5</v>
      </c>
    </row>
    <row r="528" spans="1:16">
      <c r="A528" t="s">
        <v>558</v>
      </c>
      <c r="B528" s="2">
        <v>45694</v>
      </c>
      <c r="C528" t="s">
        <v>17</v>
      </c>
      <c r="D528" t="s">
        <v>23</v>
      </c>
      <c r="E528" t="s">
        <v>24</v>
      </c>
      <c r="F528" t="s">
        <v>29</v>
      </c>
      <c r="G528" t="s">
        <v>21</v>
      </c>
      <c r="H528">
        <v>1</v>
      </c>
      <c r="I528">
        <v>0</v>
      </c>
      <c r="J528">
        <v>0</v>
      </c>
      <c r="K528">
        <v>0</v>
      </c>
      <c r="L528">
        <v>0</v>
      </c>
      <c r="M528">
        <v>0</v>
      </c>
      <c r="N528">
        <v>0</v>
      </c>
      <c r="P528">
        <v>36.799999999999997</v>
      </c>
    </row>
    <row r="529" spans="1:16">
      <c r="A529" t="s">
        <v>559</v>
      </c>
      <c r="B529" s="2">
        <v>45713</v>
      </c>
      <c r="C529" t="s">
        <v>17</v>
      </c>
      <c r="D529" t="s">
        <v>18</v>
      </c>
      <c r="E529" t="s">
        <v>19</v>
      </c>
      <c r="F529" t="s">
        <v>25</v>
      </c>
      <c r="G529" t="s">
        <v>26</v>
      </c>
      <c r="H529">
        <v>0</v>
      </c>
      <c r="I529">
        <v>0</v>
      </c>
      <c r="J529">
        <v>0</v>
      </c>
      <c r="K529">
        <v>0</v>
      </c>
      <c r="L529">
        <v>0</v>
      </c>
      <c r="M529">
        <v>0</v>
      </c>
      <c r="N529">
        <v>0</v>
      </c>
      <c r="P529">
        <v>66.5</v>
      </c>
    </row>
    <row r="530" spans="1:16">
      <c r="A530" t="s">
        <v>560</v>
      </c>
      <c r="B530" s="2">
        <v>45791</v>
      </c>
      <c r="C530" t="s">
        <v>17</v>
      </c>
      <c r="D530" t="s">
        <v>28</v>
      </c>
      <c r="E530" t="s">
        <v>34</v>
      </c>
      <c r="F530" t="s">
        <v>41</v>
      </c>
      <c r="G530" t="s">
        <v>26</v>
      </c>
      <c r="H530">
        <v>1</v>
      </c>
      <c r="I530">
        <v>0</v>
      </c>
      <c r="J530">
        <v>0</v>
      </c>
      <c r="K530">
        <v>0</v>
      </c>
      <c r="L530">
        <v>0</v>
      </c>
      <c r="M530">
        <v>0</v>
      </c>
      <c r="N530">
        <v>0</v>
      </c>
      <c r="P530">
        <v>35.4</v>
      </c>
    </row>
    <row r="531" spans="1:16">
      <c r="A531" t="s">
        <v>561</v>
      </c>
      <c r="B531" s="2">
        <v>45797</v>
      </c>
      <c r="C531" t="s">
        <v>17</v>
      </c>
      <c r="D531" t="s">
        <v>32</v>
      </c>
      <c r="E531" t="s">
        <v>24</v>
      </c>
      <c r="F531" t="s">
        <v>25</v>
      </c>
      <c r="G531" t="s">
        <v>21</v>
      </c>
      <c r="H531">
        <v>0</v>
      </c>
      <c r="I531">
        <v>0</v>
      </c>
      <c r="J531">
        <v>0</v>
      </c>
      <c r="K531">
        <v>0</v>
      </c>
      <c r="L531">
        <v>0</v>
      </c>
      <c r="M531">
        <v>0</v>
      </c>
      <c r="N531">
        <v>0</v>
      </c>
      <c r="P531">
        <v>64.3</v>
      </c>
    </row>
    <row r="532" spans="1:16">
      <c r="A532" t="s">
        <v>562</v>
      </c>
      <c r="B532" s="2">
        <v>45699</v>
      </c>
      <c r="C532" t="s">
        <v>17</v>
      </c>
      <c r="D532" t="s">
        <v>32</v>
      </c>
      <c r="E532" t="s">
        <v>24</v>
      </c>
      <c r="F532" t="s">
        <v>25</v>
      </c>
      <c r="G532" t="s">
        <v>26</v>
      </c>
      <c r="H532">
        <v>0</v>
      </c>
      <c r="I532">
        <v>0</v>
      </c>
      <c r="J532">
        <v>0</v>
      </c>
      <c r="K532">
        <v>0</v>
      </c>
      <c r="L532">
        <v>0</v>
      </c>
      <c r="M532">
        <v>0</v>
      </c>
      <c r="N532">
        <v>0</v>
      </c>
      <c r="P532">
        <v>49.1</v>
      </c>
    </row>
    <row r="533" spans="1:16">
      <c r="A533" t="s">
        <v>563</v>
      </c>
      <c r="B533" s="2">
        <v>45701</v>
      </c>
      <c r="C533" t="s">
        <v>17</v>
      </c>
      <c r="D533" t="s">
        <v>23</v>
      </c>
      <c r="E533" t="s">
        <v>24</v>
      </c>
      <c r="F533" t="s">
        <v>25</v>
      </c>
      <c r="G533" t="s">
        <v>26</v>
      </c>
      <c r="H533">
        <v>1</v>
      </c>
      <c r="I533">
        <v>0</v>
      </c>
      <c r="J533">
        <v>0</v>
      </c>
      <c r="K533">
        <v>0</v>
      </c>
      <c r="L533">
        <v>0</v>
      </c>
      <c r="M533">
        <v>0</v>
      </c>
      <c r="N533">
        <v>0</v>
      </c>
      <c r="P533">
        <v>84.3</v>
      </c>
    </row>
    <row r="534" spans="1:16">
      <c r="A534" t="s">
        <v>564</v>
      </c>
      <c r="B534" s="2">
        <v>45754</v>
      </c>
      <c r="C534" t="s">
        <v>17</v>
      </c>
      <c r="D534" t="s">
        <v>32</v>
      </c>
      <c r="E534" t="s">
        <v>24</v>
      </c>
      <c r="F534" t="s">
        <v>29</v>
      </c>
      <c r="G534" t="s">
        <v>30</v>
      </c>
      <c r="H534">
        <v>1</v>
      </c>
      <c r="I534">
        <v>0</v>
      </c>
      <c r="J534">
        <v>0</v>
      </c>
      <c r="K534">
        <v>0</v>
      </c>
      <c r="L534">
        <v>0</v>
      </c>
      <c r="M534">
        <v>0</v>
      </c>
      <c r="N534">
        <v>0</v>
      </c>
      <c r="P534">
        <v>65.599999999999994</v>
      </c>
    </row>
    <row r="535" spans="1:16">
      <c r="A535" t="s">
        <v>565</v>
      </c>
      <c r="B535" s="2">
        <v>45724</v>
      </c>
      <c r="C535" t="s">
        <v>17</v>
      </c>
      <c r="D535" t="s">
        <v>28</v>
      </c>
      <c r="E535" t="s">
        <v>24</v>
      </c>
      <c r="F535" t="s">
        <v>20</v>
      </c>
      <c r="G535" t="s">
        <v>26</v>
      </c>
      <c r="H535">
        <v>1</v>
      </c>
      <c r="I535">
        <v>0</v>
      </c>
      <c r="J535">
        <v>0</v>
      </c>
      <c r="K535">
        <v>0</v>
      </c>
      <c r="L535">
        <v>0</v>
      </c>
      <c r="M535">
        <v>0</v>
      </c>
      <c r="N535">
        <v>0</v>
      </c>
      <c r="P535">
        <v>47.1</v>
      </c>
    </row>
    <row r="536" spans="1:16">
      <c r="A536" t="s">
        <v>566</v>
      </c>
      <c r="B536" s="2">
        <v>45704</v>
      </c>
      <c r="C536" t="s">
        <v>17</v>
      </c>
      <c r="D536" t="s">
        <v>18</v>
      </c>
      <c r="E536" t="s">
        <v>19</v>
      </c>
      <c r="F536" t="s">
        <v>29</v>
      </c>
      <c r="G536" t="s">
        <v>26</v>
      </c>
      <c r="H536">
        <v>1</v>
      </c>
      <c r="I536">
        <v>1</v>
      </c>
      <c r="J536">
        <v>1</v>
      </c>
      <c r="K536">
        <v>0</v>
      </c>
      <c r="L536">
        <v>0</v>
      </c>
      <c r="M536">
        <v>0</v>
      </c>
      <c r="N536">
        <v>0</v>
      </c>
      <c r="P536">
        <v>70</v>
      </c>
    </row>
    <row r="537" spans="1:16">
      <c r="A537" t="s">
        <v>567</v>
      </c>
      <c r="B537" s="2">
        <v>45775</v>
      </c>
      <c r="C537" t="s">
        <v>17</v>
      </c>
      <c r="D537" t="s">
        <v>32</v>
      </c>
      <c r="E537" t="s">
        <v>24</v>
      </c>
      <c r="F537" t="s">
        <v>29</v>
      </c>
      <c r="G537" t="s">
        <v>30</v>
      </c>
      <c r="H537">
        <v>1</v>
      </c>
      <c r="I537">
        <v>0</v>
      </c>
      <c r="J537">
        <v>0</v>
      </c>
      <c r="K537">
        <v>0</v>
      </c>
      <c r="L537">
        <v>0</v>
      </c>
      <c r="M537">
        <v>0</v>
      </c>
      <c r="N537">
        <v>0</v>
      </c>
      <c r="P537">
        <v>54.6</v>
      </c>
    </row>
    <row r="538" spans="1:16">
      <c r="A538" t="s">
        <v>568</v>
      </c>
      <c r="B538" s="2">
        <v>45726</v>
      </c>
      <c r="C538" t="s">
        <v>17</v>
      </c>
      <c r="D538" t="s">
        <v>23</v>
      </c>
      <c r="E538" t="s">
        <v>34</v>
      </c>
      <c r="F538" t="s">
        <v>41</v>
      </c>
      <c r="G538" t="s">
        <v>21</v>
      </c>
      <c r="H538">
        <v>1</v>
      </c>
      <c r="I538">
        <v>1</v>
      </c>
      <c r="J538">
        <v>0</v>
      </c>
      <c r="K538">
        <v>0</v>
      </c>
      <c r="L538">
        <v>0</v>
      </c>
      <c r="M538">
        <v>1</v>
      </c>
      <c r="N538">
        <v>0</v>
      </c>
      <c r="P538">
        <v>65.2</v>
      </c>
    </row>
    <row r="539" spans="1:16">
      <c r="A539" t="s">
        <v>569</v>
      </c>
      <c r="B539" s="2">
        <v>45682</v>
      </c>
      <c r="C539" t="s">
        <v>17</v>
      </c>
      <c r="D539" t="s">
        <v>28</v>
      </c>
      <c r="E539" t="s">
        <v>24</v>
      </c>
      <c r="F539" t="s">
        <v>41</v>
      </c>
      <c r="G539" t="s">
        <v>26</v>
      </c>
      <c r="H539">
        <v>1</v>
      </c>
      <c r="I539">
        <v>0</v>
      </c>
      <c r="J539">
        <v>0</v>
      </c>
      <c r="K539">
        <v>0</v>
      </c>
      <c r="L539">
        <v>0</v>
      </c>
      <c r="M539">
        <v>0</v>
      </c>
      <c r="N539">
        <v>0</v>
      </c>
      <c r="P539">
        <v>65</v>
      </c>
    </row>
    <row r="540" spans="1:16">
      <c r="A540" t="s">
        <v>570</v>
      </c>
      <c r="B540" s="2">
        <v>45668</v>
      </c>
      <c r="C540" t="s">
        <v>17</v>
      </c>
      <c r="D540" t="s">
        <v>23</v>
      </c>
      <c r="E540" t="s">
        <v>24</v>
      </c>
      <c r="F540" t="s">
        <v>29</v>
      </c>
      <c r="G540" t="s">
        <v>30</v>
      </c>
      <c r="H540">
        <v>1</v>
      </c>
      <c r="I540">
        <v>1</v>
      </c>
      <c r="J540">
        <v>1</v>
      </c>
      <c r="K540">
        <v>0</v>
      </c>
      <c r="L540">
        <v>0</v>
      </c>
      <c r="M540">
        <v>1</v>
      </c>
      <c r="N540">
        <v>0</v>
      </c>
      <c r="P540">
        <v>42.1</v>
      </c>
    </row>
    <row r="541" spans="1:16">
      <c r="A541" t="s">
        <v>571</v>
      </c>
      <c r="B541" s="2">
        <v>45747</v>
      </c>
      <c r="C541" t="s">
        <v>17</v>
      </c>
      <c r="D541" t="s">
        <v>23</v>
      </c>
      <c r="E541" t="s">
        <v>34</v>
      </c>
      <c r="F541" t="s">
        <v>29</v>
      </c>
      <c r="G541" t="s">
        <v>26</v>
      </c>
      <c r="H541">
        <v>1</v>
      </c>
      <c r="I541">
        <v>0</v>
      </c>
      <c r="J541">
        <v>0</v>
      </c>
      <c r="K541">
        <v>0</v>
      </c>
      <c r="L541">
        <v>0</v>
      </c>
      <c r="M541">
        <v>0</v>
      </c>
      <c r="N541">
        <v>0</v>
      </c>
      <c r="P541">
        <v>43.4</v>
      </c>
    </row>
    <row r="542" spans="1:16">
      <c r="A542" t="s">
        <v>572</v>
      </c>
      <c r="B542" s="2">
        <v>45799</v>
      </c>
      <c r="C542" t="s">
        <v>17</v>
      </c>
      <c r="D542" t="s">
        <v>18</v>
      </c>
      <c r="E542" t="s">
        <v>24</v>
      </c>
      <c r="F542" t="s">
        <v>29</v>
      </c>
      <c r="G542" t="s">
        <v>21</v>
      </c>
      <c r="H542">
        <v>1</v>
      </c>
      <c r="I542">
        <v>1</v>
      </c>
      <c r="J542">
        <v>0</v>
      </c>
      <c r="K542">
        <v>0</v>
      </c>
      <c r="L542">
        <v>0</v>
      </c>
      <c r="M542">
        <v>0</v>
      </c>
      <c r="N542">
        <v>0</v>
      </c>
      <c r="P542">
        <v>39.9</v>
      </c>
    </row>
    <row r="543" spans="1:16">
      <c r="A543" t="s">
        <v>573</v>
      </c>
      <c r="B543" s="2">
        <v>45793</v>
      </c>
      <c r="C543" t="s">
        <v>17</v>
      </c>
      <c r="D543" t="s">
        <v>18</v>
      </c>
      <c r="E543" t="s">
        <v>24</v>
      </c>
      <c r="F543" t="s">
        <v>39</v>
      </c>
      <c r="G543" t="s">
        <v>21</v>
      </c>
      <c r="H543">
        <v>0</v>
      </c>
      <c r="I543">
        <v>0</v>
      </c>
      <c r="J543">
        <v>0</v>
      </c>
      <c r="K543">
        <v>0</v>
      </c>
      <c r="L543">
        <v>0</v>
      </c>
      <c r="M543">
        <v>0</v>
      </c>
      <c r="N543">
        <v>0</v>
      </c>
      <c r="P543">
        <v>74.099999999999994</v>
      </c>
    </row>
    <row r="544" spans="1:16">
      <c r="A544" t="s">
        <v>574</v>
      </c>
      <c r="B544" s="2">
        <v>45772</v>
      </c>
      <c r="C544" t="s">
        <v>17</v>
      </c>
      <c r="D544" t="s">
        <v>28</v>
      </c>
      <c r="E544" t="s">
        <v>19</v>
      </c>
      <c r="F544" t="s">
        <v>29</v>
      </c>
      <c r="G544" t="s">
        <v>26</v>
      </c>
      <c r="H544">
        <v>1</v>
      </c>
      <c r="I544">
        <v>0</v>
      </c>
      <c r="J544">
        <v>0</v>
      </c>
      <c r="K544">
        <v>0</v>
      </c>
      <c r="L544">
        <v>0</v>
      </c>
      <c r="M544">
        <v>0</v>
      </c>
      <c r="N544">
        <v>0</v>
      </c>
      <c r="P544">
        <v>61.4</v>
      </c>
    </row>
    <row r="545" spans="1:16">
      <c r="A545" t="s">
        <v>575</v>
      </c>
      <c r="B545" s="2">
        <v>45764</v>
      </c>
      <c r="C545" t="s">
        <v>17</v>
      </c>
      <c r="D545" t="s">
        <v>28</v>
      </c>
      <c r="E545" t="s">
        <v>24</v>
      </c>
      <c r="F545" t="s">
        <v>41</v>
      </c>
      <c r="G545" t="s">
        <v>30</v>
      </c>
      <c r="H545">
        <v>1</v>
      </c>
      <c r="I545">
        <v>1</v>
      </c>
      <c r="J545">
        <v>1</v>
      </c>
      <c r="K545">
        <v>0</v>
      </c>
      <c r="L545">
        <v>0</v>
      </c>
      <c r="M545">
        <v>0</v>
      </c>
      <c r="N545">
        <v>0</v>
      </c>
      <c r="P545">
        <v>76.8</v>
      </c>
    </row>
    <row r="546" spans="1:16">
      <c r="A546" t="s">
        <v>576</v>
      </c>
      <c r="B546" s="2">
        <v>45658</v>
      </c>
      <c r="C546" t="s">
        <v>17</v>
      </c>
      <c r="D546" t="s">
        <v>32</v>
      </c>
      <c r="E546" t="s">
        <v>19</v>
      </c>
      <c r="F546" t="s">
        <v>41</v>
      </c>
      <c r="G546" t="s">
        <v>21</v>
      </c>
      <c r="H546">
        <v>0</v>
      </c>
      <c r="I546">
        <v>0</v>
      </c>
      <c r="J546">
        <v>0</v>
      </c>
      <c r="K546">
        <v>0</v>
      </c>
      <c r="L546">
        <v>0</v>
      </c>
      <c r="M546">
        <v>0</v>
      </c>
      <c r="N546">
        <v>0</v>
      </c>
    </row>
    <row r="547" spans="1:16">
      <c r="A547" t="s">
        <v>577</v>
      </c>
      <c r="B547" s="2">
        <v>45734</v>
      </c>
      <c r="C547" t="s">
        <v>17</v>
      </c>
      <c r="D547" t="s">
        <v>28</v>
      </c>
      <c r="E547" t="s">
        <v>24</v>
      </c>
      <c r="F547" t="s">
        <v>29</v>
      </c>
      <c r="G547" t="s">
        <v>21</v>
      </c>
      <c r="H547">
        <v>1</v>
      </c>
      <c r="I547">
        <v>1</v>
      </c>
      <c r="J547">
        <v>1</v>
      </c>
      <c r="K547">
        <v>0</v>
      </c>
      <c r="L547">
        <v>0</v>
      </c>
      <c r="M547">
        <v>0</v>
      </c>
      <c r="N547">
        <v>0</v>
      </c>
      <c r="P547">
        <v>45.3</v>
      </c>
    </row>
    <row r="548" spans="1:16">
      <c r="A548" t="s">
        <v>578</v>
      </c>
      <c r="B548" s="2">
        <v>45797</v>
      </c>
      <c r="C548" t="s">
        <v>17</v>
      </c>
      <c r="D548" t="s">
        <v>18</v>
      </c>
      <c r="E548" t="s">
        <v>34</v>
      </c>
      <c r="F548" t="s">
        <v>29</v>
      </c>
      <c r="G548" t="s">
        <v>26</v>
      </c>
      <c r="H548">
        <v>1</v>
      </c>
      <c r="I548">
        <v>0</v>
      </c>
      <c r="J548">
        <v>0</v>
      </c>
      <c r="K548">
        <v>0</v>
      </c>
      <c r="L548">
        <v>0</v>
      </c>
      <c r="M548">
        <v>0</v>
      </c>
      <c r="N548">
        <v>0</v>
      </c>
      <c r="P548">
        <v>41.4</v>
      </c>
    </row>
    <row r="549" spans="1:16">
      <c r="A549" t="s">
        <v>579</v>
      </c>
      <c r="B549" s="2">
        <v>45732</v>
      </c>
      <c r="C549" t="s">
        <v>17</v>
      </c>
      <c r="D549" t="s">
        <v>18</v>
      </c>
      <c r="E549" t="s">
        <v>24</v>
      </c>
      <c r="F549" t="s">
        <v>25</v>
      </c>
      <c r="G549" t="s">
        <v>21</v>
      </c>
      <c r="H549">
        <v>1</v>
      </c>
      <c r="I549">
        <v>0</v>
      </c>
      <c r="J549">
        <v>0</v>
      </c>
      <c r="K549">
        <v>0</v>
      </c>
      <c r="L549">
        <v>0</v>
      </c>
      <c r="M549">
        <v>0</v>
      </c>
      <c r="N549">
        <v>0</v>
      </c>
      <c r="P549">
        <v>37.1</v>
      </c>
    </row>
    <row r="550" spans="1:16">
      <c r="A550" t="s">
        <v>580</v>
      </c>
      <c r="B550" s="2">
        <v>45807</v>
      </c>
      <c r="C550" t="s">
        <v>17</v>
      </c>
      <c r="D550" t="s">
        <v>28</v>
      </c>
      <c r="E550" t="s">
        <v>19</v>
      </c>
      <c r="F550" t="s">
        <v>41</v>
      </c>
      <c r="G550" t="s">
        <v>26</v>
      </c>
      <c r="H550">
        <v>1</v>
      </c>
      <c r="I550">
        <v>0</v>
      </c>
      <c r="J550">
        <v>0</v>
      </c>
      <c r="K550">
        <v>0</v>
      </c>
      <c r="L550">
        <v>0</v>
      </c>
      <c r="M550">
        <v>0</v>
      </c>
      <c r="N550">
        <v>0</v>
      </c>
      <c r="P550">
        <v>40.700000000000003</v>
      </c>
    </row>
    <row r="551" spans="1:16">
      <c r="A551" t="s">
        <v>581</v>
      </c>
      <c r="B551" s="2">
        <v>45708</v>
      </c>
      <c r="C551" t="s">
        <v>17</v>
      </c>
      <c r="D551" t="s">
        <v>18</v>
      </c>
      <c r="E551" t="s">
        <v>24</v>
      </c>
      <c r="F551" t="s">
        <v>41</v>
      </c>
      <c r="G551" t="s">
        <v>30</v>
      </c>
      <c r="H551">
        <v>0</v>
      </c>
      <c r="I551">
        <v>0</v>
      </c>
      <c r="J551">
        <v>0</v>
      </c>
      <c r="K551">
        <v>0</v>
      </c>
      <c r="L551">
        <v>0</v>
      </c>
      <c r="M551">
        <v>2</v>
      </c>
      <c r="N551">
        <v>0</v>
      </c>
      <c r="P551">
        <v>55.9</v>
      </c>
    </row>
    <row r="552" spans="1:16">
      <c r="A552" t="s">
        <v>582</v>
      </c>
      <c r="B552" s="2">
        <v>45699</v>
      </c>
      <c r="C552" t="s">
        <v>17</v>
      </c>
      <c r="D552" t="s">
        <v>28</v>
      </c>
      <c r="F552" t="s">
        <v>41</v>
      </c>
      <c r="G552" t="s">
        <v>26</v>
      </c>
      <c r="H552">
        <v>1</v>
      </c>
      <c r="I552">
        <v>1</v>
      </c>
      <c r="J552">
        <v>0</v>
      </c>
      <c r="K552">
        <v>0</v>
      </c>
      <c r="L552">
        <v>0</v>
      </c>
      <c r="M552">
        <v>0</v>
      </c>
      <c r="N552">
        <v>0</v>
      </c>
      <c r="P552">
        <v>55.8</v>
      </c>
    </row>
    <row r="553" spans="1:16">
      <c r="A553" t="s">
        <v>583</v>
      </c>
      <c r="B553" s="2">
        <v>45659</v>
      </c>
      <c r="C553" t="s">
        <v>17</v>
      </c>
      <c r="D553" t="s">
        <v>32</v>
      </c>
      <c r="E553" t="s">
        <v>34</v>
      </c>
      <c r="F553" t="s">
        <v>39</v>
      </c>
      <c r="G553" t="s">
        <v>21</v>
      </c>
      <c r="H553">
        <v>1</v>
      </c>
      <c r="I553">
        <v>0</v>
      </c>
      <c r="J553">
        <v>0</v>
      </c>
      <c r="K553">
        <v>0</v>
      </c>
      <c r="L553">
        <v>0</v>
      </c>
      <c r="M553">
        <v>0</v>
      </c>
      <c r="N553">
        <v>0</v>
      </c>
      <c r="P553">
        <v>64.3</v>
      </c>
    </row>
    <row r="554" spans="1:16">
      <c r="A554" t="s">
        <v>584</v>
      </c>
      <c r="B554" s="2">
        <v>45780</v>
      </c>
      <c r="C554" t="s">
        <v>17</v>
      </c>
      <c r="D554" t="s">
        <v>18</v>
      </c>
      <c r="E554" t="s">
        <v>24</v>
      </c>
      <c r="F554" t="s">
        <v>25</v>
      </c>
      <c r="G554" t="s">
        <v>26</v>
      </c>
      <c r="H554">
        <v>0</v>
      </c>
      <c r="I554">
        <v>0</v>
      </c>
      <c r="J554">
        <v>0</v>
      </c>
      <c r="K554">
        <v>0</v>
      </c>
      <c r="L554">
        <v>0</v>
      </c>
      <c r="M554">
        <v>0</v>
      </c>
      <c r="N554">
        <v>0</v>
      </c>
      <c r="P554">
        <v>65.400000000000006</v>
      </c>
    </row>
    <row r="555" spans="1:16">
      <c r="A555" t="s">
        <v>585</v>
      </c>
      <c r="B555" s="2">
        <v>45712</v>
      </c>
      <c r="C555" t="s">
        <v>17</v>
      </c>
      <c r="D555" t="s">
        <v>23</v>
      </c>
      <c r="E555" t="s">
        <v>24</v>
      </c>
      <c r="F555" t="s">
        <v>25</v>
      </c>
      <c r="G555" t="s">
        <v>26</v>
      </c>
      <c r="H555">
        <v>1</v>
      </c>
      <c r="I555">
        <v>0</v>
      </c>
      <c r="J555">
        <v>0</v>
      </c>
      <c r="K555">
        <v>0</v>
      </c>
      <c r="L555">
        <v>0</v>
      </c>
      <c r="M555">
        <v>0</v>
      </c>
      <c r="N555">
        <v>0</v>
      </c>
      <c r="P555">
        <v>89.8</v>
      </c>
    </row>
    <row r="556" spans="1:16">
      <c r="A556" t="s">
        <v>586</v>
      </c>
      <c r="B556" s="2">
        <v>45699</v>
      </c>
      <c r="C556" t="s">
        <v>17</v>
      </c>
      <c r="D556" t="s">
        <v>32</v>
      </c>
      <c r="F556" t="s">
        <v>25</v>
      </c>
      <c r="G556" t="s">
        <v>26</v>
      </c>
      <c r="H556">
        <v>1</v>
      </c>
      <c r="I556">
        <v>1</v>
      </c>
      <c r="J556">
        <v>1</v>
      </c>
      <c r="K556">
        <v>0</v>
      </c>
      <c r="L556">
        <v>0</v>
      </c>
      <c r="M556">
        <v>0</v>
      </c>
      <c r="N556">
        <v>0</v>
      </c>
      <c r="P556">
        <v>58.3</v>
      </c>
    </row>
    <row r="557" spans="1:16">
      <c r="A557" t="s">
        <v>587</v>
      </c>
      <c r="B557" s="2">
        <v>45783</v>
      </c>
      <c r="C557" t="s">
        <v>17</v>
      </c>
      <c r="D557" t="s">
        <v>32</v>
      </c>
      <c r="E557" t="s">
        <v>24</v>
      </c>
      <c r="F557" t="s">
        <v>41</v>
      </c>
      <c r="G557" t="s">
        <v>21</v>
      </c>
      <c r="H557">
        <v>1</v>
      </c>
      <c r="I557">
        <v>0</v>
      </c>
      <c r="J557">
        <v>0</v>
      </c>
      <c r="K557">
        <v>0</v>
      </c>
      <c r="L557">
        <v>0</v>
      </c>
      <c r="M557">
        <v>0</v>
      </c>
      <c r="N557">
        <v>0</v>
      </c>
      <c r="P557">
        <v>64.400000000000006</v>
      </c>
    </row>
    <row r="558" spans="1:16">
      <c r="A558" t="s">
        <v>588</v>
      </c>
      <c r="B558" s="2">
        <v>45800</v>
      </c>
      <c r="C558" t="s">
        <v>17</v>
      </c>
      <c r="D558" t="s">
        <v>18</v>
      </c>
      <c r="E558" t="s">
        <v>24</v>
      </c>
      <c r="F558" t="s">
        <v>29</v>
      </c>
      <c r="G558" t="s">
        <v>30</v>
      </c>
      <c r="H558">
        <v>0</v>
      </c>
      <c r="I558">
        <v>0</v>
      </c>
      <c r="J558">
        <v>0</v>
      </c>
      <c r="K558">
        <v>0</v>
      </c>
      <c r="L558">
        <v>0</v>
      </c>
      <c r="M558">
        <v>0</v>
      </c>
      <c r="N558">
        <v>0</v>
      </c>
      <c r="P558">
        <v>46.2</v>
      </c>
    </row>
    <row r="559" spans="1:16">
      <c r="A559" t="s">
        <v>589</v>
      </c>
      <c r="B559" s="2">
        <v>45666</v>
      </c>
      <c r="C559" t="s">
        <v>17</v>
      </c>
      <c r="D559" t="s">
        <v>18</v>
      </c>
      <c r="E559" t="s">
        <v>19</v>
      </c>
      <c r="F559" t="s">
        <v>29</v>
      </c>
      <c r="G559" t="s">
        <v>26</v>
      </c>
      <c r="H559">
        <v>0</v>
      </c>
      <c r="I559">
        <v>0</v>
      </c>
      <c r="J559">
        <v>0</v>
      </c>
      <c r="K559">
        <v>0</v>
      </c>
      <c r="L559">
        <v>0</v>
      </c>
      <c r="M559">
        <v>0</v>
      </c>
      <c r="N559">
        <v>0</v>
      </c>
      <c r="P559">
        <v>78</v>
      </c>
    </row>
    <row r="560" spans="1:16">
      <c r="A560" t="s">
        <v>590</v>
      </c>
      <c r="B560" s="2">
        <v>45748</v>
      </c>
      <c r="C560" t="s">
        <v>17</v>
      </c>
      <c r="D560" t="s">
        <v>18</v>
      </c>
      <c r="E560" t="s">
        <v>19</v>
      </c>
      <c r="F560" t="s">
        <v>25</v>
      </c>
      <c r="G560" t="s">
        <v>30</v>
      </c>
      <c r="H560">
        <v>1</v>
      </c>
      <c r="I560">
        <v>0</v>
      </c>
      <c r="J560">
        <v>0</v>
      </c>
      <c r="K560">
        <v>0</v>
      </c>
      <c r="L560">
        <v>0</v>
      </c>
      <c r="M560">
        <v>0</v>
      </c>
      <c r="N560">
        <v>0</v>
      </c>
      <c r="P560">
        <v>62.3</v>
      </c>
    </row>
    <row r="561" spans="1:16">
      <c r="A561" t="s">
        <v>591</v>
      </c>
      <c r="B561" s="2">
        <v>45724</v>
      </c>
      <c r="C561" t="s">
        <v>17</v>
      </c>
      <c r="D561" t="s">
        <v>18</v>
      </c>
      <c r="E561" t="s">
        <v>24</v>
      </c>
      <c r="F561" t="s">
        <v>25</v>
      </c>
      <c r="G561" t="s">
        <v>26</v>
      </c>
      <c r="H561">
        <v>1</v>
      </c>
      <c r="I561">
        <v>0</v>
      </c>
      <c r="J561">
        <v>0</v>
      </c>
      <c r="K561">
        <v>0</v>
      </c>
      <c r="L561">
        <v>0</v>
      </c>
      <c r="M561">
        <v>0</v>
      </c>
      <c r="N561">
        <v>0</v>
      </c>
      <c r="P561">
        <v>78.8</v>
      </c>
    </row>
    <row r="562" spans="1:16">
      <c r="A562" t="s">
        <v>592</v>
      </c>
      <c r="B562" s="2">
        <v>45708</v>
      </c>
      <c r="C562" t="s">
        <v>17</v>
      </c>
      <c r="D562" t="s">
        <v>18</v>
      </c>
      <c r="E562" t="s">
        <v>24</v>
      </c>
      <c r="F562" t="s">
        <v>41</v>
      </c>
      <c r="G562" t="s">
        <v>21</v>
      </c>
      <c r="H562">
        <v>1</v>
      </c>
      <c r="I562">
        <v>0</v>
      </c>
      <c r="J562">
        <v>0</v>
      </c>
      <c r="K562">
        <v>0</v>
      </c>
      <c r="L562">
        <v>0</v>
      </c>
      <c r="M562">
        <v>0</v>
      </c>
      <c r="N562">
        <v>0</v>
      </c>
      <c r="P562">
        <v>25</v>
      </c>
    </row>
    <row r="563" spans="1:16">
      <c r="A563" t="s">
        <v>593</v>
      </c>
      <c r="B563" s="2">
        <v>45746</v>
      </c>
      <c r="C563" t="s">
        <v>17</v>
      </c>
      <c r="D563" t="s">
        <v>28</v>
      </c>
      <c r="E563" t="s">
        <v>24</v>
      </c>
      <c r="F563" t="s">
        <v>41</v>
      </c>
      <c r="G563" t="s">
        <v>21</v>
      </c>
      <c r="H563">
        <v>0</v>
      </c>
      <c r="I563">
        <v>0</v>
      </c>
      <c r="J563">
        <v>0</v>
      </c>
      <c r="K563">
        <v>0</v>
      </c>
      <c r="L563">
        <v>0</v>
      </c>
      <c r="M563">
        <v>0</v>
      </c>
      <c r="N563">
        <v>0</v>
      </c>
      <c r="P563">
        <v>53.4</v>
      </c>
    </row>
    <row r="564" spans="1:16">
      <c r="A564" t="s">
        <v>594</v>
      </c>
      <c r="B564" s="2">
        <v>45757</v>
      </c>
      <c r="C564" t="s">
        <v>17</v>
      </c>
      <c r="D564" t="s">
        <v>28</v>
      </c>
      <c r="E564" t="s">
        <v>19</v>
      </c>
      <c r="F564" t="s">
        <v>25</v>
      </c>
      <c r="G564" t="s">
        <v>21</v>
      </c>
      <c r="H564">
        <v>0</v>
      </c>
      <c r="I564">
        <v>0</v>
      </c>
      <c r="J564">
        <v>0</v>
      </c>
      <c r="K564">
        <v>0</v>
      </c>
      <c r="L564">
        <v>0</v>
      </c>
      <c r="M564">
        <v>0</v>
      </c>
      <c r="N564">
        <v>0</v>
      </c>
      <c r="P564">
        <v>40.700000000000003</v>
      </c>
    </row>
    <row r="565" spans="1:16">
      <c r="A565" t="s">
        <v>595</v>
      </c>
      <c r="B565" s="2">
        <v>45740</v>
      </c>
      <c r="C565" t="s">
        <v>17</v>
      </c>
      <c r="D565" t="s">
        <v>28</v>
      </c>
      <c r="E565" t="s">
        <v>24</v>
      </c>
      <c r="F565" t="s">
        <v>25</v>
      </c>
      <c r="G565" t="s">
        <v>30</v>
      </c>
      <c r="H565">
        <v>1</v>
      </c>
      <c r="I565">
        <v>1</v>
      </c>
      <c r="J565">
        <v>0</v>
      </c>
      <c r="K565">
        <v>0</v>
      </c>
      <c r="L565">
        <v>0</v>
      </c>
      <c r="M565">
        <v>0</v>
      </c>
      <c r="N565">
        <v>0</v>
      </c>
      <c r="P565">
        <v>36.700000000000003</v>
      </c>
    </row>
    <row r="566" spans="1:16">
      <c r="A566" t="s">
        <v>596</v>
      </c>
      <c r="B566" s="2">
        <v>45798</v>
      </c>
      <c r="C566" t="s">
        <v>17</v>
      </c>
      <c r="D566" t="s">
        <v>23</v>
      </c>
      <c r="E566" t="s">
        <v>24</v>
      </c>
      <c r="F566" t="s">
        <v>25</v>
      </c>
      <c r="G566" t="s">
        <v>21</v>
      </c>
      <c r="H566">
        <v>1</v>
      </c>
      <c r="I566">
        <v>0</v>
      </c>
      <c r="J566">
        <v>0</v>
      </c>
      <c r="K566">
        <v>0</v>
      </c>
      <c r="L566">
        <v>0</v>
      </c>
      <c r="M566">
        <v>1</v>
      </c>
      <c r="N566">
        <v>0</v>
      </c>
      <c r="P566">
        <v>67.5</v>
      </c>
    </row>
    <row r="567" spans="1:16">
      <c r="A567" t="s">
        <v>597</v>
      </c>
      <c r="B567" s="2">
        <v>45745</v>
      </c>
      <c r="C567" t="s">
        <v>17</v>
      </c>
      <c r="D567" t="s">
        <v>28</v>
      </c>
      <c r="E567" t="s">
        <v>24</v>
      </c>
      <c r="F567" t="s">
        <v>41</v>
      </c>
      <c r="G567" t="s">
        <v>30</v>
      </c>
      <c r="H567">
        <v>1</v>
      </c>
      <c r="I567">
        <v>1</v>
      </c>
      <c r="J567">
        <v>1</v>
      </c>
      <c r="K567">
        <v>0</v>
      </c>
      <c r="L567">
        <v>0</v>
      </c>
      <c r="M567">
        <v>0</v>
      </c>
      <c r="N567">
        <v>0</v>
      </c>
      <c r="P567">
        <v>69.900000000000006</v>
      </c>
    </row>
    <row r="568" spans="1:16">
      <c r="A568" t="s">
        <v>598</v>
      </c>
      <c r="B568" s="2">
        <v>45711</v>
      </c>
      <c r="C568" t="s">
        <v>17</v>
      </c>
      <c r="D568" t="s">
        <v>18</v>
      </c>
      <c r="E568" t="s">
        <v>34</v>
      </c>
      <c r="F568" t="s">
        <v>39</v>
      </c>
      <c r="G568" t="s">
        <v>21</v>
      </c>
      <c r="H568">
        <v>1</v>
      </c>
      <c r="I568">
        <v>0</v>
      </c>
      <c r="J568">
        <v>0</v>
      </c>
      <c r="K568">
        <v>0</v>
      </c>
      <c r="L568">
        <v>0</v>
      </c>
      <c r="M568">
        <v>0</v>
      </c>
      <c r="N568">
        <v>0</v>
      </c>
      <c r="P568">
        <v>65.099999999999994</v>
      </c>
    </row>
    <row r="569" spans="1:16">
      <c r="A569" t="s">
        <v>599</v>
      </c>
      <c r="B569" s="2">
        <v>45704</v>
      </c>
      <c r="C569" t="s">
        <v>17</v>
      </c>
      <c r="D569" t="s">
        <v>23</v>
      </c>
      <c r="E569" t="s">
        <v>24</v>
      </c>
      <c r="F569" t="s">
        <v>29</v>
      </c>
      <c r="G569" t="s">
        <v>30</v>
      </c>
      <c r="H569">
        <v>1</v>
      </c>
      <c r="I569">
        <v>0</v>
      </c>
      <c r="J569">
        <v>0</v>
      </c>
      <c r="K569">
        <v>0</v>
      </c>
      <c r="L569">
        <v>0</v>
      </c>
      <c r="M569">
        <v>0</v>
      </c>
      <c r="N569">
        <v>0</v>
      </c>
      <c r="P569">
        <v>48.7</v>
      </c>
    </row>
    <row r="570" spans="1:16">
      <c r="A570" t="s">
        <v>600</v>
      </c>
      <c r="B570" s="2">
        <v>45709</v>
      </c>
      <c r="C570" t="s">
        <v>17</v>
      </c>
      <c r="D570" t="s">
        <v>23</v>
      </c>
      <c r="E570" t="s">
        <v>19</v>
      </c>
      <c r="F570" t="s">
        <v>25</v>
      </c>
      <c r="G570" t="s">
        <v>21</v>
      </c>
      <c r="H570">
        <v>1</v>
      </c>
      <c r="I570">
        <v>1</v>
      </c>
      <c r="J570">
        <v>0</v>
      </c>
      <c r="K570">
        <v>0</v>
      </c>
      <c r="L570">
        <v>0</v>
      </c>
      <c r="M570">
        <v>0</v>
      </c>
      <c r="N570">
        <v>0</v>
      </c>
      <c r="P570">
        <v>47.2</v>
      </c>
    </row>
    <row r="571" spans="1:16">
      <c r="A571" t="s">
        <v>601</v>
      </c>
      <c r="B571" s="2">
        <v>45664</v>
      </c>
      <c r="C571" t="s">
        <v>17</v>
      </c>
      <c r="D571" t="s">
        <v>18</v>
      </c>
      <c r="E571" t="s">
        <v>24</v>
      </c>
      <c r="F571" t="s">
        <v>39</v>
      </c>
      <c r="G571" t="s">
        <v>26</v>
      </c>
      <c r="H571">
        <v>1</v>
      </c>
      <c r="I571">
        <v>0</v>
      </c>
      <c r="J571">
        <v>0</v>
      </c>
      <c r="K571">
        <v>0</v>
      </c>
      <c r="L571">
        <v>0</v>
      </c>
      <c r="M571">
        <v>2</v>
      </c>
      <c r="N571">
        <v>0</v>
      </c>
      <c r="P571">
        <v>20.3</v>
      </c>
    </row>
    <row r="572" spans="1:16">
      <c r="A572" t="s">
        <v>602</v>
      </c>
      <c r="B572" s="2">
        <v>45722</v>
      </c>
      <c r="C572" t="s">
        <v>17</v>
      </c>
      <c r="D572" t="s">
        <v>23</v>
      </c>
      <c r="E572" t="s">
        <v>24</v>
      </c>
      <c r="F572" t="s">
        <v>29</v>
      </c>
      <c r="G572" t="s">
        <v>26</v>
      </c>
      <c r="H572">
        <v>0</v>
      </c>
      <c r="I572">
        <v>0</v>
      </c>
      <c r="J572">
        <v>0</v>
      </c>
      <c r="K572">
        <v>0</v>
      </c>
      <c r="L572">
        <v>0</v>
      </c>
      <c r="M572">
        <v>1</v>
      </c>
      <c r="N572">
        <v>0</v>
      </c>
      <c r="P572">
        <v>57.8</v>
      </c>
    </row>
    <row r="573" spans="1:16">
      <c r="A573" t="s">
        <v>603</v>
      </c>
      <c r="B573" s="2">
        <v>45746</v>
      </c>
      <c r="C573" t="s">
        <v>17</v>
      </c>
      <c r="D573" t="s">
        <v>28</v>
      </c>
      <c r="E573" t="s">
        <v>24</v>
      </c>
      <c r="F573" t="s">
        <v>20</v>
      </c>
      <c r="G573" t="s">
        <v>21</v>
      </c>
      <c r="H573">
        <v>1</v>
      </c>
      <c r="I573">
        <v>0</v>
      </c>
      <c r="J573">
        <v>0</v>
      </c>
      <c r="K573">
        <v>0</v>
      </c>
      <c r="L573">
        <v>0</v>
      </c>
      <c r="M573">
        <v>0</v>
      </c>
      <c r="N573">
        <v>0</v>
      </c>
      <c r="P573">
        <v>78.7</v>
      </c>
    </row>
    <row r="574" spans="1:16">
      <c r="A574" t="s">
        <v>604</v>
      </c>
      <c r="B574" s="2">
        <v>45808</v>
      </c>
      <c r="C574" t="s">
        <v>17</v>
      </c>
      <c r="D574" t="s">
        <v>32</v>
      </c>
      <c r="E574" t="s">
        <v>19</v>
      </c>
      <c r="F574" t="s">
        <v>25</v>
      </c>
      <c r="G574" t="s">
        <v>26</v>
      </c>
      <c r="H574">
        <v>1</v>
      </c>
      <c r="I574">
        <v>0</v>
      </c>
      <c r="J574">
        <v>0</v>
      </c>
      <c r="K574">
        <v>0</v>
      </c>
      <c r="L574">
        <v>0</v>
      </c>
      <c r="M574">
        <v>0</v>
      </c>
      <c r="N574">
        <v>0</v>
      </c>
      <c r="P574">
        <v>63.6</v>
      </c>
    </row>
    <row r="575" spans="1:16">
      <c r="A575" t="s">
        <v>605</v>
      </c>
      <c r="B575" s="2">
        <v>45708</v>
      </c>
      <c r="C575" t="s">
        <v>17</v>
      </c>
      <c r="D575" t="s">
        <v>32</v>
      </c>
      <c r="E575" t="s">
        <v>24</v>
      </c>
      <c r="F575" t="s">
        <v>20</v>
      </c>
      <c r="G575" t="s">
        <v>26</v>
      </c>
      <c r="H575">
        <v>0</v>
      </c>
      <c r="I575">
        <v>0</v>
      </c>
      <c r="J575">
        <v>0</v>
      </c>
      <c r="K575">
        <v>0</v>
      </c>
      <c r="L575">
        <v>0</v>
      </c>
      <c r="M575">
        <v>2</v>
      </c>
      <c r="N575">
        <v>0</v>
      </c>
      <c r="P575">
        <v>45.1</v>
      </c>
    </row>
    <row r="576" spans="1:16">
      <c r="A576" t="s">
        <v>606</v>
      </c>
      <c r="B576" s="2">
        <v>45670</v>
      </c>
      <c r="C576" t="s">
        <v>17</v>
      </c>
      <c r="D576" t="s">
        <v>23</v>
      </c>
      <c r="E576" t="s">
        <v>24</v>
      </c>
      <c r="F576" t="s">
        <v>41</v>
      </c>
      <c r="G576" t="s">
        <v>26</v>
      </c>
      <c r="H576">
        <v>0</v>
      </c>
      <c r="I576">
        <v>0</v>
      </c>
      <c r="J576">
        <v>0</v>
      </c>
      <c r="K576">
        <v>0</v>
      </c>
      <c r="L576">
        <v>0</v>
      </c>
      <c r="M576">
        <v>0</v>
      </c>
      <c r="N576">
        <v>0</v>
      </c>
      <c r="P576">
        <v>77.5</v>
      </c>
    </row>
    <row r="577" spans="1:16">
      <c r="A577" t="s">
        <v>607</v>
      </c>
      <c r="B577" s="2">
        <v>45790</v>
      </c>
      <c r="C577" t="s">
        <v>17</v>
      </c>
      <c r="D577" t="s">
        <v>28</v>
      </c>
      <c r="E577" t="s">
        <v>19</v>
      </c>
      <c r="F577" t="s">
        <v>29</v>
      </c>
      <c r="G577" t="s">
        <v>21</v>
      </c>
      <c r="H577">
        <v>1</v>
      </c>
      <c r="I577">
        <v>1</v>
      </c>
      <c r="J577">
        <v>0</v>
      </c>
      <c r="K577">
        <v>0</v>
      </c>
      <c r="L577">
        <v>0</v>
      </c>
      <c r="M577">
        <v>0</v>
      </c>
      <c r="N577">
        <v>0</v>
      </c>
      <c r="P577">
        <v>58</v>
      </c>
    </row>
    <row r="578" spans="1:16">
      <c r="A578" t="s">
        <v>608</v>
      </c>
      <c r="B578" s="2">
        <v>45768</v>
      </c>
      <c r="C578" t="s">
        <v>17</v>
      </c>
      <c r="D578" t="s">
        <v>32</v>
      </c>
      <c r="E578" t="s">
        <v>34</v>
      </c>
      <c r="F578" t="s">
        <v>25</v>
      </c>
      <c r="G578" t="s">
        <v>26</v>
      </c>
      <c r="H578">
        <v>1</v>
      </c>
      <c r="I578">
        <v>0</v>
      </c>
      <c r="J578">
        <v>0</v>
      </c>
      <c r="K578">
        <v>0</v>
      </c>
      <c r="L578">
        <v>0</v>
      </c>
      <c r="M578">
        <v>0</v>
      </c>
      <c r="N578">
        <v>0</v>
      </c>
      <c r="P578">
        <v>68.099999999999994</v>
      </c>
    </row>
    <row r="579" spans="1:16">
      <c r="A579" t="s">
        <v>609</v>
      </c>
      <c r="B579" s="2">
        <v>45717</v>
      </c>
      <c r="C579" t="s">
        <v>17</v>
      </c>
      <c r="D579" t="s">
        <v>28</v>
      </c>
      <c r="E579" t="s">
        <v>34</v>
      </c>
      <c r="F579" t="s">
        <v>25</v>
      </c>
      <c r="G579" t="s">
        <v>30</v>
      </c>
      <c r="H579">
        <v>1</v>
      </c>
      <c r="I579">
        <v>0</v>
      </c>
      <c r="J579">
        <v>0</v>
      </c>
      <c r="K579">
        <v>0</v>
      </c>
      <c r="L579">
        <v>0</v>
      </c>
      <c r="M579">
        <v>0</v>
      </c>
      <c r="N579">
        <v>0</v>
      </c>
      <c r="P579">
        <v>35.4</v>
      </c>
    </row>
    <row r="580" spans="1:16">
      <c r="A580" t="s">
        <v>610</v>
      </c>
      <c r="B580" s="2">
        <v>45726</v>
      </c>
      <c r="C580" t="s">
        <v>17</v>
      </c>
      <c r="D580" t="s">
        <v>23</v>
      </c>
      <c r="E580" t="s">
        <v>34</v>
      </c>
      <c r="F580" t="s">
        <v>25</v>
      </c>
      <c r="G580" t="s">
        <v>26</v>
      </c>
      <c r="H580">
        <v>0</v>
      </c>
      <c r="I580">
        <v>0</v>
      </c>
      <c r="J580">
        <v>0</v>
      </c>
      <c r="K580">
        <v>0</v>
      </c>
      <c r="L580">
        <v>0</v>
      </c>
      <c r="M580">
        <v>0</v>
      </c>
      <c r="N580">
        <v>0</v>
      </c>
      <c r="P580">
        <v>47</v>
      </c>
    </row>
    <row r="581" spans="1:16">
      <c r="A581" t="s">
        <v>611</v>
      </c>
      <c r="B581" s="2">
        <v>45724</v>
      </c>
      <c r="C581" t="s">
        <v>17</v>
      </c>
      <c r="D581" t="s">
        <v>28</v>
      </c>
      <c r="E581" t="s">
        <v>19</v>
      </c>
      <c r="F581" t="s">
        <v>29</v>
      </c>
      <c r="G581" t="s">
        <v>26</v>
      </c>
      <c r="H581">
        <v>0</v>
      </c>
      <c r="I581">
        <v>0</v>
      </c>
      <c r="J581">
        <v>0</v>
      </c>
      <c r="K581">
        <v>0</v>
      </c>
      <c r="L581">
        <v>0</v>
      </c>
      <c r="M581">
        <v>0</v>
      </c>
      <c r="N581">
        <v>0</v>
      </c>
      <c r="P581">
        <v>75</v>
      </c>
    </row>
    <row r="582" spans="1:16">
      <c r="A582" t="s">
        <v>612</v>
      </c>
      <c r="B582" s="2">
        <v>45803</v>
      </c>
      <c r="C582" t="s">
        <v>17</v>
      </c>
      <c r="D582" t="s">
        <v>32</v>
      </c>
      <c r="E582" t="s">
        <v>19</v>
      </c>
      <c r="F582" t="s">
        <v>29</v>
      </c>
      <c r="G582" t="s">
        <v>26</v>
      </c>
      <c r="H582">
        <v>1</v>
      </c>
      <c r="I582">
        <v>1</v>
      </c>
      <c r="J582">
        <v>1</v>
      </c>
      <c r="K582">
        <v>0</v>
      </c>
      <c r="L582">
        <v>0</v>
      </c>
      <c r="M582">
        <v>3</v>
      </c>
      <c r="N582">
        <v>0</v>
      </c>
      <c r="P582">
        <v>50.2</v>
      </c>
    </row>
    <row r="583" spans="1:16">
      <c r="A583" t="s">
        <v>613</v>
      </c>
      <c r="B583" s="2">
        <v>45797</v>
      </c>
      <c r="C583" t="s">
        <v>17</v>
      </c>
      <c r="D583" t="s">
        <v>28</v>
      </c>
      <c r="E583" t="s">
        <v>19</v>
      </c>
      <c r="F583" t="s">
        <v>29</v>
      </c>
      <c r="G583" t="s">
        <v>26</v>
      </c>
      <c r="H583">
        <v>1</v>
      </c>
      <c r="I583">
        <v>0</v>
      </c>
      <c r="J583">
        <v>0</v>
      </c>
      <c r="K583">
        <v>0</v>
      </c>
      <c r="L583">
        <v>0</v>
      </c>
      <c r="M583">
        <v>0</v>
      </c>
      <c r="N583">
        <v>0</v>
      </c>
      <c r="P583">
        <v>40.1</v>
      </c>
    </row>
    <row r="584" spans="1:16">
      <c r="A584" t="s">
        <v>614</v>
      </c>
      <c r="B584" s="2">
        <v>45738</v>
      </c>
      <c r="C584" t="s">
        <v>17</v>
      </c>
      <c r="D584" t="s">
        <v>23</v>
      </c>
      <c r="E584" t="s">
        <v>19</v>
      </c>
      <c r="F584" t="s">
        <v>29</v>
      </c>
      <c r="G584" t="s">
        <v>26</v>
      </c>
      <c r="H584">
        <v>0</v>
      </c>
      <c r="I584">
        <v>0</v>
      </c>
      <c r="J584">
        <v>0</v>
      </c>
      <c r="K584">
        <v>0</v>
      </c>
      <c r="L584">
        <v>0</v>
      </c>
      <c r="M584">
        <v>0</v>
      </c>
      <c r="N584">
        <v>0</v>
      </c>
      <c r="P584">
        <v>61.1</v>
      </c>
    </row>
    <row r="585" spans="1:16">
      <c r="A585" t="s">
        <v>615</v>
      </c>
      <c r="B585" s="2">
        <v>45703</v>
      </c>
      <c r="C585" t="s">
        <v>17</v>
      </c>
      <c r="D585" t="s">
        <v>32</v>
      </c>
      <c r="E585" t="s">
        <v>19</v>
      </c>
      <c r="F585" t="s">
        <v>29</v>
      </c>
      <c r="G585" t="s">
        <v>26</v>
      </c>
      <c r="H585">
        <v>0</v>
      </c>
      <c r="I585">
        <v>0</v>
      </c>
      <c r="J585">
        <v>0</v>
      </c>
      <c r="K585">
        <v>0</v>
      </c>
      <c r="L585">
        <v>0</v>
      </c>
      <c r="M585">
        <v>0</v>
      </c>
      <c r="N585">
        <v>0</v>
      </c>
      <c r="P585">
        <v>42.4</v>
      </c>
    </row>
    <row r="586" spans="1:16">
      <c r="A586" t="s">
        <v>616</v>
      </c>
      <c r="B586" s="2">
        <v>45665</v>
      </c>
      <c r="C586" t="s">
        <v>17</v>
      </c>
      <c r="D586" t="s">
        <v>18</v>
      </c>
      <c r="E586" t="s">
        <v>24</v>
      </c>
      <c r="F586" t="s">
        <v>41</v>
      </c>
      <c r="G586" t="s">
        <v>26</v>
      </c>
      <c r="H586">
        <v>0</v>
      </c>
      <c r="I586">
        <v>0</v>
      </c>
      <c r="J586">
        <v>0</v>
      </c>
      <c r="K586">
        <v>0</v>
      </c>
      <c r="L586">
        <v>0</v>
      </c>
      <c r="M586">
        <v>1</v>
      </c>
      <c r="N586">
        <v>0</v>
      </c>
      <c r="P586">
        <v>46.6</v>
      </c>
    </row>
    <row r="587" spans="1:16">
      <c r="A587" t="s">
        <v>617</v>
      </c>
      <c r="B587" s="2">
        <v>45686</v>
      </c>
      <c r="C587" t="s">
        <v>17</v>
      </c>
      <c r="D587" t="s">
        <v>32</v>
      </c>
      <c r="E587" t="s">
        <v>24</v>
      </c>
      <c r="F587" t="s">
        <v>25</v>
      </c>
      <c r="G587" t="s">
        <v>30</v>
      </c>
      <c r="H587">
        <v>1</v>
      </c>
      <c r="I587">
        <v>1</v>
      </c>
      <c r="J587">
        <v>0</v>
      </c>
      <c r="K587">
        <v>0</v>
      </c>
      <c r="L587">
        <v>0</v>
      </c>
      <c r="M587">
        <v>0</v>
      </c>
      <c r="N587">
        <v>0</v>
      </c>
      <c r="P587">
        <v>72.099999999999994</v>
      </c>
    </row>
    <row r="588" spans="1:16">
      <c r="A588" t="s">
        <v>618</v>
      </c>
      <c r="B588" s="2">
        <v>45784</v>
      </c>
      <c r="C588" t="s">
        <v>17</v>
      </c>
      <c r="D588" t="s">
        <v>28</v>
      </c>
      <c r="E588" t="s">
        <v>34</v>
      </c>
      <c r="F588" t="s">
        <v>25</v>
      </c>
      <c r="G588" t="s">
        <v>26</v>
      </c>
      <c r="H588">
        <v>0</v>
      </c>
      <c r="I588">
        <v>0</v>
      </c>
      <c r="J588">
        <v>0</v>
      </c>
      <c r="K588">
        <v>0</v>
      </c>
      <c r="L588">
        <v>0</v>
      </c>
      <c r="M588">
        <v>0</v>
      </c>
      <c r="N588">
        <v>0</v>
      </c>
      <c r="P588">
        <v>21.5</v>
      </c>
    </row>
    <row r="589" spans="1:16">
      <c r="A589" t="s">
        <v>619</v>
      </c>
      <c r="B589" s="2">
        <v>45717</v>
      </c>
      <c r="C589" t="s">
        <v>17</v>
      </c>
      <c r="D589" t="s">
        <v>18</v>
      </c>
      <c r="E589" t="s">
        <v>24</v>
      </c>
      <c r="F589" t="s">
        <v>41</v>
      </c>
      <c r="G589" t="s">
        <v>21</v>
      </c>
      <c r="H589">
        <v>1</v>
      </c>
      <c r="I589">
        <v>0</v>
      </c>
      <c r="J589">
        <v>0</v>
      </c>
      <c r="K589">
        <v>0</v>
      </c>
      <c r="L589">
        <v>0</v>
      </c>
      <c r="M589">
        <v>1</v>
      </c>
      <c r="N589">
        <v>0</v>
      </c>
      <c r="P589">
        <v>65.400000000000006</v>
      </c>
    </row>
    <row r="590" spans="1:16">
      <c r="A590" t="s">
        <v>620</v>
      </c>
      <c r="B590" s="2">
        <v>45767</v>
      </c>
      <c r="C590" t="s">
        <v>17</v>
      </c>
      <c r="D590" t="s">
        <v>28</v>
      </c>
      <c r="E590" t="s">
        <v>24</v>
      </c>
      <c r="F590" t="s">
        <v>25</v>
      </c>
      <c r="G590" t="s">
        <v>26</v>
      </c>
      <c r="H590">
        <v>1</v>
      </c>
      <c r="I590">
        <v>1</v>
      </c>
      <c r="J590">
        <v>0</v>
      </c>
      <c r="K590">
        <v>0</v>
      </c>
      <c r="L590">
        <v>0</v>
      </c>
      <c r="M590">
        <v>0</v>
      </c>
      <c r="N590">
        <v>0</v>
      </c>
      <c r="P590">
        <v>53.3</v>
      </c>
    </row>
    <row r="591" spans="1:16">
      <c r="A591" t="s">
        <v>621</v>
      </c>
      <c r="B591" s="2">
        <v>45673</v>
      </c>
      <c r="C591" t="s">
        <v>17</v>
      </c>
      <c r="D591" t="s">
        <v>28</v>
      </c>
      <c r="E591" t="s">
        <v>24</v>
      </c>
      <c r="F591" t="s">
        <v>25</v>
      </c>
      <c r="G591" t="s">
        <v>30</v>
      </c>
      <c r="H591">
        <v>0</v>
      </c>
      <c r="I591">
        <v>0</v>
      </c>
      <c r="J591">
        <v>0</v>
      </c>
      <c r="K591">
        <v>0</v>
      </c>
      <c r="L591">
        <v>0</v>
      </c>
      <c r="M591">
        <v>2</v>
      </c>
      <c r="N591">
        <v>0</v>
      </c>
      <c r="P591">
        <v>52.3</v>
      </c>
    </row>
    <row r="592" spans="1:16">
      <c r="A592" t="s">
        <v>622</v>
      </c>
      <c r="B592" s="2">
        <v>45751</v>
      </c>
      <c r="C592" t="s">
        <v>17</v>
      </c>
      <c r="D592" t="s">
        <v>28</v>
      </c>
      <c r="E592" t="s">
        <v>24</v>
      </c>
      <c r="F592" t="s">
        <v>29</v>
      </c>
      <c r="G592" t="s">
        <v>26</v>
      </c>
      <c r="H592">
        <v>1</v>
      </c>
      <c r="I592">
        <v>0</v>
      </c>
      <c r="J592">
        <v>0</v>
      </c>
      <c r="K592">
        <v>0</v>
      </c>
      <c r="L592">
        <v>0</v>
      </c>
      <c r="M592">
        <v>0</v>
      </c>
      <c r="N592">
        <v>0</v>
      </c>
      <c r="P592">
        <v>62.5</v>
      </c>
    </row>
    <row r="593" spans="1:16">
      <c r="A593" t="s">
        <v>623</v>
      </c>
      <c r="B593" s="2">
        <v>45686</v>
      </c>
      <c r="C593" t="s">
        <v>17</v>
      </c>
      <c r="D593" t="s">
        <v>18</v>
      </c>
      <c r="E593" t="s">
        <v>34</v>
      </c>
      <c r="F593" t="s">
        <v>41</v>
      </c>
      <c r="G593" t="s">
        <v>26</v>
      </c>
      <c r="H593">
        <v>1</v>
      </c>
      <c r="I593">
        <v>0</v>
      </c>
      <c r="J593">
        <v>0</v>
      </c>
      <c r="K593">
        <v>0</v>
      </c>
      <c r="L593">
        <v>0</v>
      </c>
      <c r="M593">
        <v>0</v>
      </c>
      <c r="N593">
        <v>0</v>
      </c>
      <c r="P593">
        <v>69.8</v>
      </c>
    </row>
    <row r="594" spans="1:16">
      <c r="A594" t="s">
        <v>624</v>
      </c>
      <c r="B594" s="2">
        <v>45766</v>
      </c>
      <c r="C594" t="s">
        <v>17</v>
      </c>
      <c r="D594" t="s">
        <v>28</v>
      </c>
      <c r="E594" t="s">
        <v>24</v>
      </c>
      <c r="F594" t="s">
        <v>20</v>
      </c>
      <c r="G594" t="s">
        <v>26</v>
      </c>
      <c r="H594">
        <v>1</v>
      </c>
      <c r="I594">
        <v>0</v>
      </c>
      <c r="J594">
        <v>0</v>
      </c>
      <c r="K594">
        <v>0</v>
      </c>
      <c r="L594">
        <v>0</v>
      </c>
      <c r="M594">
        <v>0</v>
      </c>
      <c r="N594">
        <v>0</v>
      </c>
      <c r="P594">
        <v>68.2</v>
      </c>
    </row>
    <row r="595" spans="1:16">
      <c r="A595" t="s">
        <v>625</v>
      </c>
      <c r="B595" s="2">
        <v>45726</v>
      </c>
      <c r="C595" t="s">
        <v>17</v>
      </c>
      <c r="D595" t="s">
        <v>32</v>
      </c>
      <c r="E595" t="s">
        <v>24</v>
      </c>
      <c r="F595" t="s">
        <v>41</v>
      </c>
      <c r="G595" t="s">
        <v>21</v>
      </c>
      <c r="H595">
        <v>1</v>
      </c>
      <c r="I595">
        <v>1</v>
      </c>
      <c r="J595">
        <v>1</v>
      </c>
      <c r="K595">
        <v>1</v>
      </c>
      <c r="L595">
        <v>751.73</v>
      </c>
      <c r="M595">
        <v>0</v>
      </c>
      <c r="N595">
        <v>0</v>
      </c>
      <c r="O595">
        <v>6</v>
      </c>
      <c r="P595">
        <v>35.200000000000003</v>
      </c>
    </row>
    <row r="596" spans="1:16">
      <c r="A596" t="s">
        <v>626</v>
      </c>
      <c r="B596" s="2">
        <v>45787</v>
      </c>
      <c r="C596" t="s">
        <v>17</v>
      </c>
      <c r="D596" t="s">
        <v>32</v>
      </c>
      <c r="E596" t="s">
        <v>24</v>
      </c>
      <c r="F596" t="s">
        <v>41</v>
      </c>
      <c r="G596" t="s">
        <v>21</v>
      </c>
      <c r="H596">
        <v>0</v>
      </c>
      <c r="I596">
        <v>0</v>
      </c>
      <c r="J596">
        <v>0</v>
      </c>
      <c r="K596">
        <v>0</v>
      </c>
      <c r="L596">
        <v>0</v>
      </c>
      <c r="M596">
        <v>0</v>
      </c>
      <c r="N596">
        <v>0</v>
      </c>
      <c r="P596">
        <v>59.3</v>
      </c>
    </row>
    <row r="597" spans="1:16">
      <c r="A597" t="s">
        <v>627</v>
      </c>
      <c r="B597" s="2">
        <v>45690</v>
      </c>
      <c r="C597" t="s">
        <v>17</v>
      </c>
      <c r="D597" t="s">
        <v>18</v>
      </c>
      <c r="E597" t="s">
        <v>24</v>
      </c>
      <c r="F597" t="s">
        <v>41</v>
      </c>
      <c r="G597" t="s">
        <v>26</v>
      </c>
      <c r="H597">
        <v>0</v>
      </c>
      <c r="I597">
        <v>0</v>
      </c>
      <c r="J597">
        <v>0</v>
      </c>
      <c r="K597">
        <v>0</v>
      </c>
      <c r="L597">
        <v>0</v>
      </c>
      <c r="M597">
        <v>0</v>
      </c>
      <c r="N597">
        <v>0</v>
      </c>
      <c r="P597">
        <v>68.099999999999994</v>
      </c>
    </row>
    <row r="598" spans="1:16">
      <c r="A598" t="s">
        <v>628</v>
      </c>
      <c r="B598" s="2">
        <v>45783</v>
      </c>
      <c r="C598" t="s">
        <v>17</v>
      </c>
      <c r="D598" t="s">
        <v>18</v>
      </c>
      <c r="E598" t="s">
        <v>19</v>
      </c>
      <c r="F598" t="s">
        <v>25</v>
      </c>
      <c r="G598" t="s">
        <v>26</v>
      </c>
      <c r="H598">
        <v>1</v>
      </c>
      <c r="I598">
        <v>1</v>
      </c>
      <c r="J598">
        <v>0</v>
      </c>
      <c r="K598">
        <v>0</v>
      </c>
      <c r="L598">
        <v>0</v>
      </c>
      <c r="M598">
        <v>0</v>
      </c>
      <c r="N598">
        <v>0</v>
      </c>
      <c r="P598">
        <v>74.8</v>
      </c>
    </row>
    <row r="599" spans="1:16">
      <c r="A599" t="s">
        <v>629</v>
      </c>
      <c r="B599" s="2">
        <v>45676</v>
      </c>
      <c r="C599" t="s">
        <v>17</v>
      </c>
      <c r="D599" t="s">
        <v>23</v>
      </c>
      <c r="E599" t="s">
        <v>19</v>
      </c>
      <c r="F599" t="s">
        <v>25</v>
      </c>
      <c r="G599" t="s">
        <v>26</v>
      </c>
      <c r="H599">
        <v>1</v>
      </c>
      <c r="I599">
        <v>1</v>
      </c>
      <c r="J599">
        <v>1</v>
      </c>
      <c r="K599">
        <v>0</v>
      </c>
      <c r="L599">
        <v>0</v>
      </c>
      <c r="M599">
        <v>0</v>
      </c>
      <c r="N599">
        <v>0</v>
      </c>
      <c r="P599">
        <v>61.7</v>
      </c>
    </row>
    <row r="600" spans="1:16">
      <c r="A600" t="s">
        <v>630</v>
      </c>
      <c r="B600" s="2">
        <v>45659</v>
      </c>
      <c r="C600" t="s">
        <v>17</v>
      </c>
      <c r="D600" t="s">
        <v>18</v>
      </c>
      <c r="E600" t="s">
        <v>24</v>
      </c>
      <c r="F600" t="s">
        <v>25</v>
      </c>
      <c r="G600" t="s">
        <v>26</v>
      </c>
      <c r="H600">
        <v>1</v>
      </c>
      <c r="I600">
        <v>0</v>
      </c>
      <c r="J600">
        <v>0</v>
      </c>
      <c r="K600">
        <v>0</v>
      </c>
      <c r="L600">
        <v>0</v>
      </c>
      <c r="M600">
        <v>0</v>
      </c>
      <c r="N600">
        <v>0</v>
      </c>
      <c r="P600">
        <v>24.3</v>
      </c>
    </row>
    <row r="601" spans="1:16">
      <c r="A601" t="s">
        <v>631</v>
      </c>
      <c r="B601" s="2">
        <v>45780</v>
      </c>
      <c r="C601" t="s">
        <v>17</v>
      </c>
      <c r="D601" t="s">
        <v>32</v>
      </c>
      <c r="E601" t="s">
        <v>19</v>
      </c>
      <c r="F601" t="s">
        <v>29</v>
      </c>
      <c r="G601" t="s">
        <v>26</v>
      </c>
      <c r="H601">
        <v>0</v>
      </c>
      <c r="I601">
        <v>0</v>
      </c>
      <c r="J601">
        <v>0</v>
      </c>
      <c r="K601">
        <v>0</v>
      </c>
      <c r="L601">
        <v>0</v>
      </c>
      <c r="M601">
        <v>1</v>
      </c>
      <c r="N601">
        <v>0</v>
      </c>
      <c r="P601">
        <v>61.9</v>
      </c>
    </row>
    <row r="602" spans="1:16">
      <c r="A602" t="s">
        <v>632</v>
      </c>
      <c r="B602" s="2">
        <v>45804</v>
      </c>
      <c r="C602" t="s">
        <v>17</v>
      </c>
      <c r="D602" t="s">
        <v>28</v>
      </c>
      <c r="E602" t="s">
        <v>19</v>
      </c>
      <c r="F602" t="s">
        <v>39</v>
      </c>
      <c r="G602" t="s">
        <v>30</v>
      </c>
      <c r="H602">
        <v>0</v>
      </c>
      <c r="I602">
        <v>0</v>
      </c>
      <c r="J602">
        <v>0</v>
      </c>
      <c r="K602">
        <v>0</v>
      </c>
      <c r="L602">
        <v>0</v>
      </c>
      <c r="M602">
        <v>2</v>
      </c>
      <c r="N602">
        <v>0</v>
      </c>
      <c r="P602">
        <v>41.7</v>
      </c>
    </row>
    <row r="603" spans="1:16">
      <c r="A603" t="s">
        <v>633</v>
      </c>
      <c r="B603" s="2">
        <v>45697</v>
      </c>
      <c r="C603" t="s">
        <v>17</v>
      </c>
      <c r="D603" t="s">
        <v>32</v>
      </c>
      <c r="E603" t="s">
        <v>19</v>
      </c>
      <c r="F603" t="s">
        <v>41</v>
      </c>
      <c r="G603" t="s">
        <v>26</v>
      </c>
      <c r="H603">
        <v>1</v>
      </c>
      <c r="I603">
        <v>0</v>
      </c>
      <c r="J603">
        <v>0</v>
      </c>
      <c r="K603">
        <v>0</v>
      </c>
      <c r="L603">
        <v>0</v>
      </c>
      <c r="M603">
        <v>0</v>
      </c>
      <c r="N603">
        <v>0</v>
      </c>
      <c r="P603">
        <v>87.6</v>
      </c>
    </row>
    <row r="604" spans="1:16">
      <c r="A604" t="s">
        <v>634</v>
      </c>
      <c r="B604" s="2">
        <v>45795</v>
      </c>
      <c r="C604" t="s">
        <v>17</v>
      </c>
      <c r="D604" t="s">
        <v>28</v>
      </c>
      <c r="E604" t="s">
        <v>24</v>
      </c>
      <c r="F604" t="s">
        <v>29</v>
      </c>
      <c r="G604" t="s">
        <v>26</v>
      </c>
      <c r="H604">
        <v>1</v>
      </c>
      <c r="I604">
        <v>0</v>
      </c>
      <c r="J604">
        <v>0</v>
      </c>
      <c r="K604">
        <v>0</v>
      </c>
      <c r="L604">
        <v>0</v>
      </c>
      <c r="M604">
        <v>0</v>
      </c>
      <c r="N604">
        <v>0</v>
      </c>
      <c r="P604">
        <v>30.8</v>
      </c>
    </row>
    <row r="605" spans="1:16">
      <c r="A605" t="s">
        <v>635</v>
      </c>
      <c r="B605" s="2">
        <v>45794</v>
      </c>
      <c r="C605" t="s">
        <v>17</v>
      </c>
      <c r="D605" t="s">
        <v>18</v>
      </c>
      <c r="E605" t="s">
        <v>24</v>
      </c>
      <c r="F605" t="s">
        <v>20</v>
      </c>
      <c r="G605" t="s">
        <v>26</v>
      </c>
      <c r="H605">
        <v>0</v>
      </c>
      <c r="I605">
        <v>0</v>
      </c>
      <c r="J605">
        <v>0</v>
      </c>
      <c r="K605">
        <v>0</v>
      </c>
      <c r="L605">
        <v>0</v>
      </c>
      <c r="M605">
        <v>0</v>
      </c>
      <c r="N605">
        <v>0</v>
      </c>
      <c r="P605">
        <v>54</v>
      </c>
    </row>
    <row r="606" spans="1:16">
      <c r="A606" t="s">
        <v>636</v>
      </c>
      <c r="B606" s="2">
        <v>45682</v>
      </c>
      <c r="C606" t="s">
        <v>17</v>
      </c>
      <c r="D606" t="s">
        <v>28</v>
      </c>
      <c r="E606" t="s">
        <v>19</v>
      </c>
      <c r="F606" t="s">
        <v>39</v>
      </c>
      <c r="G606" t="s">
        <v>21</v>
      </c>
      <c r="H606">
        <v>1</v>
      </c>
      <c r="I606">
        <v>0</v>
      </c>
      <c r="J606">
        <v>0</v>
      </c>
      <c r="K606">
        <v>0</v>
      </c>
      <c r="L606">
        <v>0</v>
      </c>
      <c r="M606">
        <v>1</v>
      </c>
      <c r="N606">
        <v>0</v>
      </c>
      <c r="P606">
        <v>54.5</v>
      </c>
    </row>
    <row r="607" spans="1:16">
      <c r="A607" t="s">
        <v>637</v>
      </c>
      <c r="B607" s="2">
        <v>45781</v>
      </c>
      <c r="C607" t="s">
        <v>17</v>
      </c>
      <c r="D607" t="s">
        <v>23</v>
      </c>
      <c r="E607" t="s">
        <v>24</v>
      </c>
      <c r="F607" t="s">
        <v>29</v>
      </c>
      <c r="G607" t="s">
        <v>30</v>
      </c>
      <c r="H607">
        <v>1</v>
      </c>
      <c r="I607">
        <v>1</v>
      </c>
      <c r="J607">
        <v>0</v>
      </c>
      <c r="K607">
        <v>0</v>
      </c>
      <c r="L607">
        <v>0</v>
      </c>
      <c r="M607">
        <v>0</v>
      </c>
      <c r="N607">
        <v>0</v>
      </c>
      <c r="P607">
        <v>61.3</v>
      </c>
    </row>
    <row r="608" spans="1:16">
      <c r="A608" t="s">
        <v>638</v>
      </c>
      <c r="B608" s="2">
        <v>45761</v>
      </c>
      <c r="C608" t="s">
        <v>17</v>
      </c>
      <c r="D608" t="s">
        <v>23</v>
      </c>
      <c r="E608" t="s">
        <v>24</v>
      </c>
      <c r="F608" t="s">
        <v>25</v>
      </c>
      <c r="G608" t="s">
        <v>26</v>
      </c>
      <c r="H608">
        <v>1</v>
      </c>
      <c r="I608">
        <v>0</v>
      </c>
      <c r="J608">
        <v>0</v>
      </c>
      <c r="K608">
        <v>0</v>
      </c>
      <c r="L608">
        <v>0</v>
      </c>
      <c r="M608">
        <v>0</v>
      </c>
      <c r="N608">
        <v>0</v>
      </c>
      <c r="P608">
        <v>62.7</v>
      </c>
    </row>
    <row r="609" spans="1:16">
      <c r="A609" t="s">
        <v>639</v>
      </c>
      <c r="B609" s="2">
        <v>45765</v>
      </c>
      <c r="C609" t="s">
        <v>17</v>
      </c>
      <c r="D609" t="s">
        <v>32</v>
      </c>
      <c r="E609" t="s">
        <v>24</v>
      </c>
      <c r="F609" t="s">
        <v>29</v>
      </c>
      <c r="G609" t="s">
        <v>26</v>
      </c>
      <c r="H609">
        <v>1</v>
      </c>
      <c r="I609">
        <v>1</v>
      </c>
      <c r="J609">
        <v>0</v>
      </c>
      <c r="K609">
        <v>0</v>
      </c>
      <c r="L609">
        <v>0</v>
      </c>
      <c r="M609">
        <v>0</v>
      </c>
      <c r="N609">
        <v>0</v>
      </c>
      <c r="P609">
        <v>43.1</v>
      </c>
    </row>
    <row r="610" spans="1:16">
      <c r="A610" t="s">
        <v>640</v>
      </c>
      <c r="B610" s="2">
        <v>45712</v>
      </c>
      <c r="C610" t="s">
        <v>17</v>
      </c>
      <c r="D610" t="s">
        <v>32</v>
      </c>
      <c r="E610" t="s">
        <v>19</v>
      </c>
      <c r="F610" t="s">
        <v>20</v>
      </c>
      <c r="G610" t="s">
        <v>21</v>
      </c>
      <c r="H610">
        <v>0</v>
      </c>
      <c r="I610">
        <v>0</v>
      </c>
      <c r="J610">
        <v>0</v>
      </c>
      <c r="K610">
        <v>0</v>
      </c>
      <c r="L610">
        <v>0</v>
      </c>
      <c r="M610">
        <v>0</v>
      </c>
      <c r="N610">
        <v>0</v>
      </c>
      <c r="P610">
        <v>59.9</v>
      </c>
    </row>
    <row r="611" spans="1:16">
      <c r="A611" t="s">
        <v>641</v>
      </c>
      <c r="B611" s="2">
        <v>45766</v>
      </c>
      <c r="C611" t="s">
        <v>17</v>
      </c>
      <c r="D611" t="s">
        <v>18</v>
      </c>
      <c r="E611" t="s">
        <v>34</v>
      </c>
      <c r="F611" t="s">
        <v>29</v>
      </c>
      <c r="G611" t="s">
        <v>26</v>
      </c>
      <c r="H611">
        <v>1</v>
      </c>
      <c r="I611">
        <v>1</v>
      </c>
      <c r="J611">
        <v>1</v>
      </c>
      <c r="K611">
        <v>0</v>
      </c>
      <c r="L611">
        <v>0</v>
      </c>
      <c r="M611">
        <v>0</v>
      </c>
      <c r="N611">
        <v>0</v>
      </c>
      <c r="P611">
        <v>55.7</v>
      </c>
    </row>
    <row r="612" spans="1:16">
      <c r="A612" t="s">
        <v>642</v>
      </c>
      <c r="B612" s="2">
        <v>45723</v>
      </c>
      <c r="C612" t="s">
        <v>17</v>
      </c>
      <c r="D612" t="s">
        <v>32</v>
      </c>
      <c r="E612" t="s">
        <v>19</v>
      </c>
      <c r="F612" t="s">
        <v>25</v>
      </c>
      <c r="G612" t="s">
        <v>21</v>
      </c>
      <c r="H612">
        <v>1</v>
      </c>
      <c r="I612">
        <v>0</v>
      </c>
      <c r="J612">
        <v>0</v>
      </c>
      <c r="K612">
        <v>0</v>
      </c>
      <c r="L612">
        <v>0</v>
      </c>
      <c r="M612">
        <v>0</v>
      </c>
      <c r="N612">
        <v>0</v>
      </c>
      <c r="P612">
        <v>37.1</v>
      </c>
    </row>
    <row r="613" spans="1:16">
      <c r="A613" t="s">
        <v>643</v>
      </c>
      <c r="B613" s="2">
        <v>45725</v>
      </c>
      <c r="C613" t="s">
        <v>17</v>
      </c>
      <c r="D613" t="s">
        <v>28</v>
      </c>
      <c r="E613" t="s">
        <v>24</v>
      </c>
      <c r="F613" t="s">
        <v>25</v>
      </c>
      <c r="G613" t="s">
        <v>21</v>
      </c>
      <c r="H613">
        <v>0</v>
      </c>
      <c r="I613">
        <v>0</v>
      </c>
      <c r="J613">
        <v>0</v>
      </c>
      <c r="K613">
        <v>0</v>
      </c>
      <c r="L613">
        <v>0</v>
      </c>
      <c r="M613">
        <v>1</v>
      </c>
      <c r="N613">
        <v>0</v>
      </c>
      <c r="P613">
        <v>46.7</v>
      </c>
    </row>
    <row r="614" spans="1:16">
      <c r="A614" t="s">
        <v>644</v>
      </c>
      <c r="B614" s="2">
        <v>45778</v>
      </c>
      <c r="C614" t="s">
        <v>17</v>
      </c>
      <c r="D614" t="s">
        <v>32</v>
      </c>
      <c r="E614" t="s">
        <v>19</v>
      </c>
      <c r="F614" t="s">
        <v>25</v>
      </c>
      <c r="G614" t="s">
        <v>21</v>
      </c>
      <c r="H614">
        <v>1</v>
      </c>
      <c r="I614">
        <v>0</v>
      </c>
      <c r="J614">
        <v>0</v>
      </c>
      <c r="K614">
        <v>0</v>
      </c>
      <c r="L614">
        <v>0</v>
      </c>
      <c r="M614">
        <v>0</v>
      </c>
      <c r="N614">
        <v>0</v>
      </c>
      <c r="P614">
        <v>54.1</v>
      </c>
    </row>
    <row r="615" spans="1:16">
      <c r="A615" t="s">
        <v>645</v>
      </c>
      <c r="B615" s="2">
        <v>45697</v>
      </c>
      <c r="C615" t="s">
        <v>17</v>
      </c>
      <c r="D615" t="s">
        <v>23</v>
      </c>
      <c r="E615" t="s">
        <v>19</v>
      </c>
      <c r="F615" t="s">
        <v>25</v>
      </c>
      <c r="G615" t="s">
        <v>30</v>
      </c>
      <c r="H615">
        <v>1</v>
      </c>
      <c r="I615">
        <v>1</v>
      </c>
      <c r="J615">
        <v>1</v>
      </c>
      <c r="K615">
        <v>0</v>
      </c>
      <c r="L615">
        <v>0</v>
      </c>
      <c r="M615">
        <v>0</v>
      </c>
      <c r="N615">
        <v>0</v>
      </c>
      <c r="P615">
        <v>56.1</v>
      </c>
    </row>
    <row r="616" spans="1:16">
      <c r="A616" t="s">
        <v>646</v>
      </c>
      <c r="B616" s="2">
        <v>45799</v>
      </c>
      <c r="C616" t="s">
        <v>17</v>
      </c>
      <c r="D616" t="s">
        <v>23</v>
      </c>
      <c r="E616" t="s">
        <v>24</v>
      </c>
      <c r="F616" t="s">
        <v>39</v>
      </c>
      <c r="G616" t="s">
        <v>30</v>
      </c>
      <c r="H616">
        <v>0</v>
      </c>
      <c r="I616">
        <v>0</v>
      </c>
      <c r="J616">
        <v>0</v>
      </c>
      <c r="K616">
        <v>0</v>
      </c>
      <c r="L616">
        <v>0</v>
      </c>
      <c r="M616">
        <v>0</v>
      </c>
      <c r="N616">
        <v>0</v>
      </c>
      <c r="P616">
        <v>23.6</v>
      </c>
    </row>
    <row r="617" spans="1:16">
      <c r="A617" t="s">
        <v>647</v>
      </c>
      <c r="B617" s="2">
        <v>45699</v>
      </c>
      <c r="C617" t="s">
        <v>17</v>
      </c>
      <c r="D617" t="s">
        <v>18</v>
      </c>
      <c r="E617" t="s">
        <v>24</v>
      </c>
      <c r="F617" t="s">
        <v>25</v>
      </c>
      <c r="G617" t="s">
        <v>30</v>
      </c>
      <c r="H617">
        <v>0</v>
      </c>
      <c r="I617">
        <v>0</v>
      </c>
      <c r="J617">
        <v>0</v>
      </c>
      <c r="K617">
        <v>0</v>
      </c>
      <c r="L617">
        <v>0</v>
      </c>
      <c r="M617">
        <v>0</v>
      </c>
      <c r="N617">
        <v>0</v>
      </c>
      <c r="P617">
        <v>54.7</v>
      </c>
    </row>
    <row r="618" spans="1:16">
      <c r="A618" t="s">
        <v>648</v>
      </c>
      <c r="B618" s="2">
        <v>45759</v>
      </c>
      <c r="C618" t="s">
        <v>17</v>
      </c>
      <c r="D618" t="s">
        <v>18</v>
      </c>
      <c r="E618" t="s">
        <v>24</v>
      </c>
      <c r="F618" t="s">
        <v>39</v>
      </c>
      <c r="G618" t="s">
        <v>21</v>
      </c>
      <c r="H618">
        <v>0</v>
      </c>
      <c r="I618">
        <v>0</v>
      </c>
      <c r="J618">
        <v>0</v>
      </c>
      <c r="K618">
        <v>0</v>
      </c>
      <c r="L618">
        <v>0</v>
      </c>
      <c r="M618">
        <v>2</v>
      </c>
      <c r="N618">
        <v>0</v>
      </c>
      <c r="P618">
        <v>50.4</v>
      </c>
    </row>
    <row r="619" spans="1:16">
      <c r="A619" t="s">
        <v>649</v>
      </c>
      <c r="B619" s="2">
        <v>45717</v>
      </c>
      <c r="C619" t="s">
        <v>17</v>
      </c>
      <c r="D619" t="s">
        <v>23</v>
      </c>
      <c r="E619" t="s">
        <v>24</v>
      </c>
      <c r="F619" t="s">
        <v>41</v>
      </c>
      <c r="G619" t="s">
        <v>26</v>
      </c>
      <c r="H619">
        <v>1</v>
      </c>
      <c r="I619">
        <v>0</v>
      </c>
      <c r="J619">
        <v>0</v>
      </c>
      <c r="K619">
        <v>0</v>
      </c>
      <c r="L619">
        <v>0</v>
      </c>
      <c r="M619">
        <v>0</v>
      </c>
      <c r="N619">
        <v>0</v>
      </c>
      <c r="P619">
        <v>54.5</v>
      </c>
    </row>
    <row r="620" spans="1:16">
      <c r="A620" t="s">
        <v>650</v>
      </c>
      <c r="B620" s="2">
        <v>45733</v>
      </c>
      <c r="C620" t="s">
        <v>17</v>
      </c>
      <c r="D620" t="s">
        <v>23</v>
      </c>
      <c r="E620" t="s">
        <v>19</v>
      </c>
      <c r="F620" t="s">
        <v>20</v>
      </c>
      <c r="G620" t="s">
        <v>21</v>
      </c>
      <c r="H620">
        <v>0</v>
      </c>
      <c r="I620">
        <v>0</v>
      </c>
      <c r="J620">
        <v>0</v>
      </c>
      <c r="K620">
        <v>0</v>
      </c>
      <c r="L620">
        <v>0</v>
      </c>
      <c r="M620">
        <v>0</v>
      </c>
      <c r="N620">
        <v>0</v>
      </c>
      <c r="P620">
        <v>58</v>
      </c>
    </row>
    <row r="621" spans="1:16">
      <c r="A621" t="s">
        <v>651</v>
      </c>
      <c r="B621" s="2">
        <v>45668</v>
      </c>
      <c r="C621" t="s">
        <v>17</v>
      </c>
      <c r="D621" t="s">
        <v>18</v>
      </c>
      <c r="E621" t="s">
        <v>24</v>
      </c>
      <c r="F621" t="s">
        <v>29</v>
      </c>
      <c r="G621" t="s">
        <v>26</v>
      </c>
      <c r="H621">
        <v>0</v>
      </c>
      <c r="I621">
        <v>0</v>
      </c>
      <c r="J621">
        <v>0</v>
      </c>
      <c r="K621">
        <v>0</v>
      </c>
      <c r="L621">
        <v>0</v>
      </c>
      <c r="M621">
        <v>0</v>
      </c>
      <c r="N621">
        <v>0</v>
      </c>
      <c r="P621">
        <v>42.9</v>
      </c>
    </row>
    <row r="622" spans="1:16">
      <c r="A622" t="s">
        <v>652</v>
      </c>
      <c r="B622" s="2">
        <v>45705</v>
      </c>
      <c r="C622" t="s">
        <v>17</v>
      </c>
      <c r="D622" t="s">
        <v>32</v>
      </c>
      <c r="E622" t="s">
        <v>24</v>
      </c>
      <c r="F622" t="s">
        <v>41</v>
      </c>
      <c r="G622" t="s">
        <v>30</v>
      </c>
      <c r="H622">
        <v>1</v>
      </c>
      <c r="I622">
        <v>0</v>
      </c>
      <c r="J622">
        <v>0</v>
      </c>
      <c r="K622">
        <v>0</v>
      </c>
      <c r="L622">
        <v>0</v>
      </c>
      <c r="M622">
        <v>0</v>
      </c>
      <c r="N622">
        <v>0</v>
      </c>
      <c r="P622">
        <v>51.1</v>
      </c>
    </row>
    <row r="623" spans="1:16">
      <c r="A623" t="s">
        <v>653</v>
      </c>
      <c r="B623" s="2">
        <v>45741</v>
      </c>
      <c r="C623" t="s">
        <v>17</v>
      </c>
      <c r="D623" t="s">
        <v>28</v>
      </c>
      <c r="E623" t="s">
        <v>24</v>
      </c>
      <c r="F623" t="s">
        <v>29</v>
      </c>
      <c r="G623" t="s">
        <v>21</v>
      </c>
      <c r="H623">
        <v>1</v>
      </c>
      <c r="I623">
        <v>1</v>
      </c>
      <c r="J623">
        <v>0</v>
      </c>
      <c r="K623">
        <v>0</v>
      </c>
      <c r="L623">
        <v>0</v>
      </c>
      <c r="M623">
        <v>0</v>
      </c>
      <c r="N623">
        <v>0</v>
      </c>
      <c r="P623">
        <v>51.8</v>
      </c>
    </row>
    <row r="624" spans="1:16">
      <c r="A624" t="s">
        <v>654</v>
      </c>
      <c r="B624" s="2">
        <v>45778</v>
      </c>
      <c r="C624" t="s">
        <v>17</v>
      </c>
      <c r="D624" t="s">
        <v>32</v>
      </c>
      <c r="E624" t="s">
        <v>24</v>
      </c>
      <c r="F624" t="s">
        <v>29</v>
      </c>
      <c r="G624" t="s">
        <v>26</v>
      </c>
      <c r="H624">
        <v>0</v>
      </c>
      <c r="I624">
        <v>0</v>
      </c>
      <c r="J624">
        <v>0</v>
      </c>
      <c r="K624">
        <v>0</v>
      </c>
      <c r="L624">
        <v>0</v>
      </c>
      <c r="M624">
        <v>0</v>
      </c>
      <c r="N624">
        <v>0</v>
      </c>
      <c r="P624">
        <v>67.7</v>
      </c>
    </row>
    <row r="625" spans="1:16">
      <c r="A625" t="s">
        <v>655</v>
      </c>
      <c r="B625" s="2">
        <v>45749</v>
      </c>
      <c r="C625" t="s">
        <v>17</v>
      </c>
      <c r="D625" t="s">
        <v>28</v>
      </c>
      <c r="E625" t="s">
        <v>24</v>
      </c>
      <c r="F625" t="s">
        <v>25</v>
      </c>
      <c r="G625" t="s">
        <v>21</v>
      </c>
      <c r="H625">
        <v>0</v>
      </c>
      <c r="I625">
        <v>0</v>
      </c>
      <c r="J625">
        <v>0</v>
      </c>
      <c r="K625">
        <v>0</v>
      </c>
      <c r="L625">
        <v>0</v>
      </c>
      <c r="M625">
        <v>0</v>
      </c>
      <c r="N625">
        <v>0</v>
      </c>
      <c r="P625">
        <v>75.8</v>
      </c>
    </row>
    <row r="626" spans="1:16">
      <c r="A626" t="s">
        <v>656</v>
      </c>
      <c r="B626" s="2">
        <v>45752</v>
      </c>
      <c r="C626" t="s">
        <v>17</v>
      </c>
      <c r="D626" t="s">
        <v>28</v>
      </c>
      <c r="E626" t="s">
        <v>24</v>
      </c>
      <c r="F626" t="s">
        <v>20</v>
      </c>
      <c r="G626" t="s">
        <v>26</v>
      </c>
      <c r="H626">
        <v>1</v>
      </c>
      <c r="I626">
        <v>1</v>
      </c>
      <c r="J626">
        <v>0</v>
      </c>
      <c r="K626">
        <v>0</v>
      </c>
      <c r="L626">
        <v>0</v>
      </c>
      <c r="M626">
        <v>0</v>
      </c>
      <c r="N626">
        <v>0</v>
      </c>
      <c r="P626">
        <v>72.8</v>
      </c>
    </row>
    <row r="627" spans="1:16">
      <c r="A627" t="s">
        <v>657</v>
      </c>
      <c r="B627" s="2">
        <v>45712</v>
      </c>
      <c r="C627" t="s">
        <v>17</v>
      </c>
      <c r="D627" t="s">
        <v>18</v>
      </c>
      <c r="E627" t="s">
        <v>19</v>
      </c>
      <c r="F627" t="s">
        <v>41</v>
      </c>
      <c r="G627" t="s">
        <v>26</v>
      </c>
      <c r="H627">
        <v>1</v>
      </c>
      <c r="I627">
        <v>1</v>
      </c>
      <c r="J627">
        <v>0</v>
      </c>
      <c r="K627">
        <v>0</v>
      </c>
      <c r="L627">
        <v>0</v>
      </c>
      <c r="M627">
        <v>0</v>
      </c>
      <c r="N627">
        <v>0</v>
      </c>
      <c r="P627">
        <v>54.4</v>
      </c>
    </row>
    <row r="628" spans="1:16">
      <c r="A628" t="s">
        <v>658</v>
      </c>
      <c r="B628" s="2">
        <v>45681</v>
      </c>
      <c r="C628" t="s">
        <v>17</v>
      </c>
      <c r="D628" t="s">
        <v>23</v>
      </c>
      <c r="E628" t="s">
        <v>24</v>
      </c>
      <c r="F628" t="s">
        <v>29</v>
      </c>
      <c r="G628" t="s">
        <v>21</v>
      </c>
      <c r="H628">
        <v>1</v>
      </c>
      <c r="I628">
        <v>0</v>
      </c>
      <c r="J628">
        <v>0</v>
      </c>
      <c r="K628">
        <v>0</v>
      </c>
      <c r="L628">
        <v>0</v>
      </c>
      <c r="M628">
        <v>0</v>
      </c>
      <c r="N628">
        <v>0</v>
      </c>
      <c r="P628">
        <v>51.8</v>
      </c>
    </row>
    <row r="629" spans="1:16">
      <c r="A629" t="s">
        <v>659</v>
      </c>
      <c r="B629" s="2">
        <v>45757</v>
      </c>
      <c r="C629" t="s">
        <v>17</v>
      </c>
      <c r="D629" t="s">
        <v>32</v>
      </c>
      <c r="E629" t="s">
        <v>24</v>
      </c>
      <c r="F629" t="s">
        <v>29</v>
      </c>
      <c r="G629" t="s">
        <v>26</v>
      </c>
      <c r="H629">
        <v>0</v>
      </c>
      <c r="I629">
        <v>0</v>
      </c>
      <c r="J629">
        <v>0</v>
      </c>
      <c r="K629">
        <v>0</v>
      </c>
      <c r="L629">
        <v>0</v>
      </c>
      <c r="M629">
        <v>0</v>
      </c>
      <c r="N629">
        <v>0</v>
      </c>
      <c r="P629">
        <v>40.299999999999997</v>
      </c>
    </row>
    <row r="630" spans="1:16">
      <c r="A630" t="s">
        <v>660</v>
      </c>
      <c r="B630" s="2">
        <v>45707</v>
      </c>
      <c r="C630" t="s">
        <v>17</v>
      </c>
      <c r="D630" t="s">
        <v>32</v>
      </c>
      <c r="E630" t="s">
        <v>24</v>
      </c>
      <c r="F630" t="s">
        <v>39</v>
      </c>
      <c r="G630" t="s">
        <v>26</v>
      </c>
      <c r="H630">
        <v>1</v>
      </c>
      <c r="I630">
        <v>1</v>
      </c>
      <c r="J630">
        <v>1</v>
      </c>
      <c r="K630">
        <v>0</v>
      </c>
      <c r="L630">
        <v>0</v>
      </c>
      <c r="M630">
        <v>0</v>
      </c>
      <c r="N630">
        <v>0</v>
      </c>
      <c r="P630">
        <v>61.7</v>
      </c>
    </row>
    <row r="631" spans="1:16">
      <c r="A631" t="s">
        <v>661</v>
      </c>
      <c r="B631" s="2">
        <v>45738</v>
      </c>
      <c r="C631" t="s">
        <v>17</v>
      </c>
      <c r="D631" t="s">
        <v>18</v>
      </c>
      <c r="E631" t="s">
        <v>24</v>
      </c>
      <c r="F631" t="s">
        <v>41</v>
      </c>
      <c r="G631" t="s">
        <v>26</v>
      </c>
      <c r="H631">
        <v>0</v>
      </c>
      <c r="I631">
        <v>0</v>
      </c>
      <c r="J631">
        <v>0</v>
      </c>
      <c r="K631">
        <v>0</v>
      </c>
      <c r="L631">
        <v>0</v>
      </c>
      <c r="M631">
        <v>0</v>
      </c>
      <c r="N631">
        <v>0</v>
      </c>
      <c r="P631">
        <v>45</v>
      </c>
    </row>
    <row r="632" spans="1:16">
      <c r="A632" t="s">
        <v>662</v>
      </c>
      <c r="B632" s="2">
        <v>45755</v>
      </c>
      <c r="C632" t="s">
        <v>17</v>
      </c>
      <c r="D632" t="s">
        <v>28</v>
      </c>
      <c r="E632" t="s">
        <v>19</v>
      </c>
      <c r="F632" t="s">
        <v>25</v>
      </c>
      <c r="G632" t="s">
        <v>30</v>
      </c>
      <c r="H632">
        <v>1</v>
      </c>
      <c r="I632">
        <v>1</v>
      </c>
      <c r="J632">
        <v>1</v>
      </c>
      <c r="K632">
        <v>0</v>
      </c>
      <c r="L632">
        <v>0</v>
      </c>
      <c r="M632">
        <v>0</v>
      </c>
      <c r="N632">
        <v>0</v>
      </c>
      <c r="P632">
        <v>60</v>
      </c>
    </row>
    <row r="633" spans="1:16">
      <c r="A633" t="s">
        <v>663</v>
      </c>
      <c r="B633" s="2">
        <v>45732</v>
      </c>
      <c r="C633" t="s">
        <v>17</v>
      </c>
      <c r="D633" t="s">
        <v>18</v>
      </c>
      <c r="E633" t="s">
        <v>24</v>
      </c>
      <c r="F633" t="s">
        <v>41</v>
      </c>
      <c r="G633" t="s">
        <v>26</v>
      </c>
      <c r="H633">
        <v>1</v>
      </c>
      <c r="I633">
        <v>0</v>
      </c>
      <c r="J633">
        <v>0</v>
      </c>
      <c r="K633">
        <v>0</v>
      </c>
      <c r="L633">
        <v>0</v>
      </c>
      <c r="M633">
        <v>0</v>
      </c>
      <c r="N633">
        <v>0</v>
      </c>
    </row>
    <row r="634" spans="1:16">
      <c r="A634" t="s">
        <v>664</v>
      </c>
      <c r="B634" s="2">
        <v>45723</v>
      </c>
      <c r="C634" t="s">
        <v>17</v>
      </c>
      <c r="D634" t="s">
        <v>28</v>
      </c>
      <c r="E634" t="s">
        <v>24</v>
      </c>
      <c r="F634" t="s">
        <v>29</v>
      </c>
      <c r="G634" t="s">
        <v>26</v>
      </c>
      <c r="H634">
        <v>1</v>
      </c>
      <c r="I634">
        <v>0</v>
      </c>
      <c r="J634">
        <v>0</v>
      </c>
      <c r="K634">
        <v>0</v>
      </c>
      <c r="L634">
        <v>0</v>
      </c>
      <c r="M634">
        <v>0</v>
      </c>
      <c r="N634">
        <v>0</v>
      </c>
      <c r="P634">
        <v>55.5</v>
      </c>
    </row>
    <row r="635" spans="1:16">
      <c r="A635" t="s">
        <v>665</v>
      </c>
      <c r="B635" s="2">
        <v>45732</v>
      </c>
      <c r="C635" t="s">
        <v>17</v>
      </c>
      <c r="D635" t="s">
        <v>32</v>
      </c>
      <c r="E635" t="s">
        <v>24</v>
      </c>
      <c r="F635" t="s">
        <v>39</v>
      </c>
      <c r="G635" t="s">
        <v>21</v>
      </c>
      <c r="H635">
        <v>0</v>
      </c>
      <c r="I635">
        <v>0</v>
      </c>
      <c r="J635">
        <v>0</v>
      </c>
      <c r="K635">
        <v>0</v>
      </c>
      <c r="L635">
        <v>0</v>
      </c>
      <c r="M635">
        <v>0</v>
      </c>
      <c r="N635">
        <v>0</v>
      </c>
      <c r="P635">
        <v>51.8</v>
      </c>
    </row>
    <row r="636" spans="1:16">
      <c r="A636" t="s">
        <v>666</v>
      </c>
      <c r="B636" s="2">
        <v>45803</v>
      </c>
      <c r="C636" t="s">
        <v>17</v>
      </c>
      <c r="D636" t="s">
        <v>28</v>
      </c>
      <c r="E636" t="s">
        <v>24</v>
      </c>
      <c r="G636" t="s">
        <v>30</v>
      </c>
      <c r="H636">
        <v>1</v>
      </c>
      <c r="I636">
        <v>0</v>
      </c>
      <c r="J636">
        <v>0</v>
      </c>
      <c r="K636">
        <v>0</v>
      </c>
      <c r="L636">
        <v>0</v>
      </c>
      <c r="M636">
        <v>3</v>
      </c>
      <c r="N636">
        <v>0</v>
      </c>
      <c r="P636">
        <v>56</v>
      </c>
    </row>
    <row r="637" spans="1:16">
      <c r="A637" t="s">
        <v>667</v>
      </c>
      <c r="B637" s="2">
        <v>45671</v>
      </c>
      <c r="C637" t="s">
        <v>17</v>
      </c>
      <c r="D637" t="s">
        <v>23</v>
      </c>
      <c r="E637" t="s">
        <v>24</v>
      </c>
      <c r="F637" t="s">
        <v>25</v>
      </c>
      <c r="G637" t="s">
        <v>26</v>
      </c>
      <c r="H637">
        <v>0</v>
      </c>
      <c r="I637">
        <v>0</v>
      </c>
      <c r="J637">
        <v>0</v>
      </c>
      <c r="K637">
        <v>0</v>
      </c>
      <c r="L637">
        <v>0</v>
      </c>
      <c r="M637">
        <v>0</v>
      </c>
      <c r="N637">
        <v>0</v>
      </c>
      <c r="P637">
        <v>52.5</v>
      </c>
    </row>
    <row r="638" spans="1:16">
      <c r="A638" t="s">
        <v>668</v>
      </c>
      <c r="B638" s="2">
        <v>45746</v>
      </c>
      <c r="C638" t="s">
        <v>17</v>
      </c>
      <c r="D638" t="s">
        <v>23</v>
      </c>
      <c r="E638" t="s">
        <v>24</v>
      </c>
      <c r="F638" t="s">
        <v>29</v>
      </c>
      <c r="G638" t="s">
        <v>30</v>
      </c>
      <c r="H638">
        <v>1</v>
      </c>
      <c r="I638">
        <v>0</v>
      </c>
      <c r="J638">
        <v>0</v>
      </c>
      <c r="K638">
        <v>0</v>
      </c>
      <c r="L638">
        <v>0</v>
      </c>
      <c r="M638">
        <v>0</v>
      </c>
      <c r="N638">
        <v>0</v>
      </c>
      <c r="P638">
        <v>42.5</v>
      </c>
    </row>
    <row r="639" spans="1:16">
      <c r="A639" t="s">
        <v>669</v>
      </c>
      <c r="B639" s="2">
        <v>45789</v>
      </c>
      <c r="C639" t="s">
        <v>17</v>
      </c>
      <c r="D639" t="s">
        <v>28</v>
      </c>
      <c r="E639" t="s">
        <v>19</v>
      </c>
      <c r="F639" t="s">
        <v>20</v>
      </c>
      <c r="G639" t="s">
        <v>26</v>
      </c>
      <c r="H639">
        <v>1</v>
      </c>
      <c r="I639">
        <v>1</v>
      </c>
      <c r="J639">
        <v>1</v>
      </c>
      <c r="K639">
        <v>0</v>
      </c>
      <c r="L639">
        <v>0</v>
      </c>
      <c r="M639">
        <v>0</v>
      </c>
      <c r="N639">
        <v>0</v>
      </c>
      <c r="P639">
        <v>65.3</v>
      </c>
    </row>
    <row r="640" spans="1:16">
      <c r="A640" t="s">
        <v>670</v>
      </c>
      <c r="B640" s="2">
        <v>45787</v>
      </c>
      <c r="C640" t="s">
        <v>17</v>
      </c>
      <c r="D640" t="s">
        <v>23</v>
      </c>
      <c r="E640" t="s">
        <v>24</v>
      </c>
      <c r="F640" t="s">
        <v>29</v>
      </c>
      <c r="G640" t="s">
        <v>26</v>
      </c>
      <c r="H640">
        <v>0</v>
      </c>
      <c r="I640">
        <v>0</v>
      </c>
      <c r="J640">
        <v>0</v>
      </c>
      <c r="K640">
        <v>0</v>
      </c>
      <c r="L640">
        <v>0</v>
      </c>
      <c r="M640">
        <v>0</v>
      </c>
      <c r="N640">
        <v>0</v>
      </c>
      <c r="P640">
        <v>37.6</v>
      </c>
    </row>
    <row r="641" spans="1:16">
      <c r="A641" t="s">
        <v>671</v>
      </c>
      <c r="B641" s="2">
        <v>45756</v>
      </c>
      <c r="C641" t="s">
        <v>17</v>
      </c>
      <c r="D641" t="s">
        <v>28</v>
      </c>
      <c r="E641" t="s">
        <v>24</v>
      </c>
      <c r="F641" t="s">
        <v>41</v>
      </c>
      <c r="G641" t="s">
        <v>21</v>
      </c>
      <c r="H641">
        <v>0</v>
      </c>
      <c r="I641">
        <v>0</v>
      </c>
      <c r="J641">
        <v>0</v>
      </c>
      <c r="K641">
        <v>0</v>
      </c>
      <c r="L641">
        <v>0</v>
      </c>
      <c r="M641">
        <v>0</v>
      </c>
      <c r="N641">
        <v>0</v>
      </c>
      <c r="P641">
        <v>57.8</v>
      </c>
    </row>
    <row r="642" spans="1:16">
      <c r="A642" t="s">
        <v>672</v>
      </c>
      <c r="B642" s="2">
        <v>45803</v>
      </c>
      <c r="C642" t="s">
        <v>17</v>
      </c>
      <c r="D642" t="s">
        <v>18</v>
      </c>
      <c r="E642" t="s">
        <v>24</v>
      </c>
      <c r="F642" t="s">
        <v>41</v>
      </c>
      <c r="G642" t="s">
        <v>26</v>
      </c>
      <c r="H642">
        <v>1</v>
      </c>
      <c r="I642">
        <v>0</v>
      </c>
      <c r="J642">
        <v>0</v>
      </c>
      <c r="K642">
        <v>0</v>
      </c>
      <c r="L642">
        <v>0</v>
      </c>
      <c r="M642">
        <v>0</v>
      </c>
      <c r="N642">
        <v>0</v>
      </c>
      <c r="P642">
        <v>52.7</v>
      </c>
    </row>
    <row r="643" spans="1:16">
      <c r="A643" t="s">
        <v>673</v>
      </c>
      <c r="B643" s="2">
        <v>45700</v>
      </c>
      <c r="C643" t="s">
        <v>17</v>
      </c>
      <c r="D643" t="s">
        <v>18</v>
      </c>
      <c r="E643" t="s">
        <v>24</v>
      </c>
      <c r="F643" t="s">
        <v>25</v>
      </c>
      <c r="G643" t="s">
        <v>26</v>
      </c>
      <c r="H643">
        <v>1</v>
      </c>
      <c r="I643">
        <v>0</v>
      </c>
      <c r="J643">
        <v>0</v>
      </c>
      <c r="K643">
        <v>0</v>
      </c>
      <c r="L643">
        <v>0</v>
      </c>
      <c r="M643">
        <v>0</v>
      </c>
      <c r="N643">
        <v>0</v>
      </c>
      <c r="P643">
        <v>51.7</v>
      </c>
    </row>
    <row r="644" spans="1:16">
      <c r="A644" t="s">
        <v>674</v>
      </c>
      <c r="B644" s="2">
        <v>45748</v>
      </c>
      <c r="C644" t="s">
        <v>17</v>
      </c>
      <c r="D644" t="s">
        <v>18</v>
      </c>
      <c r="E644" t="s">
        <v>19</v>
      </c>
      <c r="F644" t="s">
        <v>20</v>
      </c>
      <c r="G644" t="s">
        <v>21</v>
      </c>
      <c r="H644">
        <v>0</v>
      </c>
      <c r="I644">
        <v>0</v>
      </c>
      <c r="J644">
        <v>0</v>
      </c>
      <c r="K644">
        <v>0</v>
      </c>
      <c r="L644">
        <v>0</v>
      </c>
      <c r="M644">
        <v>0</v>
      </c>
      <c r="N644">
        <v>0</v>
      </c>
      <c r="P644">
        <v>57</v>
      </c>
    </row>
    <row r="645" spans="1:16">
      <c r="A645" t="s">
        <v>675</v>
      </c>
      <c r="B645" s="2">
        <v>45675</v>
      </c>
      <c r="C645" t="s">
        <v>17</v>
      </c>
      <c r="D645" t="s">
        <v>32</v>
      </c>
      <c r="E645" t="s">
        <v>19</v>
      </c>
      <c r="F645" t="s">
        <v>25</v>
      </c>
      <c r="G645" t="s">
        <v>21</v>
      </c>
      <c r="H645">
        <v>0</v>
      </c>
      <c r="I645">
        <v>0</v>
      </c>
      <c r="J645">
        <v>0</v>
      </c>
      <c r="K645">
        <v>0</v>
      </c>
      <c r="L645">
        <v>0</v>
      </c>
      <c r="M645">
        <v>0</v>
      </c>
      <c r="N645">
        <v>0</v>
      </c>
      <c r="P645">
        <v>39.5</v>
      </c>
    </row>
    <row r="646" spans="1:16">
      <c r="A646" t="s">
        <v>676</v>
      </c>
      <c r="B646" s="2">
        <v>45753</v>
      </c>
      <c r="C646" t="s">
        <v>17</v>
      </c>
      <c r="D646" t="s">
        <v>28</v>
      </c>
      <c r="E646" t="s">
        <v>34</v>
      </c>
      <c r="F646" t="s">
        <v>25</v>
      </c>
      <c r="G646" t="s">
        <v>26</v>
      </c>
      <c r="H646">
        <v>1</v>
      </c>
      <c r="I646">
        <v>0</v>
      </c>
      <c r="J646">
        <v>0</v>
      </c>
      <c r="K646">
        <v>0</v>
      </c>
      <c r="L646">
        <v>0</v>
      </c>
      <c r="M646">
        <v>0</v>
      </c>
      <c r="N646">
        <v>0</v>
      </c>
      <c r="P646">
        <v>76.5</v>
      </c>
    </row>
    <row r="647" spans="1:16">
      <c r="A647" t="s">
        <v>677</v>
      </c>
      <c r="B647" s="2">
        <v>45764</v>
      </c>
      <c r="C647" t="s">
        <v>17</v>
      </c>
      <c r="D647" t="s">
        <v>28</v>
      </c>
      <c r="E647" t="s">
        <v>24</v>
      </c>
      <c r="F647" t="s">
        <v>25</v>
      </c>
      <c r="G647" t="s">
        <v>26</v>
      </c>
      <c r="H647">
        <v>1</v>
      </c>
      <c r="I647">
        <v>0</v>
      </c>
      <c r="J647">
        <v>0</v>
      </c>
      <c r="K647">
        <v>0</v>
      </c>
      <c r="L647">
        <v>0</v>
      </c>
      <c r="M647">
        <v>0</v>
      </c>
      <c r="N647">
        <v>0</v>
      </c>
      <c r="P647">
        <v>32.4</v>
      </c>
    </row>
    <row r="648" spans="1:16">
      <c r="A648" t="s">
        <v>678</v>
      </c>
      <c r="B648" s="2">
        <v>45695</v>
      </c>
      <c r="C648" t="s">
        <v>17</v>
      </c>
      <c r="D648" t="s">
        <v>18</v>
      </c>
      <c r="E648" t="s">
        <v>19</v>
      </c>
      <c r="F648" t="s">
        <v>29</v>
      </c>
      <c r="G648" t="s">
        <v>26</v>
      </c>
      <c r="H648">
        <v>0</v>
      </c>
      <c r="I648">
        <v>0</v>
      </c>
      <c r="J648">
        <v>0</v>
      </c>
      <c r="K648">
        <v>0</v>
      </c>
      <c r="L648">
        <v>0</v>
      </c>
      <c r="M648">
        <v>0</v>
      </c>
      <c r="N648">
        <v>0</v>
      </c>
      <c r="P648">
        <v>58.6</v>
      </c>
    </row>
    <row r="649" spans="1:16">
      <c r="A649" t="s">
        <v>679</v>
      </c>
      <c r="B649" s="2">
        <v>45720</v>
      </c>
      <c r="C649" t="s">
        <v>17</v>
      </c>
      <c r="D649" t="s">
        <v>28</v>
      </c>
      <c r="E649" t="s">
        <v>24</v>
      </c>
      <c r="F649" t="s">
        <v>25</v>
      </c>
      <c r="G649" t="s">
        <v>21</v>
      </c>
      <c r="H649">
        <v>1</v>
      </c>
      <c r="I649">
        <v>0</v>
      </c>
      <c r="J649">
        <v>0</v>
      </c>
      <c r="K649">
        <v>0</v>
      </c>
      <c r="L649">
        <v>0</v>
      </c>
      <c r="M649">
        <v>0</v>
      </c>
      <c r="N649">
        <v>0</v>
      </c>
      <c r="P649">
        <v>78.599999999999994</v>
      </c>
    </row>
    <row r="650" spans="1:16">
      <c r="A650" t="s">
        <v>680</v>
      </c>
      <c r="B650" s="2">
        <v>45705</v>
      </c>
      <c r="C650" t="s">
        <v>17</v>
      </c>
      <c r="D650" t="s">
        <v>18</v>
      </c>
      <c r="E650" t="s">
        <v>19</v>
      </c>
      <c r="F650" t="s">
        <v>25</v>
      </c>
      <c r="G650" t="s">
        <v>30</v>
      </c>
      <c r="H650">
        <v>0</v>
      </c>
      <c r="I650">
        <v>0</v>
      </c>
      <c r="J650">
        <v>0</v>
      </c>
      <c r="K650">
        <v>0</v>
      </c>
      <c r="L650">
        <v>0</v>
      </c>
      <c r="M650">
        <v>0</v>
      </c>
      <c r="N650">
        <v>0</v>
      </c>
      <c r="P650">
        <v>54.5</v>
      </c>
    </row>
    <row r="651" spans="1:16">
      <c r="A651" t="s">
        <v>681</v>
      </c>
      <c r="B651" s="2">
        <v>45783</v>
      </c>
      <c r="C651" t="s">
        <v>17</v>
      </c>
      <c r="D651" t="s">
        <v>32</v>
      </c>
      <c r="E651" t="s">
        <v>24</v>
      </c>
      <c r="F651" t="s">
        <v>39</v>
      </c>
      <c r="G651" t="s">
        <v>26</v>
      </c>
      <c r="H651">
        <v>1</v>
      </c>
      <c r="I651">
        <v>0</v>
      </c>
      <c r="J651">
        <v>0</v>
      </c>
      <c r="K651">
        <v>0</v>
      </c>
      <c r="L651">
        <v>0</v>
      </c>
      <c r="M651">
        <v>0</v>
      </c>
      <c r="N651">
        <v>0</v>
      </c>
      <c r="P651">
        <v>57.6</v>
      </c>
    </row>
    <row r="652" spans="1:16">
      <c r="A652" t="s">
        <v>682</v>
      </c>
      <c r="B652" s="2">
        <v>45741</v>
      </c>
      <c r="C652" t="s">
        <v>17</v>
      </c>
      <c r="D652" t="s">
        <v>32</v>
      </c>
      <c r="E652" t="s">
        <v>24</v>
      </c>
      <c r="F652" t="s">
        <v>39</v>
      </c>
      <c r="G652" t="s">
        <v>30</v>
      </c>
      <c r="H652">
        <v>0</v>
      </c>
      <c r="I652">
        <v>0</v>
      </c>
      <c r="J652">
        <v>0</v>
      </c>
      <c r="K652">
        <v>0</v>
      </c>
      <c r="L652">
        <v>0</v>
      </c>
      <c r="M652">
        <v>0</v>
      </c>
      <c r="N652">
        <v>0</v>
      </c>
      <c r="P652">
        <v>52.8</v>
      </c>
    </row>
    <row r="653" spans="1:16">
      <c r="A653" t="s">
        <v>683</v>
      </c>
      <c r="B653" s="2">
        <v>45720</v>
      </c>
      <c r="C653" t="s">
        <v>17</v>
      </c>
      <c r="D653" t="s">
        <v>23</v>
      </c>
      <c r="E653" t="s">
        <v>24</v>
      </c>
      <c r="F653" t="s">
        <v>20</v>
      </c>
      <c r="G653" t="s">
        <v>30</v>
      </c>
      <c r="H653">
        <v>1</v>
      </c>
      <c r="I653">
        <v>0</v>
      </c>
      <c r="J653">
        <v>0</v>
      </c>
      <c r="K653">
        <v>0</v>
      </c>
      <c r="L653">
        <v>0</v>
      </c>
      <c r="M653">
        <v>0</v>
      </c>
      <c r="N653">
        <v>0</v>
      </c>
      <c r="P653">
        <v>52.9</v>
      </c>
    </row>
    <row r="654" spans="1:16">
      <c r="A654" t="s">
        <v>684</v>
      </c>
      <c r="B654" s="2">
        <v>45786</v>
      </c>
      <c r="C654" t="s">
        <v>17</v>
      </c>
      <c r="D654" t="s">
        <v>23</v>
      </c>
      <c r="E654" t="s">
        <v>24</v>
      </c>
      <c r="F654" t="s">
        <v>25</v>
      </c>
      <c r="G654" t="s">
        <v>26</v>
      </c>
      <c r="H654">
        <v>1</v>
      </c>
      <c r="I654">
        <v>0</v>
      </c>
      <c r="J654">
        <v>0</v>
      </c>
      <c r="K654">
        <v>0</v>
      </c>
      <c r="L654">
        <v>0</v>
      </c>
      <c r="M654">
        <v>1</v>
      </c>
      <c r="N654">
        <v>0</v>
      </c>
      <c r="P654">
        <v>55.9</v>
      </c>
    </row>
    <row r="655" spans="1:16">
      <c r="A655" t="s">
        <v>685</v>
      </c>
      <c r="B655" s="2">
        <v>45794</v>
      </c>
      <c r="C655" t="s">
        <v>17</v>
      </c>
      <c r="D655" t="s">
        <v>23</v>
      </c>
      <c r="E655" t="s">
        <v>24</v>
      </c>
      <c r="F655" t="s">
        <v>39</v>
      </c>
      <c r="G655" t="s">
        <v>30</v>
      </c>
      <c r="H655">
        <v>1</v>
      </c>
      <c r="I655">
        <v>0</v>
      </c>
      <c r="J655">
        <v>0</v>
      </c>
      <c r="K655">
        <v>0</v>
      </c>
      <c r="L655">
        <v>0</v>
      </c>
      <c r="M655">
        <v>0</v>
      </c>
      <c r="N655">
        <v>0</v>
      </c>
      <c r="P655">
        <v>74.2</v>
      </c>
    </row>
    <row r="656" spans="1:16">
      <c r="A656" t="s">
        <v>686</v>
      </c>
      <c r="B656" s="2">
        <v>45669</v>
      </c>
      <c r="C656" t="s">
        <v>17</v>
      </c>
      <c r="D656" t="s">
        <v>23</v>
      </c>
      <c r="E656" t="s">
        <v>24</v>
      </c>
      <c r="F656" t="s">
        <v>25</v>
      </c>
      <c r="G656" t="s">
        <v>26</v>
      </c>
      <c r="H656">
        <v>0</v>
      </c>
      <c r="I656">
        <v>0</v>
      </c>
      <c r="J656">
        <v>0</v>
      </c>
      <c r="K656">
        <v>0</v>
      </c>
      <c r="L656">
        <v>0</v>
      </c>
      <c r="M656">
        <v>0</v>
      </c>
      <c r="N656">
        <v>0</v>
      </c>
      <c r="P656">
        <v>46.3</v>
      </c>
    </row>
    <row r="657" spans="1:16">
      <c r="A657" t="s">
        <v>687</v>
      </c>
      <c r="B657" s="2">
        <v>45728</v>
      </c>
      <c r="C657" t="s">
        <v>17</v>
      </c>
      <c r="D657" t="s">
        <v>23</v>
      </c>
      <c r="E657" t="s">
        <v>24</v>
      </c>
      <c r="F657" t="s">
        <v>25</v>
      </c>
      <c r="G657" t="s">
        <v>30</v>
      </c>
      <c r="H657">
        <v>1</v>
      </c>
      <c r="I657">
        <v>0</v>
      </c>
      <c r="J657">
        <v>0</v>
      </c>
      <c r="K657">
        <v>0</v>
      </c>
      <c r="L657">
        <v>0</v>
      </c>
      <c r="M657">
        <v>0</v>
      </c>
      <c r="N657">
        <v>0</v>
      </c>
      <c r="P657">
        <v>62</v>
      </c>
    </row>
    <row r="658" spans="1:16">
      <c r="A658" t="s">
        <v>688</v>
      </c>
      <c r="B658" s="2">
        <v>45749</v>
      </c>
      <c r="C658" t="s">
        <v>17</v>
      </c>
      <c r="D658" t="s">
        <v>32</v>
      </c>
      <c r="E658" t="s">
        <v>24</v>
      </c>
      <c r="F658" t="s">
        <v>25</v>
      </c>
      <c r="G658" t="s">
        <v>21</v>
      </c>
      <c r="H658">
        <v>0</v>
      </c>
      <c r="I658">
        <v>0</v>
      </c>
      <c r="J658">
        <v>0</v>
      </c>
      <c r="K658">
        <v>0</v>
      </c>
      <c r="L658">
        <v>0</v>
      </c>
      <c r="M658">
        <v>0</v>
      </c>
      <c r="N658">
        <v>0</v>
      </c>
      <c r="P658">
        <v>55.6</v>
      </c>
    </row>
    <row r="659" spans="1:16">
      <c r="A659" t="s">
        <v>689</v>
      </c>
      <c r="B659" s="2">
        <v>45670</v>
      </c>
      <c r="C659" t="s">
        <v>17</v>
      </c>
      <c r="D659" t="s">
        <v>32</v>
      </c>
      <c r="E659" t="s">
        <v>24</v>
      </c>
      <c r="F659" t="s">
        <v>25</v>
      </c>
      <c r="G659" t="s">
        <v>21</v>
      </c>
      <c r="H659">
        <v>1</v>
      </c>
      <c r="I659">
        <v>0</v>
      </c>
      <c r="J659">
        <v>0</v>
      </c>
      <c r="K659">
        <v>0</v>
      </c>
      <c r="L659">
        <v>0</v>
      </c>
      <c r="M659">
        <v>0</v>
      </c>
      <c r="N659">
        <v>0</v>
      </c>
      <c r="P659">
        <v>62.8</v>
      </c>
    </row>
    <row r="660" spans="1:16">
      <c r="A660" t="s">
        <v>690</v>
      </c>
      <c r="B660" s="2">
        <v>45723</v>
      </c>
      <c r="C660" t="s">
        <v>17</v>
      </c>
      <c r="D660" t="s">
        <v>28</v>
      </c>
      <c r="E660" t="s">
        <v>24</v>
      </c>
      <c r="F660" t="s">
        <v>39</v>
      </c>
      <c r="G660" t="s">
        <v>26</v>
      </c>
      <c r="H660">
        <v>0</v>
      </c>
      <c r="I660">
        <v>0</v>
      </c>
      <c r="J660">
        <v>0</v>
      </c>
      <c r="K660">
        <v>0</v>
      </c>
      <c r="L660">
        <v>0</v>
      </c>
      <c r="M660">
        <v>0</v>
      </c>
      <c r="N660">
        <v>0</v>
      </c>
      <c r="P660">
        <v>73.099999999999994</v>
      </c>
    </row>
    <row r="661" spans="1:16">
      <c r="A661" t="s">
        <v>691</v>
      </c>
      <c r="B661" s="2">
        <v>45767</v>
      </c>
      <c r="C661" t="s">
        <v>17</v>
      </c>
      <c r="D661" t="s">
        <v>32</v>
      </c>
      <c r="E661" t="s">
        <v>19</v>
      </c>
      <c r="F661" t="s">
        <v>41</v>
      </c>
      <c r="G661" t="s">
        <v>26</v>
      </c>
      <c r="H661">
        <v>1</v>
      </c>
      <c r="I661">
        <v>1</v>
      </c>
      <c r="J661">
        <v>1</v>
      </c>
      <c r="K661">
        <v>1</v>
      </c>
      <c r="L661">
        <v>347.52</v>
      </c>
      <c r="M661">
        <v>0</v>
      </c>
      <c r="N661">
        <v>0</v>
      </c>
      <c r="O661">
        <v>2</v>
      </c>
      <c r="P661">
        <v>57.2</v>
      </c>
    </row>
    <row r="662" spans="1:16">
      <c r="A662" t="s">
        <v>692</v>
      </c>
      <c r="B662" s="2">
        <v>45664</v>
      </c>
      <c r="C662" t="s">
        <v>17</v>
      </c>
      <c r="D662" t="s">
        <v>32</v>
      </c>
      <c r="E662" t="s">
        <v>24</v>
      </c>
      <c r="F662" t="s">
        <v>29</v>
      </c>
      <c r="G662" t="s">
        <v>26</v>
      </c>
      <c r="H662">
        <v>1</v>
      </c>
      <c r="I662">
        <v>0</v>
      </c>
      <c r="J662">
        <v>0</v>
      </c>
      <c r="K662">
        <v>0</v>
      </c>
      <c r="L662">
        <v>0</v>
      </c>
      <c r="M662">
        <v>0</v>
      </c>
      <c r="N662">
        <v>0</v>
      </c>
      <c r="P662">
        <v>67.900000000000006</v>
      </c>
    </row>
    <row r="663" spans="1:16">
      <c r="A663" t="s">
        <v>693</v>
      </c>
      <c r="B663" s="2">
        <v>45770</v>
      </c>
      <c r="C663" t="s">
        <v>17</v>
      </c>
      <c r="D663" t="s">
        <v>32</v>
      </c>
      <c r="E663" t="s">
        <v>24</v>
      </c>
      <c r="F663" t="s">
        <v>39</v>
      </c>
      <c r="G663" t="s">
        <v>26</v>
      </c>
      <c r="H663">
        <v>0</v>
      </c>
      <c r="I663">
        <v>0</v>
      </c>
      <c r="J663">
        <v>0</v>
      </c>
      <c r="K663">
        <v>0</v>
      </c>
      <c r="L663">
        <v>0</v>
      </c>
      <c r="M663">
        <v>0</v>
      </c>
      <c r="N663">
        <v>0</v>
      </c>
      <c r="P663">
        <v>50.1</v>
      </c>
    </row>
    <row r="664" spans="1:16">
      <c r="A664" t="s">
        <v>694</v>
      </c>
      <c r="B664" s="2">
        <v>45803</v>
      </c>
      <c r="C664" t="s">
        <v>17</v>
      </c>
      <c r="D664" t="s">
        <v>18</v>
      </c>
      <c r="E664" t="s">
        <v>24</v>
      </c>
      <c r="F664" t="s">
        <v>29</v>
      </c>
      <c r="G664" t="s">
        <v>21</v>
      </c>
      <c r="H664">
        <v>0</v>
      </c>
      <c r="I664">
        <v>0</v>
      </c>
      <c r="J664">
        <v>0</v>
      </c>
      <c r="K664">
        <v>0</v>
      </c>
      <c r="L664">
        <v>0</v>
      </c>
      <c r="M664">
        <v>0</v>
      </c>
      <c r="N664">
        <v>0</v>
      </c>
      <c r="P664">
        <v>67.8</v>
      </c>
    </row>
    <row r="665" spans="1:16">
      <c r="A665" t="s">
        <v>695</v>
      </c>
      <c r="B665" s="2">
        <v>45733</v>
      </c>
      <c r="C665" t="s">
        <v>17</v>
      </c>
      <c r="D665" t="s">
        <v>18</v>
      </c>
      <c r="E665" t="s">
        <v>19</v>
      </c>
      <c r="F665" t="s">
        <v>41</v>
      </c>
      <c r="G665" t="s">
        <v>21</v>
      </c>
      <c r="H665">
        <v>1</v>
      </c>
      <c r="I665">
        <v>1</v>
      </c>
      <c r="J665">
        <v>1</v>
      </c>
      <c r="K665">
        <v>0</v>
      </c>
      <c r="L665">
        <v>0</v>
      </c>
      <c r="M665">
        <v>0</v>
      </c>
      <c r="N665">
        <v>0</v>
      </c>
      <c r="P665">
        <v>60.8</v>
      </c>
    </row>
    <row r="666" spans="1:16">
      <c r="A666" t="s">
        <v>696</v>
      </c>
      <c r="B666" s="2">
        <v>45794</v>
      </c>
      <c r="C666" t="s">
        <v>17</v>
      </c>
      <c r="D666" t="s">
        <v>18</v>
      </c>
      <c r="E666" t="s">
        <v>19</v>
      </c>
      <c r="F666" t="s">
        <v>29</v>
      </c>
      <c r="G666" t="s">
        <v>21</v>
      </c>
      <c r="H666">
        <v>1</v>
      </c>
      <c r="I666">
        <v>0</v>
      </c>
      <c r="J666">
        <v>0</v>
      </c>
      <c r="K666">
        <v>0</v>
      </c>
      <c r="L666">
        <v>0</v>
      </c>
      <c r="M666">
        <v>3</v>
      </c>
      <c r="N666">
        <v>0</v>
      </c>
      <c r="P666">
        <v>33.700000000000003</v>
      </c>
    </row>
    <row r="667" spans="1:16">
      <c r="A667" t="s">
        <v>697</v>
      </c>
      <c r="B667" s="2">
        <v>45709</v>
      </c>
      <c r="C667" t="s">
        <v>17</v>
      </c>
      <c r="D667" t="s">
        <v>18</v>
      </c>
      <c r="E667" t="s">
        <v>24</v>
      </c>
      <c r="F667" t="s">
        <v>29</v>
      </c>
      <c r="G667" t="s">
        <v>21</v>
      </c>
      <c r="H667">
        <v>0</v>
      </c>
      <c r="I667">
        <v>0</v>
      </c>
      <c r="J667">
        <v>0</v>
      </c>
      <c r="K667">
        <v>0</v>
      </c>
      <c r="L667">
        <v>0</v>
      </c>
      <c r="M667">
        <v>0</v>
      </c>
      <c r="N667">
        <v>0</v>
      </c>
      <c r="P667">
        <v>45.2</v>
      </c>
    </row>
    <row r="668" spans="1:16">
      <c r="A668" t="s">
        <v>698</v>
      </c>
      <c r="B668" s="2">
        <v>45713</v>
      </c>
      <c r="C668" t="s">
        <v>17</v>
      </c>
      <c r="D668" t="s">
        <v>28</v>
      </c>
      <c r="E668" t="s">
        <v>19</v>
      </c>
      <c r="F668" t="s">
        <v>29</v>
      </c>
      <c r="G668" t="s">
        <v>30</v>
      </c>
      <c r="H668">
        <v>0</v>
      </c>
      <c r="I668">
        <v>0</v>
      </c>
      <c r="J668">
        <v>0</v>
      </c>
      <c r="K668">
        <v>0</v>
      </c>
      <c r="L668">
        <v>0</v>
      </c>
      <c r="M668">
        <v>0</v>
      </c>
      <c r="N668">
        <v>0</v>
      </c>
      <c r="P668">
        <v>48.2</v>
      </c>
    </row>
    <row r="669" spans="1:16">
      <c r="A669" t="s">
        <v>699</v>
      </c>
      <c r="B669" s="2">
        <v>45687</v>
      </c>
      <c r="C669" t="s">
        <v>17</v>
      </c>
      <c r="D669" t="s">
        <v>32</v>
      </c>
      <c r="E669" t="s">
        <v>24</v>
      </c>
      <c r="F669" t="s">
        <v>41</v>
      </c>
      <c r="G669" t="s">
        <v>26</v>
      </c>
      <c r="H669">
        <v>1</v>
      </c>
      <c r="I669">
        <v>1</v>
      </c>
      <c r="J669">
        <v>0</v>
      </c>
      <c r="K669">
        <v>0</v>
      </c>
      <c r="L669">
        <v>0</v>
      </c>
      <c r="M669">
        <v>1</v>
      </c>
      <c r="N669">
        <v>0</v>
      </c>
      <c r="P669">
        <v>44.8</v>
      </c>
    </row>
    <row r="670" spans="1:16">
      <c r="A670" t="s">
        <v>700</v>
      </c>
      <c r="B670" s="2">
        <v>45705</v>
      </c>
      <c r="C670" t="s">
        <v>17</v>
      </c>
      <c r="D670" t="s">
        <v>18</v>
      </c>
      <c r="E670" t="s">
        <v>34</v>
      </c>
      <c r="F670" t="s">
        <v>41</v>
      </c>
      <c r="G670" t="s">
        <v>21</v>
      </c>
      <c r="H670">
        <v>0</v>
      </c>
      <c r="I670">
        <v>0</v>
      </c>
      <c r="J670">
        <v>0</v>
      </c>
      <c r="K670">
        <v>0</v>
      </c>
      <c r="L670">
        <v>0</v>
      </c>
      <c r="M670">
        <v>0</v>
      </c>
      <c r="N670">
        <v>0</v>
      </c>
      <c r="P670">
        <v>52.1</v>
      </c>
    </row>
    <row r="671" spans="1:16">
      <c r="A671" t="s">
        <v>701</v>
      </c>
      <c r="B671" s="2">
        <v>45794</v>
      </c>
      <c r="C671" t="s">
        <v>17</v>
      </c>
      <c r="D671" t="s">
        <v>18</v>
      </c>
      <c r="E671" t="s">
        <v>19</v>
      </c>
      <c r="F671" t="s">
        <v>29</v>
      </c>
      <c r="G671" t="s">
        <v>21</v>
      </c>
      <c r="H671">
        <v>1</v>
      </c>
      <c r="I671">
        <v>0</v>
      </c>
      <c r="J671">
        <v>0</v>
      </c>
      <c r="K671">
        <v>0</v>
      </c>
      <c r="L671">
        <v>0</v>
      </c>
      <c r="M671">
        <v>0</v>
      </c>
      <c r="N671">
        <v>0</v>
      </c>
      <c r="P671">
        <v>30.7</v>
      </c>
    </row>
    <row r="672" spans="1:16">
      <c r="A672" t="s">
        <v>702</v>
      </c>
      <c r="B672" s="2">
        <v>45777</v>
      </c>
      <c r="C672" t="s">
        <v>17</v>
      </c>
      <c r="D672" t="s">
        <v>28</v>
      </c>
      <c r="E672" t="s">
        <v>19</v>
      </c>
      <c r="F672" t="s">
        <v>29</v>
      </c>
      <c r="G672" t="s">
        <v>26</v>
      </c>
      <c r="H672">
        <v>1</v>
      </c>
      <c r="I672">
        <v>0</v>
      </c>
      <c r="J672">
        <v>0</v>
      </c>
      <c r="K672">
        <v>0</v>
      </c>
      <c r="L672">
        <v>0</v>
      </c>
      <c r="M672">
        <v>0</v>
      </c>
      <c r="N672">
        <v>0</v>
      </c>
      <c r="P672">
        <v>58.4</v>
      </c>
    </row>
    <row r="673" spans="1:16">
      <c r="A673" t="s">
        <v>703</v>
      </c>
      <c r="B673" s="2">
        <v>45738</v>
      </c>
      <c r="C673" t="s">
        <v>17</v>
      </c>
      <c r="D673" t="s">
        <v>23</v>
      </c>
      <c r="E673" t="s">
        <v>24</v>
      </c>
      <c r="F673" t="s">
        <v>39</v>
      </c>
      <c r="G673" t="s">
        <v>26</v>
      </c>
      <c r="H673">
        <v>1</v>
      </c>
      <c r="I673">
        <v>1</v>
      </c>
      <c r="J673">
        <v>0</v>
      </c>
      <c r="K673">
        <v>0</v>
      </c>
      <c r="L673">
        <v>0</v>
      </c>
      <c r="M673">
        <v>0</v>
      </c>
      <c r="N673">
        <v>0</v>
      </c>
      <c r="P673">
        <v>52.6</v>
      </c>
    </row>
    <row r="674" spans="1:16">
      <c r="A674" t="s">
        <v>704</v>
      </c>
      <c r="B674" s="2">
        <v>45667</v>
      </c>
      <c r="C674" t="s">
        <v>17</v>
      </c>
      <c r="D674" t="s">
        <v>23</v>
      </c>
      <c r="F674" t="s">
        <v>29</v>
      </c>
      <c r="G674" t="s">
        <v>26</v>
      </c>
      <c r="H674">
        <v>1</v>
      </c>
      <c r="I674">
        <v>0</v>
      </c>
      <c r="J674">
        <v>0</v>
      </c>
      <c r="K674">
        <v>0</v>
      </c>
      <c r="L674">
        <v>0</v>
      </c>
      <c r="M674">
        <v>1</v>
      </c>
      <c r="N674">
        <v>0</v>
      </c>
      <c r="P674">
        <v>19.100000000000001</v>
      </c>
    </row>
    <row r="675" spans="1:16">
      <c r="A675" t="s">
        <v>705</v>
      </c>
      <c r="B675" s="2">
        <v>45737</v>
      </c>
      <c r="C675" t="s">
        <v>17</v>
      </c>
      <c r="D675" t="s">
        <v>32</v>
      </c>
      <c r="F675" t="s">
        <v>29</v>
      </c>
      <c r="G675" t="s">
        <v>26</v>
      </c>
      <c r="H675">
        <v>1</v>
      </c>
      <c r="I675">
        <v>0</v>
      </c>
      <c r="J675">
        <v>0</v>
      </c>
      <c r="K675">
        <v>0</v>
      </c>
      <c r="L675">
        <v>0</v>
      </c>
      <c r="M675">
        <v>0</v>
      </c>
      <c r="N675">
        <v>0</v>
      </c>
      <c r="P675">
        <v>36.799999999999997</v>
      </c>
    </row>
    <row r="676" spans="1:16">
      <c r="A676" t="s">
        <v>706</v>
      </c>
      <c r="B676" s="2">
        <v>45789</v>
      </c>
      <c r="C676" t="s">
        <v>17</v>
      </c>
      <c r="D676" t="s">
        <v>18</v>
      </c>
      <c r="E676" t="s">
        <v>19</v>
      </c>
      <c r="F676" t="s">
        <v>29</v>
      </c>
      <c r="G676" t="s">
        <v>21</v>
      </c>
      <c r="H676">
        <v>0</v>
      </c>
      <c r="I676">
        <v>0</v>
      </c>
      <c r="J676">
        <v>0</v>
      </c>
      <c r="K676">
        <v>0</v>
      </c>
      <c r="L676">
        <v>0</v>
      </c>
      <c r="M676">
        <v>0</v>
      </c>
      <c r="N676">
        <v>0</v>
      </c>
      <c r="P676">
        <v>68.5</v>
      </c>
    </row>
    <row r="677" spans="1:16">
      <c r="A677" t="s">
        <v>707</v>
      </c>
      <c r="B677" s="2">
        <v>45801</v>
      </c>
      <c r="C677" t="s">
        <v>17</v>
      </c>
      <c r="D677" t="s">
        <v>23</v>
      </c>
      <c r="E677" t="s">
        <v>24</v>
      </c>
      <c r="F677" t="s">
        <v>29</v>
      </c>
      <c r="G677" t="s">
        <v>26</v>
      </c>
      <c r="H677">
        <v>1</v>
      </c>
      <c r="I677">
        <v>1</v>
      </c>
      <c r="J677">
        <v>1</v>
      </c>
      <c r="K677">
        <v>0</v>
      </c>
      <c r="L677">
        <v>0</v>
      </c>
      <c r="M677">
        <v>0</v>
      </c>
      <c r="N677">
        <v>0</v>
      </c>
      <c r="P677">
        <v>40.1</v>
      </c>
    </row>
    <row r="678" spans="1:16">
      <c r="A678" t="s">
        <v>708</v>
      </c>
      <c r="B678" s="2">
        <v>45780</v>
      </c>
      <c r="C678" t="s">
        <v>17</v>
      </c>
      <c r="D678" t="s">
        <v>23</v>
      </c>
      <c r="E678" t="s">
        <v>34</v>
      </c>
      <c r="F678" t="s">
        <v>25</v>
      </c>
      <c r="G678" t="s">
        <v>26</v>
      </c>
      <c r="H678">
        <v>1</v>
      </c>
      <c r="I678">
        <v>0</v>
      </c>
      <c r="J678">
        <v>0</v>
      </c>
      <c r="K678">
        <v>0</v>
      </c>
      <c r="L678">
        <v>0</v>
      </c>
      <c r="M678">
        <v>0</v>
      </c>
      <c r="N678">
        <v>0</v>
      </c>
      <c r="P678">
        <v>47.5</v>
      </c>
    </row>
    <row r="679" spans="1:16">
      <c r="A679" t="s">
        <v>709</v>
      </c>
      <c r="B679" s="2">
        <v>45671</v>
      </c>
      <c r="C679" t="s">
        <v>17</v>
      </c>
      <c r="D679" t="s">
        <v>32</v>
      </c>
      <c r="E679" t="s">
        <v>24</v>
      </c>
      <c r="F679" t="s">
        <v>25</v>
      </c>
      <c r="G679" t="s">
        <v>21</v>
      </c>
      <c r="H679">
        <v>1</v>
      </c>
      <c r="I679">
        <v>0</v>
      </c>
      <c r="J679">
        <v>0</v>
      </c>
      <c r="K679">
        <v>0</v>
      </c>
      <c r="L679">
        <v>0</v>
      </c>
      <c r="M679">
        <v>0</v>
      </c>
      <c r="N679">
        <v>0</v>
      </c>
      <c r="P679">
        <v>77.099999999999994</v>
      </c>
    </row>
    <row r="680" spans="1:16">
      <c r="A680" t="s">
        <v>710</v>
      </c>
      <c r="B680" s="2">
        <v>45743</v>
      </c>
      <c r="C680" t="s">
        <v>17</v>
      </c>
      <c r="D680" t="s">
        <v>23</v>
      </c>
      <c r="E680" t="s">
        <v>24</v>
      </c>
      <c r="F680" t="s">
        <v>41</v>
      </c>
      <c r="G680" t="s">
        <v>21</v>
      </c>
      <c r="H680">
        <v>1</v>
      </c>
      <c r="I680">
        <v>0</v>
      </c>
      <c r="J680">
        <v>0</v>
      </c>
      <c r="K680">
        <v>0</v>
      </c>
      <c r="L680">
        <v>0</v>
      </c>
      <c r="M680">
        <v>0</v>
      </c>
      <c r="N680">
        <v>0</v>
      </c>
      <c r="P680">
        <v>75.900000000000006</v>
      </c>
    </row>
    <row r="681" spans="1:16">
      <c r="A681" t="s">
        <v>711</v>
      </c>
      <c r="B681" s="2">
        <v>45716</v>
      </c>
      <c r="C681" t="s">
        <v>17</v>
      </c>
      <c r="D681" t="s">
        <v>18</v>
      </c>
      <c r="E681" t="s">
        <v>19</v>
      </c>
      <c r="F681" t="s">
        <v>39</v>
      </c>
      <c r="G681" t="s">
        <v>30</v>
      </c>
      <c r="H681">
        <v>0</v>
      </c>
      <c r="I681">
        <v>0</v>
      </c>
      <c r="J681">
        <v>0</v>
      </c>
      <c r="K681">
        <v>0</v>
      </c>
      <c r="L681">
        <v>0</v>
      </c>
      <c r="M681">
        <v>1</v>
      </c>
      <c r="N681">
        <v>0</v>
      </c>
      <c r="P681">
        <v>52</v>
      </c>
    </row>
    <row r="682" spans="1:16">
      <c r="A682" t="s">
        <v>712</v>
      </c>
      <c r="B682" s="2">
        <v>45789</v>
      </c>
      <c r="C682" t="s">
        <v>17</v>
      </c>
      <c r="D682" t="s">
        <v>23</v>
      </c>
      <c r="E682" t="s">
        <v>19</v>
      </c>
      <c r="F682" t="s">
        <v>39</v>
      </c>
      <c r="G682" t="s">
        <v>30</v>
      </c>
      <c r="H682">
        <v>1</v>
      </c>
      <c r="I682">
        <v>1</v>
      </c>
      <c r="J682">
        <v>1</v>
      </c>
      <c r="K682">
        <v>0</v>
      </c>
      <c r="L682">
        <v>0</v>
      </c>
      <c r="M682">
        <v>0</v>
      </c>
      <c r="N682">
        <v>0</v>
      </c>
      <c r="P682">
        <v>64.900000000000006</v>
      </c>
    </row>
    <row r="683" spans="1:16">
      <c r="A683" t="s">
        <v>713</v>
      </c>
      <c r="B683" s="2">
        <v>45730</v>
      </c>
      <c r="C683" t="s">
        <v>17</v>
      </c>
      <c r="D683" t="s">
        <v>18</v>
      </c>
      <c r="E683" t="s">
        <v>24</v>
      </c>
      <c r="F683" t="s">
        <v>25</v>
      </c>
      <c r="G683" t="s">
        <v>26</v>
      </c>
      <c r="H683">
        <v>1</v>
      </c>
      <c r="I683">
        <v>0</v>
      </c>
      <c r="J683">
        <v>0</v>
      </c>
      <c r="K683">
        <v>0</v>
      </c>
      <c r="L683">
        <v>0</v>
      </c>
      <c r="M683">
        <v>0</v>
      </c>
      <c r="N683">
        <v>0</v>
      </c>
      <c r="P683">
        <v>48.2</v>
      </c>
    </row>
    <row r="684" spans="1:16">
      <c r="A684" t="s">
        <v>714</v>
      </c>
      <c r="B684" s="2">
        <v>45797</v>
      </c>
      <c r="C684" t="s">
        <v>17</v>
      </c>
      <c r="D684" t="s">
        <v>28</v>
      </c>
      <c r="E684" t="s">
        <v>24</v>
      </c>
      <c r="F684" t="s">
        <v>25</v>
      </c>
      <c r="G684" t="s">
        <v>21</v>
      </c>
      <c r="H684">
        <v>0</v>
      </c>
      <c r="I684">
        <v>0</v>
      </c>
      <c r="J684">
        <v>0</v>
      </c>
      <c r="K684">
        <v>0</v>
      </c>
      <c r="L684">
        <v>0</v>
      </c>
      <c r="M684">
        <v>0</v>
      </c>
      <c r="N684">
        <v>0</v>
      </c>
      <c r="P684">
        <v>42.1</v>
      </c>
    </row>
    <row r="685" spans="1:16">
      <c r="A685" t="s">
        <v>715</v>
      </c>
      <c r="B685" s="2">
        <v>45712</v>
      </c>
      <c r="C685" t="s">
        <v>17</v>
      </c>
      <c r="D685" t="s">
        <v>32</v>
      </c>
      <c r="E685" t="s">
        <v>19</v>
      </c>
      <c r="F685" t="s">
        <v>39</v>
      </c>
      <c r="G685" t="s">
        <v>26</v>
      </c>
      <c r="H685">
        <v>0</v>
      </c>
      <c r="I685">
        <v>0</v>
      </c>
      <c r="J685">
        <v>0</v>
      </c>
      <c r="K685">
        <v>0</v>
      </c>
      <c r="L685">
        <v>0</v>
      </c>
      <c r="M685">
        <v>0</v>
      </c>
      <c r="N685">
        <v>0</v>
      </c>
      <c r="P685">
        <v>27.6</v>
      </c>
    </row>
    <row r="686" spans="1:16">
      <c r="A686" t="s">
        <v>716</v>
      </c>
      <c r="B686" s="2">
        <v>45701</v>
      </c>
      <c r="C686" t="s">
        <v>17</v>
      </c>
      <c r="D686" t="s">
        <v>23</v>
      </c>
      <c r="E686" t="s">
        <v>24</v>
      </c>
      <c r="F686" t="s">
        <v>25</v>
      </c>
      <c r="G686" t="s">
        <v>30</v>
      </c>
      <c r="H686">
        <v>1</v>
      </c>
      <c r="I686">
        <v>0</v>
      </c>
      <c r="J686">
        <v>0</v>
      </c>
      <c r="K686">
        <v>0</v>
      </c>
      <c r="L686">
        <v>0</v>
      </c>
      <c r="M686">
        <v>1</v>
      </c>
      <c r="N686">
        <v>0</v>
      </c>
      <c r="P686">
        <v>68.5</v>
      </c>
    </row>
    <row r="687" spans="1:16">
      <c r="A687" t="s">
        <v>717</v>
      </c>
      <c r="B687" s="2">
        <v>45694</v>
      </c>
      <c r="C687" t="s">
        <v>17</v>
      </c>
      <c r="D687" t="s">
        <v>32</v>
      </c>
      <c r="E687" t="s">
        <v>19</v>
      </c>
      <c r="F687" t="s">
        <v>25</v>
      </c>
      <c r="G687" t="s">
        <v>26</v>
      </c>
      <c r="H687">
        <v>1</v>
      </c>
      <c r="I687">
        <v>1</v>
      </c>
      <c r="J687">
        <v>1</v>
      </c>
      <c r="K687">
        <v>0</v>
      </c>
      <c r="L687">
        <v>0</v>
      </c>
      <c r="M687">
        <v>0</v>
      </c>
      <c r="N687">
        <v>0</v>
      </c>
      <c r="P687">
        <v>59.2</v>
      </c>
    </row>
    <row r="688" spans="1:16">
      <c r="A688" t="s">
        <v>718</v>
      </c>
      <c r="B688" s="2">
        <v>45718</v>
      </c>
      <c r="C688" t="s">
        <v>17</v>
      </c>
      <c r="D688" t="s">
        <v>18</v>
      </c>
      <c r="E688" t="s">
        <v>24</v>
      </c>
      <c r="F688" t="s">
        <v>41</v>
      </c>
      <c r="G688" t="s">
        <v>21</v>
      </c>
      <c r="H688">
        <v>1</v>
      </c>
      <c r="I688">
        <v>0</v>
      </c>
      <c r="J688">
        <v>0</v>
      </c>
      <c r="K688">
        <v>0</v>
      </c>
      <c r="L688">
        <v>0</v>
      </c>
      <c r="M688">
        <v>0</v>
      </c>
      <c r="N688">
        <v>0</v>
      </c>
      <c r="P688">
        <v>63.3</v>
      </c>
    </row>
    <row r="689" spans="1:16">
      <c r="A689" t="s">
        <v>719</v>
      </c>
      <c r="B689" s="2">
        <v>45775</v>
      </c>
      <c r="C689" t="s">
        <v>17</v>
      </c>
      <c r="D689" t="s">
        <v>28</v>
      </c>
      <c r="E689" t="s">
        <v>19</v>
      </c>
      <c r="F689" t="s">
        <v>29</v>
      </c>
      <c r="G689" t="s">
        <v>26</v>
      </c>
      <c r="H689">
        <v>0</v>
      </c>
      <c r="I689">
        <v>0</v>
      </c>
      <c r="J689">
        <v>0</v>
      </c>
      <c r="K689">
        <v>0</v>
      </c>
      <c r="L689">
        <v>0</v>
      </c>
      <c r="M689">
        <v>0</v>
      </c>
      <c r="N689">
        <v>0</v>
      </c>
      <c r="P689">
        <v>55</v>
      </c>
    </row>
    <row r="690" spans="1:16">
      <c r="A690" t="s">
        <v>720</v>
      </c>
      <c r="B690" s="2">
        <v>45804</v>
      </c>
      <c r="C690" t="s">
        <v>17</v>
      </c>
      <c r="D690" t="s">
        <v>18</v>
      </c>
      <c r="E690" t="s">
        <v>19</v>
      </c>
      <c r="G690" t="s">
        <v>30</v>
      </c>
      <c r="H690">
        <v>1</v>
      </c>
      <c r="I690">
        <v>0</v>
      </c>
      <c r="J690">
        <v>0</v>
      </c>
      <c r="K690">
        <v>0</v>
      </c>
      <c r="L690">
        <v>0</v>
      </c>
      <c r="M690">
        <v>0</v>
      </c>
      <c r="N690">
        <v>0</v>
      </c>
      <c r="P690">
        <v>64.8</v>
      </c>
    </row>
    <row r="691" spans="1:16">
      <c r="A691" t="s">
        <v>721</v>
      </c>
      <c r="B691" s="2">
        <v>45754</v>
      </c>
      <c r="C691" t="s">
        <v>17</v>
      </c>
      <c r="D691" t="s">
        <v>32</v>
      </c>
      <c r="E691" t="s">
        <v>19</v>
      </c>
      <c r="F691" t="s">
        <v>25</v>
      </c>
      <c r="G691" t="s">
        <v>21</v>
      </c>
      <c r="H691">
        <v>0</v>
      </c>
      <c r="I691">
        <v>0</v>
      </c>
      <c r="J691">
        <v>0</v>
      </c>
      <c r="K691">
        <v>0</v>
      </c>
      <c r="L691">
        <v>0</v>
      </c>
      <c r="M691">
        <v>2</v>
      </c>
      <c r="N691">
        <v>0</v>
      </c>
      <c r="P691">
        <v>41.8</v>
      </c>
    </row>
    <row r="692" spans="1:16">
      <c r="A692" t="s">
        <v>722</v>
      </c>
      <c r="B692" s="2">
        <v>45761</v>
      </c>
      <c r="C692" t="s">
        <v>723</v>
      </c>
      <c r="D692" t="s">
        <v>28</v>
      </c>
      <c r="E692" t="s">
        <v>19</v>
      </c>
      <c r="F692" t="s">
        <v>41</v>
      </c>
      <c r="G692" t="s">
        <v>21</v>
      </c>
      <c r="H692">
        <v>1</v>
      </c>
      <c r="I692">
        <v>0</v>
      </c>
      <c r="J692">
        <v>0</v>
      </c>
      <c r="K692">
        <v>0</v>
      </c>
      <c r="L692">
        <v>0</v>
      </c>
      <c r="M692">
        <v>0</v>
      </c>
      <c r="N692">
        <v>0</v>
      </c>
      <c r="P692">
        <v>73.2</v>
      </c>
    </row>
    <row r="693" spans="1:16">
      <c r="A693" t="s">
        <v>724</v>
      </c>
      <c r="B693" s="2">
        <v>45786</v>
      </c>
      <c r="C693" t="s">
        <v>723</v>
      </c>
      <c r="D693" t="s">
        <v>28</v>
      </c>
      <c r="E693" t="s">
        <v>19</v>
      </c>
      <c r="F693" t="s">
        <v>25</v>
      </c>
      <c r="G693" t="s">
        <v>21</v>
      </c>
      <c r="H693">
        <v>1</v>
      </c>
      <c r="I693">
        <v>1</v>
      </c>
      <c r="J693">
        <v>1</v>
      </c>
      <c r="K693">
        <v>0</v>
      </c>
      <c r="L693">
        <v>0</v>
      </c>
      <c r="M693">
        <v>3</v>
      </c>
      <c r="N693">
        <v>0</v>
      </c>
      <c r="P693">
        <v>55.7</v>
      </c>
    </row>
    <row r="694" spans="1:16">
      <c r="A694" t="s">
        <v>725</v>
      </c>
      <c r="B694" s="2">
        <v>45737</v>
      </c>
      <c r="C694" t="s">
        <v>723</v>
      </c>
      <c r="D694" t="s">
        <v>18</v>
      </c>
      <c r="E694" t="s">
        <v>24</v>
      </c>
      <c r="F694" t="s">
        <v>25</v>
      </c>
      <c r="G694" t="s">
        <v>26</v>
      </c>
      <c r="H694">
        <v>1</v>
      </c>
      <c r="I694">
        <v>1</v>
      </c>
      <c r="J694">
        <v>1</v>
      </c>
      <c r="K694">
        <v>0</v>
      </c>
      <c r="L694">
        <v>0</v>
      </c>
      <c r="M694">
        <v>0</v>
      </c>
      <c r="N694">
        <v>0</v>
      </c>
      <c r="P694">
        <v>82.8</v>
      </c>
    </row>
    <row r="695" spans="1:16">
      <c r="A695" t="s">
        <v>726</v>
      </c>
      <c r="B695" s="2">
        <v>45743</v>
      </c>
      <c r="C695" t="s">
        <v>723</v>
      </c>
      <c r="D695" t="s">
        <v>18</v>
      </c>
      <c r="E695" t="s">
        <v>19</v>
      </c>
      <c r="F695" t="s">
        <v>41</v>
      </c>
      <c r="G695" t="s">
        <v>26</v>
      </c>
      <c r="H695">
        <v>1</v>
      </c>
      <c r="I695">
        <v>0</v>
      </c>
      <c r="J695">
        <v>0</v>
      </c>
      <c r="K695">
        <v>0</v>
      </c>
      <c r="L695">
        <v>0</v>
      </c>
      <c r="M695">
        <v>0</v>
      </c>
      <c r="N695">
        <v>0</v>
      </c>
    </row>
    <row r="696" spans="1:16">
      <c r="A696" t="s">
        <v>727</v>
      </c>
      <c r="B696" s="2">
        <v>45678</v>
      </c>
      <c r="C696" t="s">
        <v>723</v>
      </c>
      <c r="D696" t="s">
        <v>32</v>
      </c>
      <c r="E696" t="s">
        <v>24</v>
      </c>
      <c r="F696" t="s">
        <v>29</v>
      </c>
      <c r="G696" t="s">
        <v>26</v>
      </c>
      <c r="H696">
        <v>0</v>
      </c>
      <c r="I696">
        <v>0</v>
      </c>
      <c r="J696">
        <v>0</v>
      </c>
      <c r="K696">
        <v>0</v>
      </c>
      <c r="L696">
        <v>0</v>
      </c>
      <c r="M696">
        <v>0</v>
      </c>
      <c r="N696">
        <v>0</v>
      </c>
      <c r="P696">
        <v>34.4</v>
      </c>
    </row>
    <row r="697" spans="1:16">
      <c r="A697" t="s">
        <v>728</v>
      </c>
      <c r="B697" s="2">
        <v>45735</v>
      </c>
      <c r="C697" t="s">
        <v>723</v>
      </c>
      <c r="D697" t="s">
        <v>28</v>
      </c>
      <c r="E697" t="s">
        <v>19</v>
      </c>
      <c r="F697" t="s">
        <v>20</v>
      </c>
      <c r="G697" t="s">
        <v>26</v>
      </c>
      <c r="H697">
        <v>1</v>
      </c>
      <c r="I697">
        <v>0</v>
      </c>
      <c r="J697">
        <v>0</v>
      </c>
      <c r="K697">
        <v>0</v>
      </c>
      <c r="L697">
        <v>0</v>
      </c>
      <c r="M697">
        <v>0</v>
      </c>
      <c r="N697">
        <v>0</v>
      </c>
      <c r="P697">
        <v>45.2</v>
      </c>
    </row>
    <row r="698" spans="1:16">
      <c r="A698" t="s">
        <v>729</v>
      </c>
      <c r="B698" s="2">
        <v>45804</v>
      </c>
      <c r="C698" t="s">
        <v>723</v>
      </c>
      <c r="D698" t="s">
        <v>18</v>
      </c>
      <c r="E698" t="s">
        <v>24</v>
      </c>
      <c r="F698" t="s">
        <v>25</v>
      </c>
      <c r="G698" t="s">
        <v>21</v>
      </c>
      <c r="H698">
        <v>1</v>
      </c>
      <c r="I698">
        <v>0</v>
      </c>
      <c r="J698">
        <v>0</v>
      </c>
      <c r="K698">
        <v>0</v>
      </c>
      <c r="L698">
        <v>0</v>
      </c>
      <c r="M698">
        <v>0</v>
      </c>
      <c r="N698">
        <v>0</v>
      </c>
      <c r="P698">
        <v>71.599999999999994</v>
      </c>
    </row>
    <row r="699" spans="1:16">
      <c r="A699" t="s">
        <v>730</v>
      </c>
      <c r="B699" s="2">
        <v>45658</v>
      </c>
      <c r="C699" t="s">
        <v>723</v>
      </c>
      <c r="D699" t="s">
        <v>18</v>
      </c>
      <c r="E699" t="s">
        <v>24</v>
      </c>
      <c r="F699" t="s">
        <v>41</v>
      </c>
      <c r="G699" t="s">
        <v>26</v>
      </c>
      <c r="H699">
        <v>1</v>
      </c>
      <c r="I699">
        <v>1</v>
      </c>
      <c r="J699">
        <v>1</v>
      </c>
      <c r="K699">
        <v>0</v>
      </c>
      <c r="L699">
        <v>0</v>
      </c>
      <c r="M699">
        <v>0</v>
      </c>
      <c r="N699">
        <v>0</v>
      </c>
      <c r="P699">
        <v>69.099999999999994</v>
      </c>
    </row>
    <row r="700" spans="1:16">
      <c r="A700" t="s">
        <v>731</v>
      </c>
      <c r="B700" s="2">
        <v>45745</v>
      </c>
      <c r="C700" t="s">
        <v>723</v>
      </c>
      <c r="D700" t="s">
        <v>23</v>
      </c>
      <c r="E700" t="s">
        <v>19</v>
      </c>
      <c r="F700" t="s">
        <v>29</v>
      </c>
      <c r="G700" t="s">
        <v>30</v>
      </c>
      <c r="H700">
        <v>1</v>
      </c>
      <c r="I700">
        <v>0</v>
      </c>
      <c r="J700">
        <v>0</v>
      </c>
      <c r="K700">
        <v>0</v>
      </c>
      <c r="L700">
        <v>0</v>
      </c>
      <c r="M700">
        <v>1</v>
      </c>
      <c r="N700">
        <v>0</v>
      </c>
      <c r="P700">
        <v>37.700000000000003</v>
      </c>
    </row>
    <row r="701" spans="1:16">
      <c r="A701" t="s">
        <v>732</v>
      </c>
      <c r="B701" s="2">
        <v>45733</v>
      </c>
      <c r="C701" t="s">
        <v>723</v>
      </c>
      <c r="D701" t="s">
        <v>23</v>
      </c>
      <c r="E701" t="s">
        <v>19</v>
      </c>
      <c r="F701" t="s">
        <v>25</v>
      </c>
      <c r="G701" t="s">
        <v>21</v>
      </c>
      <c r="H701">
        <v>1</v>
      </c>
      <c r="I701">
        <v>0</v>
      </c>
      <c r="J701">
        <v>0</v>
      </c>
      <c r="K701">
        <v>0</v>
      </c>
      <c r="L701">
        <v>0</v>
      </c>
      <c r="M701">
        <v>1</v>
      </c>
      <c r="N701">
        <v>0</v>
      </c>
      <c r="P701">
        <v>60.8</v>
      </c>
    </row>
    <row r="702" spans="1:16">
      <c r="A702" t="s">
        <v>733</v>
      </c>
      <c r="B702" s="2">
        <v>45782</v>
      </c>
      <c r="C702" t="s">
        <v>723</v>
      </c>
      <c r="D702" t="s">
        <v>18</v>
      </c>
      <c r="E702" t="s">
        <v>24</v>
      </c>
      <c r="F702" t="s">
        <v>25</v>
      </c>
      <c r="G702" t="s">
        <v>26</v>
      </c>
      <c r="H702">
        <v>1</v>
      </c>
      <c r="I702">
        <v>1</v>
      </c>
      <c r="J702">
        <v>1</v>
      </c>
      <c r="K702">
        <v>1</v>
      </c>
      <c r="L702">
        <v>444.13</v>
      </c>
      <c r="M702">
        <v>0</v>
      </c>
      <c r="N702">
        <v>0</v>
      </c>
      <c r="O702">
        <v>10</v>
      </c>
      <c r="P702">
        <v>80.7</v>
      </c>
    </row>
    <row r="703" spans="1:16">
      <c r="A703" t="s">
        <v>734</v>
      </c>
      <c r="B703" s="2">
        <v>45781</v>
      </c>
      <c r="C703" t="s">
        <v>723</v>
      </c>
      <c r="D703" t="s">
        <v>32</v>
      </c>
      <c r="E703" t="s">
        <v>24</v>
      </c>
      <c r="F703" t="s">
        <v>41</v>
      </c>
      <c r="G703" t="s">
        <v>26</v>
      </c>
      <c r="H703">
        <v>1</v>
      </c>
      <c r="I703">
        <v>0</v>
      </c>
      <c r="J703">
        <v>0</v>
      </c>
      <c r="K703">
        <v>0</v>
      </c>
      <c r="L703">
        <v>0</v>
      </c>
      <c r="M703">
        <v>0</v>
      </c>
      <c r="N703">
        <v>0</v>
      </c>
      <c r="P703">
        <v>69.2</v>
      </c>
    </row>
    <row r="704" spans="1:16">
      <c r="A704" t="s">
        <v>735</v>
      </c>
      <c r="B704" s="2">
        <v>45741</v>
      </c>
      <c r="C704" t="s">
        <v>723</v>
      </c>
      <c r="D704" t="s">
        <v>18</v>
      </c>
      <c r="E704" t="s">
        <v>24</v>
      </c>
      <c r="F704" t="s">
        <v>41</v>
      </c>
      <c r="G704" t="s">
        <v>30</v>
      </c>
      <c r="H704">
        <v>0</v>
      </c>
      <c r="I704">
        <v>0</v>
      </c>
      <c r="J704">
        <v>0</v>
      </c>
      <c r="K704">
        <v>0</v>
      </c>
      <c r="L704">
        <v>0</v>
      </c>
      <c r="M704">
        <v>3</v>
      </c>
      <c r="N704">
        <v>0</v>
      </c>
      <c r="P704">
        <v>55</v>
      </c>
    </row>
    <row r="705" spans="1:16">
      <c r="A705" t="s">
        <v>736</v>
      </c>
      <c r="B705" s="2">
        <v>45764</v>
      </c>
      <c r="C705" t="s">
        <v>723</v>
      </c>
      <c r="D705" t="s">
        <v>23</v>
      </c>
      <c r="E705" t="s">
        <v>24</v>
      </c>
      <c r="F705" t="s">
        <v>20</v>
      </c>
      <c r="G705" t="s">
        <v>26</v>
      </c>
      <c r="H705">
        <v>0</v>
      </c>
      <c r="I705">
        <v>0</v>
      </c>
      <c r="J705">
        <v>0</v>
      </c>
      <c r="K705">
        <v>0</v>
      </c>
      <c r="L705">
        <v>0</v>
      </c>
      <c r="M705">
        <v>1</v>
      </c>
      <c r="N705">
        <v>0</v>
      </c>
      <c r="P705">
        <v>73.599999999999994</v>
      </c>
    </row>
    <row r="706" spans="1:16">
      <c r="A706" t="s">
        <v>737</v>
      </c>
      <c r="B706" s="2">
        <v>45800</v>
      </c>
      <c r="C706" t="s">
        <v>723</v>
      </c>
      <c r="D706" t="s">
        <v>32</v>
      </c>
      <c r="E706" t="s">
        <v>24</v>
      </c>
      <c r="F706" t="s">
        <v>39</v>
      </c>
      <c r="G706" t="s">
        <v>21</v>
      </c>
      <c r="H706">
        <v>1</v>
      </c>
      <c r="I706">
        <v>1</v>
      </c>
      <c r="J706">
        <v>1</v>
      </c>
      <c r="K706">
        <v>0</v>
      </c>
      <c r="L706">
        <v>0</v>
      </c>
      <c r="M706">
        <v>1</v>
      </c>
      <c r="N706">
        <v>0</v>
      </c>
      <c r="P706">
        <v>47.3</v>
      </c>
    </row>
    <row r="707" spans="1:16">
      <c r="A707" t="s">
        <v>738</v>
      </c>
      <c r="B707" s="2">
        <v>45670</v>
      </c>
      <c r="C707" t="s">
        <v>723</v>
      </c>
      <c r="D707" t="s">
        <v>18</v>
      </c>
      <c r="E707" t="s">
        <v>24</v>
      </c>
      <c r="F707" t="s">
        <v>25</v>
      </c>
      <c r="G707" t="s">
        <v>21</v>
      </c>
      <c r="H707">
        <v>0</v>
      </c>
      <c r="I707">
        <v>0</v>
      </c>
      <c r="J707">
        <v>0</v>
      </c>
      <c r="K707">
        <v>0</v>
      </c>
      <c r="L707">
        <v>0</v>
      </c>
      <c r="M707">
        <v>0</v>
      </c>
      <c r="N707">
        <v>0</v>
      </c>
      <c r="P707">
        <v>43.6</v>
      </c>
    </row>
    <row r="708" spans="1:16">
      <c r="A708" t="s">
        <v>739</v>
      </c>
      <c r="B708" s="2">
        <v>45686</v>
      </c>
      <c r="C708" t="s">
        <v>723</v>
      </c>
      <c r="D708" t="s">
        <v>18</v>
      </c>
      <c r="E708" t="s">
        <v>19</v>
      </c>
      <c r="F708" t="s">
        <v>25</v>
      </c>
      <c r="G708" t="s">
        <v>21</v>
      </c>
      <c r="H708">
        <v>1</v>
      </c>
      <c r="I708">
        <v>0</v>
      </c>
      <c r="J708">
        <v>0</v>
      </c>
      <c r="K708">
        <v>0</v>
      </c>
      <c r="L708">
        <v>0</v>
      </c>
      <c r="M708">
        <v>0</v>
      </c>
      <c r="N708">
        <v>0</v>
      </c>
    </row>
    <row r="709" spans="1:16">
      <c r="A709" t="s">
        <v>740</v>
      </c>
      <c r="B709" s="2">
        <v>45788</v>
      </c>
      <c r="C709" t="s">
        <v>723</v>
      </c>
      <c r="D709" t="s">
        <v>32</v>
      </c>
      <c r="E709" t="s">
        <v>24</v>
      </c>
      <c r="F709" t="s">
        <v>20</v>
      </c>
      <c r="G709" t="s">
        <v>26</v>
      </c>
      <c r="H709">
        <v>0</v>
      </c>
      <c r="I709">
        <v>0</v>
      </c>
      <c r="J709">
        <v>0</v>
      </c>
      <c r="K709">
        <v>0</v>
      </c>
      <c r="L709">
        <v>0</v>
      </c>
      <c r="M709">
        <v>0</v>
      </c>
      <c r="N709">
        <v>0</v>
      </c>
      <c r="P709">
        <v>55.2</v>
      </c>
    </row>
    <row r="710" spans="1:16">
      <c r="A710" t="s">
        <v>741</v>
      </c>
      <c r="B710" s="2">
        <v>45769</v>
      </c>
      <c r="C710" t="s">
        <v>723</v>
      </c>
      <c r="D710" t="s">
        <v>32</v>
      </c>
      <c r="E710" t="s">
        <v>24</v>
      </c>
      <c r="F710" t="s">
        <v>25</v>
      </c>
      <c r="G710" t="s">
        <v>21</v>
      </c>
      <c r="H710">
        <v>1</v>
      </c>
      <c r="I710">
        <v>0</v>
      </c>
      <c r="J710">
        <v>0</v>
      </c>
      <c r="K710">
        <v>0</v>
      </c>
      <c r="L710">
        <v>0</v>
      </c>
      <c r="M710">
        <v>0</v>
      </c>
      <c r="N710">
        <v>0</v>
      </c>
      <c r="P710">
        <v>49.4</v>
      </c>
    </row>
    <row r="711" spans="1:16">
      <c r="A711" t="s">
        <v>742</v>
      </c>
      <c r="B711" s="2">
        <v>45719</v>
      </c>
      <c r="C711" t="s">
        <v>723</v>
      </c>
      <c r="D711" t="s">
        <v>32</v>
      </c>
      <c r="E711" t="s">
        <v>24</v>
      </c>
      <c r="F711" t="s">
        <v>41</v>
      </c>
      <c r="G711" t="s">
        <v>26</v>
      </c>
      <c r="H711">
        <v>1</v>
      </c>
      <c r="I711">
        <v>1</v>
      </c>
      <c r="J711">
        <v>1</v>
      </c>
      <c r="K711">
        <v>0</v>
      </c>
      <c r="L711">
        <v>0</v>
      </c>
      <c r="M711">
        <v>1</v>
      </c>
      <c r="N711">
        <v>0</v>
      </c>
      <c r="P711">
        <v>60.1</v>
      </c>
    </row>
    <row r="712" spans="1:16">
      <c r="A712" t="s">
        <v>743</v>
      </c>
      <c r="B712" s="2">
        <v>45734</v>
      </c>
      <c r="C712" t="s">
        <v>723</v>
      </c>
      <c r="D712" t="s">
        <v>18</v>
      </c>
      <c r="E712" t="s">
        <v>24</v>
      </c>
      <c r="F712" t="s">
        <v>39</v>
      </c>
      <c r="G712" t="s">
        <v>26</v>
      </c>
      <c r="H712">
        <v>1</v>
      </c>
      <c r="I712">
        <v>0</v>
      </c>
      <c r="J712">
        <v>0</v>
      </c>
      <c r="K712">
        <v>0</v>
      </c>
      <c r="L712">
        <v>0</v>
      </c>
      <c r="M712">
        <v>0</v>
      </c>
      <c r="N712">
        <v>0</v>
      </c>
      <c r="P712">
        <v>55.9</v>
      </c>
    </row>
    <row r="713" spans="1:16">
      <c r="A713" t="s">
        <v>744</v>
      </c>
      <c r="B713" s="2">
        <v>45752</v>
      </c>
      <c r="C713" t="s">
        <v>723</v>
      </c>
      <c r="D713" t="s">
        <v>18</v>
      </c>
      <c r="E713" t="s">
        <v>24</v>
      </c>
      <c r="F713" t="s">
        <v>25</v>
      </c>
      <c r="G713" t="s">
        <v>21</v>
      </c>
      <c r="H713">
        <v>1</v>
      </c>
      <c r="I713">
        <v>0</v>
      </c>
      <c r="J713">
        <v>0</v>
      </c>
      <c r="K713">
        <v>0</v>
      </c>
      <c r="L713">
        <v>0</v>
      </c>
      <c r="M713">
        <v>0</v>
      </c>
      <c r="N713">
        <v>0</v>
      </c>
      <c r="P713">
        <v>51.5</v>
      </c>
    </row>
    <row r="714" spans="1:16">
      <c r="A714" t="s">
        <v>745</v>
      </c>
      <c r="B714" s="2">
        <v>45763</v>
      </c>
      <c r="C714" t="s">
        <v>723</v>
      </c>
      <c r="D714" t="s">
        <v>28</v>
      </c>
      <c r="E714" t="s">
        <v>24</v>
      </c>
      <c r="F714" t="s">
        <v>25</v>
      </c>
      <c r="G714" t="s">
        <v>26</v>
      </c>
      <c r="H714">
        <v>1</v>
      </c>
      <c r="I714">
        <v>1</v>
      </c>
      <c r="J714">
        <v>1</v>
      </c>
      <c r="K714">
        <v>1</v>
      </c>
      <c r="L714">
        <v>516.66999999999996</v>
      </c>
      <c r="M714">
        <v>0</v>
      </c>
      <c r="N714">
        <v>0</v>
      </c>
      <c r="O714">
        <v>11</v>
      </c>
      <c r="P714">
        <v>57.9</v>
      </c>
    </row>
    <row r="715" spans="1:16">
      <c r="A715" t="s">
        <v>746</v>
      </c>
      <c r="B715" s="2">
        <v>45767</v>
      </c>
      <c r="C715" t="s">
        <v>723</v>
      </c>
      <c r="D715" t="s">
        <v>32</v>
      </c>
      <c r="E715" t="s">
        <v>24</v>
      </c>
      <c r="F715" t="s">
        <v>39</v>
      </c>
      <c r="G715" t="s">
        <v>26</v>
      </c>
      <c r="H715">
        <v>1</v>
      </c>
      <c r="I715">
        <v>1</v>
      </c>
      <c r="J715">
        <v>1</v>
      </c>
      <c r="K715">
        <v>1</v>
      </c>
      <c r="L715">
        <v>277.18</v>
      </c>
      <c r="M715">
        <v>2</v>
      </c>
      <c r="N715">
        <v>0</v>
      </c>
      <c r="O715">
        <v>8</v>
      </c>
      <c r="P715">
        <v>59.2</v>
      </c>
    </row>
    <row r="716" spans="1:16">
      <c r="A716" t="s">
        <v>747</v>
      </c>
      <c r="B716" s="2">
        <v>45703</v>
      </c>
      <c r="C716" t="s">
        <v>723</v>
      </c>
      <c r="D716" t="s">
        <v>32</v>
      </c>
      <c r="E716" t="s">
        <v>24</v>
      </c>
      <c r="F716" t="s">
        <v>25</v>
      </c>
      <c r="G716" t="s">
        <v>26</v>
      </c>
      <c r="H716">
        <v>0</v>
      </c>
      <c r="I716">
        <v>0</v>
      </c>
      <c r="J716">
        <v>0</v>
      </c>
      <c r="K716">
        <v>0</v>
      </c>
      <c r="L716">
        <v>0</v>
      </c>
      <c r="M716">
        <v>0</v>
      </c>
      <c r="N716">
        <v>0</v>
      </c>
      <c r="P716">
        <v>64.2</v>
      </c>
    </row>
    <row r="717" spans="1:16">
      <c r="A717" t="s">
        <v>748</v>
      </c>
      <c r="B717" s="2">
        <v>45678</v>
      </c>
      <c r="C717" t="s">
        <v>723</v>
      </c>
      <c r="D717" t="s">
        <v>32</v>
      </c>
      <c r="E717" t="s">
        <v>24</v>
      </c>
      <c r="F717" t="s">
        <v>25</v>
      </c>
      <c r="G717" t="s">
        <v>26</v>
      </c>
      <c r="H717">
        <v>1</v>
      </c>
      <c r="I717">
        <v>0</v>
      </c>
      <c r="J717">
        <v>0</v>
      </c>
      <c r="K717">
        <v>0</v>
      </c>
      <c r="L717">
        <v>0</v>
      </c>
      <c r="M717">
        <v>0</v>
      </c>
      <c r="N717">
        <v>0</v>
      </c>
      <c r="P717">
        <v>68.8</v>
      </c>
    </row>
    <row r="718" spans="1:16">
      <c r="A718" t="s">
        <v>749</v>
      </c>
      <c r="B718" s="2">
        <v>45800</v>
      </c>
      <c r="C718" t="s">
        <v>723</v>
      </c>
      <c r="D718" t="s">
        <v>18</v>
      </c>
      <c r="E718" t="s">
        <v>24</v>
      </c>
      <c r="F718" t="s">
        <v>29</v>
      </c>
      <c r="G718" t="s">
        <v>30</v>
      </c>
      <c r="H718">
        <v>1</v>
      </c>
      <c r="I718">
        <v>1</v>
      </c>
      <c r="J718">
        <v>1</v>
      </c>
      <c r="K718">
        <v>0</v>
      </c>
      <c r="L718">
        <v>0</v>
      </c>
      <c r="M718">
        <v>0</v>
      </c>
      <c r="N718">
        <v>0</v>
      </c>
      <c r="P718">
        <v>77.900000000000006</v>
      </c>
    </row>
    <row r="719" spans="1:16">
      <c r="A719" t="s">
        <v>750</v>
      </c>
      <c r="B719" s="2">
        <v>45679</v>
      </c>
      <c r="C719" t="s">
        <v>723</v>
      </c>
      <c r="D719" t="s">
        <v>23</v>
      </c>
      <c r="E719" t="s">
        <v>24</v>
      </c>
      <c r="F719" t="s">
        <v>29</v>
      </c>
      <c r="G719" t="s">
        <v>21</v>
      </c>
      <c r="H719">
        <v>0</v>
      </c>
      <c r="I719">
        <v>0</v>
      </c>
      <c r="J719">
        <v>0</v>
      </c>
      <c r="K719">
        <v>0</v>
      </c>
      <c r="L719">
        <v>0</v>
      </c>
      <c r="M719">
        <v>0</v>
      </c>
      <c r="N719">
        <v>0</v>
      </c>
      <c r="P719">
        <v>92.1</v>
      </c>
    </row>
    <row r="720" spans="1:16">
      <c r="A720" t="s">
        <v>751</v>
      </c>
      <c r="B720" s="2">
        <v>45771</v>
      </c>
      <c r="C720" t="s">
        <v>723</v>
      </c>
      <c r="D720" t="s">
        <v>23</v>
      </c>
      <c r="E720" t="s">
        <v>24</v>
      </c>
      <c r="F720" t="s">
        <v>29</v>
      </c>
      <c r="G720" t="s">
        <v>30</v>
      </c>
      <c r="H720">
        <v>0</v>
      </c>
      <c r="I720">
        <v>0</v>
      </c>
      <c r="J720">
        <v>0</v>
      </c>
      <c r="K720">
        <v>0</v>
      </c>
      <c r="L720">
        <v>0</v>
      </c>
      <c r="M720">
        <v>0</v>
      </c>
      <c r="N720">
        <v>0</v>
      </c>
      <c r="P720">
        <v>63.6</v>
      </c>
    </row>
    <row r="721" spans="1:16">
      <c r="A721" t="s">
        <v>752</v>
      </c>
      <c r="B721" s="2">
        <v>45674</v>
      </c>
      <c r="C721" t="s">
        <v>723</v>
      </c>
      <c r="D721" t="s">
        <v>23</v>
      </c>
      <c r="E721" t="s">
        <v>19</v>
      </c>
      <c r="F721" t="s">
        <v>20</v>
      </c>
      <c r="G721" t="s">
        <v>26</v>
      </c>
      <c r="H721">
        <v>0</v>
      </c>
      <c r="I721">
        <v>0</v>
      </c>
      <c r="J721">
        <v>0</v>
      </c>
      <c r="K721">
        <v>0</v>
      </c>
      <c r="L721">
        <v>0</v>
      </c>
      <c r="M721">
        <v>2</v>
      </c>
      <c r="N721">
        <v>0</v>
      </c>
      <c r="P721">
        <v>61.6</v>
      </c>
    </row>
    <row r="722" spans="1:16">
      <c r="A722" t="s">
        <v>753</v>
      </c>
      <c r="B722" s="2">
        <v>45679</v>
      </c>
      <c r="C722" t="s">
        <v>723</v>
      </c>
      <c r="D722" t="s">
        <v>28</v>
      </c>
      <c r="E722" t="s">
        <v>24</v>
      </c>
      <c r="F722" t="s">
        <v>39</v>
      </c>
      <c r="G722" t="s">
        <v>21</v>
      </c>
      <c r="H722">
        <v>1</v>
      </c>
      <c r="I722">
        <v>1</v>
      </c>
      <c r="J722">
        <v>0</v>
      </c>
      <c r="K722">
        <v>0</v>
      </c>
      <c r="L722">
        <v>0</v>
      </c>
      <c r="M722">
        <v>0</v>
      </c>
      <c r="N722">
        <v>0</v>
      </c>
      <c r="P722">
        <v>82.3</v>
      </c>
    </row>
    <row r="723" spans="1:16">
      <c r="A723" t="s">
        <v>754</v>
      </c>
      <c r="B723" s="2">
        <v>45781</v>
      </c>
      <c r="C723" t="s">
        <v>723</v>
      </c>
      <c r="D723" t="s">
        <v>28</v>
      </c>
      <c r="E723" t="s">
        <v>19</v>
      </c>
      <c r="F723" t="s">
        <v>29</v>
      </c>
      <c r="G723" t="s">
        <v>26</v>
      </c>
      <c r="H723">
        <v>1</v>
      </c>
      <c r="I723">
        <v>0</v>
      </c>
      <c r="J723">
        <v>0</v>
      </c>
      <c r="K723">
        <v>0</v>
      </c>
      <c r="L723">
        <v>0</v>
      </c>
      <c r="M723">
        <v>0</v>
      </c>
      <c r="N723">
        <v>0</v>
      </c>
      <c r="P723">
        <v>79.3</v>
      </c>
    </row>
    <row r="724" spans="1:16">
      <c r="A724" t="s">
        <v>755</v>
      </c>
      <c r="B724" s="2">
        <v>45729</v>
      </c>
      <c r="C724" t="s">
        <v>723</v>
      </c>
      <c r="D724" t="s">
        <v>32</v>
      </c>
      <c r="E724" t="s">
        <v>24</v>
      </c>
      <c r="G724" t="s">
        <v>26</v>
      </c>
      <c r="H724">
        <v>0</v>
      </c>
      <c r="I724">
        <v>0</v>
      </c>
      <c r="J724">
        <v>0</v>
      </c>
      <c r="K724">
        <v>0</v>
      </c>
      <c r="L724">
        <v>0</v>
      </c>
      <c r="M724">
        <v>0</v>
      </c>
      <c r="N724">
        <v>0</v>
      </c>
      <c r="P724">
        <v>57.7</v>
      </c>
    </row>
    <row r="725" spans="1:16">
      <c r="A725" t="s">
        <v>756</v>
      </c>
      <c r="B725" s="2">
        <v>45659</v>
      </c>
      <c r="C725" t="s">
        <v>723</v>
      </c>
      <c r="D725" t="s">
        <v>18</v>
      </c>
      <c r="E725" t="s">
        <v>24</v>
      </c>
      <c r="F725" t="s">
        <v>25</v>
      </c>
      <c r="G725" t="s">
        <v>21</v>
      </c>
      <c r="H725">
        <v>1</v>
      </c>
      <c r="I725">
        <v>0</v>
      </c>
      <c r="J725">
        <v>0</v>
      </c>
      <c r="K725">
        <v>0</v>
      </c>
      <c r="L725">
        <v>0</v>
      </c>
      <c r="M725">
        <v>0</v>
      </c>
      <c r="N725">
        <v>0</v>
      </c>
      <c r="P725">
        <v>63.1</v>
      </c>
    </row>
    <row r="726" spans="1:16">
      <c r="A726" t="s">
        <v>757</v>
      </c>
      <c r="B726" s="2">
        <v>45670</v>
      </c>
      <c r="C726" t="s">
        <v>723</v>
      </c>
      <c r="D726" t="s">
        <v>28</v>
      </c>
      <c r="E726" t="s">
        <v>24</v>
      </c>
      <c r="F726" t="s">
        <v>29</v>
      </c>
      <c r="G726" t="s">
        <v>21</v>
      </c>
      <c r="H726">
        <v>0</v>
      </c>
      <c r="I726">
        <v>0</v>
      </c>
      <c r="J726">
        <v>0</v>
      </c>
      <c r="K726">
        <v>0</v>
      </c>
      <c r="L726">
        <v>0</v>
      </c>
      <c r="M726">
        <v>0</v>
      </c>
      <c r="N726">
        <v>0</v>
      </c>
      <c r="P726">
        <v>72.3</v>
      </c>
    </row>
    <row r="727" spans="1:16">
      <c r="A727" t="s">
        <v>758</v>
      </c>
      <c r="B727" s="2">
        <v>45697</v>
      </c>
      <c r="C727" t="s">
        <v>723</v>
      </c>
      <c r="D727" t="s">
        <v>28</v>
      </c>
      <c r="E727" t="s">
        <v>24</v>
      </c>
      <c r="F727" t="s">
        <v>41</v>
      </c>
      <c r="G727" t="s">
        <v>26</v>
      </c>
      <c r="H727">
        <v>1</v>
      </c>
      <c r="I727">
        <v>1</v>
      </c>
      <c r="J727">
        <v>1</v>
      </c>
      <c r="K727">
        <v>0</v>
      </c>
      <c r="L727">
        <v>0</v>
      </c>
      <c r="M727">
        <v>0</v>
      </c>
      <c r="N727">
        <v>0</v>
      </c>
      <c r="P727">
        <v>78</v>
      </c>
    </row>
    <row r="728" spans="1:16">
      <c r="A728" t="s">
        <v>759</v>
      </c>
      <c r="B728" s="2">
        <v>45756</v>
      </c>
      <c r="C728" t="s">
        <v>723</v>
      </c>
      <c r="D728" t="s">
        <v>28</v>
      </c>
      <c r="E728" t="s">
        <v>19</v>
      </c>
      <c r="F728" t="s">
        <v>41</v>
      </c>
      <c r="G728" t="s">
        <v>26</v>
      </c>
      <c r="H728">
        <v>1</v>
      </c>
      <c r="I728">
        <v>1</v>
      </c>
      <c r="J728">
        <v>0</v>
      </c>
      <c r="K728">
        <v>0</v>
      </c>
      <c r="L728">
        <v>0</v>
      </c>
      <c r="M728">
        <v>2</v>
      </c>
      <c r="N728">
        <v>0</v>
      </c>
      <c r="P728">
        <v>59.1</v>
      </c>
    </row>
    <row r="729" spans="1:16">
      <c r="A729" t="s">
        <v>760</v>
      </c>
      <c r="B729" s="2">
        <v>45659</v>
      </c>
      <c r="C729" t="s">
        <v>723</v>
      </c>
      <c r="D729" t="s">
        <v>32</v>
      </c>
      <c r="E729" t="s">
        <v>24</v>
      </c>
      <c r="F729" t="s">
        <v>29</v>
      </c>
      <c r="G729" t="s">
        <v>26</v>
      </c>
      <c r="H729">
        <v>1</v>
      </c>
      <c r="I729">
        <v>1</v>
      </c>
      <c r="J729">
        <v>1</v>
      </c>
      <c r="K729">
        <v>1</v>
      </c>
      <c r="L729">
        <v>604.09</v>
      </c>
      <c r="M729">
        <v>0</v>
      </c>
      <c r="N729">
        <v>0</v>
      </c>
      <c r="O729">
        <v>7</v>
      </c>
      <c r="P729">
        <v>47.1</v>
      </c>
    </row>
    <row r="730" spans="1:16">
      <c r="A730" t="s">
        <v>761</v>
      </c>
      <c r="B730" s="2">
        <v>45692</v>
      </c>
      <c r="C730" t="s">
        <v>723</v>
      </c>
      <c r="D730" t="s">
        <v>32</v>
      </c>
      <c r="E730" t="s">
        <v>24</v>
      </c>
      <c r="G730" t="s">
        <v>30</v>
      </c>
      <c r="H730">
        <v>1</v>
      </c>
      <c r="I730">
        <v>0</v>
      </c>
      <c r="J730">
        <v>0</v>
      </c>
      <c r="K730">
        <v>0</v>
      </c>
      <c r="L730">
        <v>0</v>
      </c>
      <c r="M730">
        <v>0</v>
      </c>
      <c r="N730">
        <v>0</v>
      </c>
      <c r="P730">
        <v>64.900000000000006</v>
      </c>
    </row>
    <row r="731" spans="1:16">
      <c r="A731" t="s">
        <v>762</v>
      </c>
      <c r="B731" s="2">
        <v>45707</v>
      </c>
      <c r="C731" t="s">
        <v>723</v>
      </c>
      <c r="D731" t="s">
        <v>32</v>
      </c>
      <c r="E731" t="s">
        <v>34</v>
      </c>
      <c r="F731" t="s">
        <v>29</v>
      </c>
      <c r="G731" t="s">
        <v>26</v>
      </c>
      <c r="H731">
        <v>0</v>
      </c>
      <c r="I731">
        <v>0</v>
      </c>
      <c r="J731">
        <v>0</v>
      </c>
      <c r="K731">
        <v>0</v>
      </c>
      <c r="L731">
        <v>0</v>
      </c>
      <c r="M731">
        <v>0</v>
      </c>
      <c r="N731">
        <v>0</v>
      </c>
      <c r="P731">
        <v>67.3</v>
      </c>
    </row>
    <row r="732" spans="1:16">
      <c r="A732" t="s">
        <v>763</v>
      </c>
      <c r="B732" s="2">
        <v>45748</v>
      </c>
      <c r="C732" t="s">
        <v>723</v>
      </c>
      <c r="D732" t="s">
        <v>28</v>
      </c>
      <c r="E732" t="s">
        <v>24</v>
      </c>
      <c r="F732" t="s">
        <v>29</v>
      </c>
      <c r="G732" t="s">
        <v>21</v>
      </c>
      <c r="H732">
        <v>1</v>
      </c>
      <c r="I732">
        <v>0</v>
      </c>
      <c r="J732">
        <v>0</v>
      </c>
      <c r="K732">
        <v>0</v>
      </c>
      <c r="L732">
        <v>0</v>
      </c>
      <c r="M732">
        <v>2</v>
      </c>
      <c r="N732">
        <v>0</v>
      </c>
      <c r="P732">
        <v>52.9</v>
      </c>
    </row>
    <row r="733" spans="1:16">
      <c r="A733" t="s">
        <v>764</v>
      </c>
      <c r="B733" s="2">
        <v>45686</v>
      </c>
      <c r="C733" t="s">
        <v>723</v>
      </c>
      <c r="D733" t="s">
        <v>18</v>
      </c>
      <c r="E733" t="s">
        <v>24</v>
      </c>
      <c r="F733" t="s">
        <v>39</v>
      </c>
      <c r="G733" t="s">
        <v>26</v>
      </c>
      <c r="H733">
        <v>1</v>
      </c>
      <c r="I733">
        <v>1</v>
      </c>
      <c r="J733">
        <v>1</v>
      </c>
      <c r="K733">
        <v>1</v>
      </c>
      <c r="L733">
        <v>442.37</v>
      </c>
      <c r="M733">
        <v>1</v>
      </c>
      <c r="N733">
        <v>0</v>
      </c>
      <c r="O733">
        <v>4</v>
      </c>
      <c r="P733">
        <v>69.900000000000006</v>
      </c>
    </row>
    <row r="734" spans="1:16">
      <c r="A734" t="s">
        <v>765</v>
      </c>
      <c r="B734" s="2">
        <v>45795</v>
      </c>
      <c r="C734" t="s">
        <v>723</v>
      </c>
      <c r="D734" t="s">
        <v>18</v>
      </c>
      <c r="E734" t="s">
        <v>24</v>
      </c>
      <c r="F734" t="s">
        <v>39</v>
      </c>
      <c r="G734" t="s">
        <v>21</v>
      </c>
      <c r="H734">
        <v>1</v>
      </c>
      <c r="I734">
        <v>1</v>
      </c>
      <c r="J734">
        <v>1</v>
      </c>
      <c r="K734">
        <v>0</v>
      </c>
      <c r="L734">
        <v>0</v>
      </c>
      <c r="M734">
        <v>0</v>
      </c>
      <c r="N734">
        <v>0</v>
      </c>
      <c r="P734">
        <v>78.900000000000006</v>
      </c>
    </row>
    <row r="735" spans="1:16">
      <c r="A735" t="s">
        <v>766</v>
      </c>
      <c r="B735" s="2">
        <v>45762</v>
      </c>
      <c r="C735" t="s">
        <v>723</v>
      </c>
      <c r="D735" t="s">
        <v>28</v>
      </c>
      <c r="E735" t="s">
        <v>19</v>
      </c>
      <c r="F735" t="s">
        <v>41</v>
      </c>
      <c r="G735" t="s">
        <v>30</v>
      </c>
      <c r="H735">
        <v>1</v>
      </c>
      <c r="I735">
        <v>1</v>
      </c>
      <c r="J735">
        <v>0</v>
      </c>
      <c r="K735">
        <v>0</v>
      </c>
      <c r="L735">
        <v>0</v>
      </c>
      <c r="M735">
        <v>0</v>
      </c>
      <c r="N735">
        <v>0</v>
      </c>
      <c r="P735">
        <v>83.3</v>
      </c>
    </row>
    <row r="736" spans="1:16">
      <c r="A736" t="s">
        <v>767</v>
      </c>
      <c r="B736" s="2">
        <v>45744</v>
      </c>
      <c r="C736" t="s">
        <v>723</v>
      </c>
      <c r="D736" t="s">
        <v>28</v>
      </c>
      <c r="E736" t="s">
        <v>19</v>
      </c>
      <c r="F736" t="s">
        <v>20</v>
      </c>
      <c r="G736" t="s">
        <v>26</v>
      </c>
      <c r="H736">
        <v>1</v>
      </c>
      <c r="I736">
        <v>0</v>
      </c>
      <c r="J736">
        <v>0</v>
      </c>
      <c r="K736">
        <v>0</v>
      </c>
      <c r="L736">
        <v>0</v>
      </c>
      <c r="M736">
        <v>1</v>
      </c>
      <c r="N736">
        <v>0</v>
      </c>
      <c r="P736">
        <v>24.5</v>
      </c>
    </row>
    <row r="737" spans="1:16">
      <c r="A737" t="s">
        <v>768</v>
      </c>
      <c r="B737" s="2">
        <v>45748</v>
      </c>
      <c r="C737" t="s">
        <v>723</v>
      </c>
      <c r="D737" t="s">
        <v>23</v>
      </c>
      <c r="E737" t="s">
        <v>24</v>
      </c>
      <c r="F737" t="s">
        <v>29</v>
      </c>
      <c r="G737" t="s">
        <v>21</v>
      </c>
      <c r="H737">
        <v>1</v>
      </c>
      <c r="I737">
        <v>1</v>
      </c>
      <c r="J737">
        <v>0</v>
      </c>
      <c r="K737">
        <v>0</v>
      </c>
      <c r="L737">
        <v>0</v>
      </c>
      <c r="M737">
        <v>1</v>
      </c>
      <c r="N737">
        <v>0</v>
      </c>
      <c r="P737">
        <v>56.9</v>
      </c>
    </row>
    <row r="738" spans="1:16">
      <c r="A738" t="s">
        <v>769</v>
      </c>
      <c r="B738" s="2">
        <v>45699</v>
      </c>
      <c r="C738" t="s">
        <v>723</v>
      </c>
      <c r="D738" t="s">
        <v>23</v>
      </c>
      <c r="E738" t="s">
        <v>24</v>
      </c>
      <c r="F738" t="s">
        <v>41</v>
      </c>
      <c r="G738" t="s">
        <v>21</v>
      </c>
      <c r="H738">
        <v>1</v>
      </c>
      <c r="I738">
        <v>0</v>
      </c>
      <c r="J738">
        <v>0</v>
      </c>
      <c r="K738">
        <v>0</v>
      </c>
      <c r="L738">
        <v>0</v>
      </c>
      <c r="M738">
        <v>0</v>
      </c>
      <c r="N738">
        <v>0</v>
      </c>
      <c r="P738">
        <v>69.900000000000006</v>
      </c>
    </row>
    <row r="739" spans="1:16">
      <c r="A739" t="s">
        <v>770</v>
      </c>
      <c r="B739" s="2">
        <v>45720</v>
      </c>
      <c r="C739" t="s">
        <v>723</v>
      </c>
      <c r="D739" t="s">
        <v>32</v>
      </c>
      <c r="E739" t="s">
        <v>24</v>
      </c>
      <c r="F739" t="s">
        <v>25</v>
      </c>
      <c r="G739" t="s">
        <v>26</v>
      </c>
      <c r="H739">
        <v>1</v>
      </c>
      <c r="I739">
        <v>1</v>
      </c>
      <c r="J739">
        <v>1</v>
      </c>
      <c r="K739">
        <v>0</v>
      </c>
      <c r="L739">
        <v>0</v>
      </c>
      <c r="M739">
        <v>0</v>
      </c>
      <c r="N739">
        <v>0</v>
      </c>
      <c r="P739">
        <v>81.5</v>
      </c>
    </row>
    <row r="740" spans="1:16">
      <c r="A740" t="s">
        <v>771</v>
      </c>
      <c r="B740" s="2">
        <v>45678</v>
      </c>
      <c r="C740" t="s">
        <v>723</v>
      </c>
      <c r="D740" t="s">
        <v>18</v>
      </c>
      <c r="E740" t="s">
        <v>34</v>
      </c>
      <c r="F740" t="s">
        <v>41</v>
      </c>
      <c r="G740" t="s">
        <v>21</v>
      </c>
      <c r="H740">
        <v>0</v>
      </c>
      <c r="I740">
        <v>0</v>
      </c>
      <c r="J740">
        <v>0</v>
      </c>
      <c r="K740">
        <v>0</v>
      </c>
      <c r="L740">
        <v>0</v>
      </c>
      <c r="M740">
        <v>2</v>
      </c>
      <c r="N740">
        <v>0</v>
      </c>
      <c r="P740">
        <v>37.9</v>
      </c>
    </row>
    <row r="741" spans="1:16">
      <c r="A741" t="s">
        <v>772</v>
      </c>
      <c r="B741" s="2">
        <v>45702</v>
      </c>
      <c r="C741" t="s">
        <v>723</v>
      </c>
      <c r="D741" t="s">
        <v>18</v>
      </c>
      <c r="E741" t="s">
        <v>24</v>
      </c>
      <c r="F741" t="s">
        <v>39</v>
      </c>
      <c r="G741" t="s">
        <v>26</v>
      </c>
      <c r="H741">
        <v>0</v>
      </c>
      <c r="I741">
        <v>0</v>
      </c>
      <c r="J741">
        <v>0</v>
      </c>
      <c r="K741">
        <v>0</v>
      </c>
      <c r="L741">
        <v>0</v>
      </c>
      <c r="M741">
        <v>1</v>
      </c>
      <c r="N741">
        <v>0</v>
      </c>
      <c r="P741">
        <v>61.7</v>
      </c>
    </row>
    <row r="742" spans="1:16">
      <c r="A742" t="s">
        <v>773</v>
      </c>
      <c r="B742" s="2">
        <v>45746</v>
      </c>
      <c r="C742" t="s">
        <v>723</v>
      </c>
      <c r="D742" t="s">
        <v>18</v>
      </c>
      <c r="E742" t="s">
        <v>19</v>
      </c>
      <c r="G742" t="s">
        <v>30</v>
      </c>
      <c r="H742">
        <v>1</v>
      </c>
      <c r="I742">
        <v>0</v>
      </c>
      <c r="J742">
        <v>0</v>
      </c>
      <c r="K742">
        <v>0</v>
      </c>
      <c r="L742">
        <v>0</v>
      </c>
      <c r="M742">
        <v>2</v>
      </c>
      <c r="N742">
        <v>0</v>
      </c>
      <c r="P742">
        <v>53.2</v>
      </c>
    </row>
    <row r="743" spans="1:16">
      <c r="A743" t="s">
        <v>774</v>
      </c>
      <c r="B743" s="2">
        <v>45665</v>
      </c>
      <c r="C743" t="s">
        <v>723</v>
      </c>
      <c r="D743" t="s">
        <v>18</v>
      </c>
      <c r="E743" t="s">
        <v>24</v>
      </c>
      <c r="F743" t="s">
        <v>39</v>
      </c>
      <c r="G743" t="s">
        <v>26</v>
      </c>
      <c r="H743">
        <v>0</v>
      </c>
      <c r="I743">
        <v>0</v>
      </c>
      <c r="J743">
        <v>0</v>
      </c>
      <c r="K743">
        <v>0</v>
      </c>
      <c r="L743">
        <v>0</v>
      </c>
      <c r="M743">
        <v>0</v>
      </c>
      <c r="N743">
        <v>0</v>
      </c>
      <c r="P743">
        <v>61.9</v>
      </c>
    </row>
    <row r="744" spans="1:16">
      <c r="A744" t="s">
        <v>775</v>
      </c>
      <c r="B744" s="2">
        <v>45695</v>
      </c>
      <c r="C744" t="s">
        <v>723</v>
      </c>
      <c r="D744" t="s">
        <v>18</v>
      </c>
      <c r="E744" t="s">
        <v>24</v>
      </c>
      <c r="F744" t="s">
        <v>41</v>
      </c>
      <c r="G744" t="s">
        <v>26</v>
      </c>
      <c r="H744">
        <v>1</v>
      </c>
      <c r="I744">
        <v>1</v>
      </c>
      <c r="J744">
        <v>1</v>
      </c>
      <c r="K744">
        <v>0</v>
      </c>
      <c r="L744">
        <v>0</v>
      </c>
      <c r="M744">
        <v>0</v>
      </c>
      <c r="N744">
        <v>0</v>
      </c>
      <c r="P744">
        <v>68.900000000000006</v>
      </c>
    </row>
    <row r="745" spans="1:16">
      <c r="A745" t="s">
        <v>776</v>
      </c>
      <c r="B745" s="2">
        <v>45689</v>
      </c>
      <c r="C745" t="s">
        <v>723</v>
      </c>
      <c r="D745" t="s">
        <v>18</v>
      </c>
      <c r="E745" t="s">
        <v>34</v>
      </c>
      <c r="F745" t="s">
        <v>29</v>
      </c>
      <c r="G745" t="s">
        <v>21</v>
      </c>
      <c r="H745">
        <v>0</v>
      </c>
      <c r="I745">
        <v>0</v>
      </c>
      <c r="J745">
        <v>0</v>
      </c>
      <c r="K745">
        <v>0</v>
      </c>
      <c r="L745">
        <v>0</v>
      </c>
      <c r="M745">
        <v>0</v>
      </c>
      <c r="N745">
        <v>0</v>
      </c>
      <c r="P745">
        <v>66.3</v>
      </c>
    </row>
    <row r="746" spans="1:16">
      <c r="A746" t="s">
        <v>777</v>
      </c>
      <c r="B746" s="2">
        <v>45661</v>
      </c>
      <c r="C746" t="s">
        <v>723</v>
      </c>
      <c r="D746" t="s">
        <v>28</v>
      </c>
      <c r="E746" t="s">
        <v>24</v>
      </c>
      <c r="F746" t="s">
        <v>20</v>
      </c>
      <c r="G746" t="s">
        <v>26</v>
      </c>
      <c r="H746">
        <v>1</v>
      </c>
      <c r="I746">
        <v>1</v>
      </c>
      <c r="J746">
        <v>1</v>
      </c>
      <c r="K746">
        <v>0</v>
      </c>
      <c r="L746">
        <v>0</v>
      </c>
      <c r="M746">
        <v>0</v>
      </c>
      <c r="N746">
        <v>0</v>
      </c>
      <c r="P746">
        <v>54.6</v>
      </c>
    </row>
    <row r="747" spans="1:16">
      <c r="A747" t="s">
        <v>778</v>
      </c>
      <c r="B747" s="2">
        <v>45793</v>
      </c>
      <c r="C747" t="s">
        <v>723</v>
      </c>
      <c r="D747" t="s">
        <v>32</v>
      </c>
      <c r="E747" t="s">
        <v>19</v>
      </c>
      <c r="F747" t="s">
        <v>39</v>
      </c>
      <c r="G747" t="s">
        <v>26</v>
      </c>
      <c r="H747">
        <v>0</v>
      </c>
      <c r="I747">
        <v>0</v>
      </c>
      <c r="J747">
        <v>0</v>
      </c>
      <c r="K747">
        <v>0</v>
      </c>
      <c r="L747">
        <v>0</v>
      </c>
      <c r="M747">
        <v>0</v>
      </c>
      <c r="N747">
        <v>0</v>
      </c>
      <c r="P747">
        <v>53.8</v>
      </c>
    </row>
    <row r="748" spans="1:16">
      <c r="A748" t="s">
        <v>779</v>
      </c>
      <c r="B748" s="2">
        <v>45716</v>
      </c>
      <c r="C748" t="s">
        <v>723</v>
      </c>
      <c r="D748" t="s">
        <v>23</v>
      </c>
      <c r="E748" t="s">
        <v>24</v>
      </c>
      <c r="F748" t="s">
        <v>39</v>
      </c>
      <c r="G748" t="s">
        <v>26</v>
      </c>
      <c r="H748">
        <v>1</v>
      </c>
      <c r="I748">
        <v>0</v>
      </c>
      <c r="J748">
        <v>0</v>
      </c>
      <c r="K748">
        <v>0</v>
      </c>
      <c r="L748">
        <v>0</v>
      </c>
      <c r="M748">
        <v>0</v>
      </c>
      <c r="N748">
        <v>0</v>
      </c>
      <c r="P748">
        <v>59.5</v>
      </c>
    </row>
    <row r="749" spans="1:16">
      <c r="A749" t="s">
        <v>780</v>
      </c>
      <c r="B749" s="2">
        <v>45759</v>
      </c>
      <c r="C749" t="s">
        <v>723</v>
      </c>
      <c r="D749" t="s">
        <v>18</v>
      </c>
      <c r="E749" t="s">
        <v>24</v>
      </c>
      <c r="F749" t="s">
        <v>39</v>
      </c>
      <c r="G749" t="s">
        <v>26</v>
      </c>
      <c r="H749">
        <v>1</v>
      </c>
      <c r="I749">
        <v>0</v>
      </c>
      <c r="J749">
        <v>0</v>
      </c>
      <c r="K749">
        <v>0</v>
      </c>
      <c r="L749">
        <v>0</v>
      </c>
      <c r="M749">
        <v>0</v>
      </c>
      <c r="N749">
        <v>0</v>
      </c>
      <c r="P749">
        <v>52.6</v>
      </c>
    </row>
    <row r="750" spans="1:16">
      <c r="A750" t="s">
        <v>781</v>
      </c>
      <c r="B750" s="2">
        <v>45739</v>
      </c>
      <c r="C750" t="s">
        <v>723</v>
      </c>
      <c r="D750" t="s">
        <v>32</v>
      </c>
      <c r="E750" t="s">
        <v>19</v>
      </c>
      <c r="F750" t="s">
        <v>25</v>
      </c>
      <c r="G750" t="s">
        <v>26</v>
      </c>
      <c r="H750">
        <v>0</v>
      </c>
      <c r="I750">
        <v>0</v>
      </c>
      <c r="J750">
        <v>0</v>
      </c>
      <c r="K750">
        <v>0</v>
      </c>
      <c r="L750">
        <v>0</v>
      </c>
      <c r="M750">
        <v>0</v>
      </c>
      <c r="N750">
        <v>0</v>
      </c>
      <c r="P750">
        <v>49</v>
      </c>
    </row>
    <row r="751" spans="1:16">
      <c r="A751" t="s">
        <v>782</v>
      </c>
      <c r="B751" s="2">
        <v>45806</v>
      </c>
      <c r="C751" t="s">
        <v>723</v>
      </c>
      <c r="D751" t="s">
        <v>18</v>
      </c>
      <c r="E751" t="s">
        <v>34</v>
      </c>
      <c r="F751" t="s">
        <v>25</v>
      </c>
      <c r="G751" t="s">
        <v>26</v>
      </c>
      <c r="H751">
        <v>1</v>
      </c>
      <c r="I751">
        <v>0</v>
      </c>
      <c r="J751">
        <v>0</v>
      </c>
      <c r="K751">
        <v>0</v>
      </c>
      <c r="L751">
        <v>0</v>
      </c>
      <c r="M751">
        <v>0</v>
      </c>
      <c r="N751">
        <v>0</v>
      </c>
      <c r="P751">
        <v>59.3</v>
      </c>
    </row>
    <row r="752" spans="1:16">
      <c r="A752" t="s">
        <v>783</v>
      </c>
      <c r="B752" s="2">
        <v>45798</v>
      </c>
      <c r="C752" t="s">
        <v>723</v>
      </c>
      <c r="D752" t="s">
        <v>32</v>
      </c>
      <c r="E752" t="s">
        <v>19</v>
      </c>
      <c r="F752" t="s">
        <v>25</v>
      </c>
      <c r="G752" t="s">
        <v>21</v>
      </c>
      <c r="H752">
        <v>0</v>
      </c>
      <c r="I752">
        <v>0</v>
      </c>
      <c r="J752">
        <v>0</v>
      </c>
      <c r="K752">
        <v>0</v>
      </c>
      <c r="L752">
        <v>0</v>
      </c>
      <c r="M752">
        <v>0</v>
      </c>
      <c r="N752">
        <v>0</v>
      </c>
      <c r="P752">
        <v>67.2</v>
      </c>
    </row>
    <row r="753" spans="1:16">
      <c r="A753" t="s">
        <v>784</v>
      </c>
      <c r="B753" s="2">
        <v>45662</v>
      </c>
      <c r="C753" t="s">
        <v>723</v>
      </c>
      <c r="D753" t="s">
        <v>32</v>
      </c>
      <c r="E753" t="s">
        <v>24</v>
      </c>
      <c r="F753" t="s">
        <v>39</v>
      </c>
      <c r="G753" t="s">
        <v>30</v>
      </c>
      <c r="H753">
        <v>0</v>
      </c>
      <c r="I753">
        <v>0</v>
      </c>
      <c r="J753">
        <v>0</v>
      </c>
      <c r="K753">
        <v>0</v>
      </c>
      <c r="L753">
        <v>0</v>
      </c>
      <c r="M753">
        <v>0</v>
      </c>
      <c r="N753">
        <v>0</v>
      </c>
      <c r="P753">
        <v>73.5</v>
      </c>
    </row>
    <row r="754" spans="1:16">
      <c r="A754" t="s">
        <v>785</v>
      </c>
      <c r="B754" s="2">
        <v>45735</v>
      </c>
      <c r="C754" t="s">
        <v>723</v>
      </c>
      <c r="D754" t="s">
        <v>28</v>
      </c>
      <c r="E754" t="s">
        <v>34</v>
      </c>
      <c r="F754" t="s">
        <v>25</v>
      </c>
      <c r="G754" t="s">
        <v>26</v>
      </c>
      <c r="H754">
        <v>1</v>
      </c>
      <c r="I754">
        <v>0</v>
      </c>
      <c r="J754">
        <v>0</v>
      </c>
      <c r="K754">
        <v>0</v>
      </c>
      <c r="L754">
        <v>0</v>
      </c>
      <c r="M754">
        <v>0</v>
      </c>
      <c r="N754">
        <v>0</v>
      </c>
      <c r="P754">
        <v>61.2</v>
      </c>
    </row>
    <row r="755" spans="1:16">
      <c r="A755" t="s">
        <v>786</v>
      </c>
      <c r="B755" s="2">
        <v>45771</v>
      </c>
      <c r="C755" t="s">
        <v>723</v>
      </c>
      <c r="D755" t="s">
        <v>28</v>
      </c>
      <c r="E755" t="s">
        <v>24</v>
      </c>
      <c r="F755" t="s">
        <v>25</v>
      </c>
      <c r="G755" t="s">
        <v>26</v>
      </c>
      <c r="H755">
        <v>1</v>
      </c>
      <c r="I755">
        <v>0</v>
      </c>
      <c r="J755">
        <v>0</v>
      </c>
      <c r="K755">
        <v>0</v>
      </c>
      <c r="L755">
        <v>0</v>
      </c>
      <c r="M755">
        <v>1</v>
      </c>
      <c r="N755">
        <v>0</v>
      </c>
      <c r="P755">
        <v>56.4</v>
      </c>
    </row>
    <row r="756" spans="1:16">
      <c r="A756" t="s">
        <v>787</v>
      </c>
      <c r="B756" s="2">
        <v>45726</v>
      </c>
      <c r="C756" t="s">
        <v>723</v>
      </c>
      <c r="D756" t="s">
        <v>18</v>
      </c>
      <c r="E756" t="s">
        <v>34</v>
      </c>
      <c r="F756" t="s">
        <v>25</v>
      </c>
      <c r="G756" t="s">
        <v>26</v>
      </c>
      <c r="H756">
        <v>0</v>
      </c>
      <c r="I756">
        <v>0</v>
      </c>
      <c r="J756">
        <v>0</v>
      </c>
      <c r="K756">
        <v>0</v>
      </c>
      <c r="L756">
        <v>0</v>
      </c>
      <c r="M756">
        <v>3</v>
      </c>
      <c r="N756">
        <v>0</v>
      </c>
      <c r="P756">
        <v>72.599999999999994</v>
      </c>
    </row>
    <row r="757" spans="1:16">
      <c r="A757" t="s">
        <v>788</v>
      </c>
      <c r="B757" s="2">
        <v>45710</v>
      </c>
      <c r="C757" t="s">
        <v>723</v>
      </c>
      <c r="D757" t="s">
        <v>32</v>
      </c>
      <c r="E757" t="s">
        <v>34</v>
      </c>
      <c r="F757" t="s">
        <v>39</v>
      </c>
      <c r="G757" t="s">
        <v>21</v>
      </c>
      <c r="H757">
        <v>1</v>
      </c>
      <c r="I757">
        <v>0</v>
      </c>
      <c r="J757">
        <v>0</v>
      </c>
      <c r="K757">
        <v>0</v>
      </c>
      <c r="L757">
        <v>0</v>
      </c>
      <c r="M757">
        <v>0</v>
      </c>
      <c r="N757">
        <v>0</v>
      </c>
      <c r="P757">
        <v>61.7</v>
      </c>
    </row>
    <row r="758" spans="1:16">
      <c r="A758" t="s">
        <v>789</v>
      </c>
      <c r="B758" s="2">
        <v>45794</v>
      </c>
      <c r="C758" t="s">
        <v>723</v>
      </c>
      <c r="D758" t="s">
        <v>28</v>
      </c>
      <c r="E758" t="s">
        <v>24</v>
      </c>
      <c r="F758" t="s">
        <v>41</v>
      </c>
      <c r="G758" t="s">
        <v>26</v>
      </c>
      <c r="H758">
        <v>0</v>
      </c>
      <c r="I758">
        <v>0</v>
      </c>
      <c r="J758">
        <v>0</v>
      </c>
      <c r="K758">
        <v>0</v>
      </c>
      <c r="L758">
        <v>0</v>
      </c>
      <c r="M758">
        <v>1</v>
      </c>
      <c r="N758">
        <v>0</v>
      </c>
      <c r="P758">
        <v>66.900000000000006</v>
      </c>
    </row>
    <row r="759" spans="1:16">
      <c r="A759" t="s">
        <v>790</v>
      </c>
      <c r="B759" s="2">
        <v>45786</v>
      </c>
      <c r="C759" t="s">
        <v>723</v>
      </c>
      <c r="D759" t="s">
        <v>28</v>
      </c>
      <c r="E759" t="s">
        <v>34</v>
      </c>
      <c r="F759" t="s">
        <v>39</v>
      </c>
      <c r="G759" t="s">
        <v>30</v>
      </c>
      <c r="H759">
        <v>1</v>
      </c>
      <c r="I759">
        <v>1</v>
      </c>
      <c r="J759">
        <v>1</v>
      </c>
      <c r="K759">
        <v>1</v>
      </c>
      <c r="L759">
        <v>1506.24</v>
      </c>
      <c r="M759">
        <v>1</v>
      </c>
      <c r="N759">
        <v>0</v>
      </c>
      <c r="O759">
        <v>7</v>
      </c>
      <c r="P759">
        <v>64.900000000000006</v>
      </c>
    </row>
    <row r="760" spans="1:16">
      <c r="A760" t="s">
        <v>791</v>
      </c>
      <c r="B760" s="2">
        <v>45773</v>
      </c>
      <c r="C760" t="s">
        <v>723</v>
      </c>
      <c r="D760" t="s">
        <v>28</v>
      </c>
      <c r="E760" t="s">
        <v>34</v>
      </c>
      <c r="F760" t="s">
        <v>25</v>
      </c>
      <c r="G760" t="s">
        <v>30</v>
      </c>
      <c r="H760">
        <v>1</v>
      </c>
      <c r="I760">
        <v>0</v>
      </c>
      <c r="J760">
        <v>0</v>
      </c>
      <c r="K760">
        <v>0</v>
      </c>
      <c r="L760">
        <v>0</v>
      </c>
      <c r="M760">
        <v>0</v>
      </c>
      <c r="N760">
        <v>0</v>
      </c>
      <c r="P760">
        <v>57.5</v>
      </c>
    </row>
    <row r="761" spans="1:16">
      <c r="A761" t="s">
        <v>792</v>
      </c>
      <c r="B761" s="2">
        <v>45731</v>
      </c>
      <c r="C761" t="s">
        <v>723</v>
      </c>
      <c r="D761" t="s">
        <v>23</v>
      </c>
      <c r="E761" t="s">
        <v>19</v>
      </c>
      <c r="F761" t="s">
        <v>41</v>
      </c>
      <c r="G761" t="s">
        <v>26</v>
      </c>
      <c r="H761">
        <v>1</v>
      </c>
      <c r="I761">
        <v>1</v>
      </c>
      <c r="J761">
        <v>1</v>
      </c>
      <c r="K761">
        <v>0</v>
      </c>
      <c r="L761">
        <v>0</v>
      </c>
      <c r="M761">
        <v>0</v>
      </c>
      <c r="N761">
        <v>0</v>
      </c>
      <c r="P761">
        <v>76.3</v>
      </c>
    </row>
    <row r="762" spans="1:16">
      <c r="A762" t="s">
        <v>793</v>
      </c>
      <c r="B762" s="2">
        <v>45750</v>
      </c>
      <c r="C762" t="s">
        <v>723</v>
      </c>
      <c r="D762" t="s">
        <v>18</v>
      </c>
      <c r="E762" t="s">
        <v>24</v>
      </c>
      <c r="F762" t="s">
        <v>29</v>
      </c>
      <c r="G762" t="s">
        <v>26</v>
      </c>
      <c r="H762">
        <v>0</v>
      </c>
      <c r="I762">
        <v>0</v>
      </c>
      <c r="J762">
        <v>0</v>
      </c>
      <c r="K762">
        <v>0</v>
      </c>
      <c r="L762">
        <v>0</v>
      </c>
      <c r="M762">
        <v>0</v>
      </c>
      <c r="N762">
        <v>0</v>
      </c>
      <c r="P762">
        <v>47.5</v>
      </c>
    </row>
    <row r="763" spans="1:16">
      <c r="A763" t="s">
        <v>794</v>
      </c>
      <c r="B763" s="2">
        <v>45742</v>
      </c>
      <c r="C763" t="s">
        <v>723</v>
      </c>
      <c r="D763" t="s">
        <v>32</v>
      </c>
      <c r="E763" t="s">
        <v>24</v>
      </c>
      <c r="F763" t="s">
        <v>29</v>
      </c>
      <c r="G763" t="s">
        <v>26</v>
      </c>
      <c r="H763">
        <v>0</v>
      </c>
      <c r="I763">
        <v>0</v>
      </c>
      <c r="J763">
        <v>0</v>
      </c>
      <c r="K763">
        <v>0</v>
      </c>
      <c r="L763">
        <v>0</v>
      </c>
      <c r="M763">
        <v>0</v>
      </c>
      <c r="N763">
        <v>0</v>
      </c>
    </row>
    <row r="764" spans="1:16">
      <c r="A764" t="s">
        <v>795</v>
      </c>
      <c r="B764" s="2">
        <v>45693</v>
      </c>
      <c r="C764" t="s">
        <v>723</v>
      </c>
      <c r="D764" t="s">
        <v>23</v>
      </c>
      <c r="E764" t="s">
        <v>19</v>
      </c>
      <c r="F764" t="s">
        <v>25</v>
      </c>
      <c r="G764" t="s">
        <v>21</v>
      </c>
      <c r="H764">
        <v>1</v>
      </c>
      <c r="I764">
        <v>1</v>
      </c>
      <c r="J764">
        <v>0</v>
      </c>
      <c r="K764">
        <v>0</v>
      </c>
      <c r="L764">
        <v>0</v>
      </c>
      <c r="M764">
        <v>2</v>
      </c>
      <c r="N764">
        <v>0</v>
      </c>
      <c r="P764">
        <v>71.599999999999994</v>
      </c>
    </row>
    <row r="765" spans="1:16">
      <c r="A765" t="s">
        <v>796</v>
      </c>
      <c r="B765" s="2">
        <v>45785</v>
      </c>
      <c r="C765" t="s">
        <v>723</v>
      </c>
      <c r="D765" t="s">
        <v>32</v>
      </c>
      <c r="E765" t="s">
        <v>24</v>
      </c>
      <c r="F765" t="s">
        <v>41</v>
      </c>
      <c r="G765" t="s">
        <v>21</v>
      </c>
      <c r="H765">
        <v>1</v>
      </c>
      <c r="I765">
        <v>1</v>
      </c>
      <c r="J765">
        <v>0</v>
      </c>
      <c r="K765">
        <v>0</v>
      </c>
      <c r="L765">
        <v>0</v>
      </c>
      <c r="M765">
        <v>0</v>
      </c>
      <c r="N765">
        <v>0</v>
      </c>
      <c r="P765">
        <v>55.8</v>
      </c>
    </row>
    <row r="766" spans="1:16">
      <c r="A766" t="s">
        <v>797</v>
      </c>
      <c r="B766" s="2">
        <v>45741</v>
      </c>
      <c r="C766" t="s">
        <v>723</v>
      </c>
      <c r="D766" t="s">
        <v>32</v>
      </c>
      <c r="E766" t="s">
        <v>19</v>
      </c>
      <c r="F766" t="s">
        <v>25</v>
      </c>
      <c r="G766" t="s">
        <v>21</v>
      </c>
      <c r="H766">
        <v>0</v>
      </c>
      <c r="I766">
        <v>0</v>
      </c>
      <c r="J766">
        <v>0</v>
      </c>
      <c r="K766">
        <v>0</v>
      </c>
      <c r="L766">
        <v>0</v>
      </c>
      <c r="M766">
        <v>1</v>
      </c>
      <c r="N766">
        <v>0</v>
      </c>
      <c r="P766">
        <v>60.1</v>
      </c>
    </row>
    <row r="767" spans="1:16">
      <c r="A767" t="s">
        <v>798</v>
      </c>
      <c r="B767" s="2">
        <v>45671</v>
      </c>
      <c r="C767" t="s">
        <v>723</v>
      </c>
      <c r="D767" t="s">
        <v>23</v>
      </c>
      <c r="F767" t="s">
        <v>20</v>
      </c>
      <c r="G767" t="s">
        <v>21</v>
      </c>
      <c r="H767">
        <v>1</v>
      </c>
      <c r="I767">
        <v>1</v>
      </c>
      <c r="J767">
        <v>1</v>
      </c>
      <c r="K767">
        <v>0</v>
      </c>
      <c r="L767">
        <v>0</v>
      </c>
      <c r="M767">
        <v>1</v>
      </c>
      <c r="N767">
        <v>0</v>
      </c>
      <c r="P767">
        <v>59.3</v>
      </c>
    </row>
    <row r="768" spans="1:16">
      <c r="A768" t="s">
        <v>799</v>
      </c>
      <c r="B768" s="2">
        <v>45742</v>
      </c>
      <c r="C768" t="s">
        <v>723</v>
      </c>
      <c r="D768" t="s">
        <v>18</v>
      </c>
      <c r="E768" t="s">
        <v>24</v>
      </c>
      <c r="F768" t="s">
        <v>25</v>
      </c>
      <c r="G768" t="s">
        <v>26</v>
      </c>
      <c r="H768">
        <v>1</v>
      </c>
      <c r="I768">
        <v>1</v>
      </c>
      <c r="J768">
        <v>0</v>
      </c>
      <c r="K768">
        <v>0</v>
      </c>
      <c r="L768">
        <v>0</v>
      </c>
      <c r="M768">
        <v>2</v>
      </c>
      <c r="N768">
        <v>0</v>
      </c>
      <c r="P768">
        <v>49.3</v>
      </c>
    </row>
    <row r="769" spans="1:16">
      <c r="A769" t="s">
        <v>800</v>
      </c>
      <c r="B769" s="2">
        <v>45673</v>
      </c>
      <c r="C769" t="s">
        <v>723</v>
      </c>
      <c r="D769" t="s">
        <v>28</v>
      </c>
      <c r="E769" t="s">
        <v>24</v>
      </c>
      <c r="F769" t="s">
        <v>39</v>
      </c>
      <c r="G769" t="s">
        <v>26</v>
      </c>
      <c r="H769">
        <v>1</v>
      </c>
      <c r="I769">
        <v>0</v>
      </c>
      <c r="J769">
        <v>0</v>
      </c>
      <c r="K769">
        <v>0</v>
      </c>
      <c r="L769">
        <v>0</v>
      </c>
      <c r="M769">
        <v>0</v>
      </c>
      <c r="N769">
        <v>0</v>
      </c>
      <c r="P769">
        <v>75</v>
      </c>
    </row>
    <row r="770" spans="1:16">
      <c r="A770" t="s">
        <v>801</v>
      </c>
      <c r="B770" s="2">
        <v>45661</v>
      </c>
      <c r="C770" t="s">
        <v>723</v>
      </c>
      <c r="D770" t="s">
        <v>28</v>
      </c>
      <c r="E770" t="s">
        <v>24</v>
      </c>
      <c r="F770" t="s">
        <v>41</v>
      </c>
      <c r="G770" t="s">
        <v>26</v>
      </c>
      <c r="H770">
        <v>1</v>
      </c>
      <c r="I770">
        <v>0</v>
      </c>
      <c r="J770">
        <v>0</v>
      </c>
      <c r="K770">
        <v>0</v>
      </c>
      <c r="L770">
        <v>0</v>
      </c>
      <c r="M770">
        <v>0</v>
      </c>
      <c r="N770">
        <v>0</v>
      </c>
      <c r="P770">
        <v>70.2</v>
      </c>
    </row>
    <row r="771" spans="1:16">
      <c r="A771" t="s">
        <v>802</v>
      </c>
      <c r="B771" s="2">
        <v>45697</v>
      </c>
      <c r="C771" t="s">
        <v>723</v>
      </c>
      <c r="D771" t="s">
        <v>32</v>
      </c>
      <c r="E771" t="s">
        <v>19</v>
      </c>
      <c r="F771" t="s">
        <v>25</v>
      </c>
      <c r="G771" t="s">
        <v>30</v>
      </c>
      <c r="H771">
        <v>1</v>
      </c>
      <c r="I771">
        <v>1</v>
      </c>
      <c r="J771">
        <v>1</v>
      </c>
      <c r="K771">
        <v>0</v>
      </c>
      <c r="L771">
        <v>0</v>
      </c>
      <c r="M771">
        <v>0</v>
      </c>
      <c r="N771">
        <v>0</v>
      </c>
      <c r="P771">
        <v>56.6</v>
      </c>
    </row>
    <row r="772" spans="1:16">
      <c r="A772" t="s">
        <v>803</v>
      </c>
      <c r="B772" s="2">
        <v>45721</v>
      </c>
      <c r="C772" t="s">
        <v>723</v>
      </c>
      <c r="D772" t="s">
        <v>28</v>
      </c>
      <c r="E772" t="s">
        <v>19</v>
      </c>
      <c r="F772" t="s">
        <v>25</v>
      </c>
      <c r="G772" t="s">
        <v>26</v>
      </c>
      <c r="H772">
        <v>1</v>
      </c>
      <c r="I772">
        <v>0</v>
      </c>
      <c r="J772">
        <v>0</v>
      </c>
      <c r="K772">
        <v>0</v>
      </c>
      <c r="L772">
        <v>0</v>
      </c>
      <c r="M772">
        <v>0</v>
      </c>
      <c r="N772">
        <v>0</v>
      </c>
      <c r="P772">
        <v>65.400000000000006</v>
      </c>
    </row>
    <row r="773" spans="1:16">
      <c r="A773" t="s">
        <v>804</v>
      </c>
      <c r="B773" s="2">
        <v>45726</v>
      </c>
      <c r="C773" t="s">
        <v>723</v>
      </c>
      <c r="D773" t="s">
        <v>28</v>
      </c>
      <c r="E773" t="s">
        <v>24</v>
      </c>
      <c r="F773" t="s">
        <v>39</v>
      </c>
      <c r="G773" t="s">
        <v>21</v>
      </c>
      <c r="H773">
        <v>1</v>
      </c>
      <c r="I773">
        <v>0</v>
      </c>
      <c r="J773">
        <v>0</v>
      </c>
      <c r="K773">
        <v>0</v>
      </c>
      <c r="L773">
        <v>0</v>
      </c>
      <c r="M773">
        <v>0</v>
      </c>
      <c r="N773">
        <v>0</v>
      </c>
      <c r="P773">
        <v>47.6</v>
      </c>
    </row>
    <row r="774" spans="1:16">
      <c r="A774" t="s">
        <v>805</v>
      </c>
      <c r="B774" s="2">
        <v>45715</v>
      </c>
      <c r="C774" t="s">
        <v>723</v>
      </c>
      <c r="D774" t="s">
        <v>28</v>
      </c>
      <c r="E774" t="s">
        <v>19</v>
      </c>
      <c r="F774" t="s">
        <v>29</v>
      </c>
      <c r="G774" t="s">
        <v>26</v>
      </c>
      <c r="H774">
        <v>1</v>
      </c>
      <c r="I774">
        <v>0</v>
      </c>
      <c r="J774">
        <v>0</v>
      </c>
      <c r="K774">
        <v>0</v>
      </c>
      <c r="L774">
        <v>0</v>
      </c>
      <c r="M774">
        <v>0</v>
      </c>
      <c r="N774">
        <v>0</v>
      </c>
      <c r="P774">
        <v>56.7</v>
      </c>
    </row>
    <row r="775" spans="1:16">
      <c r="A775" t="s">
        <v>806</v>
      </c>
      <c r="B775" s="2">
        <v>45726</v>
      </c>
      <c r="C775" t="s">
        <v>723</v>
      </c>
      <c r="D775" t="s">
        <v>18</v>
      </c>
      <c r="E775" t="s">
        <v>19</v>
      </c>
      <c r="F775" t="s">
        <v>39</v>
      </c>
      <c r="G775" t="s">
        <v>21</v>
      </c>
      <c r="H775">
        <v>1</v>
      </c>
      <c r="I775">
        <v>1</v>
      </c>
      <c r="J775">
        <v>0</v>
      </c>
      <c r="K775">
        <v>0</v>
      </c>
      <c r="L775">
        <v>0</v>
      </c>
      <c r="M775">
        <v>0</v>
      </c>
      <c r="N775">
        <v>0</v>
      </c>
      <c r="P775">
        <v>71.400000000000006</v>
      </c>
    </row>
    <row r="776" spans="1:16">
      <c r="A776" t="s">
        <v>807</v>
      </c>
      <c r="B776" s="2">
        <v>45770</v>
      </c>
      <c r="C776" t="s">
        <v>723</v>
      </c>
      <c r="D776" t="s">
        <v>23</v>
      </c>
      <c r="E776" t="s">
        <v>24</v>
      </c>
      <c r="F776" t="s">
        <v>41</v>
      </c>
      <c r="G776" t="s">
        <v>26</v>
      </c>
      <c r="H776">
        <v>0</v>
      </c>
      <c r="I776">
        <v>0</v>
      </c>
      <c r="J776">
        <v>0</v>
      </c>
      <c r="K776">
        <v>0</v>
      </c>
      <c r="L776">
        <v>0</v>
      </c>
      <c r="M776">
        <v>2</v>
      </c>
      <c r="N776">
        <v>0</v>
      </c>
      <c r="P776">
        <v>60.5</v>
      </c>
    </row>
    <row r="777" spans="1:16">
      <c r="A777" t="s">
        <v>808</v>
      </c>
      <c r="B777" s="2">
        <v>45759</v>
      </c>
      <c r="C777" t="s">
        <v>723</v>
      </c>
      <c r="D777" t="s">
        <v>18</v>
      </c>
      <c r="E777" t="s">
        <v>19</v>
      </c>
      <c r="F777" t="s">
        <v>29</v>
      </c>
      <c r="G777" t="s">
        <v>26</v>
      </c>
      <c r="H777">
        <v>1</v>
      </c>
      <c r="I777">
        <v>0</v>
      </c>
      <c r="J777">
        <v>0</v>
      </c>
      <c r="K777">
        <v>0</v>
      </c>
      <c r="L777">
        <v>0</v>
      </c>
      <c r="M777">
        <v>0</v>
      </c>
      <c r="N777">
        <v>0</v>
      </c>
      <c r="P777">
        <v>46.7</v>
      </c>
    </row>
    <row r="778" spans="1:16">
      <c r="A778" t="s">
        <v>809</v>
      </c>
      <c r="B778" s="2">
        <v>45683</v>
      </c>
      <c r="C778" t="s">
        <v>723</v>
      </c>
      <c r="D778" t="s">
        <v>28</v>
      </c>
      <c r="E778" t="s">
        <v>19</v>
      </c>
      <c r="F778" t="s">
        <v>39</v>
      </c>
      <c r="G778" t="s">
        <v>26</v>
      </c>
      <c r="H778">
        <v>0</v>
      </c>
      <c r="I778">
        <v>0</v>
      </c>
      <c r="J778">
        <v>0</v>
      </c>
      <c r="K778">
        <v>0</v>
      </c>
      <c r="L778">
        <v>0</v>
      </c>
      <c r="M778">
        <v>0</v>
      </c>
      <c r="N778">
        <v>0</v>
      </c>
      <c r="P778">
        <v>61</v>
      </c>
    </row>
    <row r="779" spans="1:16">
      <c r="A779" t="s">
        <v>810</v>
      </c>
      <c r="B779" s="2">
        <v>45801</v>
      </c>
      <c r="C779" t="s">
        <v>723</v>
      </c>
      <c r="D779" t="s">
        <v>23</v>
      </c>
      <c r="E779" t="s">
        <v>34</v>
      </c>
      <c r="F779" t="s">
        <v>29</v>
      </c>
      <c r="G779" t="s">
        <v>26</v>
      </c>
      <c r="H779">
        <v>0</v>
      </c>
      <c r="I779">
        <v>0</v>
      </c>
      <c r="J779">
        <v>0</v>
      </c>
      <c r="K779">
        <v>0</v>
      </c>
      <c r="L779">
        <v>0</v>
      </c>
      <c r="M779">
        <v>0</v>
      </c>
      <c r="N779">
        <v>0</v>
      </c>
      <c r="P779">
        <v>60.9</v>
      </c>
    </row>
    <row r="780" spans="1:16">
      <c r="A780" t="s">
        <v>811</v>
      </c>
      <c r="B780" s="2">
        <v>45665</v>
      </c>
      <c r="C780" t="s">
        <v>723</v>
      </c>
      <c r="D780" t="s">
        <v>32</v>
      </c>
      <c r="E780" t="s">
        <v>24</v>
      </c>
      <c r="F780" t="s">
        <v>25</v>
      </c>
      <c r="G780" t="s">
        <v>26</v>
      </c>
      <c r="H780">
        <v>1</v>
      </c>
      <c r="I780">
        <v>0</v>
      </c>
      <c r="J780">
        <v>0</v>
      </c>
      <c r="K780">
        <v>0</v>
      </c>
      <c r="L780">
        <v>0</v>
      </c>
      <c r="M780">
        <v>0</v>
      </c>
      <c r="N780">
        <v>0</v>
      </c>
      <c r="P780">
        <v>67.099999999999994</v>
      </c>
    </row>
    <row r="781" spans="1:16">
      <c r="A781" t="s">
        <v>812</v>
      </c>
      <c r="B781" s="2">
        <v>45762</v>
      </c>
      <c r="C781" t="s">
        <v>723</v>
      </c>
      <c r="D781" t="s">
        <v>18</v>
      </c>
      <c r="E781" t="s">
        <v>24</v>
      </c>
      <c r="F781" t="s">
        <v>39</v>
      </c>
      <c r="G781" t="s">
        <v>26</v>
      </c>
      <c r="H781">
        <v>1</v>
      </c>
      <c r="I781">
        <v>1</v>
      </c>
      <c r="J781">
        <v>0</v>
      </c>
      <c r="K781">
        <v>0</v>
      </c>
      <c r="L781">
        <v>0</v>
      </c>
      <c r="M781">
        <v>0</v>
      </c>
      <c r="N781">
        <v>0</v>
      </c>
      <c r="P781">
        <v>59.6</v>
      </c>
    </row>
    <row r="782" spans="1:16">
      <c r="A782" t="s">
        <v>813</v>
      </c>
      <c r="B782" s="2">
        <v>45672</v>
      </c>
      <c r="C782" t="s">
        <v>723</v>
      </c>
      <c r="D782" t="s">
        <v>32</v>
      </c>
      <c r="E782" t="s">
        <v>19</v>
      </c>
      <c r="F782" t="s">
        <v>29</v>
      </c>
      <c r="G782" t="s">
        <v>26</v>
      </c>
      <c r="H782">
        <v>1</v>
      </c>
      <c r="I782">
        <v>0</v>
      </c>
      <c r="J782">
        <v>0</v>
      </c>
      <c r="K782">
        <v>0</v>
      </c>
      <c r="L782">
        <v>0</v>
      </c>
      <c r="M782">
        <v>0</v>
      </c>
      <c r="N782">
        <v>0</v>
      </c>
      <c r="P782">
        <v>83.8</v>
      </c>
    </row>
    <row r="783" spans="1:16">
      <c r="A783" t="s">
        <v>814</v>
      </c>
      <c r="B783" s="2">
        <v>45716</v>
      </c>
      <c r="C783" t="s">
        <v>723</v>
      </c>
      <c r="D783" t="s">
        <v>18</v>
      </c>
      <c r="E783" t="s">
        <v>24</v>
      </c>
      <c r="F783" t="s">
        <v>25</v>
      </c>
      <c r="G783" t="s">
        <v>21</v>
      </c>
      <c r="H783">
        <v>1</v>
      </c>
      <c r="I783">
        <v>1</v>
      </c>
      <c r="J783">
        <v>1</v>
      </c>
      <c r="K783">
        <v>0</v>
      </c>
      <c r="L783">
        <v>0</v>
      </c>
      <c r="M783">
        <v>0</v>
      </c>
      <c r="N783">
        <v>0</v>
      </c>
      <c r="P783">
        <v>70.8</v>
      </c>
    </row>
    <row r="784" spans="1:16">
      <c r="A784" t="s">
        <v>815</v>
      </c>
      <c r="B784" s="2">
        <v>45658</v>
      </c>
      <c r="C784" t="s">
        <v>723</v>
      </c>
      <c r="D784" t="s">
        <v>18</v>
      </c>
      <c r="E784" t="s">
        <v>34</v>
      </c>
      <c r="F784" t="s">
        <v>25</v>
      </c>
      <c r="G784" t="s">
        <v>21</v>
      </c>
      <c r="H784">
        <v>0</v>
      </c>
      <c r="I784">
        <v>0</v>
      </c>
      <c r="J784">
        <v>0</v>
      </c>
      <c r="K784">
        <v>0</v>
      </c>
      <c r="L784">
        <v>0</v>
      </c>
      <c r="M784">
        <v>0</v>
      </c>
      <c r="N784">
        <v>0</v>
      </c>
      <c r="P784">
        <v>65.900000000000006</v>
      </c>
    </row>
    <row r="785" spans="1:16">
      <c r="A785" t="s">
        <v>816</v>
      </c>
      <c r="B785" s="2">
        <v>45764</v>
      </c>
      <c r="C785" t="s">
        <v>723</v>
      </c>
      <c r="D785" t="s">
        <v>23</v>
      </c>
      <c r="E785" t="s">
        <v>24</v>
      </c>
      <c r="F785" t="s">
        <v>39</v>
      </c>
      <c r="G785" t="s">
        <v>26</v>
      </c>
      <c r="H785">
        <v>1</v>
      </c>
      <c r="I785">
        <v>0</v>
      </c>
      <c r="J785">
        <v>0</v>
      </c>
      <c r="K785">
        <v>0</v>
      </c>
      <c r="L785">
        <v>0</v>
      </c>
      <c r="M785">
        <v>0</v>
      </c>
      <c r="N785">
        <v>0</v>
      </c>
      <c r="P785">
        <v>58</v>
      </c>
    </row>
    <row r="786" spans="1:16">
      <c r="A786" t="s">
        <v>817</v>
      </c>
      <c r="B786" s="2">
        <v>45707</v>
      </c>
      <c r="C786" t="s">
        <v>723</v>
      </c>
      <c r="D786" t="s">
        <v>18</v>
      </c>
      <c r="E786" t="s">
        <v>24</v>
      </c>
      <c r="F786" t="s">
        <v>20</v>
      </c>
      <c r="G786" t="s">
        <v>21</v>
      </c>
      <c r="H786">
        <v>1</v>
      </c>
      <c r="I786">
        <v>1</v>
      </c>
      <c r="J786">
        <v>0</v>
      </c>
      <c r="K786">
        <v>0</v>
      </c>
      <c r="L786">
        <v>0</v>
      </c>
      <c r="M786">
        <v>0</v>
      </c>
      <c r="N786">
        <v>0</v>
      </c>
      <c r="P786">
        <v>80.3</v>
      </c>
    </row>
    <row r="787" spans="1:16">
      <c r="A787" t="s">
        <v>818</v>
      </c>
      <c r="B787" s="2">
        <v>45730</v>
      </c>
      <c r="C787" t="s">
        <v>723</v>
      </c>
      <c r="D787" t="s">
        <v>18</v>
      </c>
      <c r="E787" t="s">
        <v>19</v>
      </c>
      <c r="F787" t="s">
        <v>25</v>
      </c>
      <c r="G787" t="s">
        <v>26</v>
      </c>
      <c r="H787">
        <v>1</v>
      </c>
      <c r="I787">
        <v>0</v>
      </c>
      <c r="J787">
        <v>0</v>
      </c>
      <c r="K787">
        <v>0</v>
      </c>
      <c r="L787">
        <v>0</v>
      </c>
      <c r="M787">
        <v>0</v>
      </c>
      <c r="N787">
        <v>0</v>
      </c>
      <c r="P787">
        <v>55.7</v>
      </c>
    </row>
    <row r="788" spans="1:16">
      <c r="A788" t="s">
        <v>819</v>
      </c>
      <c r="B788" s="2">
        <v>45768</v>
      </c>
      <c r="C788" t="s">
        <v>723</v>
      </c>
      <c r="D788" t="s">
        <v>18</v>
      </c>
      <c r="E788" t="s">
        <v>24</v>
      </c>
      <c r="F788" t="s">
        <v>25</v>
      </c>
      <c r="G788" t="s">
        <v>26</v>
      </c>
      <c r="H788">
        <v>1</v>
      </c>
      <c r="I788">
        <v>1</v>
      </c>
      <c r="J788">
        <v>0</v>
      </c>
      <c r="K788">
        <v>0</v>
      </c>
      <c r="L788">
        <v>0</v>
      </c>
      <c r="M788">
        <v>0</v>
      </c>
      <c r="N788">
        <v>0</v>
      </c>
      <c r="P788">
        <v>84.9</v>
      </c>
    </row>
    <row r="789" spans="1:16">
      <c r="A789" t="s">
        <v>820</v>
      </c>
      <c r="B789" s="2">
        <v>45702</v>
      </c>
      <c r="C789" t="s">
        <v>723</v>
      </c>
      <c r="D789" t="s">
        <v>18</v>
      </c>
      <c r="E789" t="s">
        <v>24</v>
      </c>
      <c r="F789" t="s">
        <v>25</v>
      </c>
      <c r="G789" t="s">
        <v>26</v>
      </c>
      <c r="H789">
        <v>1</v>
      </c>
      <c r="I789">
        <v>0</v>
      </c>
      <c r="J789">
        <v>0</v>
      </c>
      <c r="K789">
        <v>0</v>
      </c>
      <c r="L789">
        <v>0</v>
      </c>
      <c r="M789">
        <v>0</v>
      </c>
      <c r="N789">
        <v>0</v>
      </c>
      <c r="P789">
        <v>63.3</v>
      </c>
    </row>
    <row r="790" spans="1:16">
      <c r="A790" t="s">
        <v>821</v>
      </c>
      <c r="B790" s="2">
        <v>45807</v>
      </c>
      <c r="C790" t="s">
        <v>723</v>
      </c>
      <c r="D790" t="s">
        <v>23</v>
      </c>
      <c r="E790" t="s">
        <v>24</v>
      </c>
      <c r="F790" t="s">
        <v>25</v>
      </c>
      <c r="G790" t="s">
        <v>26</v>
      </c>
      <c r="H790">
        <v>0</v>
      </c>
      <c r="I790">
        <v>0</v>
      </c>
      <c r="J790">
        <v>0</v>
      </c>
      <c r="K790">
        <v>0</v>
      </c>
      <c r="L790">
        <v>0</v>
      </c>
      <c r="M790">
        <v>0</v>
      </c>
      <c r="N790">
        <v>0</v>
      </c>
      <c r="P790">
        <v>53.1</v>
      </c>
    </row>
    <row r="791" spans="1:16">
      <c r="A791" t="s">
        <v>822</v>
      </c>
      <c r="B791" s="2">
        <v>45677</v>
      </c>
      <c r="C791" t="s">
        <v>723</v>
      </c>
      <c r="D791" t="s">
        <v>23</v>
      </c>
      <c r="E791" t="s">
        <v>24</v>
      </c>
      <c r="F791" t="s">
        <v>25</v>
      </c>
      <c r="G791" t="s">
        <v>26</v>
      </c>
      <c r="H791">
        <v>0</v>
      </c>
      <c r="I791">
        <v>0</v>
      </c>
      <c r="J791">
        <v>0</v>
      </c>
      <c r="K791">
        <v>0</v>
      </c>
      <c r="L791">
        <v>0</v>
      </c>
      <c r="M791">
        <v>0</v>
      </c>
      <c r="N791">
        <v>0</v>
      </c>
      <c r="P791">
        <v>66</v>
      </c>
    </row>
    <row r="792" spans="1:16">
      <c r="A792" t="s">
        <v>823</v>
      </c>
      <c r="B792" s="2">
        <v>45733</v>
      </c>
      <c r="C792" t="s">
        <v>723</v>
      </c>
      <c r="D792" t="s">
        <v>23</v>
      </c>
      <c r="E792" t="s">
        <v>24</v>
      </c>
      <c r="F792" t="s">
        <v>41</v>
      </c>
      <c r="G792" t="s">
        <v>30</v>
      </c>
      <c r="H792">
        <v>0</v>
      </c>
      <c r="I792">
        <v>0</v>
      </c>
      <c r="J792">
        <v>0</v>
      </c>
      <c r="K792">
        <v>0</v>
      </c>
      <c r="L792">
        <v>0</v>
      </c>
      <c r="M792">
        <v>0</v>
      </c>
      <c r="N792">
        <v>0</v>
      </c>
      <c r="P792">
        <v>54.7</v>
      </c>
    </row>
    <row r="793" spans="1:16">
      <c r="A793" t="s">
        <v>824</v>
      </c>
      <c r="B793" s="2">
        <v>45720</v>
      </c>
      <c r="C793" t="s">
        <v>723</v>
      </c>
      <c r="D793" t="s">
        <v>23</v>
      </c>
      <c r="E793" t="s">
        <v>24</v>
      </c>
      <c r="F793" t="s">
        <v>41</v>
      </c>
      <c r="G793" t="s">
        <v>26</v>
      </c>
      <c r="H793">
        <v>1</v>
      </c>
      <c r="I793">
        <v>1</v>
      </c>
      <c r="J793">
        <v>0</v>
      </c>
      <c r="K793">
        <v>0</v>
      </c>
      <c r="L793">
        <v>0</v>
      </c>
      <c r="M793">
        <v>1</v>
      </c>
      <c r="N793">
        <v>0</v>
      </c>
      <c r="P793">
        <v>41.2</v>
      </c>
    </row>
    <row r="794" spans="1:16">
      <c r="A794" t="s">
        <v>825</v>
      </c>
      <c r="B794" s="2">
        <v>45710</v>
      </c>
      <c r="C794" t="s">
        <v>723</v>
      </c>
      <c r="D794" t="s">
        <v>32</v>
      </c>
      <c r="E794" t="s">
        <v>24</v>
      </c>
      <c r="F794" t="s">
        <v>25</v>
      </c>
      <c r="G794" t="s">
        <v>30</v>
      </c>
      <c r="H794">
        <v>0</v>
      </c>
      <c r="I794">
        <v>0</v>
      </c>
      <c r="J794">
        <v>0</v>
      </c>
      <c r="K794">
        <v>0</v>
      </c>
      <c r="L794">
        <v>0</v>
      </c>
      <c r="M794">
        <v>0</v>
      </c>
      <c r="N794">
        <v>0</v>
      </c>
      <c r="P794">
        <v>66.7</v>
      </c>
    </row>
    <row r="795" spans="1:16">
      <c r="A795" t="s">
        <v>826</v>
      </c>
      <c r="B795" s="2">
        <v>45779</v>
      </c>
      <c r="C795" t="s">
        <v>723</v>
      </c>
      <c r="D795" t="s">
        <v>18</v>
      </c>
      <c r="E795" t="s">
        <v>24</v>
      </c>
      <c r="F795" t="s">
        <v>29</v>
      </c>
      <c r="G795" t="s">
        <v>30</v>
      </c>
      <c r="H795">
        <v>0</v>
      </c>
      <c r="I795">
        <v>0</v>
      </c>
      <c r="J795">
        <v>0</v>
      </c>
      <c r="K795">
        <v>0</v>
      </c>
      <c r="L795">
        <v>0</v>
      </c>
      <c r="M795">
        <v>0</v>
      </c>
      <c r="N795">
        <v>0</v>
      </c>
      <c r="P795">
        <v>39.4</v>
      </c>
    </row>
    <row r="796" spans="1:16">
      <c r="A796" t="s">
        <v>827</v>
      </c>
      <c r="B796" s="2">
        <v>45729</v>
      </c>
      <c r="C796" t="s">
        <v>723</v>
      </c>
      <c r="D796" t="s">
        <v>23</v>
      </c>
      <c r="E796" t="s">
        <v>19</v>
      </c>
      <c r="F796" t="s">
        <v>25</v>
      </c>
      <c r="G796" t="s">
        <v>30</v>
      </c>
      <c r="H796">
        <v>0</v>
      </c>
      <c r="I796">
        <v>0</v>
      </c>
      <c r="J796">
        <v>0</v>
      </c>
      <c r="K796">
        <v>0</v>
      </c>
      <c r="L796">
        <v>0</v>
      </c>
      <c r="M796">
        <v>3</v>
      </c>
      <c r="N796">
        <v>0</v>
      </c>
      <c r="P796">
        <v>67</v>
      </c>
    </row>
    <row r="797" spans="1:16">
      <c r="A797" t="s">
        <v>828</v>
      </c>
      <c r="B797" s="2">
        <v>45808</v>
      </c>
      <c r="C797" t="s">
        <v>723</v>
      </c>
      <c r="D797" t="s">
        <v>32</v>
      </c>
      <c r="E797" t="s">
        <v>24</v>
      </c>
      <c r="F797" t="s">
        <v>25</v>
      </c>
      <c r="G797" t="s">
        <v>21</v>
      </c>
      <c r="H797">
        <v>1</v>
      </c>
      <c r="I797">
        <v>0</v>
      </c>
      <c r="J797">
        <v>0</v>
      </c>
      <c r="K797">
        <v>0</v>
      </c>
      <c r="L797">
        <v>0</v>
      </c>
      <c r="M797">
        <v>0</v>
      </c>
      <c r="N797">
        <v>0</v>
      </c>
      <c r="P797">
        <v>50.4</v>
      </c>
    </row>
    <row r="798" spans="1:16">
      <c r="A798" t="s">
        <v>829</v>
      </c>
      <c r="B798" s="2">
        <v>45723</v>
      </c>
      <c r="C798" t="s">
        <v>723</v>
      </c>
      <c r="D798" t="s">
        <v>23</v>
      </c>
      <c r="E798" t="s">
        <v>19</v>
      </c>
      <c r="F798" t="s">
        <v>41</v>
      </c>
      <c r="G798" t="s">
        <v>26</v>
      </c>
      <c r="H798">
        <v>1</v>
      </c>
      <c r="I798">
        <v>0</v>
      </c>
      <c r="J798">
        <v>0</v>
      </c>
      <c r="K798">
        <v>0</v>
      </c>
      <c r="L798">
        <v>0</v>
      </c>
      <c r="M798">
        <v>0</v>
      </c>
      <c r="N798">
        <v>0</v>
      </c>
      <c r="P798">
        <v>53.8</v>
      </c>
    </row>
    <row r="799" spans="1:16">
      <c r="A799" t="s">
        <v>830</v>
      </c>
      <c r="B799" s="2">
        <v>45710</v>
      </c>
      <c r="C799" t="s">
        <v>723</v>
      </c>
      <c r="D799" t="s">
        <v>23</v>
      </c>
      <c r="E799" t="s">
        <v>24</v>
      </c>
      <c r="F799" t="s">
        <v>29</v>
      </c>
      <c r="G799" t="s">
        <v>21</v>
      </c>
      <c r="H799">
        <v>0</v>
      </c>
      <c r="I799">
        <v>0</v>
      </c>
      <c r="J799">
        <v>0</v>
      </c>
      <c r="K799">
        <v>0</v>
      </c>
      <c r="L799">
        <v>0</v>
      </c>
      <c r="M799">
        <v>1</v>
      </c>
      <c r="N799">
        <v>0</v>
      </c>
      <c r="P799">
        <v>82.7</v>
      </c>
    </row>
    <row r="800" spans="1:16">
      <c r="A800" t="s">
        <v>831</v>
      </c>
      <c r="B800" s="2">
        <v>45662</v>
      </c>
      <c r="C800" t="s">
        <v>723</v>
      </c>
      <c r="D800" t="s">
        <v>23</v>
      </c>
      <c r="E800" t="s">
        <v>19</v>
      </c>
      <c r="F800" t="s">
        <v>29</v>
      </c>
      <c r="G800" t="s">
        <v>26</v>
      </c>
      <c r="H800">
        <v>1</v>
      </c>
      <c r="I800">
        <v>1</v>
      </c>
      <c r="J800">
        <v>1</v>
      </c>
      <c r="K800">
        <v>0</v>
      </c>
      <c r="L800">
        <v>0</v>
      </c>
      <c r="M800">
        <v>0</v>
      </c>
      <c r="N800">
        <v>0</v>
      </c>
      <c r="P800">
        <v>63.9</v>
      </c>
    </row>
    <row r="801" spans="1:16">
      <c r="A801" t="s">
        <v>832</v>
      </c>
      <c r="B801" s="2">
        <v>45678</v>
      </c>
      <c r="C801" t="s">
        <v>723</v>
      </c>
      <c r="D801" t="s">
        <v>23</v>
      </c>
      <c r="E801" t="s">
        <v>24</v>
      </c>
      <c r="F801" t="s">
        <v>39</v>
      </c>
      <c r="G801" t="s">
        <v>26</v>
      </c>
      <c r="H801">
        <v>1</v>
      </c>
      <c r="I801">
        <v>0</v>
      </c>
      <c r="J801">
        <v>0</v>
      </c>
      <c r="K801">
        <v>0</v>
      </c>
      <c r="L801">
        <v>0</v>
      </c>
      <c r="M801">
        <v>0</v>
      </c>
      <c r="N801">
        <v>0</v>
      </c>
      <c r="P801">
        <v>61.9</v>
      </c>
    </row>
    <row r="802" spans="1:16">
      <c r="A802" t="s">
        <v>833</v>
      </c>
      <c r="B802" s="2">
        <v>45682</v>
      </c>
      <c r="C802" t="s">
        <v>723</v>
      </c>
      <c r="D802" t="s">
        <v>18</v>
      </c>
      <c r="E802" t="s">
        <v>19</v>
      </c>
      <c r="F802" t="s">
        <v>41</v>
      </c>
      <c r="G802" t="s">
        <v>26</v>
      </c>
      <c r="H802">
        <v>1</v>
      </c>
      <c r="I802">
        <v>1</v>
      </c>
      <c r="J802">
        <v>1</v>
      </c>
      <c r="K802">
        <v>0</v>
      </c>
      <c r="L802">
        <v>0</v>
      </c>
      <c r="M802">
        <v>0</v>
      </c>
      <c r="N802">
        <v>0</v>
      </c>
      <c r="P802">
        <v>75</v>
      </c>
    </row>
    <row r="803" spans="1:16">
      <c r="A803" t="s">
        <v>834</v>
      </c>
      <c r="B803" s="2">
        <v>45751</v>
      </c>
      <c r="C803" t="s">
        <v>723</v>
      </c>
      <c r="D803" t="s">
        <v>23</v>
      </c>
      <c r="E803" t="s">
        <v>24</v>
      </c>
      <c r="F803" t="s">
        <v>29</v>
      </c>
      <c r="G803" t="s">
        <v>21</v>
      </c>
      <c r="H803">
        <v>1</v>
      </c>
      <c r="I803">
        <v>1</v>
      </c>
      <c r="J803">
        <v>1</v>
      </c>
      <c r="K803">
        <v>0</v>
      </c>
      <c r="L803">
        <v>0</v>
      </c>
      <c r="M803">
        <v>0</v>
      </c>
      <c r="N803">
        <v>0</v>
      </c>
      <c r="P803">
        <v>43</v>
      </c>
    </row>
    <row r="804" spans="1:16">
      <c r="A804" t="s">
        <v>835</v>
      </c>
      <c r="B804" s="2">
        <v>45741</v>
      </c>
      <c r="C804" t="s">
        <v>723</v>
      </c>
      <c r="D804" t="s">
        <v>18</v>
      </c>
      <c r="E804" t="s">
        <v>19</v>
      </c>
      <c r="F804" t="s">
        <v>41</v>
      </c>
      <c r="G804" t="s">
        <v>30</v>
      </c>
      <c r="H804">
        <v>0</v>
      </c>
      <c r="I804">
        <v>0</v>
      </c>
      <c r="J804">
        <v>0</v>
      </c>
      <c r="K804">
        <v>0</v>
      </c>
      <c r="L804">
        <v>0</v>
      </c>
      <c r="M804">
        <v>0</v>
      </c>
      <c r="N804">
        <v>0</v>
      </c>
      <c r="P804">
        <v>54.3</v>
      </c>
    </row>
    <row r="805" spans="1:16">
      <c r="A805" t="s">
        <v>836</v>
      </c>
      <c r="B805" s="2">
        <v>45735</v>
      </c>
      <c r="C805" t="s">
        <v>723</v>
      </c>
      <c r="D805" t="s">
        <v>23</v>
      </c>
      <c r="E805" t="s">
        <v>24</v>
      </c>
      <c r="F805" t="s">
        <v>41</v>
      </c>
      <c r="G805" t="s">
        <v>26</v>
      </c>
      <c r="H805">
        <v>0</v>
      </c>
      <c r="I805">
        <v>0</v>
      </c>
      <c r="J805">
        <v>0</v>
      </c>
      <c r="K805">
        <v>0</v>
      </c>
      <c r="L805">
        <v>0</v>
      </c>
      <c r="M805">
        <v>2</v>
      </c>
      <c r="N805">
        <v>0</v>
      </c>
      <c r="P805">
        <v>44.3</v>
      </c>
    </row>
    <row r="806" spans="1:16">
      <c r="A806" t="s">
        <v>837</v>
      </c>
      <c r="B806" s="2">
        <v>45771</v>
      </c>
      <c r="C806" t="s">
        <v>723</v>
      </c>
      <c r="D806" t="s">
        <v>23</v>
      </c>
      <c r="E806" t="s">
        <v>19</v>
      </c>
      <c r="F806" t="s">
        <v>25</v>
      </c>
      <c r="G806" t="s">
        <v>26</v>
      </c>
      <c r="H806">
        <v>1</v>
      </c>
      <c r="I806">
        <v>1</v>
      </c>
      <c r="J806">
        <v>1</v>
      </c>
      <c r="K806">
        <v>1</v>
      </c>
      <c r="L806">
        <v>402.88</v>
      </c>
      <c r="M806">
        <v>0</v>
      </c>
      <c r="N806">
        <v>0</v>
      </c>
      <c r="O806">
        <v>12</v>
      </c>
      <c r="P806">
        <v>76</v>
      </c>
    </row>
    <row r="807" spans="1:16">
      <c r="A807" t="s">
        <v>838</v>
      </c>
      <c r="B807" s="2">
        <v>45751</v>
      </c>
      <c r="C807" t="s">
        <v>723</v>
      </c>
      <c r="D807" t="s">
        <v>32</v>
      </c>
      <c r="E807" t="s">
        <v>34</v>
      </c>
      <c r="F807" t="s">
        <v>25</v>
      </c>
      <c r="G807" t="s">
        <v>26</v>
      </c>
      <c r="H807">
        <v>1</v>
      </c>
      <c r="I807">
        <v>0</v>
      </c>
      <c r="J807">
        <v>0</v>
      </c>
      <c r="K807">
        <v>0</v>
      </c>
      <c r="L807">
        <v>0</v>
      </c>
      <c r="M807">
        <v>2</v>
      </c>
      <c r="N807">
        <v>0</v>
      </c>
      <c r="P807">
        <v>65.3</v>
      </c>
    </row>
    <row r="808" spans="1:16">
      <c r="A808" t="s">
        <v>839</v>
      </c>
      <c r="B808" s="2">
        <v>45744</v>
      </c>
      <c r="C808" t="s">
        <v>723</v>
      </c>
      <c r="D808" t="s">
        <v>32</v>
      </c>
      <c r="E808" t="s">
        <v>19</v>
      </c>
      <c r="F808" t="s">
        <v>29</v>
      </c>
      <c r="G808" t="s">
        <v>30</v>
      </c>
      <c r="H808">
        <v>1</v>
      </c>
      <c r="I808">
        <v>0</v>
      </c>
      <c r="J808">
        <v>0</v>
      </c>
      <c r="K808">
        <v>0</v>
      </c>
      <c r="L808">
        <v>0</v>
      </c>
      <c r="M808">
        <v>0</v>
      </c>
      <c r="N808">
        <v>0</v>
      </c>
      <c r="P808">
        <v>71.2</v>
      </c>
    </row>
    <row r="809" spans="1:16">
      <c r="A809" t="s">
        <v>840</v>
      </c>
      <c r="B809" s="2">
        <v>45792</v>
      </c>
      <c r="C809" t="s">
        <v>723</v>
      </c>
      <c r="D809" t="s">
        <v>32</v>
      </c>
      <c r="E809" t="s">
        <v>34</v>
      </c>
      <c r="F809" t="s">
        <v>29</v>
      </c>
      <c r="G809" t="s">
        <v>26</v>
      </c>
      <c r="H809">
        <v>1</v>
      </c>
      <c r="I809">
        <v>0</v>
      </c>
      <c r="J809">
        <v>0</v>
      </c>
      <c r="K809">
        <v>0</v>
      </c>
      <c r="L809">
        <v>0</v>
      </c>
      <c r="M809">
        <v>0</v>
      </c>
      <c r="N809">
        <v>0</v>
      </c>
      <c r="P809">
        <v>77.900000000000006</v>
      </c>
    </row>
    <row r="810" spans="1:16">
      <c r="A810" t="s">
        <v>841</v>
      </c>
      <c r="B810" s="2">
        <v>45729</v>
      </c>
      <c r="C810" t="s">
        <v>723</v>
      </c>
      <c r="D810" t="s">
        <v>23</v>
      </c>
      <c r="E810" t="s">
        <v>24</v>
      </c>
      <c r="F810" t="s">
        <v>29</v>
      </c>
      <c r="G810" t="s">
        <v>26</v>
      </c>
      <c r="H810">
        <v>0</v>
      </c>
      <c r="I810">
        <v>0</v>
      </c>
      <c r="J810">
        <v>0</v>
      </c>
      <c r="K810">
        <v>0</v>
      </c>
      <c r="L810">
        <v>0</v>
      </c>
      <c r="M810">
        <v>0</v>
      </c>
      <c r="N810">
        <v>0</v>
      </c>
      <c r="P810">
        <v>48.6</v>
      </c>
    </row>
    <row r="811" spans="1:16">
      <c r="A811" t="s">
        <v>842</v>
      </c>
      <c r="B811" s="2">
        <v>45742</v>
      </c>
      <c r="C811" t="s">
        <v>723</v>
      </c>
      <c r="D811" t="s">
        <v>18</v>
      </c>
      <c r="E811" t="s">
        <v>24</v>
      </c>
      <c r="F811" t="s">
        <v>41</v>
      </c>
      <c r="G811" t="s">
        <v>30</v>
      </c>
      <c r="H811">
        <v>1</v>
      </c>
      <c r="I811">
        <v>0</v>
      </c>
      <c r="J811">
        <v>0</v>
      </c>
      <c r="K811">
        <v>0</v>
      </c>
      <c r="L811">
        <v>0</v>
      </c>
      <c r="M811">
        <v>0</v>
      </c>
      <c r="N811">
        <v>0</v>
      </c>
      <c r="P811">
        <v>61.9</v>
      </c>
    </row>
    <row r="812" spans="1:16">
      <c r="A812" t="s">
        <v>843</v>
      </c>
      <c r="B812" s="2">
        <v>45666</v>
      </c>
      <c r="C812" t="s">
        <v>723</v>
      </c>
      <c r="D812" t="s">
        <v>18</v>
      </c>
      <c r="E812" t="s">
        <v>24</v>
      </c>
      <c r="F812" t="s">
        <v>41</v>
      </c>
      <c r="G812" t="s">
        <v>21</v>
      </c>
      <c r="H812">
        <v>0</v>
      </c>
      <c r="I812">
        <v>0</v>
      </c>
      <c r="J812">
        <v>0</v>
      </c>
      <c r="K812">
        <v>0</v>
      </c>
      <c r="L812">
        <v>0</v>
      </c>
      <c r="M812">
        <v>1</v>
      </c>
      <c r="N812">
        <v>0</v>
      </c>
      <c r="P812">
        <v>58.7</v>
      </c>
    </row>
    <row r="813" spans="1:16">
      <c r="A813" t="s">
        <v>844</v>
      </c>
      <c r="B813" s="2">
        <v>45783</v>
      </c>
      <c r="C813" t="s">
        <v>723</v>
      </c>
      <c r="D813" t="s">
        <v>32</v>
      </c>
      <c r="E813" t="s">
        <v>19</v>
      </c>
      <c r="F813" t="s">
        <v>29</v>
      </c>
      <c r="G813" t="s">
        <v>26</v>
      </c>
      <c r="H813">
        <v>1</v>
      </c>
      <c r="I813">
        <v>0</v>
      </c>
      <c r="J813">
        <v>0</v>
      </c>
      <c r="K813">
        <v>0</v>
      </c>
      <c r="L813">
        <v>0</v>
      </c>
      <c r="M813">
        <v>0</v>
      </c>
      <c r="N813">
        <v>0</v>
      </c>
      <c r="P813">
        <v>69.599999999999994</v>
      </c>
    </row>
    <row r="814" spans="1:16">
      <c r="A814" t="s">
        <v>845</v>
      </c>
      <c r="B814" s="2">
        <v>45705</v>
      </c>
      <c r="C814" t="s">
        <v>723</v>
      </c>
      <c r="D814" t="s">
        <v>32</v>
      </c>
      <c r="E814" t="s">
        <v>24</v>
      </c>
      <c r="F814" t="s">
        <v>25</v>
      </c>
      <c r="G814" t="s">
        <v>26</v>
      </c>
      <c r="H814">
        <v>1</v>
      </c>
      <c r="I814">
        <v>0</v>
      </c>
      <c r="J814">
        <v>0</v>
      </c>
      <c r="K814">
        <v>0</v>
      </c>
      <c r="L814">
        <v>0</v>
      </c>
      <c r="M814">
        <v>0</v>
      </c>
      <c r="N814">
        <v>0</v>
      </c>
      <c r="P814">
        <v>51.5</v>
      </c>
    </row>
    <row r="815" spans="1:16">
      <c r="A815" t="s">
        <v>846</v>
      </c>
      <c r="B815" s="2">
        <v>45752</v>
      </c>
      <c r="C815" t="s">
        <v>723</v>
      </c>
      <c r="D815" t="s">
        <v>28</v>
      </c>
      <c r="E815" t="s">
        <v>24</v>
      </c>
      <c r="F815" t="s">
        <v>29</v>
      </c>
      <c r="G815" t="s">
        <v>26</v>
      </c>
      <c r="H815">
        <v>1</v>
      </c>
      <c r="I815">
        <v>1</v>
      </c>
      <c r="J815">
        <v>1</v>
      </c>
      <c r="K815">
        <v>1</v>
      </c>
      <c r="L815">
        <v>277.69</v>
      </c>
      <c r="M815">
        <v>3</v>
      </c>
      <c r="N815">
        <v>0</v>
      </c>
      <c r="O815">
        <v>8</v>
      </c>
      <c r="P815">
        <v>46</v>
      </c>
    </row>
    <row r="816" spans="1:16">
      <c r="A816" t="s">
        <v>847</v>
      </c>
      <c r="B816" s="2">
        <v>45760</v>
      </c>
      <c r="C816" t="s">
        <v>723</v>
      </c>
      <c r="D816" t="s">
        <v>23</v>
      </c>
      <c r="E816" t="s">
        <v>34</v>
      </c>
      <c r="F816" t="s">
        <v>25</v>
      </c>
      <c r="G816" t="s">
        <v>26</v>
      </c>
      <c r="H816">
        <v>1</v>
      </c>
      <c r="I816">
        <v>0</v>
      </c>
      <c r="J816">
        <v>0</v>
      </c>
      <c r="K816">
        <v>0</v>
      </c>
      <c r="L816">
        <v>0</v>
      </c>
      <c r="M816">
        <v>0</v>
      </c>
      <c r="N816">
        <v>0</v>
      </c>
      <c r="P816">
        <v>81.7</v>
      </c>
    </row>
    <row r="817" spans="1:16">
      <c r="A817" t="s">
        <v>848</v>
      </c>
      <c r="B817" s="2">
        <v>45797</v>
      </c>
      <c r="C817" t="s">
        <v>723</v>
      </c>
      <c r="D817" t="s">
        <v>28</v>
      </c>
      <c r="E817" t="s">
        <v>19</v>
      </c>
      <c r="F817" t="s">
        <v>39</v>
      </c>
      <c r="G817" t="s">
        <v>26</v>
      </c>
      <c r="H817">
        <v>1</v>
      </c>
      <c r="I817">
        <v>0</v>
      </c>
      <c r="J817">
        <v>0</v>
      </c>
      <c r="K817">
        <v>0</v>
      </c>
      <c r="L817">
        <v>0</v>
      </c>
      <c r="M817">
        <v>0</v>
      </c>
      <c r="N817">
        <v>0</v>
      </c>
      <c r="P817">
        <v>48.3</v>
      </c>
    </row>
    <row r="818" spans="1:16">
      <c r="A818" t="s">
        <v>849</v>
      </c>
      <c r="B818" s="2">
        <v>45747</v>
      </c>
      <c r="C818" t="s">
        <v>723</v>
      </c>
      <c r="D818" t="s">
        <v>28</v>
      </c>
      <c r="E818" t="s">
        <v>24</v>
      </c>
      <c r="F818" t="s">
        <v>20</v>
      </c>
      <c r="G818" t="s">
        <v>26</v>
      </c>
      <c r="H818">
        <v>1</v>
      </c>
      <c r="I818">
        <v>1</v>
      </c>
      <c r="J818">
        <v>0</v>
      </c>
      <c r="K818">
        <v>0</v>
      </c>
      <c r="L818">
        <v>0</v>
      </c>
      <c r="M818">
        <v>0</v>
      </c>
      <c r="N818">
        <v>0</v>
      </c>
      <c r="P818">
        <v>85.6</v>
      </c>
    </row>
    <row r="819" spans="1:16">
      <c r="A819" t="s">
        <v>850</v>
      </c>
      <c r="B819" s="2">
        <v>45750</v>
      </c>
      <c r="C819" t="s">
        <v>723</v>
      </c>
      <c r="D819" t="s">
        <v>23</v>
      </c>
      <c r="E819" t="s">
        <v>34</v>
      </c>
      <c r="F819" t="s">
        <v>29</v>
      </c>
      <c r="G819" t="s">
        <v>21</v>
      </c>
      <c r="H819">
        <v>1</v>
      </c>
      <c r="I819">
        <v>0</v>
      </c>
      <c r="J819">
        <v>0</v>
      </c>
      <c r="K819">
        <v>0</v>
      </c>
      <c r="L819">
        <v>0</v>
      </c>
      <c r="M819">
        <v>0</v>
      </c>
      <c r="N819">
        <v>0</v>
      </c>
      <c r="P819">
        <v>53.8</v>
      </c>
    </row>
    <row r="820" spans="1:16">
      <c r="A820" t="s">
        <v>851</v>
      </c>
      <c r="B820" s="2">
        <v>45692</v>
      </c>
      <c r="C820" t="s">
        <v>723</v>
      </c>
      <c r="D820" t="s">
        <v>32</v>
      </c>
      <c r="E820" t="s">
        <v>24</v>
      </c>
      <c r="F820" t="s">
        <v>25</v>
      </c>
      <c r="G820" t="s">
        <v>26</v>
      </c>
      <c r="H820">
        <v>1</v>
      </c>
      <c r="I820">
        <v>1</v>
      </c>
      <c r="J820">
        <v>1</v>
      </c>
      <c r="K820">
        <v>1</v>
      </c>
      <c r="L820">
        <v>460.83</v>
      </c>
      <c r="M820">
        <v>2</v>
      </c>
      <c r="N820">
        <v>0</v>
      </c>
      <c r="O820">
        <v>0</v>
      </c>
      <c r="P820">
        <v>69.7</v>
      </c>
    </row>
    <row r="821" spans="1:16">
      <c r="A821" t="s">
        <v>852</v>
      </c>
      <c r="B821" s="2">
        <v>45796</v>
      </c>
      <c r="C821" t="s">
        <v>723</v>
      </c>
      <c r="D821" t="s">
        <v>28</v>
      </c>
      <c r="E821" t="s">
        <v>24</v>
      </c>
      <c r="F821" t="s">
        <v>25</v>
      </c>
      <c r="G821" t="s">
        <v>26</v>
      </c>
      <c r="H821">
        <v>1</v>
      </c>
      <c r="I821">
        <v>0</v>
      </c>
      <c r="J821">
        <v>0</v>
      </c>
      <c r="K821">
        <v>0</v>
      </c>
      <c r="L821">
        <v>0</v>
      </c>
      <c r="M821">
        <v>0</v>
      </c>
      <c r="N821">
        <v>0</v>
      </c>
      <c r="P821">
        <v>74.8</v>
      </c>
    </row>
    <row r="822" spans="1:16">
      <c r="A822" t="s">
        <v>853</v>
      </c>
      <c r="B822" s="2">
        <v>45724</v>
      </c>
      <c r="C822" t="s">
        <v>723</v>
      </c>
      <c r="D822" t="s">
        <v>28</v>
      </c>
      <c r="E822" t="s">
        <v>19</v>
      </c>
      <c r="F822" t="s">
        <v>29</v>
      </c>
      <c r="G822" t="s">
        <v>21</v>
      </c>
      <c r="H822">
        <v>0</v>
      </c>
      <c r="I822">
        <v>0</v>
      </c>
      <c r="J822">
        <v>0</v>
      </c>
      <c r="K822">
        <v>0</v>
      </c>
      <c r="L822">
        <v>0</v>
      </c>
      <c r="M822">
        <v>0</v>
      </c>
      <c r="N822">
        <v>0</v>
      </c>
      <c r="P822">
        <v>87.9</v>
      </c>
    </row>
    <row r="823" spans="1:16">
      <c r="A823" t="s">
        <v>854</v>
      </c>
      <c r="B823" s="2">
        <v>45787</v>
      </c>
      <c r="C823" t="s">
        <v>723</v>
      </c>
      <c r="D823" t="s">
        <v>18</v>
      </c>
      <c r="E823" t="s">
        <v>24</v>
      </c>
      <c r="F823" t="s">
        <v>41</v>
      </c>
      <c r="G823" t="s">
        <v>21</v>
      </c>
      <c r="H823">
        <v>1</v>
      </c>
      <c r="I823">
        <v>0</v>
      </c>
      <c r="J823">
        <v>0</v>
      </c>
      <c r="K823">
        <v>0</v>
      </c>
      <c r="L823">
        <v>0</v>
      </c>
      <c r="M823">
        <v>1</v>
      </c>
      <c r="N823">
        <v>0</v>
      </c>
      <c r="P823">
        <v>49.1</v>
      </c>
    </row>
    <row r="824" spans="1:16">
      <c r="A824" t="s">
        <v>855</v>
      </c>
      <c r="B824" s="2">
        <v>45659</v>
      </c>
      <c r="C824" t="s">
        <v>723</v>
      </c>
      <c r="D824" t="s">
        <v>28</v>
      </c>
      <c r="E824" t="s">
        <v>19</v>
      </c>
      <c r="F824" t="s">
        <v>41</v>
      </c>
      <c r="G824" t="s">
        <v>21</v>
      </c>
      <c r="H824">
        <v>1</v>
      </c>
      <c r="I824">
        <v>0</v>
      </c>
      <c r="J824">
        <v>0</v>
      </c>
      <c r="K824">
        <v>0</v>
      </c>
      <c r="L824">
        <v>0</v>
      </c>
      <c r="M824">
        <v>2</v>
      </c>
      <c r="N824">
        <v>0</v>
      </c>
      <c r="P824">
        <v>73</v>
      </c>
    </row>
    <row r="825" spans="1:16">
      <c r="A825" t="s">
        <v>856</v>
      </c>
      <c r="B825" s="2">
        <v>45674</v>
      </c>
      <c r="C825" t="s">
        <v>723</v>
      </c>
      <c r="D825" t="s">
        <v>23</v>
      </c>
      <c r="E825" t="s">
        <v>24</v>
      </c>
      <c r="F825" t="s">
        <v>25</v>
      </c>
      <c r="G825" t="s">
        <v>21</v>
      </c>
      <c r="H825">
        <v>0</v>
      </c>
      <c r="I825">
        <v>0</v>
      </c>
      <c r="J825">
        <v>0</v>
      </c>
      <c r="K825">
        <v>0</v>
      </c>
      <c r="L825">
        <v>0</v>
      </c>
      <c r="M825">
        <v>0</v>
      </c>
      <c r="N825">
        <v>0</v>
      </c>
      <c r="P825">
        <v>79.5</v>
      </c>
    </row>
    <row r="826" spans="1:16">
      <c r="A826" t="s">
        <v>857</v>
      </c>
      <c r="B826" s="2">
        <v>45798</v>
      </c>
      <c r="C826" t="s">
        <v>723</v>
      </c>
      <c r="D826" t="s">
        <v>23</v>
      </c>
      <c r="E826" t="s">
        <v>24</v>
      </c>
      <c r="F826" t="s">
        <v>39</v>
      </c>
      <c r="G826" t="s">
        <v>21</v>
      </c>
      <c r="H826">
        <v>1</v>
      </c>
      <c r="I826">
        <v>1</v>
      </c>
      <c r="J826">
        <v>1</v>
      </c>
      <c r="K826">
        <v>1</v>
      </c>
      <c r="L826">
        <v>782.23</v>
      </c>
      <c r="M826">
        <v>1</v>
      </c>
      <c r="N826">
        <v>0</v>
      </c>
      <c r="O826">
        <v>6</v>
      </c>
      <c r="P826">
        <v>93.2</v>
      </c>
    </row>
    <row r="827" spans="1:16">
      <c r="A827" t="s">
        <v>858</v>
      </c>
      <c r="B827" s="2">
        <v>45802</v>
      </c>
      <c r="C827" t="s">
        <v>723</v>
      </c>
      <c r="D827" t="s">
        <v>28</v>
      </c>
      <c r="E827" t="s">
        <v>19</v>
      </c>
      <c r="F827" t="s">
        <v>39</v>
      </c>
      <c r="G827" t="s">
        <v>26</v>
      </c>
      <c r="H827">
        <v>1</v>
      </c>
      <c r="I827">
        <v>0</v>
      </c>
      <c r="J827">
        <v>0</v>
      </c>
      <c r="K827">
        <v>0</v>
      </c>
      <c r="L827">
        <v>0</v>
      </c>
      <c r="M827">
        <v>3</v>
      </c>
      <c r="N827">
        <v>0</v>
      </c>
      <c r="P827">
        <v>77.5</v>
      </c>
    </row>
    <row r="828" spans="1:16">
      <c r="A828" t="s">
        <v>859</v>
      </c>
      <c r="B828" s="2">
        <v>45662</v>
      </c>
      <c r="C828" t="s">
        <v>723</v>
      </c>
      <c r="D828" t="s">
        <v>23</v>
      </c>
      <c r="E828" t="s">
        <v>24</v>
      </c>
      <c r="F828" t="s">
        <v>20</v>
      </c>
      <c r="G828" t="s">
        <v>21</v>
      </c>
      <c r="H828">
        <v>1</v>
      </c>
      <c r="I828">
        <v>0</v>
      </c>
      <c r="J828">
        <v>0</v>
      </c>
      <c r="K828">
        <v>0</v>
      </c>
      <c r="L828">
        <v>0</v>
      </c>
      <c r="M828">
        <v>0</v>
      </c>
      <c r="N828">
        <v>0</v>
      </c>
      <c r="P828">
        <v>61</v>
      </c>
    </row>
    <row r="829" spans="1:16">
      <c r="A829" t="s">
        <v>860</v>
      </c>
      <c r="B829" s="2">
        <v>45712</v>
      </c>
      <c r="C829" t="s">
        <v>723</v>
      </c>
      <c r="D829" t="s">
        <v>32</v>
      </c>
      <c r="E829" t="s">
        <v>19</v>
      </c>
      <c r="F829" t="s">
        <v>25</v>
      </c>
      <c r="G829" t="s">
        <v>26</v>
      </c>
      <c r="H829">
        <v>1</v>
      </c>
      <c r="I829">
        <v>1</v>
      </c>
      <c r="J829">
        <v>0</v>
      </c>
      <c r="K829">
        <v>0</v>
      </c>
      <c r="L829">
        <v>0</v>
      </c>
      <c r="M829">
        <v>0</v>
      </c>
      <c r="N829">
        <v>0</v>
      </c>
      <c r="P829">
        <v>64.900000000000006</v>
      </c>
    </row>
    <row r="830" spans="1:16">
      <c r="A830" t="s">
        <v>861</v>
      </c>
      <c r="B830" s="2">
        <v>45678</v>
      </c>
      <c r="C830" t="s">
        <v>723</v>
      </c>
      <c r="D830" t="s">
        <v>28</v>
      </c>
      <c r="E830" t="s">
        <v>24</v>
      </c>
      <c r="F830" t="s">
        <v>29</v>
      </c>
      <c r="G830" t="s">
        <v>21</v>
      </c>
      <c r="H830">
        <v>1</v>
      </c>
      <c r="I830">
        <v>0</v>
      </c>
      <c r="J830">
        <v>0</v>
      </c>
      <c r="K830">
        <v>0</v>
      </c>
      <c r="L830">
        <v>0</v>
      </c>
      <c r="M830">
        <v>0</v>
      </c>
      <c r="N830">
        <v>0</v>
      </c>
      <c r="P830">
        <v>87.5</v>
      </c>
    </row>
    <row r="831" spans="1:16">
      <c r="A831" t="s">
        <v>862</v>
      </c>
      <c r="B831" s="2">
        <v>45771</v>
      </c>
      <c r="C831" t="s">
        <v>723</v>
      </c>
      <c r="D831" t="s">
        <v>18</v>
      </c>
      <c r="E831" t="s">
        <v>24</v>
      </c>
      <c r="F831" t="s">
        <v>25</v>
      </c>
      <c r="G831" t="s">
        <v>21</v>
      </c>
      <c r="H831">
        <v>1</v>
      </c>
      <c r="I831">
        <v>1</v>
      </c>
      <c r="J831">
        <v>1</v>
      </c>
      <c r="K831">
        <v>1</v>
      </c>
      <c r="L831">
        <v>1171.99</v>
      </c>
      <c r="M831">
        <v>0</v>
      </c>
      <c r="N831">
        <v>0</v>
      </c>
      <c r="O831">
        <v>5</v>
      </c>
      <c r="P831">
        <v>80.599999999999994</v>
      </c>
    </row>
    <row r="832" spans="1:16">
      <c r="A832" t="s">
        <v>863</v>
      </c>
      <c r="B832" s="2">
        <v>45664</v>
      </c>
      <c r="C832" t="s">
        <v>723</v>
      </c>
      <c r="D832" t="s">
        <v>23</v>
      </c>
      <c r="E832" t="s">
        <v>19</v>
      </c>
      <c r="F832" t="s">
        <v>25</v>
      </c>
      <c r="G832" t="s">
        <v>26</v>
      </c>
      <c r="H832">
        <v>1</v>
      </c>
      <c r="I832">
        <v>0</v>
      </c>
      <c r="J832">
        <v>0</v>
      </c>
      <c r="K832">
        <v>0</v>
      </c>
      <c r="L832">
        <v>0</v>
      </c>
      <c r="M832">
        <v>0</v>
      </c>
      <c r="N832">
        <v>0</v>
      </c>
      <c r="P832">
        <v>66.900000000000006</v>
      </c>
    </row>
    <row r="833" spans="1:16">
      <c r="A833" t="s">
        <v>864</v>
      </c>
      <c r="B833" s="2">
        <v>45808</v>
      </c>
      <c r="C833" t="s">
        <v>723</v>
      </c>
      <c r="D833" t="s">
        <v>32</v>
      </c>
      <c r="E833" t="s">
        <v>34</v>
      </c>
      <c r="F833" t="s">
        <v>25</v>
      </c>
      <c r="G833" t="s">
        <v>21</v>
      </c>
      <c r="H833">
        <v>1</v>
      </c>
      <c r="I833">
        <v>1</v>
      </c>
      <c r="J833">
        <v>1</v>
      </c>
      <c r="K833">
        <v>0</v>
      </c>
      <c r="L833">
        <v>0</v>
      </c>
      <c r="M833">
        <v>0</v>
      </c>
      <c r="N833">
        <v>0</v>
      </c>
      <c r="P833">
        <v>58.8</v>
      </c>
    </row>
    <row r="834" spans="1:16">
      <c r="A834" t="s">
        <v>865</v>
      </c>
      <c r="B834" s="2">
        <v>45749</v>
      </c>
      <c r="C834" t="s">
        <v>723</v>
      </c>
      <c r="D834" t="s">
        <v>18</v>
      </c>
      <c r="E834" t="s">
        <v>19</v>
      </c>
      <c r="F834" t="s">
        <v>25</v>
      </c>
      <c r="G834" t="s">
        <v>21</v>
      </c>
      <c r="H834">
        <v>1</v>
      </c>
      <c r="I834">
        <v>1</v>
      </c>
      <c r="J834">
        <v>1</v>
      </c>
      <c r="K834">
        <v>1</v>
      </c>
      <c r="L834">
        <v>1010.4</v>
      </c>
      <c r="M834">
        <v>0</v>
      </c>
      <c r="N834">
        <v>0</v>
      </c>
      <c r="O834">
        <v>4</v>
      </c>
      <c r="P834">
        <v>42.9</v>
      </c>
    </row>
    <row r="835" spans="1:16">
      <c r="A835" t="s">
        <v>866</v>
      </c>
      <c r="B835" s="2">
        <v>45768</v>
      </c>
      <c r="C835" t="s">
        <v>723</v>
      </c>
      <c r="D835" t="s">
        <v>28</v>
      </c>
      <c r="E835" t="s">
        <v>24</v>
      </c>
      <c r="F835" t="s">
        <v>25</v>
      </c>
      <c r="G835" t="s">
        <v>26</v>
      </c>
      <c r="H835">
        <v>1</v>
      </c>
      <c r="I835">
        <v>1</v>
      </c>
      <c r="J835">
        <v>1</v>
      </c>
      <c r="K835">
        <v>0</v>
      </c>
      <c r="L835">
        <v>0</v>
      </c>
      <c r="M835">
        <v>1</v>
      </c>
      <c r="N835">
        <v>0</v>
      </c>
      <c r="P835">
        <v>60.2</v>
      </c>
    </row>
    <row r="836" spans="1:16">
      <c r="A836" t="s">
        <v>867</v>
      </c>
      <c r="B836" s="2">
        <v>45782</v>
      </c>
      <c r="C836" t="s">
        <v>723</v>
      </c>
      <c r="D836" t="s">
        <v>28</v>
      </c>
      <c r="E836" t="s">
        <v>24</v>
      </c>
      <c r="F836" t="s">
        <v>29</v>
      </c>
      <c r="G836" t="s">
        <v>21</v>
      </c>
      <c r="H836">
        <v>1</v>
      </c>
      <c r="I836">
        <v>0</v>
      </c>
      <c r="J836">
        <v>0</v>
      </c>
      <c r="K836">
        <v>0</v>
      </c>
      <c r="L836">
        <v>0</v>
      </c>
      <c r="M836">
        <v>0</v>
      </c>
      <c r="N836">
        <v>0</v>
      </c>
      <c r="P836">
        <v>42.7</v>
      </c>
    </row>
    <row r="837" spans="1:16">
      <c r="A837" t="s">
        <v>868</v>
      </c>
      <c r="B837" s="2">
        <v>45663</v>
      </c>
      <c r="C837" t="s">
        <v>723</v>
      </c>
      <c r="D837" t="s">
        <v>18</v>
      </c>
      <c r="E837" t="s">
        <v>19</v>
      </c>
      <c r="F837" t="s">
        <v>41</v>
      </c>
      <c r="G837" t="s">
        <v>26</v>
      </c>
      <c r="H837">
        <v>1</v>
      </c>
      <c r="I837">
        <v>1</v>
      </c>
      <c r="J837">
        <v>1</v>
      </c>
      <c r="K837">
        <v>1</v>
      </c>
      <c r="L837">
        <v>431.27</v>
      </c>
      <c r="M837">
        <v>0</v>
      </c>
      <c r="N837">
        <v>0</v>
      </c>
      <c r="O837">
        <v>7</v>
      </c>
      <c r="P837">
        <v>60.8</v>
      </c>
    </row>
    <row r="838" spans="1:16">
      <c r="A838" t="s">
        <v>869</v>
      </c>
      <c r="B838" s="2">
        <v>45771</v>
      </c>
      <c r="C838" t="s">
        <v>723</v>
      </c>
      <c r="D838" t="s">
        <v>32</v>
      </c>
      <c r="E838" t="s">
        <v>24</v>
      </c>
      <c r="F838" t="s">
        <v>39</v>
      </c>
      <c r="G838" t="s">
        <v>26</v>
      </c>
      <c r="H838">
        <v>1</v>
      </c>
      <c r="I838">
        <v>1</v>
      </c>
      <c r="J838">
        <v>1</v>
      </c>
      <c r="K838">
        <v>1</v>
      </c>
      <c r="L838">
        <v>428.8</v>
      </c>
      <c r="M838">
        <v>0</v>
      </c>
      <c r="N838">
        <v>0</v>
      </c>
      <c r="O838">
        <v>9</v>
      </c>
      <c r="P838">
        <v>79.3</v>
      </c>
    </row>
    <row r="839" spans="1:16">
      <c r="A839" t="s">
        <v>870</v>
      </c>
      <c r="B839" s="2">
        <v>45768</v>
      </c>
      <c r="C839" t="s">
        <v>723</v>
      </c>
      <c r="D839" t="s">
        <v>32</v>
      </c>
      <c r="E839" t="s">
        <v>24</v>
      </c>
      <c r="F839" t="s">
        <v>25</v>
      </c>
      <c r="G839" t="s">
        <v>21</v>
      </c>
      <c r="H839">
        <v>1</v>
      </c>
      <c r="I839">
        <v>0</v>
      </c>
      <c r="J839">
        <v>0</v>
      </c>
      <c r="K839">
        <v>0</v>
      </c>
      <c r="L839">
        <v>0</v>
      </c>
      <c r="M839">
        <v>1</v>
      </c>
      <c r="N839">
        <v>0</v>
      </c>
      <c r="P839">
        <v>88.6</v>
      </c>
    </row>
    <row r="840" spans="1:16">
      <c r="A840" t="s">
        <v>871</v>
      </c>
      <c r="B840" s="2">
        <v>45697</v>
      </c>
      <c r="C840" t="s">
        <v>723</v>
      </c>
      <c r="D840" t="s">
        <v>23</v>
      </c>
      <c r="E840" t="s">
        <v>24</v>
      </c>
      <c r="F840" t="s">
        <v>25</v>
      </c>
      <c r="G840" t="s">
        <v>21</v>
      </c>
      <c r="H840">
        <v>1</v>
      </c>
      <c r="I840">
        <v>1</v>
      </c>
      <c r="J840">
        <v>1</v>
      </c>
      <c r="K840">
        <v>0</v>
      </c>
      <c r="L840">
        <v>0</v>
      </c>
      <c r="M840">
        <v>0</v>
      </c>
      <c r="N840">
        <v>0</v>
      </c>
      <c r="P840">
        <v>63.1</v>
      </c>
    </row>
    <row r="841" spans="1:16">
      <c r="A841" t="s">
        <v>872</v>
      </c>
      <c r="B841" s="2">
        <v>45666</v>
      </c>
      <c r="C841" t="s">
        <v>723</v>
      </c>
      <c r="D841" t="s">
        <v>28</v>
      </c>
      <c r="E841" t="s">
        <v>24</v>
      </c>
      <c r="F841" t="s">
        <v>25</v>
      </c>
      <c r="G841" t="s">
        <v>30</v>
      </c>
      <c r="H841">
        <v>1</v>
      </c>
      <c r="I841">
        <v>0</v>
      </c>
      <c r="J841">
        <v>0</v>
      </c>
      <c r="K841">
        <v>0</v>
      </c>
      <c r="L841">
        <v>0</v>
      </c>
      <c r="M841">
        <v>0</v>
      </c>
      <c r="N841">
        <v>0</v>
      </c>
      <c r="P841">
        <v>39.700000000000003</v>
      </c>
    </row>
    <row r="842" spans="1:16">
      <c r="A842" t="s">
        <v>873</v>
      </c>
      <c r="B842" s="2">
        <v>45704</v>
      </c>
      <c r="C842" t="s">
        <v>723</v>
      </c>
      <c r="D842" t="s">
        <v>18</v>
      </c>
      <c r="E842" t="s">
        <v>24</v>
      </c>
      <c r="F842" t="s">
        <v>29</v>
      </c>
      <c r="G842" t="s">
        <v>21</v>
      </c>
      <c r="H842">
        <v>0</v>
      </c>
      <c r="I842">
        <v>0</v>
      </c>
      <c r="J842">
        <v>0</v>
      </c>
      <c r="K842">
        <v>0</v>
      </c>
      <c r="L842">
        <v>0</v>
      </c>
      <c r="M842">
        <v>0</v>
      </c>
      <c r="N842">
        <v>0</v>
      </c>
      <c r="P842">
        <v>67.2</v>
      </c>
    </row>
    <row r="843" spans="1:16">
      <c r="A843" t="s">
        <v>874</v>
      </c>
      <c r="B843" s="2">
        <v>45709</v>
      </c>
      <c r="C843" t="s">
        <v>723</v>
      </c>
      <c r="D843" t="s">
        <v>32</v>
      </c>
      <c r="E843" t="s">
        <v>24</v>
      </c>
      <c r="F843" t="s">
        <v>25</v>
      </c>
      <c r="G843" t="s">
        <v>26</v>
      </c>
      <c r="H843">
        <v>1</v>
      </c>
      <c r="I843">
        <v>1</v>
      </c>
      <c r="J843">
        <v>1</v>
      </c>
      <c r="K843">
        <v>0</v>
      </c>
      <c r="L843">
        <v>0</v>
      </c>
      <c r="M843">
        <v>0</v>
      </c>
      <c r="N843">
        <v>0</v>
      </c>
      <c r="P843">
        <v>62.3</v>
      </c>
    </row>
    <row r="844" spans="1:16">
      <c r="A844" t="s">
        <v>875</v>
      </c>
      <c r="B844" s="2">
        <v>45696</v>
      </c>
      <c r="C844" t="s">
        <v>723</v>
      </c>
      <c r="D844" t="s">
        <v>32</v>
      </c>
      <c r="E844" t="s">
        <v>24</v>
      </c>
      <c r="F844" t="s">
        <v>25</v>
      </c>
      <c r="G844" t="s">
        <v>30</v>
      </c>
      <c r="H844">
        <v>1</v>
      </c>
      <c r="I844">
        <v>0</v>
      </c>
      <c r="J844">
        <v>0</v>
      </c>
      <c r="K844">
        <v>0</v>
      </c>
      <c r="L844">
        <v>0</v>
      </c>
      <c r="M844">
        <v>0</v>
      </c>
      <c r="N844">
        <v>0</v>
      </c>
    </row>
    <row r="845" spans="1:16">
      <c r="A845" t="s">
        <v>876</v>
      </c>
      <c r="B845" s="2">
        <v>45679</v>
      </c>
      <c r="C845" t="s">
        <v>723</v>
      </c>
      <c r="D845" t="s">
        <v>32</v>
      </c>
      <c r="E845" t="s">
        <v>24</v>
      </c>
      <c r="F845" t="s">
        <v>29</v>
      </c>
      <c r="G845" t="s">
        <v>30</v>
      </c>
      <c r="H845">
        <v>0</v>
      </c>
      <c r="I845">
        <v>0</v>
      </c>
      <c r="J845">
        <v>0</v>
      </c>
      <c r="K845">
        <v>0</v>
      </c>
      <c r="L845">
        <v>0</v>
      </c>
      <c r="M845">
        <v>0</v>
      </c>
      <c r="N845">
        <v>0</v>
      </c>
      <c r="P845">
        <v>60.7</v>
      </c>
    </row>
    <row r="846" spans="1:16">
      <c r="A846" t="s">
        <v>877</v>
      </c>
      <c r="B846" s="2">
        <v>45748</v>
      </c>
      <c r="C846" t="s">
        <v>723</v>
      </c>
      <c r="D846" t="s">
        <v>23</v>
      </c>
      <c r="E846" t="s">
        <v>24</v>
      </c>
      <c r="F846" t="s">
        <v>25</v>
      </c>
      <c r="G846" t="s">
        <v>21</v>
      </c>
      <c r="H846">
        <v>1</v>
      </c>
      <c r="I846">
        <v>0</v>
      </c>
      <c r="J846">
        <v>0</v>
      </c>
      <c r="K846">
        <v>0</v>
      </c>
      <c r="L846">
        <v>0</v>
      </c>
      <c r="M846">
        <v>0</v>
      </c>
      <c r="N846">
        <v>0</v>
      </c>
      <c r="P846">
        <v>61.5</v>
      </c>
    </row>
    <row r="847" spans="1:16">
      <c r="A847" t="s">
        <v>878</v>
      </c>
      <c r="B847" s="2">
        <v>45678</v>
      </c>
      <c r="C847" t="s">
        <v>723</v>
      </c>
      <c r="D847" t="s">
        <v>18</v>
      </c>
      <c r="E847" t="s">
        <v>24</v>
      </c>
      <c r="F847" t="s">
        <v>29</v>
      </c>
      <c r="G847" t="s">
        <v>21</v>
      </c>
      <c r="H847">
        <v>1</v>
      </c>
      <c r="I847">
        <v>0</v>
      </c>
      <c r="J847">
        <v>0</v>
      </c>
      <c r="K847">
        <v>0</v>
      </c>
      <c r="L847">
        <v>0</v>
      </c>
      <c r="M847">
        <v>0</v>
      </c>
      <c r="N847">
        <v>0</v>
      </c>
      <c r="P847">
        <v>75</v>
      </c>
    </row>
    <row r="848" spans="1:16">
      <c r="A848" t="s">
        <v>879</v>
      </c>
      <c r="B848" s="2">
        <v>45659</v>
      </c>
      <c r="C848" t="s">
        <v>723</v>
      </c>
      <c r="D848" t="s">
        <v>28</v>
      </c>
      <c r="E848" t="s">
        <v>19</v>
      </c>
      <c r="F848" t="s">
        <v>25</v>
      </c>
      <c r="G848" t="s">
        <v>26</v>
      </c>
      <c r="H848">
        <v>1</v>
      </c>
      <c r="I848">
        <v>1</v>
      </c>
      <c r="J848">
        <v>0</v>
      </c>
      <c r="K848">
        <v>0</v>
      </c>
      <c r="L848">
        <v>0</v>
      </c>
      <c r="M848">
        <v>0</v>
      </c>
      <c r="N848">
        <v>0</v>
      </c>
      <c r="P848">
        <v>51.9</v>
      </c>
    </row>
    <row r="849" spans="1:16">
      <c r="A849" t="s">
        <v>880</v>
      </c>
      <c r="B849" s="2">
        <v>45789</v>
      </c>
      <c r="C849" t="s">
        <v>723</v>
      </c>
      <c r="D849" t="s">
        <v>32</v>
      </c>
      <c r="E849" t="s">
        <v>19</v>
      </c>
      <c r="F849" t="s">
        <v>29</v>
      </c>
      <c r="G849" t="s">
        <v>26</v>
      </c>
      <c r="H849">
        <v>0</v>
      </c>
      <c r="I849">
        <v>0</v>
      </c>
      <c r="J849">
        <v>0</v>
      </c>
      <c r="K849">
        <v>0</v>
      </c>
      <c r="L849">
        <v>0</v>
      </c>
      <c r="M849">
        <v>0</v>
      </c>
      <c r="N849">
        <v>0</v>
      </c>
      <c r="P849">
        <v>34.5</v>
      </c>
    </row>
    <row r="850" spans="1:16">
      <c r="A850" t="s">
        <v>881</v>
      </c>
      <c r="B850" s="2">
        <v>45721</v>
      </c>
      <c r="C850" t="s">
        <v>723</v>
      </c>
      <c r="D850" t="s">
        <v>32</v>
      </c>
      <c r="E850" t="s">
        <v>24</v>
      </c>
      <c r="F850" t="s">
        <v>41</v>
      </c>
      <c r="G850" t="s">
        <v>21</v>
      </c>
      <c r="H850">
        <v>0</v>
      </c>
      <c r="I850">
        <v>0</v>
      </c>
      <c r="J850">
        <v>0</v>
      </c>
      <c r="K850">
        <v>0</v>
      </c>
      <c r="L850">
        <v>0</v>
      </c>
      <c r="M850">
        <v>0</v>
      </c>
      <c r="N850">
        <v>0</v>
      </c>
      <c r="P850">
        <v>54.5</v>
      </c>
    </row>
    <row r="851" spans="1:16">
      <c r="A851" t="s">
        <v>882</v>
      </c>
      <c r="B851" s="2">
        <v>45681</v>
      </c>
      <c r="C851" t="s">
        <v>723</v>
      </c>
      <c r="D851" t="s">
        <v>28</v>
      </c>
      <c r="E851" t="s">
        <v>24</v>
      </c>
      <c r="F851" t="s">
        <v>25</v>
      </c>
      <c r="G851" t="s">
        <v>26</v>
      </c>
      <c r="H851">
        <v>0</v>
      </c>
      <c r="I851">
        <v>0</v>
      </c>
      <c r="J851">
        <v>0</v>
      </c>
      <c r="K851">
        <v>0</v>
      </c>
      <c r="L851">
        <v>0</v>
      </c>
      <c r="M851">
        <v>0</v>
      </c>
      <c r="N851">
        <v>0</v>
      </c>
      <c r="P851">
        <v>46</v>
      </c>
    </row>
    <row r="852" spans="1:16">
      <c r="A852" t="s">
        <v>883</v>
      </c>
      <c r="B852" s="2">
        <v>45688</v>
      </c>
      <c r="C852" t="s">
        <v>723</v>
      </c>
      <c r="D852" t="s">
        <v>28</v>
      </c>
      <c r="E852" t="s">
        <v>19</v>
      </c>
      <c r="F852" t="s">
        <v>20</v>
      </c>
      <c r="G852" t="s">
        <v>26</v>
      </c>
      <c r="H852">
        <v>1</v>
      </c>
      <c r="I852">
        <v>1</v>
      </c>
      <c r="J852">
        <v>1</v>
      </c>
      <c r="K852">
        <v>0</v>
      </c>
      <c r="L852">
        <v>0</v>
      </c>
      <c r="M852">
        <v>0</v>
      </c>
      <c r="N852">
        <v>0</v>
      </c>
      <c r="P852">
        <v>88.4</v>
      </c>
    </row>
    <row r="853" spans="1:16">
      <c r="A853" t="s">
        <v>884</v>
      </c>
      <c r="B853" s="2">
        <v>45681</v>
      </c>
      <c r="C853" t="s">
        <v>723</v>
      </c>
      <c r="D853" t="s">
        <v>18</v>
      </c>
      <c r="E853" t="s">
        <v>34</v>
      </c>
      <c r="F853" t="s">
        <v>25</v>
      </c>
      <c r="G853" t="s">
        <v>21</v>
      </c>
      <c r="H853">
        <v>1</v>
      </c>
      <c r="I853">
        <v>0</v>
      </c>
      <c r="J853">
        <v>0</v>
      </c>
      <c r="K853">
        <v>0</v>
      </c>
      <c r="L853">
        <v>0</v>
      </c>
      <c r="M853">
        <v>0</v>
      </c>
      <c r="N853">
        <v>0</v>
      </c>
      <c r="P853">
        <v>69.5</v>
      </c>
    </row>
    <row r="854" spans="1:16">
      <c r="A854" t="s">
        <v>885</v>
      </c>
      <c r="B854" s="2">
        <v>45702</v>
      </c>
      <c r="C854" t="s">
        <v>723</v>
      </c>
      <c r="D854" t="s">
        <v>18</v>
      </c>
      <c r="E854" t="s">
        <v>19</v>
      </c>
      <c r="F854" t="s">
        <v>39</v>
      </c>
      <c r="G854" t="s">
        <v>21</v>
      </c>
      <c r="H854">
        <v>1</v>
      </c>
      <c r="I854">
        <v>1</v>
      </c>
      <c r="J854">
        <v>1</v>
      </c>
      <c r="K854">
        <v>0</v>
      </c>
      <c r="L854">
        <v>0</v>
      </c>
      <c r="M854">
        <v>0</v>
      </c>
      <c r="N854">
        <v>0</v>
      </c>
      <c r="P854">
        <v>74.2</v>
      </c>
    </row>
    <row r="855" spans="1:16">
      <c r="A855" t="s">
        <v>886</v>
      </c>
      <c r="B855" s="2">
        <v>45804</v>
      </c>
      <c r="C855" t="s">
        <v>723</v>
      </c>
      <c r="D855" t="s">
        <v>18</v>
      </c>
      <c r="E855" t="s">
        <v>24</v>
      </c>
      <c r="F855" t="s">
        <v>25</v>
      </c>
      <c r="G855" t="s">
        <v>26</v>
      </c>
      <c r="H855">
        <v>1</v>
      </c>
      <c r="I855">
        <v>1</v>
      </c>
      <c r="J855">
        <v>1</v>
      </c>
      <c r="K855">
        <v>0</v>
      </c>
      <c r="L855">
        <v>0</v>
      </c>
      <c r="M855">
        <v>0</v>
      </c>
      <c r="N855">
        <v>0</v>
      </c>
      <c r="P855">
        <v>72.099999999999994</v>
      </c>
    </row>
    <row r="856" spans="1:16">
      <c r="A856" t="s">
        <v>887</v>
      </c>
      <c r="B856" s="2">
        <v>45716</v>
      </c>
      <c r="C856" t="s">
        <v>723</v>
      </c>
      <c r="D856" t="s">
        <v>18</v>
      </c>
      <c r="E856" t="s">
        <v>24</v>
      </c>
      <c r="F856" t="s">
        <v>29</v>
      </c>
      <c r="G856" t="s">
        <v>26</v>
      </c>
      <c r="H856">
        <v>1</v>
      </c>
      <c r="I856">
        <v>1</v>
      </c>
      <c r="J856">
        <v>1</v>
      </c>
      <c r="K856">
        <v>1</v>
      </c>
      <c r="L856">
        <v>398.33</v>
      </c>
      <c r="M856">
        <v>0</v>
      </c>
      <c r="N856">
        <v>0</v>
      </c>
      <c r="O856">
        <v>5</v>
      </c>
      <c r="P856">
        <v>85.1</v>
      </c>
    </row>
    <row r="857" spans="1:16">
      <c r="A857" t="s">
        <v>888</v>
      </c>
      <c r="B857" s="2">
        <v>45804</v>
      </c>
      <c r="C857" t="s">
        <v>723</v>
      </c>
      <c r="D857" t="s">
        <v>18</v>
      </c>
      <c r="E857" t="s">
        <v>24</v>
      </c>
      <c r="F857" t="s">
        <v>25</v>
      </c>
      <c r="G857" t="s">
        <v>21</v>
      </c>
      <c r="H857">
        <v>1</v>
      </c>
      <c r="I857">
        <v>1</v>
      </c>
      <c r="J857">
        <v>1</v>
      </c>
      <c r="K857">
        <v>0</v>
      </c>
      <c r="L857">
        <v>0</v>
      </c>
      <c r="M857">
        <v>0</v>
      </c>
      <c r="N857">
        <v>0</v>
      </c>
      <c r="P857">
        <v>49.5</v>
      </c>
    </row>
    <row r="858" spans="1:16">
      <c r="A858" t="s">
        <v>889</v>
      </c>
      <c r="B858" s="2">
        <v>45794</v>
      </c>
      <c r="C858" t="s">
        <v>723</v>
      </c>
      <c r="D858" t="s">
        <v>32</v>
      </c>
      <c r="E858" t="s">
        <v>24</v>
      </c>
      <c r="F858" t="s">
        <v>29</v>
      </c>
      <c r="G858" t="s">
        <v>30</v>
      </c>
      <c r="H858">
        <v>0</v>
      </c>
      <c r="I858">
        <v>0</v>
      </c>
      <c r="J858">
        <v>0</v>
      </c>
      <c r="K858">
        <v>0</v>
      </c>
      <c r="L858">
        <v>0</v>
      </c>
      <c r="M858">
        <v>1</v>
      </c>
      <c r="N858">
        <v>0</v>
      </c>
      <c r="P858">
        <v>79</v>
      </c>
    </row>
    <row r="859" spans="1:16">
      <c r="A859" t="s">
        <v>890</v>
      </c>
      <c r="B859" s="2">
        <v>45667</v>
      </c>
      <c r="C859" t="s">
        <v>723</v>
      </c>
      <c r="D859" t="s">
        <v>23</v>
      </c>
      <c r="E859" t="s">
        <v>19</v>
      </c>
      <c r="F859" t="s">
        <v>41</v>
      </c>
      <c r="G859" t="s">
        <v>26</v>
      </c>
      <c r="H859">
        <v>0</v>
      </c>
      <c r="I859">
        <v>0</v>
      </c>
      <c r="J859">
        <v>0</v>
      </c>
      <c r="K859">
        <v>0</v>
      </c>
      <c r="L859">
        <v>0</v>
      </c>
      <c r="M859">
        <v>0</v>
      </c>
      <c r="N859">
        <v>0</v>
      </c>
      <c r="P859">
        <v>71.8</v>
      </c>
    </row>
    <row r="860" spans="1:16">
      <c r="A860" t="s">
        <v>891</v>
      </c>
      <c r="B860" s="2">
        <v>45769</v>
      </c>
      <c r="C860" t="s">
        <v>723</v>
      </c>
      <c r="D860" t="s">
        <v>18</v>
      </c>
      <c r="E860" t="s">
        <v>24</v>
      </c>
      <c r="F860" t="s">
        <v>20</v>
      </c>
      <c r="G860" t="s">
        <v>21</v>
      </c>
      <c r="H860">
        <v>1</v>
      </c>
      <c r="I860">
        <v>1</v>
      </c>
      <c r="J860">
        <v>1</v>
      </c>
      <c r="K860">
        <v>1</v>
      </c>
      <c r="L860">
        <v>1117.54</v>
      </c>
      <c r="M860">
        <v>0</v>
      </c>
      <c r="N860">
        <v>0</v>
      </c>
      <c r="O860">
        <v>6</v>
      </c>
      <c r="P860">
        <v>60.4</v>
      </c>
    </row>
    <row r="861" spans="1:16">
      <c r="A861" t="s">
        <v>892</v>
      </c>
      <c r="B861" s="2">
        <v>45718</v>
      </c>
      <c r="C861" t="s">
        <v>723</v>
      </c>
      <c r="D861" t="s">
        <v>32</v>
      </c>
      <c r="E861" t="s">
        <v>19</v>
      </c>
      <c r="F861" t="s">
        <v>25</v>
      </c>
      <c r="G861" t="s">
        <v>21</v>
      </c>
      <c r="H861">
        <v>1</v>
      </c>
      <c r="I861">
        <v>0</v>
      </c>
      <c r="J861">
        <v>0</v>
      </c>
      <c r="K861">
        <v>0</v>
      </c>
      <c r="L861">
        <v>0</v>
      </c>
      <c r="M861">
        <v>2</v>
      </c>
      <c r="N861">
        <v>0</v>
      </c>
      <c r="P861">
        <v>38.299999999999997</v>
      </c>
    </row>
    <row r="862" spans="1:16">
      <c r="A862" t="s">
        <v>893</v>
      </c>
      <c r="B862" s="2">
        <v>45739</v>
      </c>
      <c r="C862" t="s">
        <v>723</v>
      </c>
      <c r="D862" t="s">
        <v>28</v>
      </c>
      <c r="E862" t="s">
        <v>24</v>
      </c>
      <c r="F862" t="s">
        <v>29</v>
      </c>
      <c r="G862" t="s">
        <v>26</v>
      </c>
      <c r="H862">
        <v>1</v>
      </c>
      <c r="I862">
        <v>1</v>
      </c>
      <c r="J862">
        <v>1</v>
      </c>
      <c r="K862">
        <v>0</v>
      </c>
      <c r="L862">
        <v>0</v>
      </c>
      <c r="M862">
        <v>0</v>
      </c>
      <c r="N862">
        <v>0</v>
      </c>
      <c r="P862">
        <v>79.599999999999994</v>
      </c>
    </row>
    <row r="863" spans="1:16">
      <c r="A863" t="s">
        <v>894</v>
      </c>
      <c r="B863" s="2">
        <v>45700</v>
      </c>
      <c r="C863" t="s">
        <v>723</v>
      </c>
      <c r="D863" t="s">
        <v>28</v>
      </c>
      <c r="E863" t="s">
        <v>24</v>
      </c>
      <c r="F863" t="s">
        <v>20</v>
      </c>
      <c r="G863" t="s">
        <v>26</v>
      </c>
      <c r="H863">
        <v>1</v>
      </c>
      <c r="I863">
        <v>1</v>
      </c>
      <c r="J863">
        <v>1</v>
      </c>
      <c r="K863">
        <v>0</v>
      </c>
      <c r="L863">
        <v>0</v>
      </c>
      <c r="M863">
        <v>0</v>
      </c>
      <c r="N863">
        <v>0</v>
      </c>
      <c r="P863">
        <v>71.900000000000006</v>
      </c>
    </row>
    <row r="864" spans="1:16">
      <c r="A864" t="s">
        <v>895</v>
      </c>
      <c r="B864" s="2">
        <v>45780</v>
      </c>
      <c r="C864" t="s">
        <v>723</v>
      </c>
      <c r="D864" t="s">
        <v>32</v>
      </c>
      <c r="E864" t="s">
        <v>24</v>
      </c>
      <c r="F864" t="s">
        <v>39</v>
      </c>
      <c r="G864" t="s">
        <v>21</v>
      </c>
      <c r="H864">
        <v>1</v>
      </c>
      <c r="I864">
        <v>0</v>
      </c>
      <c r="J864">
        <v>0</v>
      </c>
      <c r="K864">
        <v>0</v>
      </c>
      <c r="L864">
        <v>0</v>
      </c>
      <c r="M864">
        <v>0</v>
      </c>
      <c r="N864">
        <v>0</v>
      </c>
      <c r="P864">
        <v>54.6</v>
      </c>
    </row>
    <row r="865" spans="1:16">
      <c r="A865" t="s">
        <v>896</v>
      </c>
      <c r="B865" s="2">
        <v>45744</v>
      </c>
      <c r="C865" t="s">
        <v>723</v>
      </c>
      <c r="D865" t="s">
        <v>18</v>
      </c>
      <c r="E865" t="s">
        <v>19</v>
      </c>
      <c r="F865" t="s">
        <v>41</v>
      </c>
      <c r="G865" t="s">
        <v>26</v>
      </c>
      <c r="H865">
        <v>1</v>
      </c>
      <c r="I865">
        <v>0</v>
      </c>
      <c r="J865">
        <v>0</v>
      </c>
      <c r="K865">
        <v>0</v>
      </c>
      <c r="L865">
        <v>0</v>
      </c>
      <c r="M865">
        <v>3</v>
      </c>
      <c r="N865">
        <v>0</v>
      </c>
      <c r="P865">
        <v>49.3</v>
      </c>
    </row>
    <row r="866" spans="1:16">
      <c r="A866" t="s">
        <v>897</v>
      </c>
      <c r="B866" s="2">
        <v>45728</v>
      </c>
      <c r="C866" t="s">
        <v>723</v>
      </c>
      <c r="D866" t="s">
        <v>18</v>
      </c>
      <c r="E866" t="s">
        <v>24</v>
      </c>
      <c r="F866" t="s">
        <v>41</v>
      </c>
      <c r="G866" t="s">
        <v>21</v>
      </c>
      <c r="H866">
        <v>0</v>
      </c>
      <c r="I866">
        <v>0</v>
      </c>
      <c r="J866">
        <v>0</v>
      </c>
      <c r="K866">
        <v>0</v>
      </c>
      <c r="L866">
        <v>0</v>
      </c>
      <c r="M866">
        <v>1</v>
      </c>
      <c r="N866">
        <v>0</v>
      </c>
      <c r="P866">
        <v>66.900000000000006</v>
      </c>
    </row>
    <row r="867" spans="1:16">
      <c r="A867" t="s">
        <v>898</v>
      </c>
      <c r="B867" s="2">
        <v>45774</v>
      </c>
      <c r="C867" t="s">
        <v>723</v>
      </c>
      <c r="D867" t="s">
        <v>28</v>
      </c>
      <c r="E867" t="s">
        <v>24</v>
      </c>
      <c r="F867" t="s">
        <v>29</v>
      </c>
      <c r="G867" t="s">
        <v>26</v>
      </c>
      <c r="H867">
        <v>1</v>
      </c>
      <c r="I867">
        <v>0</v>
      </c>
      <c r="J867">
        <v>0</v>
      </c>
      <c r="K867">
        <v>0</v>
      </c>
      <c r="L867">
        <v>0</v>
      </c>
      <c r="M867">
        <v>1</v>
      </c>
      <c r="N867">
        <v>0</v>
      </c>
      <c r="P867">
        <v>77.8</v>
      </c>
    </row>
    <row r="868" spans="1:16">
      <c r="A868" t="s">
        <v>899</v>
      </c>
      <c r="B868" s="2">
        <v>45749</v>
      </c>
      <c r="C868" t="s">
        <v>723</v>
      </c>
      <c r="D868" t="s">
        <v>32</v>
      </c>
      <c r="E868" t="s">
        <v>24</v>
      </c>
      <c r="F868" t="s">
        <v>39</v>
      </c>
      <c r="G868" t="s">
        <v>21</v>
      </c>
      <c r="H868">
        <v>1</v>
      </c>
      <c r="I868">
        <v>0</v>
      </c>
      <c r="J868">
        <v>0</v>
      </c>
      <c r="K868">
        <v>0</v>
      </c>
      <c r="L868">
        <v>0</v>
      </c>
      <c r="M868">
        <v>0</v>
      </c>
      <c r="N868">
        <v>0</v>
      </c>
      <c r="P868">
        <v>63</v>
      </c>
    </row>
    <row r="869" spans="1:16">
      <c r="A869" t="s">
        <v>900</v>
      </c>
      <c r="B869" s="2">
        <v>45768</v>
      </c>
      <c r="C869" t="s">
        <v>723</v>
      </c>
      <c r="D869" t="s">
        <v>18</v>
      </c>
      <c r="E869" t="s">
        <v>24</v>
      </c>
      <c r="F869" t="s">
        <v>41</v>
      </c>
      <c r="G869" t="s">
        <v>26</v>
      </c>
      <c r="H869">
        <v>0</v>
      </c>
      <c r="I869">
        <v>0</v>
      </c>
      <c r="J869">
        <v>0</v>
      </c>
      <c r="K869">
        <v>0</v>
      </c>
      <c r="L869">
        <v>0</v>
      </c>
      <c r="M869">
        <v>0</v>
      </c>
      <c r="N869">
        <v>0</v>
      </c>
      <c r="P869">
        <v>79.8</v>
      </c>
    </row>
    <row r="870" spans="1:16">
      <c r="A870" t="s">
        <v>901</v>
      </c>
      <c r="B870" s="2">
        <v>45683</v>
      </c>
      <c r="C870" t="s">
        <v>723</v>
      </c>
      <c r="D870" t="s">
        <v>23</v>
      </c>
      <c r="E870" t="s">
        <v>19</v>
      </c>
      <c r="F870" t="s">
        <v>25</v>
      </c>
      <c r="G870" t="s">
        <v>21</v>
      </c>
      <c r="H870">
        <v>0</v>
      </c>
      <c r="I870">
        <v>0</v>
      </c>
      <c r="J870">
        <v>0</v>
      </c>
      <c r="K870">
        <v>0</v>
      </c>
      <c r="L870">
        <v>0</v>
      </c>
      <c r="M870">
        <v>0</v>
      </c>
      <c r="N870">
        <v>0</v>
      </c>
      <c r="P870">
        <v>69.900000000000006</v>
      </c>
    </row>
    <row r="871" spans="1:16">
      <c r="A871" t="s">
        <v>902</v>
      </c>
      <c r="B871" s="2">
        <v>45663</v>
      </c>
      <c r="C871" t="s">
        <v>723</v>
      </c>
      <c r="D871" t="s">
        <v>23</v>
      </c>
      <c r="E871" t="s">
        <v>24</v>
      </c>
      <c r="F871" t="s">
        <v>25</v>
      </c>
      <c r="G871" t="s">
        <v>26</v>
      </c>
      <c r="H871">
        <v>0</v>
      </c>
      <c r="I871">
        <v>0</v>
      </c>
      <c r="J871">
        <v>0</v>
      </c>
      <c r="K871">
        <v>0</v>
      </c>
      <c r="L871">
        <v>0</v>
      </c>
      <c r="M871">
        <v>1</v>
      </c>
      <c r="N871">
        <v>0</v>
      </c>
      <c r="P871">
        <v>66.400000000000006</v>
      </c>
    </row>
    <row r="872" spans="1:16">
      <c r="A872" t="s">
        <v>903</v>
      </c>
      <c r="B872" s="2">
        <v>45695</v>
      </c>
      <c r="C872" t="s">
        <v>723</v>
      </c>
      <c r="D872" t="s">
        <v>28</v>
      </c>
      <c r="E872" t="s">
        <v>24</v>
      </c>
      <c r="F872" t="s">
        <v>25</v>
      </c>
      <c r="G872" t="s">
        <v>26</v>
      </c>
      <c r="H872">
        <v>1</v>
      </c>
      <c r="I872">
        <v>0</v>
      </c>
      <c r="J872">
        <v>0</v>
      </c>
      <c r="K872">
        <v>0</v>
      </c>
      <c r="L872">
        <v>0</v>
      </c>
      <c r="M872">
        <v>0</v>
      </c>
      <c r="N872">
        <v>0</v>
      </c>
      <c r="P872">
        <v>27.6</v>
      </c>
    </row>
    <row r="873" spans="1:16">
      <c r="A873" t="s">
        <v>904</v>
      </c>
      <c r="B873" s="2">
        <v>45784</v>
      </c>
      <c r="C873" t="s">
        <v>723</v>
      </c>
      <c r="D873" t="s">
        <v>23</v>
      </c>
      <c r="E873" t="s">
        <v>24</v>
      </c>
      <c r="F873" t="s">
        <v>25</v>
      </c>
      <c r="G873" t="s">
        <v>30</v>
      </c>
      <c r="H873">
        <v>1</v>
      </c>
      <c r="I873">
        <v>0</v>
      </c>
      <c r="J873">
        <v>0</v>
      </c>
      <c r="K873">
        <v>0</v>
      </c>
      <c r="L873">
        <v>0</v>
      </c>
      <c r="M873">
        <v>1</v>
      </c>
      <c r="N873">
        <v>0</v>
      </c>
      <c r="P873">
        <v>56.5</v>
      </c>
    </row>
    <row r="874" spans="1:16">
      <c r="A874" t="s">
        <v>905</v>
      </c>
      <c r="B874" s="2">
        <v>45769</v>
      </c>
      <c r="C874" t="s">
        <v>723</v>
      </c>
      <c r="D874" t="s">
        <v>23</v>
      </c>
      <c r="F874" t="s">
        <v>41</v>
      </c>
      <c r="G874" t="s">
        <v>26</v>
      </c>
      <c r="H874">
        <v>1</v>
      </c>
      <c r="I874">
        <v>0</v>
      </c>
      <c r="J874">
        <v>0</v>
      </c>
      <c r="K874">
        <v>0</v>
      </c>
      <c r="L874">
        <v>0</v>
      </c>
      <c r="M874">
        <v>0</v>
      </c>
      <c r="N874">
        <v>0</v>
      </c>
      <c r="P874">
        <v>67.8</v>
      </c>
    </row>
    <row r="875" spans="1:16">
      <c r="A875" t="s">
        <v>906</v>
      </c>
      <c r="B875" s="2">
        <v>45781</v>
      </c>
      <c r="C875" t="s">
        <v>723</v>
      </c>
      <c r="D875" t="s">
        <v>23</v>
      </c>
      <c r="E875" t="s">
        <v>19</v>
      </c>
      <c r="F875" t="s">
        <v>41</v>
      </c>
      <c r="G875" t="s">
        <v>26</v>
      </c>
      <c r="H875">
        <v>1</v>
      </c>
      <c r="I875">
        <v>0</v>
      </c>
      <c r="J875">
        <v>0</v>
      </c>
      <c r="K875">
        <v>0</v>
      </c>
      <c r="L875">
        <v>0</v>
      </c>
      <c r="M875">
        <v>0</v>
      </c>
      <c r="N875">
        <v>0</v>
      </c>
      <c r="P875">
        <v>80</v>
      </c>
    </row>
    <row r="876" spans="1:16">
      <c r="A876" t="s">
        <v>907</v>
      </c>
      <c r="B876" s="2">
        <v>45793</v>
      </c>
      <c r="C876" t="s">
        <v>723</v>
      </c>
      <c r="D876" t="s">
        <v>32</v>
      </c>
      <c r="E876" t="s">
        <v>24</v>
      </c>
      <c r="F876" t="s">
        <v>41</v>
      </c>
      <c r="G876" t="s">
        <v>21</v>
      </c>
      <c r="H876">
        <v>1</v>
      </c>
      <c r="I876">
        <v>1</v>
      </c>
      <c r="J876">
        <v>1</v>
      </c>
      <c r="K876">
        <v>0</v>
      </c>
      <c r="L876">
        <v>0</v>
      </c>
      <c r="M876">
        <v>1</v>
      </c>
      <c r="N876">
        <v>0</v>
      </c>
      <c r="P876">
        <v>80.900000000000006</v>
      </c>
    </row>
    <row r="877" spans="1:16">
      <c r="A877" t="s">
        <v>908</v>
      </c>
      <c r="B877" s="2">
        <v>45699</v>
      </c>
      <c r="C877" t="s">
        <v>723</v>
      </c>
      <c r="D877" t="s">
        <v>23</v>
      </c>
      <c r="E877" t="s">
        <v>24</v>
      </c>
      <c r="F877" t="s">
        <v>29</v>
      </c>
      <c r="G877" t="s">
        <v>26</v>
      </c>
      <c r="H877">
        <v>0</v>
      </c>
      <c r="I877">
        <v>0</v>
      </c>
      <c r="J877">
        <v>0</v>
      </c>
      <c r="K877">
        <v>0</v>
      </c>
      <c r="L877">
        <v>0</v>
      </c>
      <c r="M877">
        <v>0</v>
      </c>
      <c r="N877">
        <v>0</v>
      </c>
      <c r="P877">
        <v>34.5</v>
      </c>
    </row>
    <row r="878" spans="1:16">
      <c r="A878" t="s">
        <v>909</v>
      </c>
      <c r="B878" s="2">
        <v>45786</v>
      </c>
      <c r="C878" t="s">
        <v>723</v>
      </c>
      <c r="D878" t="s">
        <v>28</v>
      </c>
      <c r="E878" t="s">
        <v>19</v>
      </c>
      <c r="F878" t="s">
        <v>25</v>
      </c>
      <c r="G878" t="s">
        <v>30</v>
      </c>
      <c r="H878">
        <v>1</v>
      </c>
      <c r="I878">
        <v>0</v>
      </c>
      <c r="J878">
        <v>0</v>
      </c>
      <c r="K878">
        <v>0</v>
      </c>
      <c r="L878">
        <v>0</v>
      </c>
      <c r="M878">
        <v>0</v>
      </c>
      <c r="N878">
        <v>0</v>
      </c>
      <c r="P878">
        <v>73.5</v>
      </c>
    </row>
    <row r="879" spans="1:16">
      <c r="A879" t="s">
        <v>910</v>
      </c>
      <c r="B879" s="2">
        <v>45697</v>
      </c>
      <c r="C879" t="s">
        <v>723</v>
      </c>
      <c r="D879" t="s">
        <v>32</v>
      </c>
      <c r="E879" t="s">
        <v>19</v>
      </c>
      <c r="F879" t="s">
        <v>29</v>
      </c>
      <c r="G879" t="s">
        <v>26</v>
      </c>
      <c r="H879">
        <v>1</v>
      </c>
      <c r="I879">
        <v>1</v>
      </c>
      <c r="J879">
        <v>0</v>
      </c>
      <c r="K879">
        <v>0</v>
      </c>
      <c r="L879">
        <v>0</v>
      </c>
      <c r="M879">
        <v>0</v>
      </c>
      <c r="N879">
        <v>0</v>
      </c>
      <c r="P879">
        <v>70</v>
      </c>
    </row>
    <row r="880" spans="1:16">
      <c r="A880" t="s">
        <v>911</v>
      </c>
      <c r="B880" s="2">
        <v>45799</v>
      </c>
      <c r="C880" t="s">
        <v>723</v>
      </c>
      <c r="D880" t="s">
        <v>23</v>
      </c>
      <c r="E880" t="s">
        <v>24</v>
      </c>
      <c r="F880" t="s">
        <v>41</v>
      </c>
      <c r="G880" t="s">
        <v>21</v>
      </c>
      <c r="H880">
        <v>0</v>
      </c>
      <c r="I880">
        <v>0</v>
      </c>
      <c r="J880">
        <v>0</v>
      </c>
      <c r="K880">
        <v>0</v>
      </c>
      <c r="L880">
        <v>0</v>
      </c>
      <c r="M880">
        <v>0</v>
      </c>
      <c r="N880">
        <v>0</v>
      </c>
      <c r="P880">
        <v>86.9</v>
      </c>
    </row>
    <row r="881" spans="1:16">
      <c r="A881" t="s">
        <v>912</v>
      </c>
      <c r="B881" s="2">
        <v>45801</v>
      </c>
      <c r="C881" t="s">
        <v>723</v>
      </c>
      <c r="D881" t="s">
        <v>28</v>
      </c>
      <c r="E881" t="s">
        <v>24</v>
      </c>
      <c r="F881" t="s">
        <v>41</v>
      </c>
      <c r="G881" t="s">
        <v>21</v>
      </c>
      <c r="H881">
        <v>0</v>
      </c>
      <c r="I881">
        <v>0</v>
      </c>
      <c r="J881">
        <v>0</v>
      </c>
      <c r="K881">
        <v>0</v>
      </c>
      <c r="L881">
        <v>0</v>
      </c>
      <c r="M881">
        <v>0</v>
      </c>
      <c r="N881">
        <v>0</v>
      </c>
      <c r="P881">
        <v>66.900000000000006</v>
      </c>
    </row>
    <row r="882" spans="1:16">
      <c r="A882" t="s">
        <v>913</v>
      </c>
      <c r="B882" s="2">
        <v>45774</v>
      </c>
      <c r="C882" t="s">
        <v>723</v>
      </c>
      <c r="D882" t="s">
        <v>32</v>
      </c>
      <c r="E882" t="s">
        <v>19</v>
      </c>
      <c r="F882" t="s">
        <v>41</v>
      </c>
      <c r="G882" t="s">
        <v>21</v>
      </c>
      <c r="H882">
        <v>1</v>
      </c>
      <c r="I882">
        <v>1</v>
      </c>
      <c r="J882">
        <v>1</v>
      </c>
      <c r="K882">
        <v>0</v>
      </c>
      <c r="L882">
        <v>0</v>
      </c>
      <c r="M882">
        <v>0</v>
      </c>
      <c r="N882">
        <v>0</v>
      </c>
      <c r="P882">
        <v>58.3</v>
      </c>
    </row>
    <row r="883" spans="1:16">
      <c r="A883" t="s">
        <v>914</v>
      </c>
      <c r="B883" s="2">
        <v>45735</v>
      </c>
      <c r="C883" t="s">
        <v>723</v>
      </c>
      <c r="D883" t="s">
        <v>28</v>
      </c>
      <c r="E883" t="s">
        <v>24</v>
      </c>
      <c r="F883" t="s">
        <v>29</v>
      </c>
      <c r="G883" t="s">
        <v>26</v>
      </c>
      <c r="H883">
        <v>1</v>
      </c>
      <c r="I883">
        <v>0</v>
      </c>
      <c r="J883">
        <v>0</v>
      </c>
      <c r="K883">
        <v>0</v>
      </c>
      <c r="L883">
        <v>0</v>
      </c>
      <c r="M883">
        <v>0</v>
      </c>
      <c r="N883">
        <v>0</v>
      </c>
      <c r="P883">
        <v>45</v>
      </c>
    </row>
    <row r="884" spans="1:16">
      <c r="A884" t="s">
        <v>915</v>
      </c>
      <c r="B884" s="2">
        <v>45797</v>
      </c>
      <c r="C884" t="s">
        <v>723</v>
      </c>
      <c r="D884" t="s">
        <v>32</v>
      </c>
      <c r="E884" t="s">
        <v>24</v>
      </c>
      <c r="F884" t="s">
        <v>25</v>
      </c>
      <c r="G884" t="s">
        <v>30</v>
      </c>
      <c r="H884">
        <v>0</v>
      </c>
      <c r="I884">
        <v>0</v>
      </c>
      <c r="J884">
        <v>0</v>
      </c>
      <c r="K884">
        <v>0</v>
      </c>
      <c r="L884">
        <v>0</v>
      </c>
      <c r="M884">
        <v>0</v>
      </c>
      <c r="N884">
        <v>0</v>
      </c>
      <c r="P884">
        <v>60.8</v>
      </c>
    </row>
    <row r="885" spans="1:16">
      <c r="A885" t="s">
        <v>916</v>
      </c>
      <c r="B885" s="2">
        <v>45787</v>
      </c>
      <c r="C885" t="s">
        <v>723</v>
      </c>
      <c r="D885" t="s">
        <v>18</v>
      </c>
      <c r="E885" t="s">
        <v>24</v>
      </c>
      <c r="F885" t="s">
        <v>20</v>
      </c>
      <c r="G885" t="s">
        <v>30</v>
      </c>
      <c r="H885">
        <v>1</v>
      </c>
      <c r="I885">
        <v>0</v>
      </c>
      <c r="J885">
        <v>0</v>
      </c>
      <c r="K885">
        <v>0</v>
      </c>
      <c r="L885">
        <v>0</v>
      </c>
      <c r="M885">
        <v>4</v>
      </c>
      <c r="N885">
        <v>0</v>
      </c>
      <c r="P885">
        <v>53.7</v>
      </c>
    </row>
    <row r="886" spans="1:16">
      <c r="A886" t="s">
        <v>917</v>
      </c>
      <c r="B886" s="2">
        <v>45745</v>
      </c>
      <c r="C886" t="s">
        <v>723</v>
      </c>
      <c r="D886" t="s">
        <v>28</v>
      </c>
      <c r="E886" t="s">
        <v>24</v>
      </c>
      <c r="F886" t="s">
        <v>41</v>
      </c>
      <c r="G886" t="s">
        <v>26</v>
      </c>
      <c r="H886">
        <v>1</v>
      </c>
      <c r="I886">
        <v>1</v>
      </c>
      <c r="J886">
        <v>1</v>
      </c>
      <c r="K886">
        <v>0</v>
      </c>
      <c r="L886">
        <v>0</v>
      </c>
      <c r="M886">
        <v>0</v>
      </c>
      <c r="N886">
        <v>0</v>
      </c>
      <c r="P886">
        <v>48.8</v>
      </c>
    </row>
    <row r="887" spans="1:16">
      <c r="A887" t="s">
        <v>918</v>
      </c>
      <c r="B887" s="2">
        <v>45750</v>
      </c>
      <c r="C887" t="s">
        <v>723</v>
      </c>
      <c r="D887" t="s">
        <v>23</v>
      </c>
      <c r="E887" t="s">
        <v>19</v>
      </c>
      <c r="F887" t="s">
        <v>39</v>
      </c>
      <c r="G887" t="s">
        <v>21</v>
      </c>
      <c r="H887">
        <v>0</v>
      </c>
      <c r="I887">
        <v>0</v>
      </c>
      <c r="J887">
        <v>0</v>
      </c>
      <c r="K887">
        <v>0</v>
      </c>
      <c r="L887">
        <v>0</v>
      </c>
      <c r="M887">
        <v>0</v>
      </c>
      <c r="N887">
        <v>0</v>
      </c>
      <c r="P887">
        <v>52.9</v>
      </c>
    </row>
    <row r="888" spans="1:16">
      <c r="A888" t="s">
        <v>919</v>
      </c>
      <c r="B888" s="2">
        <v>45807</v>
      </c>
      <c r="C888" t="s">
        <v>723</v>
      </c>
      <c r="D888" t="s">
        <v>32</v>
      </c>
      <c r="E888" t="s">
        <v>24</v>
      </c>
      <c r="F888" t="s">
        <v>20</v>
      </c>
      <c r="G888" t="s">
        <v>26</v>
      </c>
      <c r="H888">
        <v>1</v>
      </c>
      <c r="I888">
        <v>0</v>
      </c>
      <c r="J888">
        <v>0</v>
      </c>
      <c r="K888">
        <v>0</v>
      </c>
      <c r="L888">
        <v>0</v>
      </c>
      <c r="M888">
        <v>0</v>
      </c>
      <c r="N888">
        <v>0</v>
      </c>
      <c r="P888">
        <v>42.4</v>
      </c>
    </row>
    <row r="889" spans="1:16">
      <c r="A889" t="s">
        <v>920</v>
      </c>
      <c r="B889" s="2">
        <v>45753</v>
      </c>
      <c r="C889" t="s">
        <v>723</v>
      </c>
      <c r="D889" t="s">
        <v>28</v>
      </c>
      <c r="E889" t="s">
        <v>19</v>
      </c>
      <c r="F889" t="s">
        <v>20</v>
      </c>
      <c r="G889" t="s">
        <v>26</v>
      </c>
      <c r="H889">
        <v>1</v>
      </c>
      <c r="I889">
        <v>0</v>
      </c>
      <c r="J889">
        <v>0</v>
      </c>
      <c r="K889">
        <v>0</v>
      </c>
      <c r="L889">
        <v>0</v>
      </c>
      <c r="M889">
        <v>0</v>
      </c>
      <c r="N889">
        <v>0</v>
      </c>
      <c r="P889">
        <v>58.7</v>
      </c>
    </row>
    <row r="890" spans="1:16">
      <c r="A890" t="s">
        <v>921</v>
      </c>
      <c r="B890" s="2">
        <v>45730</v>
      </c>
      <c r="C890" t="s">
        <v>723</v>
      </c>
      <c r="D890" t="s">
        <v>18</v>
      </c>
      <c r="E890" t="s">
        <v>24</v>
      </c>
      <c r="F890" t="s">
        <v>39</v>
      </c>
      <c r="G890" t="s">
        <v>26</v>
      </c>
      <c r="H890">
        <v>1</v>
      </c>
      <c r="I890">
        <v>1</v>
      </c>
      <c r="J890">
        <v>1</v>
      </c>
      <c r="K890">
        <v>1</v>
      </c>
      <c r="L890">
        <v>2064.5500000000002</v>
      </c>
      <c r="M890">
        <v>0</v>
      </c>
      <c r="N890">
        <v>0</v>
      </c>
      <c r="O890">
        <v>1</v>
      </c>
      <c r="P890">
        <v>67.8</v>
      </c>
    </row>
    <row r="891" spans="1:16">
      <c r="A891" t="s">
        <v>922</v>
      </c>
      <c r="B891" s="2">
        <v>45712</v>
      </c>
      <c r="C891" t="s">
        <v>723</v>
      </c>
      <c r="D891" t="s">
        <v>32</v>
      </c>
      <c r="E891" t="s">
        <v>19</v>
      </c>
      <c r="F891" t="s">
        <v>29</v>
      </c>
      <c r="G891" t="s">
        <v>21</v>
      </c>
      <c r="H891">
        <v>1</v>
      </c>
      <c r="I891">
        <v>0</v>
      </c>
      <c r="J891">
        <v>0</v>
      </c>
      <c r="K891">
        <v>0</v>
      </c>
      <c r="L891">
        <v>0</v>
      </c>
      <c r="M891">
        <v>0</v>
      </c>
      <c r="N891">
        <v>0</v>
      </c>
      <c r="P891">
        <v>62.6</v>
      </c>
    </row>
    <row r="892" spans="1:16">
      <c r="A892" t="s">
        <v>923</v>
      </c>
      <c r="B892" s="2">
        <v>45720</v>
      </c>
      <c r="C892" t="s">
        <v>723</v>
      </c>
      <c r="D892" t="s">
        <v>23</v>
      </c>
      <c r="E892" t="s">
        <v>24</v>
      </c>
      <c r="F892" t="s">
        <v>20</v>
      </c>
      <c r="G892" t="s">
        <v>21</v>
      </c>
      <c r="H892">
        <v>1</v>
      </c>
      <c r="I892">
        <v>0</v>
      </c>
      <c r="J892">
        <v>0</v>
      </c>
      <c r="K892">
        <v>0</v>
      </c>
      <c r="L892">
        <v>0</v>
      </c>
      <c r="M892">
        <v>0</v>
      </c>
      <c r="N892">
        <v>0</v>
      </c>
      <c r="P892">
        <v>82.4</v>
      </c>
    </row>
    <row r="893" spans="1:16">
      <c r="A893" t="s">
        <v>924</v>
      </c>
      <c r="B893" s="2">
        <v>45749</v>
      </c>
      <c r="C893" t="s">
        <v>723</v>
      </c>
      <c r="D893" t="s">
        <v>18</v>
      </c>
      <c r="E893" t="s">
        <v>24</v>
      </c>
      <c r="F893" t="s">
        <v>25</v>
      </c>
      <c r="G893" t="s">
        <v>26</v>
      </c>
      <c r="H893">
        <v>1</v>
      </c>
      <c r="I893">
        <v>1</v>
      </c>
      <c r="J893">
        <v>1</v>
      </c>
      <c r="K893">
        <v>0</v>
      </c>
      <c r="L893">
        <v>0</v>
      </c>
      <c r="M893">
        <v>0</v>
      </c>
      <c r="N893">
        <v>0</v>
      </c>
      <c r="P893">
        <v>50.4</v>
      </c>
    </row>
    <row r="894" spans="1:16">
      <c r="A894" t="s">
        <v>925</v>
      </c>
      <c r="B894" s="2">
        <v>45788</v>
      </c>
      <c r="C894" t="s">
        <v>723</v>
      </c>
      <c r="D894" t="s">
        <v>18</v>
      </c>
      <c r="E894" t="s">
        <v>24</v>
      </c>
      <c r="F894" t="s">
        <v>20</v>
      </c>
      <c r="G894" t="s">
        <v>30</v>
      </c>
      <c r="H894">
        <v>0</v>
      </c>
      <c r="I894">
        <v>0</v>
      </c>
      <c r="J894">
        <v>0</v>
      </c>
      <c r="K894">
        <v>0</v>
      </c>
      <c r="L894">
        <v>0</v>
      </c>
      <c r="M894">
        <v>0</v>
      </c>
      <c r="N894">
        <v>0</v>
      </c>
      <c r="P894">
        <v>68.400000000000006</v>
      </c>
    </row>
    <row r="895" spans="1:16">
      <c r="A895" t="s">
        <v>926</v>
      </c>
      <c r="B895" s="2">
        <v>45787</v>
      </c>
      <c r="C895" t="s">
        <v>723</v>
      </c>
      <c r="D895" t="s">
        <v>23</v>
      </c>
      <c r="E895" t="s">
        <v>34</v>
      </c>
      <c r="F895" t="s">
        <v>29</v>
      </c>
      <c r="G895" t="s">
        <v>21</v>
      </c>
      <c r="H895">
        <v>1</v>
      </c>
      <c r="I895">
        <v>1</v>
      </c>
      <c r="J895">
        <v>1</v>
      </c>
      <c r="K895">
        <v>0</v>
      </c>
      <c r="L895">
        <v>0</v>
      </c>
      <c r="M895">
        <v>0</v>
      </c>
      <c r="N895">
        <v>0</v>
      </c>
      <c r="P895">
        <v>58.8</v>
      </c>
    </row>
    <row r="896" spans="1:16">
      <c r="A896" t="s">
        <v>927</v>
      </c>
      <c r="B896" s="2">
        <v>45783</v>
      </c>
      <c r="C896" t="s">
        <v>723</v>
      </c>
      <c r="D896" t="s">
        <v>23</v>
      </c>
      <c r="E896" t="s">
        <v>24</v>
      </c>
      <c r="F896" t="s">
        <v>39</v>
      </c>
      <c r="G896" t="s">
        <v>26</v>
      </c>
      <c r="H896">
        <v>1</v>
      </c>
      <c r="I896">
        <v>1</v>
      </c>
      <c r="J896">
        <v>0</v>
      </c>
      <c r="K896">
        <v>0</v>
      </c>
      <c r="L896">
        <v>0</v>
      </c>
      <c r="M896">
        <v>2</v>
      </c>
      <c r="N896">
        <v>0</v>
      </c>
      <c r="P896">
        <v>28.3</v>
      </c>
    </row>
    <row r="897" spans="1:16">
      <c r="A897" t="s">
        <v>928</v>
      </c>
      <c r="B897" s="2">
        <v>45699</v>
      </c>
      <c r="C897" t="s">
        <v>723</v>
      </c>
      <c r="D897" t="s">
        <v>23</v>
      </c>
      <c r="E897" t="s">
        <v>19</v>
      </c>
      <c r="F897" t="s">
        <v>29</v>
      </c>
      <c r="G897" t="s">
        <v>26</v>
      </c>
      <c r="H897">
        <v>1</v>
      </c>
      <c r="I897">
        <v>1</v>
      </c>
      <c r="J897">
        <v>0</v>
      </c>
      <c r="K897">
        <v>0</v>
      </c>
      <c r="L897">
        <v>0</v>
      </c>
      <c r="M897">
        <v>0</v>
      </c>
      <c r="N897">
        <v>0</v>
      </c>
      <c r="P897">
        <v>44.1</v>
      </c>
    </row>
    <row r="898" spans="1:16">
      <c r="A898" t="s">
        <v>929</v>
      </c>
      <c r="B898" s="2">
        <v>45786</v>
      </c>
      <c r="C898" t="s">
        <v>723</v>
      </c>
      <c r="D898" t="s">
        <v>32</v>
      </c>
      <c r="E898" t="s">
        <v>24</v>
      </c>
      <c r="F898" t="s">
        <v>29</v>
      </c>
      <c r="G898" t="s">
        <v>30</v>
      </c>
      <c r="H898">
        <v>1</v>
      </c>
      <c r="I898">
        <v>1</v>
      </c>
      <c r="J898">
        <v>0</v>
      </c>
      <c r="K898">
        <v>0</v>
      </c>
      <c r="L898">
        <v>0</v>
      </c>
      <c r="M898">
        <v>0</v>
      </c>
      <c r="N898">
        <v>0</v>
      </c>
      <c r="P898">
        <v>66.7</v>
      </c>
    </row>
    <row r="899" spans="1:16">
      <c r="A899" t="s">
        <v>930</v>
      </c>
      <c r="B899" s="2">
        <v>45690</v>
      </c>
      <c r="C899" t="s">
        <v>723</v>
      </c>
      <c r="D899" t="s">
        <v>32</v>
      </c>
      <c r="E899" t="s">
        <v>24</v>
      </c>
      <c r="G899" t="s">
        <v>26</v>
      </c>
      <c r="H899">
        <v>1</v>
      </c>
      <c r="I899">
        <v>0</v>
      </c>
      <c r="J899">
        <v>0</v>
      </c>
      <c r="K899">
        <v>0</v>
      </c>
      <c r="L899">
        <v>0</v>
      </c>
      <c r="M899">
        <v>0</v>
      </c>
      <c r="N899">
        <v>0</v>
      </c>
      <c r="P899">
        <v>100</v>
      </c>
    </row>
    <row r="900" spans="1:16">
      <c r="A900" t="s">
        <v>931</v>
      </c>
      <c r="B900" s="2">
        <v>45750</v>
      </c>
      <c r="C900" t="s">
        <v>723</v>
      </c>
      <c r="D900" t="s">
        <v>32</v>
      </c>
      <c r="E900" t="s">
        <v>24</v>
      </c>
      <c r="F900" t="s">
        <v>41</v>
      </c>
      <c r="G900" t="s">
        <v>26</v>
      </c>
      <c r="H900">
        <v>1</v>
      </c>
      <c r="I900">
        <v>1</v>
      </c>
      <c r="J900">
        <v>0</v>
      </c>
      <c r="K900">
        <v>0</v>
      </c>
      <c r="L900">
        <v>0</v>
      </c>
      <c r="M900">
        <v>0</v>
      </c>
      <c r="N900">
        <v>0</v>
      </c>
      <c r="P900">
        <v>87.5</v>
      </c>
    </row>
    <row r="901" spans="1:16">
      <c r="A901" t="s">
        <v>932</v>
      </c>
      <c r="B901" s="2">
        <v>45703</v>
      </c>
      <c r="C901" t="s">
        <v>723</v>
      </c>
      <c r="D901" t="s">
        <v>18</v>
      </c>
      <c r="E901" t="s">
        <v>19</v>
      </c>
      <c r="F901" t="s">
        <v>25</v>
      </c>
      <c r="G901" t="s">
        <v>21</v>
      </c>
      <c r="H901">
        <v>1</v>
      </c>
      <c r="I901">
        <v>0</v>
      </c>
      <c r="J901">
        <v>0</v>
      </c>
      <c r="K901">
        <v>0</v>
      </c>
      <c r="L901">
        <v>0</v>
      </c>
      <c r="M901">
        <v>2</v>
      </c>
      <c r="N901">
        <v>0</v>
      </c>
      <c r="P901">
        <v>65.400000000000006</v>
      </c>
    </row>
    <row r="902" spans="1:16">
      <c r="A902" t="s">
        <v>933</v>
      </c>
      <c r="B902" s="2">
        <v>45765</v>
      </c>
      <c r="C902" t="s">
        <v>723</v>
      </c>
      <c r="D902" t="s">
        <v>32</v>
      </c>
      <c r="E902" t="s">
        <v>19</v>
      </c>
      <c r="F902" t="s">
        <v>25</v>
      </c>
      <c r="G902" t="s">
        <v>26</v>
      </c>
      <c r="H902">
        <v>1</v>
      </c>
      <c r="I902">
        <v>0</v>
      </c>
      <c r="J902">
        <v>0</v>
      </c>
      <c r="K902">
        <v>0</v>
      </c>
      <c r="L902">
        <v>0</v>
      </c>
      <c r="M902">
        <v>0</v>
      </c>
      <c r="N902">
        <v>0</v>
      </c>
      <c r="P902">
        <v>22.9</v>
      </c>
    </row>
    <row r="903" spans="1:16">
      <c r="A903" t="s">
        <v>934</v>
      </c>
      <c r="B903" s="2">
        <v>45730</v>
      </c>
      <c r="C903" t="s">
        <v>723</v>
      </c>
      <c r="D903" t="s">
        <v>23</v>
      </c>
      <c r="E903" t="s">
        <v>19</v>
      </c>
      <c r="F903" t="s">
        <v>25</v>
      </c>
      <c r="G903" t="s">
        <v>30</v>
      </c>
      <c r="H903">
        <v>0</v>
      </c>
      <c r="I903">
        <v>0</v>
      </c>
      <c r="J903">
        <v>0</v>
      </c>
      <c r="K903">
        <v>0</v>
      </c>
      <c r="L903">
        <v>0</v>
      </c>
      <c r="M903">
        <v>0</v>
      </c>
      <c r="N903">
        <v>0</v>
      </c>
      <c r="P903">
        <v>64.599999999999994</v>
      </c>
    </row>
    <row r="904" spans="1:16">
      <c r="A904" t="s">
        <v>935</v>
      </c>
      <c r="B904" s="2">
        <v>45745</v>
      </c>
      <c r="C904" t="s">
        <v>723</v>
      </c>
      <c r="D904" t="s">
        <v>32</v>
      </c>
      <c r="E904" t="s">
        <v>24</v>
      </c>
      <c r="F904" t="s">
        <v>39</v>
      </c>
      <c r="G904" t="s">
        <v>26</v>
      </c>
      <c r="H904">
        <v>1</v>
      </c>
      <c r="I904">
        <v>0</v>
      </c>
      <c r="J904">
        <v>0</v>
      </c>
      <c r="K904">
        <v>0</v>
      </c>
      <c r="L904">
        <v>0</v>
      </c>
      <c r="M904">
        <v>2</v>
      </c>
      <c r="N904">
        <v>0</v>
      </c>
      <c r="P904">
        <v>54.4</v>
      </c>
    </row>
    <row r="905" spans="1:16">
      <c r="A905" t="s">
        <v>936</v>
      </c>
      <c r="B905" s="2">
        <v>45701</v>
      </c>
      <c r="C905" t="s">
        <v>723</v>
      </c>
      <c r="D905" t="s">
        <v>18</v>
      </c>
      <c r="E905" t="s">
        <v>19</v>
      </c>
      <c r="F905" t="s">
        <v>25</v>
      </c>
      <c r="G905" t="s">
        <v>26</v>
      </c>
      <c r="H905">
        <v>1</v>
      </c>
      <c r="I905">
        <v>1</v>
      </c>
      <c r="J905">
        <v>1</v>
      </c>
      <c r="K905">
        <v>0</v>
      </c>
      <c r="L905">
        <v>0</v>
      </c>
      <c r="M905">
        <v>0</v>
      </c>
      <c r="N905">
        <v>0</v>
      </c>
      <c r="P905">
        <v>56.8</v>
      </c>
    </row>
    <row r="906" spans="1:16">
      <c r="A906" t="s">
        <v>937</v>
      </c>
      <c r="B906" s="2">
        <v>45680</v>
      </c>
      <c r="C906" t="s">
        <v>723</v>
      </c>
      <c r="D906" t="s">
        <v>32</v>
      </c>
      <c r="E906" t="s">
        <v>24</v>
      </c>
      <c r="F906" t="s">
        <v>29</v>
      </c>
      <c r="G906" t="s">
        <v>26</v>
      </c>
      <c r="H906">
        <v>1</v>
      </c>
      <c r="I906">
        <v>1</v>
      </c>
      <c r="J906">
        <v>1</v>
      </c>
      <c r="K906">
        <v>1</v>
      </c>
      <c r="L906">
        <v>341.38</v>
      </c>
      <c r="M906">
        <v>0</v>
      </c>
      <c r="N906">
        <v>0</v>
      </c>
      <c r="O906">
        <v>2</v>
      </c>
      <c r="P906">
        <v>63.6</v>
      </c>
    </row>
    <row r="907" spans="1:16">
      <c r="A907" t="s">
        <v>938</v>
      </c>
      <c r="B907" s="2">
        <v>45712</v>
      </c>
      <c r="C907" t="s">
        <v>723</v>
      </c>
      <c r="D907" t="s">
        <v>28</v>
      </c>
      <c r="E907" t="s">
        <v>24</v>
      </c>
      <c r="F907" t="s">
        <v>41</v>
      </c>
      <c r="G907" t="s">
        <v>26</v>
      </c>
      <c r="H907">
        <v>1</v>
      </c>
      <c r="I907">
        <v>0</v>
      </c>
      <c r="J907">
        <v>0</v>
      </c>
      <c r="K907">
        <v>0</v>
      </c>
      <c r="L907">
        <v>0</v>
      </c>
      <c r="M907">
        <v>0</v>
      </c>
      <c r="N907">
        <v>0</v>
      </c>
      <c r="P907">
        <v>58.2</v>
      </c>
    </row>
    <row r="908" spans="1:16">
      <c r="A908" t="s">
        <v>939</v>
      </c>
      <c r="B908" s="2">
        <v>45716</v>
      </c>
      <c r="C908" t="s">
        <v>723</v>
      </c>
      <c r="D908" t="s">
        <v>23</v>
      </c>
      <c r="E908" t="s">
        <v>24</v>
      </c>
      <c r="F908" t="s">
        <v>29</v>
      </c>
      <c r="G908" t="s">
        <v>26</v>
      </c>
      <c r="H908">
        <v>1</v>
      </c>
      <c r="I908">
        <v>1</v>
      </c>
      <c r="J908">
        <v>0</v>
      </c>
      <c r="K908">
        <v>0</v>
      </c>
      <c r="L908">
        <v>0</v>
      </c>
      <c r="M908">
        <v>0</v>
      </c>
      <c r="N908">
        <v>0</v>
      </c>
      <c r="P908">
        <v>54.6</v>
      </c>
    </row>
    <row r="909" spans="1:16">
      <c r="A909" t="s">
        <v>940</v>
      </c>
      <c r="B909" s="2">
        <v>45664</v>
      </c>
      <c r="C909" t="s">
        <v>723</v>
      </c>
      <c r="D909" t="s">
        <v>23</v>
      </c>
      <c r="E909" t="s">
        <v>34</v>
      </c>
      <c r="F909" t="s">
        <v>25</v>
      </c>
      <c r="G909" t="s">
        <v>21</v>
      </c>
      <c r="H909">
        <v>1</v>
      </c>
      <c r="I909">
        <v>0</v>
      </c>
      <c r="J909">
        <v>0</v>
      </c>
      <c r="K909">
        <v>0</v>
      </c>
      <c r="L909">
        <v>0</v>
      </c>
      <c r="M909">
        <v>0</v>
      </c>
      <c r="N909">
        <v>0</v>
      </c>
      <c r="P909">
        <v>81.900000000000006</v>
      </c>
    </row>
    <row r="910" spans="1:16">
      <c r="A910" t="s">
        <v>941</v>
      </c>
      <c r="B910" s="2">
        <v>45737</v>
      </c>
      <c r="C910" t="s">
        <v>723</v>
      </c>
      <c r="D910" t="s">
        <v>23</v>
      </c>
      <c r="E910" t="s">
        <v>19</v>
      </c>
      <c r="F910" t="s">
        <v>20</v>
      </c>
      <c r="G910" t="s">
        <v>26</v>
      </c>
      <c r="H910">
        <v>1</v>
      </c>
      <c r="I910">
        <v>0</v>
      </c>
      <c r="J910">
        <v>0</v>
      </c>
      <c r="K910">
        <v>0</v>
      </c>
      <c r="L910">
        <v>0</v>
      </c>
      <c r="M910">
        <v>3</v>
      </c>
      <c r="N910">
        <v>0</v>
      </c>
      <c r="P910">
        <v>53.3</v>
      </c>
    </row>
    <row r="911" spans="1:16">
      <c r="A911" t="s">
        <v>942</v>
      </c>
      <c r="B911" s="2">
        <v>45706</v>
      </c>
      <c r="C911" t="s">
        <v>723</v>
      </c>
      <c r="D911" t="s">
        <v>18</v>
      </c>
      <c r="E911" t="s">
        <v>19</v>
      </c>
      <c r="F911" t="s">
        <v>25</v>
      </c>
      <c r="G911" t="s">
        <v>21</v>
      </c>
      <c r="H911">
        <v>0</v>
      </c>
      <c r="I911">
        <v>0</v>
      </c>
      <c r="J911">
        <v>0</v>
      </c>
      <c r="K911">
        <v>0</v>
      </c>
      <c r="L911">
        <v>0</v>
      </c>
      <c r="M911">
        <v>0</v>
      </c>
      <c r="N911">
        <v>0</v>
      </c>
      <c r="P911">
        <v>54.2</v>
      </c>
    </row>
    <row r="912" spans="1:16">
      <c r="A912" t="s">
        <v>943</v>
      </c>
      <c r="B912" s="2">
        <v>45662</v>
      </c>
      <c r="C912" t="s">
        <v>723</v>
      </c>
      <c r="D912" t="s">
        <v>18</v>
      </c>
      <c r="E912" t="s">
        <v>24</v>
      </c>
      <c r="F912" t="s">
        <v>29</v>
      </c>
      <c r="G912" t="s">
        <v>26</v>
      </c>
      <c r="H912">
        <v>1</v>
      </c>
      <c r="I912">
        <v>1</v>
      </c>
      <c r="J912">
        <v>0</v>
      </c>
      <c r="K912">
        <v>0</v>
      </c>
      <c r="L912">
        <v>0</v>
      </c>
      <c r="M912">
        <v>0</v>
      </c>
      <c r="N912">
        <v>0</v>
      </c>
      <c r="P912">
        <v>65.599999999999994</v>
      </c>
    </row>
    <row r="913" spans="1:16">
      <c r="A913" t="s">
        <v>944</v>
      </c>
      <c r="B913" s="2">
        <v>45727</v>
      </c>
      <c r="C913" t="s">
        <v>723</v>
      </c>
      <c r="D913" t="s">
        <v>28</v>
      </c>
      <c r="E913" t="s">
        <v>19</v>
      </c>
      <c r="F913" t="s">
        <v>25</v>
      </c>
      <c r="G913" t="s">
        <v>21</v>
      </c>
      <c r="H913">
        <v>1</v>
      </c>
      <c r="I913">
        <v>0</v>
      </c>
      <c r="J913">
        <v>0</v>
      </c>
      <c r="K913">
        <v>0</v>
      </c>
      <c r="L913">
        <v>0</v>
      </c>
      <c r="M913">
        <v>1</v>
      </c>
      <c r="N913">
        <v>0</v>
      </c>
      <c r="P913">
        <v>56.5</v>
      </c>
    </row>
    <row r="914" spans="1:16">
      <c r="A914" t="s">
        <v>945</v>
      </c>
      <c r="B914" s="2">
        <v>45666</v>
      </c>
      <c r="C914" t="s">
        <v>723</v>
      </c>
      <c r="D914" t="s">
        <v>18</v>
      </c>
      <c r="E914" t="s">
        <v>19</v>
      </c>
      <c r="F914" t="s">
        <v>25</v>
      </c>
      <c r="G914" t="s">
        <v>21</v>
      </c>
      <c r="H914">
        <v>1</v>
      </c>
      <c r="I914">
        <v>0</v>
      </c>
      <c r="J914">
        <v>0</v>
      </c>
      <c r="K914">
        <v>0</v>
      </c>
      <c r="L914">
        <v>0</v>
      </c>
      <c r="M914">
        <v>0</v>
      </c>
      <c r="N914">
        <v>0</v>
      </c>
      <c r="P914">
        <v>59.7</v>
      </c>
    </row>
    <row r="915" spans="1:16">
      <c r="A915" t="s">
        <v>946</v>
      </c>
      <c r="B915" s="2">
        <v>45665</v>
      </c>
      <c r="C915" t="s">
        <v>723</v>
      </c>
      <c r="D915" t="s">
        <v>32</v>
      </c>
      <c r="E915" t="s">
        <v>24</v>
      </c>
      <c r="F915" t="s">
        <v>25</v>
      </c>
      <c r="G915" t="s">
        <v>26</v>
      </c>
      <c r="H915">
        <v>1</v>
      </c>
      <c r="I915">
        <v>1</v>
      </c>
      <c r="J915">
        <v>1</v>
      </c>
      <c r="K915">
        <v>0</v>
      </c>
      <c r="L915">
        <v>0</v>
      </c>
      <c r="M915">
        <v>0</v>
      </c>
      <c r="N915">
        <v>0</v>
      </c>
      <c r="P915">
        <v>72.5</v>
      </c>
    </row>
    <row r="916" spans="1:16">
      <c r="A916" t="s">
        <v>947</v>
      </c>
      <c r="B916" s="2">
        <v>45778</v>
      </c>
      <c r="C916" t="s">
        <v>723</v>
      </c>
      <c r="D916" t="s">
        <v>28</v>
      </c>
      <c r="E916" t="s">
        <v>19</v>
      </c>
      <c r="F916" t="s">
        <v>29</v>
      </c>
      <c r="G916" t="s">
        <v>26</v>
      </c>
      <c r="H916">
        <v>1</v>
      </c>
      <c r="I916">
        <v>0</v>
      </c>
      <c r="J916">
        <v>0</v>
      </c>
      <c r="K916">
        <v>0</v>
      </c>
      <c r="L916">
        <v>0</v>
      </c>
      <c r="M916">
        <v>0</v>
      </c>
      <c r="N916">
        <v>0</v>
      </c>
      <c r="P916">
        <v>64.3</v>
      </c>
    </row>
    <row r="917" spans="1:16">
      <c r="A917" t="s">
        <v>948</v>
      </c>
      <c r="B917" s="2">
        <v>45719</v>
      </c>
      <c r="C917" t="s">
        <v>723</v>
      </c>
      <c r="D917" t="s">
        <v>32</v>
      </c>
      <c r="E917" t="s">
        <v>24</v>
      </c>
      <c r="F917" t="s">
        <v>41</v>
      </c>
      <c r="G917" t="s">
        <v>26</v>
      </c>
      <c r="H917">
        <v>1</v>
      </c>
      <c r="I917">
        <v>0</v>
      </c>
      <c r="J917">
        <v>0</v>
      </c>
      <c r="K917">
        <v>0</v>
      </c>
      <c r="L917">
        <v>0</v>
      </c>
      <c r="M917">
        <v>0</v>
      </c>
      <c r="N917">
        <v>0</v>
      </c>
      <c r="P917">
        <v>64.5</v>
      </c>
    </row>
    <row r="918" spans="1:16">
      <c r="A918" t="s">
        <v>949</v>
      </c>
      <c r="B918" s="2">
        <v>45711</v>
      </c>
      <c r="C918" t="s">
        <v>723</v>
      </c>
      <c r="D918" t="s">
        <v>23</v>
      </c>
      <c r="E918" t="s">
        <v>19</v>
      </c>
      <c r="F918" t="s">
        <v>41</v>
      </c>
      <c r="G918" t="s">
        <v>21</v>
      </c>
      <c r="H918">
        <v>1</v>
      </c>
      <c r="I918">
        <v>1</v>
      </c>
      <c r="J918">
        <v>1</v>
      </c>
      <c r="K918">
        <v>0</v>
      </c>
      <c r="L918">
        <v>0</v>
      </c>
      <c r="M918">
        <v>0</v>
      </c>
      <c r="N918">
        <v>0</v>
      </c>
      <c r="P918">
        <v>70.599999999999994</v>
      </c>
    </row>
    <row r="919" spans="1:16">
      <c r="A919" t="s">
        <v>950</v>
      </c>
      <c r="B919" s="2">
        <v>45705</v>
      </c>
      <c r="C919" t="s">
        <v>723</v>
      </c>
      <c r="D919" t="s">
        <v>32</v>
      </c>
      <c r="E919" t="s">
        <v>19</v>
      </c>
      <c r="F919" t="s">
        <v>25</v>
      </c>
      <c r="G919" t="s">
        <v>21</v>
      </c>
      <c r="H919">
        <v>0</v>
      </c>
      <c r="I919">
        <v>0</v>
      </c>
      <c r="J919">
        <v>0</v>
      </c>
      <c r="K919">
        <v>0</v>
      </c>
      <c r="L919">
        <v>0</v>
      </c>
      <c r="M919">
        <v>0</v>
      </c>
      <c r="N919">
        <v>0</v>
      </c>
      <c r="P919">
        <v>58.4</v>
      </c>
    </row>
    <row r="920" spans="1:16">
      <c r="A920" t="s">
        <v>951</v>
      </c>
      <c r="B920" s="2">
        <v>45798</v>
      </c>
      <c r="C920" t="s">
        <v>723</v>
      </c>
      <c r="D920" t="s">
        <v>28</v>
      </c>
      <c r="E920" t="s">
        <v>24</v>
      </c>
      <c r="F920" t="s">
        <v>25</v>
      </c>
      <c r="G920" t="s">
        <v>21</v>
      </c>
      <c r="H920">
        <v>1</v>
      </c>
      <c r="I920">
        <v>0</v>
      </c>
      <c r="J920">
        <v>0</v>
      </c>
      <c r="K920">
        <v>0</v>
      </c>
      <c r="L920">
        <v>0</v>
      </c>
      <c r="M920">
        <v>0</v>
      </c>
      <c r="N920">
        <v>0</v>
      </c>
      <c r="P920">
        <v>56.6</v>
      </c>
    </row>
    <row r="921" spans="1:16">
      <c r="A921" t="s">
        <v>952</v>
      </c>
      <c r="B921" s="2">
        <v>45687</v>
      </c>
      <c r="C921" t="s">
        <v>723</v>
      </c>
      <c r="D921" t="s">
        <v>32</v>
      </c>
      <c r="E921" t="s">
        <v>24</v>
      </c>
      <c r="F921" t="s">
        <v>25</v>
      </c>
      <c r="G921" t="s">
        <v>26</v>
      </c>
      <c r="H921">
        <v>1</v>
      </c>
      <c r="I921">
        <v>0</v>
      </c>
      <c r="J921">
        <v>0</v>
      </c>
      <c r="K921">
        <v>0</v>
      </c>
      <c r="L921">
        <v>0</v>
      </c>
      <c r="M921">
        <v>0</v>
      </c>
      <c r="N921">
        <v>0</v>
      </c>
      <c r="P921">
        <v>61.8</v>
      </c>
    </row>
    <row r="922" spans="1:16">
      <c r="A922" t="s">
        <v>953</v>
      </c>
      <c r="B922" s="2">
        <v>45736</v>
      </c>
      <c r="C922" t="s">
        <v>723</v>
      </c>
      <c r="D922" t="s">
        <v>23</v>
      </c>
      <c r="E922" t="s">
        <v>24</v>
      </c>
      <c r="F922" t="s">
        <v>20</v>
      </c>
      <c r="G922" t="s">
        <v>26</v>
      </c>
      <c r="H922">
        <v>1</v>
      </c>
      <c r="I922">
        <v>1</v>
      </c>
      <c r="J922">
        <v>1</v>
      </c>
      <c r="K922">
        <v>1</v>
      </c>
      <c r="L922">
        <v>513.52</v>
      </c>
      <c r="M922">
        <v>0</v>
      </c>
      <c r="N922">
        <v>0</v>
      </c>
      <c r="O922">
        <v>8</v>
      </c>
      <c r="P922">
        <v>43.4</v>
      </c>
    </row>
    <row r="923" spans="1:16">
      <c r="A923" t="s">
        <v>954</v>
      </c>
      <c r="B923" s="2">
        <v>45757</v>
      </c>
      <c r="C923" t="s">
        <v>723</v>
      </c>
      <c r="D923" t="s">
        <v>23</v>
      </c>
      <c r="E923" t="s">
        <v>34</v>
      </c>
      <c r="F923" t="s">
        <v>29</v>
      </c>
      <c r="G923" t="s">
        <v>26</v>
      </c>
      <c r="H923">
        <v>0</v>
      </c>
      <c r="I923">
        <v>0</v>
      </c>
      <c r="J923">
        <v>0</v>
      </c>
      <c r="K923">
        <v>0</v>
      </c>
      <c r="L923">
        <v>0</v>
      </c>
      <c r="M923">
        <v>0</v>
      </c>
      <c r="N923">
        <v>0</v>
      </c>
      <c r="P923">
        <v>43</v>
      </c>
    </row>
    <row r="924" spans="1:16">
      <c r="A924" t="s">
        <v>955</v>
      </c>
      <c r="B924" s="2">
        <v>45723</v>
      </c>
      <c r="C924" t="s">
        <v>723</v>
      </c>
      <c r="D924" t="s">
        <v>18</v>
      </c>
      <c r="E924" t="s">
        <v>19</v>
      </c>
      <c r="F924" t="s">
        <v>25</v>
      </c>
      <c r="G924" t="s">
        <v>26</v>
      </c>
      <c r="H924">
        <v>1</v>
      </c>
      <c r="I924">
        <v>1</v>
      </c>
      <c r="J924">
        <v>1</v>
      </c>
      <c r="K924">
        <v>0</v>
      </c>
      <c r="L924">
        <v>0</v>
      </c>
      <c r="M924">
        <v>0</v>
      </c>
      <c r="N924">
        <v>0</v>
      </c>
      <c r="P924">
        <v>51.1</v>
      </c>
    </row>
    <row r="925" spans="1:16">
      <c r="A925" t="s">
        <v>956</v>
      </c>
      <c r="B925" s="2">
        <v>45728</v>
      </c>
      <c r="C925" t="s">
        <v>723</v>
      </c>
      <c r="D925" t="s">
        <v>23</v>
      </c>
      <c r="E925" t="s">
        <v>24</v>
      </c>
      <c r="F925" t="s">
        <v>20</v>
      </c>
      <c r="G925" t="s">
        <v>21</v>
      </c>
      <c r="H925">
        <v>1</v>
      </c>
      <c r="I925">
        <v>0</v>
      </c>
      <c r="J925">
        <v>0</v>
      </c>
      <c r="K925">
        <v>0</v>
      </c>
      <c r="L925">
        <v>0</v>
      </c>
      <c r="M925">
        <v>0</v>
      </c>
      <c r="N925">
        <v>0</v>
      </c>
      <c r="P925">
        <v>48.8</v>
      </c>
    </row>
    <row r="926" spans="1:16">
      <c r="A926" t="s">
        <v>957</v>
      </c>
      <c r="B926" s="2">
        <v>45712</v>
      </c>
      <c r="C926" t="s">
        <v>723</v>
      </c>
      <c r="D926" t="s">
        <v>28</v>
      </c>
      <c r="E926" t="s">
        <v>24</v>
      </c>
      <c r="F926" t="s">
        <v>39</v>
      </c>
      <c r="G926" t="s">
        <v>26</v>
      </c>
      <c r="H926">
        <v>0</v>
      </c>
      <c r="I926">
        <v>0</v>
      </c>
      <c r="J926">
        <v>0</v>
      </c>
      <c r="K926">
        <v>0</v>
      </c>
      <c r="L926">
        <v>0</v>
      </c>
      <c r="M926">
        <v>0</v>
      </c>
      <c r="N926">
        <v>0</v>
      </c>
      <c r="P926">
        <v>73.2</v>
      </c>
    </row>
    <row r="927" spans="1:16">
      <c r="A927" t="s">
        <v>958</v>
      </c>
      <c r="B927" s="2">
        <v>45672</v>
      </c>
      <c r="C927" t="s">
        <v>723</v>
      </c>
      <c r="D927" t="s">
        <v>28</v>
      </c>
      <c r="E927" t="s">
        <v>24</v>
      </c>
      <c r="F927" t="s">
        <v>39</v>
      </c>
      <c r="G927" t="s">
        <v>26</v>
      </c>
      <c r="H927">
        <v>1</v>
      </c>
      <c r="I927">
        <v>1</v>
      </c>
      <c r="J927">
        <v>1</v>
      </c>
      <c r="K927">
        <v>0</v>
      </c>
      <c r="L927">
        <v>0</v>
      </c>
      <c r="M927">
        <v>0</v>
      </c>
      <c r="N927">
        <v>0</v>
      </c>
      <c r="P927">
        <v>80</v>
      </c>
    </row>
    <row r="928" spans="1:16">
      <c r="A928" t="s">
        <v>959</v>
      </c>
      <c r="B928" s="2">
        <v>45664</v>
      </c>
      <c r="C928" t="s">
        <v>723</v>
      </c>
      <c r="D928" t="s">
        <v>18</v>
      </c>
      <c r="E928" t="s">
        <v>19</v>
      </c>
      <c r="F928" t="s">
        <v>29</v>
      </c>
      <c r="G928" t="s">
        <v>26</v>
      </c>
      <c r="H928">
        <v>1</v>
      </c>
      <c r="I928">
        <v>0</v>
      </c>
      <c r="J928">
        <v>0</v>
      </c>
      <c r="K928">
        <v>0</v>
      </c>
      <c r="L928">
        <v>0</v>
      </c>
      <c r="M928">
        <v>0</v>
      </c>
      <c r="N928">
        <v>0</v>
      </c>
      <c r="P928">
        <v>52.3</v>
      </c>
    </row>
    <row r="929" spans="1:16">
      <c r="A929" t="s">
        <v>960</v>
      </c>
      <c r="B929" s="2">
        <v>45718</v>
      </c>
      <c r="C929" t="s">
        <v>723</v>
      </c>
      <c r="D929" t="s">
        <v>18</v>
      </c>
      <c r="E929" t="s">
        <v>19</v>
      </c>
      <c r="F929" t="s">
        <v>25</v>
      </c>
      <c r="G929" t="s">
        <v>26</v>
      </c>
      <c r="H929">
        <v>0</v>
      </c>
      <c r="I929">
        <v>0</v>
      </c>
      <c r="J929">
        <v>0</v>
      </c>
      <c r="K929">
        <v>0</v>
      </c>
      <c r="L929">
        <v>0</v>
      </c>
      <c r="M929">
        <v>0</v>
      </c>
      <c r="N929">
        <v>0</v>
      </c>
      <c r="P929">
        <v>49.1</v>
      </c>
    </row>
    <row r="930" spans="1:16">
      <c r="A930" t="s">
        <v>961</v>
      </c>
      <c r="B930" s="2">
        <v>45662</v>
      </c>
      <c r="C930" t="s">
        <v>723</v>
      </c>
      <c r="D930" t="s">
        <v>32</v>
      </c>
      <c r="E930" t="s">
        <v>19</v>
      </c>
      <c r="F930" t="s">
        <v>39</v>
      </c>
      <c r="G930" t="s">
        <v>21</v>
      </c>
      <c r="H930">
        <v>0</v>
      </c>
      <c r="I930">
        <v>0</v>
      </c>
      <c r="J930">
        <v>0</v>
      </c>
      <c r="K930">
        <v>0</v>
      </c>
      <c r="L930">
        <v>0</v>
      </c>
      <c r="M930">
        <v>0</v>
      </c>
      <c r="N930">
        <v>0</v>
      </c>
      <c r="P930">
        <v>45.3</v>
      </c>
    </row>
    <row r="931" spans="1:16">
      <c r="A931" t="s">
        <v>962</v>
      </c>
      <c r="B931" s="2">
        <v>45719</v>
      </c>
      <c r="C931" t="s">
        <v>723</v>
      </c>
      <c r="D931" t="s">
        <v>32</v>
      </c>
      <c r="E931" t="s">
        <v>24</v>
      </c>
      <c r="F931" t="s">
        <v>25</v>
      </c>
      <c r="G931" t="s">
        <v>26</v>
      </c>
      <c r="H931">
        <v>1</v>
      </c>
      <c r="I931">
        <v>1</v>
      </c>
      <c r="J931">
        <v>0</v>
      </c>
      <c r="K931">
        <v>0</v>
      </c>
      <c r="L931">
        <v>0</v>
      </c>
      <c r="M931">
        <v>0</v>
      </c>
      <c r="N931">
        <v>0</v>
      </c>
      <c r="P931">
        <v>49.1</v>
      </c>
    </row>
    <row r="932" spans="1:16">
      <c r="A932" t="s">
        <v>963</v>
      </c>
      <c r="B932" s="2">
        <v>45747</v>
      </c>
      <c r="C932" t="s">
        <v>723</v>
      </c>
      <c r="D932" t="s">
        <v>28</v>
      </c>
      <c r="E932" t="s">
        <v>19</v>
      </c>
      <c r="F932" t="s">
        <v>39</v>
      </c>
      <c r="G932" t="s">
        <v>26</v>
      </c>
      <c r="H932">
        <v>1</v>
      </c>
      <c r="I932">
        <v>1</v>
      </c>
      <c r="J932">
        <v>1</v>
      </c>
      <c r="K932">
        <v>1</v>
      </c>
      <c r="L932">
        <v>476.44</v>
      </c>
      <c r="M932">
        <v>0</v>
      </c>
      <c r="N932">
        <v>0</v>
      </c>
      <c r="O932">
        <v>3</v>
      </c>
      <c r="P932">
        <v>88.6</v>
      </c>
    </row>
    <row r="933" spans="1:16">
      <c r="A933" t="s">
        <v>964</v>
      </c>
      <c r="B933" s="2">
        <v>45671</v>
      </c>
      <c r="C933" t="s">
        <v>723</v>
      </c>
      <c r="D933" t="s">
        <v>28</v>
      </c>
      <c r="E933" t="s">
        <v>19</v>
      </c>
      <c r="F933" t="s">
        <v>29</v>
      </c>
      <c r="G933" t="s">
        <v>30</v>
      </c>
      <c r="H933">
        <v>0</v>
      </c>
      <c r="I933">
        <v>0</v>
      </c>
      <c r="J933">
        <v>0</v>
      </c>
      <c r="K933">
        <v>0</v>
      </c>
      <c r="L933">
        <v>0</v>
      </c>
      <c r="M933">
        <v>1</v>
      </c>
      <c r="N933">
        <v>0</v>
      </c>
      <c r="P933">
        <v>54.4</v>
      </c>
    </row>
    <row r="934" spans="1:16">
      <c r="A934" t="s">
        <v>965</v>
      </c>
      <c r="B934" s="2">
        <v>45672</v>
      </c>
      <c r="C934" t="s">
        <v>723</v>
      </c>
      <c r="D934" t="s">
        <v>23</v>
      </c>
      <c r="E934" t="s">
        <v>19</v>
      </c>
      <c r="F934" t="s">
        <v>29</v>
      </c>
      <c r="G934" t="s">
        <v>30</v>
      </c>
      <c r="H934">
        <v>1</v>
      </c>
      <c r="I934">
        <v>0</v>
      </c>
      <c r="J934">
        <v>0</v>
      </c>
      <c r="K934">
        <v>0</v>
      </c>
      <c r="L934">
        <v>0</v>
      </c>
      <c r="M934">
        <v>0</v>
      </c>
      <c r="N934">
        <v>0</v>
      </c>
      <c r="P934">
        <v>72.900000000000006</v>
      </c>
    </row>
    <row r="935" spans="1:16">
      <c r="A935" t="s">
        <v>966</v>
      </c>
      <c r="B935" s="2">
        <v>45772</v>
      </c>
      <c r="C935" t="s">
        <v>723</v>
      </c>
      <c r="D935" t="s">
        <v>23</v>
      </c>
      <c r="E935" t="s">
        <v>19</v>
      </c>
      <c r="F935" t="s">
        <v>25</v>
      </c>
      <c r="G935" t="s">
        <v>26</v>
      </c>
      <c r="H935">
        <v>1</v>
      </c>
      <c r="I935">
        <v>0</v>
      </c>
      <c r="J935">
        <v>0</v>
      </c>
      <c r="K935">
        <v>0</v>
      </c>
      <c r="L935">
        <v>0</v>
      </c>
      <c r="M935">
        <v>0</v>
      </c>
      <c r="N935">
        <v>0</v>
      </c>
      <c r="P935">
        <v>53.2</v>
      </c>
    </row>
    <row r="936" spans="1:16">
      <c r="A936" t="s">
        <v>967</v>
      </c>
      <c r="B936" s="2">
        <v>45737</v>
      </c>
      <c r="C936" t="s">
        <v>723</v>
      </c>
      <c r="D936" t="s">
        <v>28</v>
      </c>
      <c r="E936" t="s">
        <v>24</v>
      </c>
      <c r="F936" t="s">
        <v>25</v>
      </c>
      <c r="G936" t="s">
        <v>21</v>
      </c>
      <c r="H936">
        <v>1</v>
      </c>
      <c r="I936">
        <v>1</v>
      </c>
      <c r="J936">
        <v>0</v>
      </c>
      <c r="K936">
        <v>0</v>
      </c>
      <c r="L936">
        <v>0</v>
      </c>
      <c r="M936">
        <v>0</v>
      </c>
      <c r="N936">
        <v>0</v>
      </c>
      <c r="P936">
        <v>48.7</v>
      </c>
    </row>
    <row r="937" spans="1:16">
      <c r="A937" t="s">
        <v>968</v>
      </c>
      <c r="B937" s="2">
        <v>45773</v>
      </c>
      <c r="C937" t="s">
        <v>723</v>
      </c>
      <c r="D937" t="s">
        <v>32</v>
      </c>
      <c r="E937" t="s">
        <v>24</v>
      </c>
      <c r="F937" t="s">
        <v>29</v>
      </c>
      <c r="G937" t="s">
        <v>21</v>
      </c>
      <c r="H937">
        <v>1</v>
      </c>
      <c r="I937">
        <v>1</v>
      </c>
      <c r="J937">
        <v>1</v>
      </c>
      <c r="K937">
        <v>0</v>
      </c>
      <c r="L937">
        <v>0</v>
      </c>
      <c r="M937">
        <v>0</v>
      </c>
      <c r="N937">
        <v>0</v>
      </c>
      <c r="P937">
        <v>59.9</v>
      </c>
    </row>
    <row r="938" spans="1:16">
      <c r="A938" t="s">
        <v>969</v>
      </c>
      <c r="B938" s="2">
        <v>45798</v>
      </c>
      <c r="C938" t="s">
        <v>723</v>
      </c>
      <c r="D938" t="s">
        <v>32</v>
      </c>
      <c r="E938" t="s">
        <v>19</v>
      </c>
      <c r="G938" t="s">
        <v>21</v>
      </c>
      <c r="H938">
        <v>0</v>
      </c>
      <c r="I938">
        <v>0</v>
      </c>
      <c r="J938">
        <v>0</v>
      </c>
      <c r="K938">
        <v>0</v>
      </c>
      <c r="L938">
        <v>0</v>
      </c>
      <c r="M938">
        <v>0</v>
      </c>
      <c r="N938">
        <v>0</v>
      </c>
      <c r="P938">
        <v>82</v>
      </c>
    </row>
    <row r="939" spans="1:16">
      <c r="A939" t="s">
        <v>970</v>
      </c>
      <c r="B939" s="2">
        <v>45765</v>
      </c>
      <c r="C939" t="s">
        <v>723</v>
      </c>
      <c r="D939" t="s">
        <v>28</v>
      </c>
      <c r="E939" t="s">
        <v>24</v>
      </c>
      <c r="F939" t="s">
        <v>29</v>
      </c>
      <c r="G939" t="s">
        <v>26</v>
      </c>
      <c r="H939">
        <v>0</v>
      </c>
      <c r="I939">
        <v>0</v>
      </c>
      <c r="J939">
        <v>0</v>
      </c>
      <c r="K939">
        <v>0</v>
      </c>
      <c r="L939">
        <v>0</v>
      </c>
      <c r="M939">
        <v>0</v>
      </c>
      <c r="N939">
        <v>0</v>
      </c>
      <c r="P939">
        <v>72.099999999999994</v>
      </c>
    </row>
    <row r="940" spans="1:16">
      <c r="A940" t="s">
        <v>971</v>
      </c>
      <c r="B940" s="2">
        <v>45686</v>
      </c>
      <c r="C940" t="s">
        <v>723</v>
      </c>
      <c r="D940" t="s">
        <v>18</v>
      </c>
      <c r="E940" t="s">
        <v>19</v>
      </c>
      <c r="F940" t="s">
        <v>20</v>
      </c>
      <c r="G940" t="s">
        <v>30</v>
      </c>
      <c r="H940">
        <v>1</v>
      </c>
      <c r="I940">
        <v>1</v>
      </c>
      <c r="J940">
        <v>0</v>
      </c>
      <c r="K940">
        <v>0</v>
      </c>
      <c r="L940">
        <v>0</v>
      </c>
      <c r="M940">
        <v>0</v>
      </c>
      <c r="N940">
        <v>0</v>
      </c>
      <c r="P940">
        <v>68.3</v>
      </c>
    </row>
    <row r="941" spans="1:16">
      <c r="A941" t="s">
        <v>972</v>
      </c>
      <c r="B941" s="2">
        <v>45805</v>
      </c>
      <c r="C941" t="s">
        <v>723</v>
      </c>
      <c r="D941" t="s">
        <v>23</v>
      </c>
      <c r="E941" t="s">
        <v>24</v>
      </c>
      <c r="F941" t="s">
        <v>25</v>
      </c>
      <c r="G941" t="s">
        <v>30</v>
      </c>
      <c r="H941">
        <v>0</v>
      </c>
      <c r="I941">
        <v>0</v>
      </c>
      <c r="J941">
        <v>0</v>
      </c>
      <c r="K941">
        <v>0</v>
      </c>
      <c r="L941">
        <v>0</v>
      </c>
      <c r="M941">
        <v>0</v>
      </c>
      <c r="N941">
        <v>0</v>
      </c>
      <c r="P941">
        <v>100</v>
      </c>
    </row>
    <row r="942" spans="1:16">
      <c r="A942" t="s">
        <v>973</v>
      </c>
      <c r="B942" s="2">
        <v>45672</v>
      </c>
      <c r="C942" t="s">
        <v>723</v>
      </c>
      <c r="D942" t="s">
        <v>28</v>
      </c>
      <c r="E942" t="s">
        <v>24</v>
      </c>
      <c r="F942" t="s">
        <v>20</v>
      </c>
      <c r="G942" t="s">
        <v>26</v>
      </c>
      <c r="H942">
        <v>1</v>
      </c>
      <c r="I942">
        <v>1</v>
      </c>
      <c r="J942">
        <v>1</v>
      </c>
      <c r="K942">
        <v>0</v>
      </c>
      <c r="L942">
        <v>0</v>
      </c>
      <c r="M942">
        <v>2</v>
      </c>
      <c r="N942">
        <v>0</v>
      </c>
      <c r="P942">
        <v>76.5</v>
      </c>
    </row>
    <row r="943" spans="1:16">
      <c r="A943" t="s">
        <v>974</v>
      </c>
      <c r="B943" s="2">
        <v>45660</v>
      </c>
      <c r="C943" t="s">
        <v>723</v>
      </c>
      <c r="D943" t="s">
        <v>32</v>
      </c>
      <c r="E943" t="s">
        <v>24</v>
      </c>
      <c r="F943" t="s">
        <v>25</v>
      </c>
      <c r="G943" t="s">
        <v>21</v>
      </c>
      <c r="H943">
        <v>1</v>
      </c>
      <c r="I943">
        <v>1</v>
      </c>
      <c r="J943">
        <v>0</v>
      </c>
      <c r="K943">
        <v>0</v>
      </c>
      <c r="L943">
        <v>0</v>
      </c>
      <c r="M943">
        <v>0</v>
      </c>
      <c r="N943">
        <v>0</v>
      </c>
      <c r="P943">
        <v>62</v>
      </c>
    </row>
    <row r="944" spans="1:16">
      <c r="A944" t="s">
        <v>975</v>
      </c>
      <c r="B944" s="2">
        <v>45692</v>
      </c>
      <c r="C944" t="s">
        <v>723</v>
      </c>
      <c r="D944" t="s">
        <v>32</v>
      </c>
      <c r="E944" t="s">
        <v>24</v>
      </c>
      <c r="F944" t="s">
        <v>29</v>
      </c>
      <c r="G944" t="s">
        <v>26</v>
      </c>
      <c r="H944">
        <v>1</v>
      </c>
      <c r="I944">
        <v>1</v>
      </c>
      <c r="J944">
        <v>1</v>
      </c>
      <c r="K944">
        <v>1</v>
      </c>
      <c r="L944">
        <v>324.68</v>
      </c>
      <c r="M944">
        <v>1</v>
      </c>
      <c r="N944">
        <v>0</v>
      </c>
      <c r="O944">
        <v>7</v>
      </c>
      <c r="P944">
        <v>50.1</v>
      </c>
    </row>
    <row r="945" spans="1:16">
      <c r="A945" t="s">
        <v>976</v>
      </c>
      <c r="B945" s="2">
        <v>45710</v>
      </c>
      <c r="C945" t="s">
        <v>723</v>
      </c>
      <c r="D945" t="s">
        <v>32</v>
      </c>
      <c r="E945" t="s">
        <v>24</v>
      </c>
      <c r="F945" t="s">
        <v>39</v>
      </c>
      <c r="G945" t="s">
        <v>30</v>
      </c>
      <c r="H945">
        <v>1</v>
      </c>
      <c r="I945">
        <v>0</v>
      </c>
      <c r="J945">
        <v>0</v>
      </c>
      <c r="K945">
        <v>0</v>
      </c>
      <c r="L945">
        <v>0</v>
      </c>
      <c r="M945">
        <v>0</v>
      </c>
      <c r="N945">
        <v>0</v>
      </c>
      <c r="P945">
        <v>62.1</v>
      </c>
    </row>
    <row r="946" spans="1:16">
      <c r="A946" t="s">
        <v>977</v>
      </c>
      <c r="B946" s="2">
        <v>45783</v>
      </c>
      <c r="C946" t="s">
        <v>723</v>
      </c>
      <c r="D946" t="s">
        <v>23</v>
      </c>
      <c r="E946" t="s">
        <v>24</v>
      </c>
      <c r="F946" t="s">
        <v>25</v>
      </c>
      <c r="G946" t="s">
        <v>21</v>
      </c>
      <c r="H946">
        <v>1</v>
      </c>
      <c r="I946">
        <v>0</v>
      </c>
      <c r="J946">
        <v>0</v>
      </c>
      <c r="K946">
        <v>0</v>
      </c>
      <c r="L946">
        <v>0</v>
      </c>
      <c r="M946">
        <v>0</v>
      </c>
      <c r="N946">
        <v>0</v>
      </c>
      <c r="P946">
        <v>49.7</v>
      </c>
    </row>
    <row r="947" spans="1:16">
      <c r="A947" t="s">
        <v>978</v>
      </c>
      <c r="B947" s="2">
        <v>45688</v>
      </c>
      <c r="C947" t="s">
        <v>723</v>
      </c>
      <c r="D947" t="s">
        <v>32</v>
      </c>
      <c r="E947" t="s">
        <v>24</v>
      </c>
      <c r="F947" t="s">
        <v>25</v>
      </c>
      <c r="G947" t="s">
        <v>26</v>
      </c>
      <c r="H947">
        <v>1</v>
      </c>
      <c r="I947">
        <v>0</v>
      </c>
      <c r="J947">
        <v>0</v>
      </c>
      <c r="K947">
        <v>0</v>
      </c>
      <c r="L947">
        <v>0</v>
      </c>
      <c r="M947">
        <v>3</v>
      </c>
      <c r="N947">
        <v>0</v>
      </c>
      <c r="P947">
        <v>71.099999999999994</v>
      </c>
    </row>
    <row r="948" spans="1:16">
      <c r="A948" t="s">
        <v>979</v>
      </c>
      <c r="B948" s="2">
        <v>45706</v>
      </c>
      <c r="C948" t="s">
        <v>723</v>
      </c>
      <c r="D948" t="s">
        <v>18</v>
      </c>
      <c r="E948" t="s">
        <v>24</v>
      </c>
      <c r="F948" t="s">
        <v>41</v>
      </c>
      <c r="G948" t="s">
        <v>21</v>
      </c>
      <c r="H948">
        <v>0</v>
      </c>
      <c r="I948">
        <v>0</v>
      </c>
      <c r="J948">
        <v>0</v>
      </c>
      <c r="K948">
        <v>0</v>
      </c>
      <c r="L948">
        <v>0</v>
      </c>
      <c r="M948">
        <v>0</v>
      </c>
      <c r="N948">
        <v>0</v>
      </c>
      <c r="P948">
        <v>70.8</v>
      </c>
    </row>
    <row r="949" spans="1:16">
      <c r="A949" t="s">
        <v>980</v>
      </c>
      <c r="B949" s="2">
        <v>45770</v>
      </c>
      <c r="C949" t="s">
        <v>723</v>
      </c>
      <c r="D949" t="s">
        <v>28</v>
      </c>
      <c r="E949" t="s">
        <v>24</v>
      </c>
      <c r="F949" t="s">
        <v>29</v>
      </c>
      <c r="G949" t="s">
        <v>26</v>
      </c>
      <c r="H949">
        <v>1</v>
      </c>
      <c r="I949">
        <v>1</v>
      </c>
      <c r="J949">
        <v>1</v>
      </c>
      <c r="K949">
        <v>1</v>
      </c>
      <c r="L949">
        <v>301.98</v>
      </c>
      <c r="M949">
        <v>0</v>
      </c>
      <c r="N949">
        <v>0</v>
      </c>
      <c r="O949">
        <v>10</v>
      </c>
      <c r="P949">
        <v>52.2</v>
      </c>
    </row>
    <row r="950" spans="1:16">
      <c r="A950" t="s">
        <v>981</v>
      </c>
      <c r="B950" s="2">
        <v>45694</v>
      </c>
      <c r="C950" t="s">
        <v>723</v>
      </c>
      <c r="D950" t="s">
        <v>18</v>
      </c>
      <c r="E950" t="s">
        <v>24</v>
      </c>
      <c r="F950" t="s">
        <v>25</v>
      </c>
      <c r="G950" t="s">
        <v>26</v>
      </c>
      <c r="H950">
        <v>1</v>
      </c>
      <c r="I950">
        <v>1</v>
      </c>
      <c r="J950">
        <v>1</v>
      </c>
      <c r="K950">
        <v>0</v>
      </c>
      <c r="L950">
        <v>0</v>
      </c>
      <c r="M950">
        <v>0</v>
      </c>
      <c r="N950">
        <v>0</v>
      </c>
      <c r="P950">
        <v>73</v>
      </c>
    </row>
    <row r="951" spans="1:16">
      <c r="A951" t="s">
        <v>982</v>
      </c>
      <c r="B951" s="2">
        <v>45773</v>
      </c>
      <c r="C951" t="s">
        <v>723</v>
      </c>
      <c r="D951" t="s">
        <v>32</v>
      </c>
      <c r="E951" t="s">
        <v>19</v>
      </c>
      <c r="F951" t="s">
        <v>29</v>
      </c>
      <c r="G951" t="s">
        <v>26</v>
      </c>
      <c r="H951">
        <v>0</v>
      </c>
      <c r="I951">
        <v>0</v>
      </c>
      <c r="J951">
        <v>0</v>
      </c>
      <c r="K951">
        <v>0</v>
      </c>
      <c r="L951">
        <v>0</v>
      </c>
      <c r="M951">
        <v>0</v>
      </c>
      <c r="N951">
        <v>0</v>
      </c>
      <c r="P951">
        <v>78.2</v>
      </c>
    </row>
    <row r="952" spans="1:16">
      <c r="A952" t="s">
        <v>983</v>
      </c>
      <c r="B952" s="2">
        <v>45746</v>
      </c>
      <c r="C952" t="s">
        <v>723</v>
      </c>
      <c r="D952" t="s">
        <v>23</v>
      </c>
      <c r="E952" t="s">
        <v>19</v>
      </c>
      <c r="F952" t="s">
        <v>29</v>
      </c>
      <c r="G952" t="s">
        <v>21</v>
      </c>
      <c r="H952">
        <v>1</v>
      </c>
      <c r="I952">
        <v>0</v>
      </c>
      <c r="J952">
        <v>0</v>
      </c>
      <c r="K952">
        <v>0</v>
      </c>
      <c r="L952">
        <v>0</v>
      </c>
      <c r="M952">
        <v>0</v>
      </c>
      <c r="N952">
        <v>0</v>
      </c>
      <c r="P952">
        <v>68.8</v>
      </c>
    </row>
    <row r="953" spans="1:16">
      <c r="A953" t="s">
        <v>984</v>
      </c>
      <c r="B953" s="2">
        <v>45760</v>
      </c>
      <c r="C953" t="s">
        <v>723</v>
      </c>
      <c r="D953" t="s">
        <v>23</v>
      </c>
      <c r="E953" t="s">
        <v>24</v>
      </c>
      <c r="G953" t="s">
        <v>30</v>
      </c>
      <c r="H953">
        <v>1</v>
      </c>
      <c r="I953">
        <v>0</v>
      </c>
      <c r="J953">
        <v>0</v>
      </c>
      <c r="K953">
        <v>0</v>
      </c>
      <c r="L953">
        <v>0</v>
      </c>
      <c r="M953">
        <v>0</v>
      </c>
      <c r="N953">
        <v>0</v>
      </c>
      <c r="P953">
        <v>57.1</v>
      </c>
    </row>
    <row r="954" spans="1:16">
      <c r="A954" t="s">
        <v>985</v>
      </c>
      <c r="B954" s="2">
        <v>45751</v>
      </c>
      <c r="C954" t="s">
        <v>723</v>
      </c>
      <c r="D954" t="s">
        <v>28</v>
      </c>
      <c r="E954" t="s">
        <v>19</v>
      </c>
      <c r="F954" t="s">
        <v>25</v>
      </c>
      <c r="G954" t="s">
        <v>30</v>
      </c>
      <c r="H954">
        <v>0</v>
      </c>
      <c r="I954">
        <v>0</v>
      </c>
      <c r="J954">
        <v>0</v>
      </c>
      <c r="K954">
        <v>0</v>
      </c>
      <c r="L954">
        <v>0</v>
      </c>
      <c r="M954">
        <v>1</v>
      </c>
      <c r="N954">
        <v>0</v>
      </c>
      <c r="P954">
        <v>74.599999999999994</v>
      </c>
    </row>
    <row r="955" spans="1:16">
      <c r="A955" t="s">
        <v>986</v>
      </c>
      <c r="B955" s="2">
        <v>45750</v>
      </c>
      <c r="C955" t="s">
        <v>723</v>
      </c>
      <c r="D955" t="s">
        <v>18</v>
      </c>
      <c r="E955" t="s">
        <v>19</v>
      </c>
      <c r="F955" t="s">
        <v>39</v>
      </c>
      <c r="G955" t="s">
        <v>26</v>
      </c>
      <c r="H955">
        <v>1</v>
      </c>
      <c r="I955">
        <v>0</v>
      </c>
      <c r="J955">
        <v>0</v>
      </c>
      <c r="K955">
        <v>0</v>
      </c>
      <c r="L955">
        <v>0</v>
      </c>
      <c r="M955">
        <v>1</v>
      </c>
      <c r="N955">
        <v>0</v>
      </c>
      <c r="P955">
        <v>64.099999999999994</v>
      </c>
    </row>
    <row r="956" spans="1:16">
      <c r="A956" t="s">
        <v>987</v>
      </c>
      <c r="B956" s="2">
        <v>45730</v>
      </c>
      <c r="C956" t="s">
        <v>723</v>
      </c>
      <c r="D956" t="s">
        <v>23</v>
      </c>
      <c r="E956" t="s">
        <v>24</v>
      </c>
      <c r="F956" t="s">
        <v>29</v>
      </c>
      <c r="G956" t="s">
        <v>30</v>
      </c>
      <c r="H956">
        <v>1</v>
      </c>
      <c r="I956">
        <v>0</v>
      </c>
      <c r="J956">
        <v>0</v>
      </c>
      <c r="K956">
        <v>0</v>
      </c>
      <c r="L956">
        <v>0</v>
      </c>
      <c r="M956">
        <v>0</v>
      </c>
      <c r="N956">
        <v>0</v>
      </c>
      <c r="P956">
        <v>67.3</v>
      </c>
    </row>
    <row r="957" spans="1:16">
      <c r="A957" t="s">
        <v>988</v>
      </c>
      <c r="B957" s="2">
        <v>45671</v>
      </c>
      <c r="C957" t="s">
        <v>723</v>
      </c>
      <c r="D957" t="s">
        <v>23</v>
      </c>
      <c r="E957" t="s">
        <v>24</v>
      </c>
      <c r="F957" t="s">
        <v>39</v>
      </c>
      <c r="G957" t="s">
        <v>26</v>
      </c>
      <c r="H957">
        <v>0</v>
      </c>
      <c r="I957">
        <v>0</v>
      </c>
      <c r="J957">
        <v>0</v>
      </c>
      <c r="K957">
        <v>0</v>
      </c>
      <c r="L957">
        <v>0</v>
      </c>
      <c r="M957">
        <v>2</v>
      </c>
      <c r="N957">
        <v>0</v>
      </c>
      <c r="P957">
        <v>41</v>
      </c>
    </row>
    <row r="958" spans="1:16">
      <c r="A958" t="s">
        <v>989</v>
      </c>
      <c r="B958" s="2">
        <v>45782</v>
      </c>
      <c r="C958" t="s">
        <v>723</v>
      </c>
      <c r="D958" t="s">
        <v>23</v>
      </c>
      <c r="E958" t="s">
        <v>24</v>
      </c>
      <c r="F958" t="s">
        <v>29</v>
      </c>
      <c r="G958" t="s">
        <v>26</v>
      </c>
      <c r="H958">
        <v>0</v>
      </c>
      <c r="I958">
        <v>0</v>
      </c>
      <c r="J958">
        <v>0</v>
      </c>
      <c r="K958">
        <v>0</v>
      </c>
      <c r="L958">
        <v>0</v>
      </c>
      <c r="M958">
        <v>0</v>
      </c>
      <c r="N958">
        <v>0</v>
      </c>
      <c r="P958">
        <v>48.1</v>
      </c>
    </row>
    <row r="959" spans="1:16">
      <c r="A959" t="s">
        <v>990</v>
      </c>
      <c r="B959" s="2">
        <v>45779</v>
      </c>
      <c r="C959" t="s">
        <v>723</v>
      </c>
      <c r="D959" t="s">
        <v>23</v>
      </c>
      <c r="E959" t="s">
        <v>19</v>
      </c>
      <c r="F959" t="s">
        <v>41</v>
      </c>
      <c r="G959" t="s">
        <v>26</v>
      </c>
      <c r="H959">
        <v>0</v>
      </c>
      <c r="I959">
        <v>0</v>
      </c>
      <c r="J959">
        <v>0</v>
      </c>
      <c r="K959">
        <v>0</v>
      </c>
      <c r="L959">
        <v>0</v>
      </c>
      <c r="M959">
        <v>1</v>
      </c>
      <c r="N959">
        <v>0</v>
      </c>
      <c r="P959">
        <v>60.8</v>
      </c>
    </row>
    <row r="960" spans="1:16">
      <c r="A960" t="s">
        <v>991</v>
      </c>
      <c r="B960" s="2">
        <v>45798</v>
      </c>
      <c r="C960" t="s">
        <v>723</v>
      </c>
      <c r="D960" t="s">
        <v>28</v>
      </c>
      <c r="E960" t="s">
        <v>24</v>
      </c>
      <c r="F960" t="s">
        <v>25</v>
      </c>
      <c r="G960" t="s">
        <v>26</v>
      </c>
      <c r="H960">
        <v>1</v>
      </c>
      <c r="I960">
        <v>0</v>
      </c>
      <c r="J960">
        <v>0</v>
      </c>
      <c r="K960">
        <v>0</v>
      </c>
      <c r="L960">
        <v>0</v>
      </c>
      <c r="M960">
        <v>0</v>
      </c>
      <c r="N960">
        <v>0</v>
      </c>
      <c r="P960">
        <v>63.1</v>
      </c>
    </row>
    <row r="961" spans="1:16">
      <c r="A961" t="s">
        <v>992</v>
      </c>
      <c r="B961" s="2">
        <v>45793</v>
      </c>
      <c r="C961" t="s">
        <v>723</v>
      </c>
      <c r="D961" t="s">
        <v>18</v>
      </c>
      <c r="E961" t="s">
        <v>24</v>
      </c>
      <c r="F961" t="s">
        <v>39</v>
      </c>
      <c r="G961" t="s">
        <v>30</v>
      </c>
      <c r="H961">
        <v>1</v>
      </c>
      <c r="I961">
        <v>0</v>
      </c>
      <c r="J961">
        <v>0</v>
      </c>
      <c r="K961">
        <v>0</v>
      </c>
      <c r="L961">
        <v>0</v>
      </c>
      <c r="M961">
        <v>2</v>
      </c>
      <c r="N961">
        <v>0</v>
      </c>
      <c r="P961">
        <v>49.7</v>
      </c>
    </row>
    <row r="962" spans="1:16">
      <c r="A962" t="s">
        <v>993</v>
      </c>
      <c r="B962" s="2">
        <v>45801</v>
      </c>
      <c r="C962" t="s">
        <v>723</v>
      </c>
      <c r="D962" t="s">
        <v>28</v>
      </c>
      <c r="E962" t="s">
        <v>19</v>
      </c>
      <c r="F962" t="s">
        <v>25</v>
      </c>
      <c r="G962" t="s">
        <v>30</v>
      </c>
      <c r="H962">
        <v>1</v>
      </c>
      <c r="I962">
        <v>1</v>
      </c>
      <c r="J962">
        <v>1</v>
      </c>
      <c r="K962">
        <v>0</v>
      </c>
      <c r="L962">
        <v>0</v>
      </c>
      <c r="M962">
        <v>1</v>
      </c>
      <c r="N962">
        <v>0</v>
      </c>
      <c r="P962">
        <v>83.4</v>
      </c>
    </row>
    <row r="963" spans="1:16">
      <c r="A963" t="s">
        <v>994</v>
      </c>
      <c r="B963" s="2">
        <v>45734</v>
      </c>
      <c r="C963" t="s">
        <v>723</v>
      </c>
      <c r="D963" t="s">
        <v>28</v>
      </c>
      <c r="E963" t="s">
        <v>24</v>
      </c>
      <c r="F963" t="s">
        <v>25</v>
      </c>
      <c r="G963" t="s">
        <v>21</v>
      </c>
      <c r="H963">
        <v>1</v>
      </c>
      <c r="I963">
        <v>0</v>
      </c>
      <c r="J963">
        <v>0</v>
      </c>
      <c r="K963">
        <v>0</v>
      </c>
      <c r="L963">
        <v>0</v>
      </c>
      <c r="M963">
        <v>0</v>
      </c>
      <c r="N963">
        <v>0</v>
      </c>
      <c r="P963">
        <v>75.900000000000006</v>
      </c>
    </row>
    <row r="964" spans="1:16">
      <c r="A964" t="s">
        <v>995</v>
      </c>
      <c r="B964" s="2">
        <v>45668</v>
      </c>
      <c r="C964" t="s">
        <v>723</v>
      </c>
      <c r="D964" t="s">
        <v>28</v>
      </c>
      <c r="E964" t="s">
        <v>19</v>
      </c>
      <c r="F964" t="s">
        <v>29</v>
      </c>
      <c r="G964" t="s">
        <v>26</v>
      </c>
      <c r="H964">
        <v>0</v>
      </c>
      <c r="I964">
        <v>0</v>
      </c>
      <c r="J964">
        <v>0</v>
      </c>
      <c r="K964">
        <v>0</v>
      </c>
      <c r="L964">
        <v>0</v>
      </c>
      <c r="M964">
        <v>1</v>
      </c>
      <c r="N964">
        <v>0</v>
      </c>
      <c r="P964">
        <v>71.8</v>
      </c>
    </row>
    <row r="965" spans="1:16">
      <c r="A965" t="s">
        <v>996</v>
      </c>
      <c r="B965" s="2">
        <v>45697</v>
      </c>
      <c r="C965" t="s">
        <v>723</v>
      </c>
      <c r="D965" t="s">
        <v>32</v>
      </c>
      <c r="E965" t="s">
        <v>24</v>
      </c>
      <c r="F965" t="s">
        <v>25</v>
      </c>
      <c r="G965" t="s">
        <v>21</v>
      </c>
      <c r="H965">
        <v>0</v>
      </c>
      <c r="I965">
        <v>0</v>
      </c>
      <c r="J965">
        <v>0</v>
      </c>
      <c r="K965">
        <v>0</v>
      </c>
      <c r="L965">
        <v>0</v>
      </c>
      <c r="M965">
        <v>0</v>
      </c>
      <c r="N965">
        <v>0</v>
      </c>
      <c r="P965">
        <v>37.9</v>
      </c>
    </row>
    <row r="966" spans="1:16">
      <c r="A966" t="s">
        <v>997</v>
      </c>
      <c r="B966" s="2">
        <v>45717</v>
      </c>
      <c r="C966" t="s">
        <v>723</v>
      </c>
      <c r="D966" t="s">
        <v>18</v>
      </c>
      <c r="E966" t="s">
        <v>19</v>
      </c>
      <c r="F966" t="s">
        <v>41</v>
      </c>
      <c r="G966" t="s">
        <v>26</v>
      </c>
      <c r="H966">
        <v>1</v>
      </c>
      <c r="I966">
        <v>0</v>
      </c>
      <c r="J966">
        <v>0</v>
      </c>
      <c r="K966">
        <v>0</v>
      </c>
      <c r="L966">
        <v>0</v>
      </c>
      <c r="M966">
        <v>0</v>
      </c>
      <c r="N966">
        <v>0</v>
      </c>
      <c r="P966">
        <v>59.8</v>
      </c>
    </row>
    <row r="967" spans="1:16">
      <c r="A967" t="s">
        <v>998</v>
      </c>
      <c r="B967" s="2">
        <v>45784</v>
      </c>
      <c r="C967" t="s">
        <v>723</v>
      </c>
      <c r="D967" t="s">
        <v>18</v>
      </c>
      <c r="E967" t="s">
        <v>24</v>
      </c>
      <c r="F967" t="s">
        <v>25</v>
      </c>
      <c r="G967" t="s">
        <v>21</v>
      </c>
      <c r="H967">
        <v>0</v>
      </c>
      <c r="I967">
        <v>0</v>
      </c>
      <c r="J967">
        <v>0</v>
      </c>
      <c r="K967">
        <v>0</v>
      </c>
      <c r="L967">
        <v>0</v>
      </c>
      <c r="M967">
        <v>0</v>
      </c>
      <c r="N967">
        <v>0</v>
      </c>
      <c r="P967">
        <v>66.900000000000006</v>
      </c>
    </row>
    <row r="968" spans="1:16">
      <c r="A968" t="s">
        <v>999</v>
      </c>
      <c r="B968" s="2">
        <v>45707</v>
      </c>
      <c r="C968" t="s">
        <v>723</v>
      </c>
      <c r="D968" t="s">
        <v>32</v>
      </c>
      <c r="E968" t="s">
        <v>19</v>
      </c>
      <c r="G968" t="s">
        <v>26</v>
      </c>
      <c r="H968">
        <v>1</v>
      </c>
      <c r="I968">
        <v>0</v>
      </c>
      <c r="J968">
        <v>0</v>
      </c>
      <c r="K968">
        <v>0</v>
      </c>
      <c r="L968">
        <v>0</v>
      </c>
      <c r="M968">
        <v>0</v>
      </c>
      <c r="N968">
        <v>0</v>
      </c>
      <c r="P968">
        <v>59</v>
      </c>
    </row>
    <row r="969" spans="1:16">
      <c r="A969" t="s">
        <v>1000</v>
      </c>
      <c r="B969" s="2">
        <v>45714</v>
      </c>
      <c r="C969" t="s">
        <v>723</v>
      </c>
      <c r="D969" t="s">
        <v>23</v>
      </c>
      <c r="E969" t="s">
        <v>24</v>
      </c>
      <c r="F969" t="s">
        <v>25</v>
      </c>
      <c r="G969" t="s">
        <v>30</v>
      </c>
      <c r="H969">
        <v>1</v>
      </c>
      <c r="I969">
        <v>0</v>
      </c>
      <c r="J969">
        <v>0</v>
      </c>
      <c r="K969">
        <v>0</v>
      </c>
      <c r="L969">
        <v>0</v>
      </c>
      <c r="M969">
        <v>0</v>
      </c>
      <c r="N969">
        <v>0</v>
      </c>
      <c r="P969">
        <v>80.099999999999994</v>
      </c>
    </row>
    <row r="970" spans="1:16">
      <c r="A970" t="s">
        <v>1001</v>
      </c>
      <c r="B970" s="2">
        <v>45739</v>
      </c>
      <c r="C970" t="s">
        <v>723</v>
      </c>
      <c r="D970" t="s">
        <v>32</v>
      </c>
      <c r="E970" t="s">
        <v>24</v>
      </c>
      <c r="F970" t="s">
        <v>41</v>
      </c>
      <c r="G970" t="s">
        <v>26</v>
      </c>
      <c r="H970">
        <v>0</v>
      </c>
      <c r="I970">
        <v>0</v>
      </c>
      <c r="J970">
        <v>0</v>
      </c>
      <c r="K970">
        <v>0</v>
      </c>
      <c r="L970">
        <v>0</v>
      </c>
      <c r="M970">
        <v>0</v>
      </c>
      <c r="N970">
        <v>0</v>
      </c>
      <c r="P970">
        <v>64.3</v>
      </c>
    </row>
    <row r="971" spans="1:16">
      <c r="A971" t="s">
        <v>1002</v>
      </c>
      <c r="B971" s="2">
        <v>45772</v>
      </c>
      <c r="C971" t="s">
        <v>723</v>
      </c>
      <c r="D971" t="s">
        <v>32</v>
      </c>
      <c r="E971" t="s">
        <v>19</v>
      </c>
      <c r="F971" t="s">
        <v>41</v>
      </c>
      <c r="G971" t="s">
        <v>26</v>
      </c>
      <c r="H971">
        <v>0</v>
      </c>
      <c r="I971">
        <v>0</v>
      </c>
      <c r="J971">
        <v>0</v>
      </c>
      <c r="K971">
        <v>0</v>
      </c>
      <c r="L971">
        <v>0</v>
      </c>
      <c r="M971">
        <v>1</v>
      </c>
      <c r="N971">
        <v>0</v>
      </c>
      <c r="P971">
        <v>57.4</v>
      </c>
    </row>
    <row r="972" spans="1:16">
      <c r="A972" t="s">
        <v>1003</v>
      </c>
      <c r="B972" s="2">
        <v>45787</v>
      </c>
      <c r="C972" t="s">
        <v>723</v>
      </c>
      <c r="D972" t="s">
        <v>18</v>
      </c>
      <c r="E972" t="s">
        <v>19</v>
      </c>
      <c r="F972" t="s">
        <v>41</v>
      </c>
      <c r="G972" t="s">
        <v>26</v>
      </c>
      <c r="H972">
        <v>1</v>
      </c>
      <c r="I972">
        <v>1</v>
      </c>
      <c r="J972">
        <v>1</v>
      </c>
      <c r="K972">
        <v>0</v>
      </c>
      <c r="L972">
        <v>0</v>
      </c>
      <c r="M972">
        <v>0</v>
      </c>
      <c r="N972">
        <v>0</v>
      </c>
      <c r="P972">
        <v>83.6</v>
      </c>
    </row>
    <row r="973" spans="1:16">
      <c r="A973" t="s">
        <v>1004</v>
      </c>
      <c r="B973" s="2">
        <v>45769</v>
      </c>
      <c r="C973" t="s">
        <v>723</v>
      </c>
      <c r="D973" t="s">
        <v>28</v>
      </c>
      <c r="E973" t="s">
        <v>24</v>
      </c>
      <c r="F973" t="s">
        <v>29</v>
      </c>
      <c r="G973" t="s">
        <v>30</v>
      </c>
      <c r="H973">
        <v>0</v>
      </c>
      <c r="I973">
        <v>0</v>
      </c>
      <c r="J973">
        <v>0</v>
      </c>
      <c r="K973">
        <v>0</v>
      </c>
      <c r="L973">
        <v>0</v>
      </c>
      <c r="M973">
        <v>0</v>
      </c>
      <c r="N973">
        <v>0</v>
      </c>
      <c r="P973">
        <v>45.8</v>
      </c>
    </row>
    <row r="974" spans="1:16">
      <c r="A974" t="s">
        <v>1005</v>
      </c>
      <c r="B974" s="2">
        <v>45706</v>
      </c>
      <c r="C974" t="s">
        <v>723</v>
      </c>
      <c r="D974" t="s">
        <v>23</v>
      </c>
      <c r="E974" t="s">
        <v>24</v>
      </c>
      <c r="F974" t="s">
        <v>39</v>
      </c>
      <c r="G974" t="s">
        <v>21</v>
      </c>
      <c r="H974">
        <v>1</v>
      </c>
      <c r="I974">
        <v>1</v>
      </c>
      <c r="J974">
        <v>1</v>
      </c>
      <c r="K974">
        <v>0</v>
      </c>
      <c r="L974">
        <v>0</v>
      </c>
      <c r="M974">
        <v>0</v>
      </c>
      <c r="N974">
        <v>0</v>
      </c>
      <c r="P974">
        <v>64.3</v>
      </c>
    </row>
    <row r="975" spans="1:16">
      <c r="A975" t="s">
        <v>1006</v>
      </c>
      <c r="B975" s="2">
        <v>45683</v>
      </c>
      <c r="C975" t="s">
        <v>723</v>
      </c>
      <c r="D975" t="s">
        <v>32</v>
      </c>
      <c r="E975" t="s">
        <v>24</v>
      </c>
      <c r="F975" t="s">
        <v>29</v>
      </c>
      <c r="G975" t="s">
        <v>30</v>
      </c>
      <c r="H975">
        <v>1</v>
      </c>
      <c r="I975">
        <v>1</v>
      </c>
      <c r="J975">
        <v>1</v>
      </c>
      <c r="K975">
        <v>0</v>
      </c>
      <c r="L975">
        <v>0</v>
      </c>
      <c r="M975">
        <v>0</v>
      </c>
      <c r="N975">
        <v>0</v>
      </c>
      <c r="P975">
        <v>80.5</v>
      </c>
    </row>
    <row r="976" spans="1:16">
      <c r="A976" t="s">
        <v>1007</v>
      </c>
      <c r="B976" s="2">
        <v>45775</v>
      </c>
      <c r="C976" t="s">
        <v>723</v>
      </c>
      <c r="D976" t="s">
        <v>18</v>
      </c>
      <c r="E976" t="s">
        <v>24</v>
      </c>
      <c r="F976" t="s">
        <v>25</v>
      </c>
      <c r="G976" t="s">
        <v>26</v>
      </c>
      <c r="H976">
        <v>1</v>
      </c>
      <c r="I976">
        <v>0</v>
      </c>
      <c r="J976">
        <v>0</v>
      </c>
      <c r="K976">
        <v>0</v>
      </c>
      <c r="L976">
        <v>0</v>
      </c>
      <c r="M976">
        <v>0</v>
      </c>
      <c r="N976">
        <v>0</v>
      </c>
      <c r="P976">
        <v>46.3</v>
      </c>
    </row>
    <row r="977" spans="1:16">
      <c r="A977" t="s">
        <v>1008</v>
      </c>
      <c r="B977" s="2">
        <v>45749</v>
      </c>
      <c r="C977" t="s">
        <v>723</v>
      </c>
      <c r="D977" t="s">
        <v>32</v>
      </c>
      <c r="E977" t="s">
        <v>19</v>
      </c>
      <c r="F977" t="s">
        <v>20</v>
      </c>
      <c r="G977" t="s">
        <v>21</v>
      </c>
      <c r="H977">
        <v>1</v>
      </c>
      <c r="I977">
        <v>0</v>
      </c>
      <c r="J977">
        <v>0</v>
      </c>
      <c r="K977">
        <v>0</v>
      </c>
      <c r="L977">
        <v>0</v>
      </c>
      <c r="M977">
        <v>0</v>
      </c>
      <c r="N977">
        <v>0</v>
      </c>
      <c r="P977">
        <v>71.599999999999994</v>
      </c>
    </row>
    <row r="978" spans="1:16">
      <c r="A978" t="s">
        <v>1009</v>
      </c>
      <c r="B978" s="2">
        <v>45759</v>
      </c>
      <c r="C978" t="s">
        <v>723</v>
      </c>
      <c r="D978" t="s">
        <v>32</v>
      </c>
      <c r="E978" t="s">
        <v>19</v>
      </c>
      <c r="F978" t="s">
        <v>20</v>
      </c>
      <c r="G978" t="s">
        <v>30</v>
      </c>
      <c r="H978">
        <v>1</v>
      </c>
      <c r="I978">
        <v>1</v>
      </c>
      <c r="J978">
        <v>0</v>
      </c>
      <c r="K978">
        <v>0</v>
      </c>
      <c r="L978">
        <v>0</v>
      </c>
      <c r="M978">
        <v>0</v>
      </c>
      <c r="N978">
        <v>0</v>
      </c>
      <c r="P978">
        <v>57.8</v>
      </c>
    </row>
    <row r="979" spans="1:16">
      <c r="A979" t="s">
        <v>1010</v>
      </c>
      <c r="B979" s="2">
        <v>45660</v>
      </c>
      <c r="C979" t="s">
        <v>723</v>
      </c>
      <c r="D979" t="s">
        <v>23</v>
      </c>
      <c r="E979" t="s">
        <v>19</v>
      </c>
      <c r="F979" t="s">
        <v>20</v>
      </c>
      <c r="G979" t="s">
        <v>21</v>
      </c>
      <c r="H979">
        <v>1</v>
      </c>
      <c r="I979">
        <v>1</v>
      </c>
      <c r="J979">
        <v>1</v>
      </c>
      <c r="K979">
        <v>0</v>
      </c>
      <c r="L979">
        <v>0</v>
      </c>
      <c r="M979">
        <v>1</v>
      </c>
      <c r="N979">
        <v>0</v>
      </c>
      <c r="P979">
        <v>57.8</v>
      </c>
    </row>
    <row r="980" spans="1:16">
      <c r="A980" t="s">
        <v>1011</v>
      </c>
      <c r="B980" s="2">
        <v>45785</v>
      </c>
      <c r="C980" t="s">
        <v>723</v>
      </c>
      <c r="D980" t="s">
        <v>18</v>
      </c>
      <c r="E980" t="s">
        <v>24</v>
      </c>
      <c r="F980" t="s">
        <v>29</v>
      </c>
      <c r="G980" t="s">
        <v>26</v>
      </c>
      <c r="H980">
        <v>1</v>
      </c>
      <c r="I980">
        <v>0</v>
      </c>
      <c r="J980">
        <v>0</v>
      </c>
      <c r="K980">
        <v>0</v>
      </c>
      <c r="L980">
        <v>0</v>
      </c>
      <c r="M980">
        <v>0</v>
      </c>
      <c r="N980">
        <v>0</v>
      </c>
      <c r="P980">
        <v>38.299999999999997</v>
      </c>
    </row>
    <row r="981" spans="1:16">
      <c r="A981" t="s">
        <v>1012</v>
      </c>
      <c r="B981" s="2">
        <v>45708</v>
      </c>
      <c r="C981" t="s">
        <v>723</v>
      </c>
      <c r="D981" t="s">
        <v>18</v>
      </c>
      <c r="E981" t="s">
        <v>24</v>
      </c>
      <c r="F981" t="s">
        <v>39</v>
      </c>
      <c r="G981" t="s">
        <v>30</v>
      </c>
      <c r="H981">
        <v>1</v>
      </c>
      <c r="I981">
        <v>0</v>
      </c>
      <c r="J981">
        <v>0</v>
      </c>
      <c r="K981">
        <v>0</v>
      </c>
      <c r="L981">
        <v>0</v>
      </c>
      <c r="M981">
        <v>1</v>
      </c>
      <c r="N981">
        <v>0</v>
      </c>
      <c r="P981">
        <v>66.099999999999994</v>
      </c>
    </row>
    <row r="982" spans="1:16">
      <c r="A982" t="s">
        <v>1013</v>
      </c>
      <c r="B982" s="2">
        <v>45733</v>
      </c>
      <c r="C982" t="s">
        <v>723</v>
      </c>
      <c r="D982" t="s">
        <v>18</v>
      </c>
      <c r="E982" t="s">
        <v>19</v>
      </c>
      <c r="F982" t="s">
        <v>29</v>
      </c>
      <c r="G982" t="s">
        <v>30</v>
      </c>
      <c r="H982">
        <v>1</v>
      </c>
      <c r="I982">
        <v>0</v>
      </c>
      <c r="J982">
        <v>0</v>
      </c>
      <c r="K982">
        <v>0</v>
      </c>
      <c r="L982">
        <v>0</v>
      </c>
      <c r="M982">
        <v>0</v>
      </c>
      <c r="N982">
        <v>0</v>
      </c>
      <c r="P982">
        <v>66.5</v>
      </c>
    </row>
    <row r="983" spans="1:16">
      <c r="A983" t="s">
        <v>1014</v>
      </c>
      <c r="B983" s="2">
        <v>45757</v>
      </c>
      <c r="C983" t="s">
        <v>723</v>
      </c>
      <c r="D983" t="s">
        <v>32</v>
      </c>
      <c r="E983" t="s">
        <v>19</v>
      </c>
      <c r="F983" t="s">
        <v>20</v>
      </c>
      <c r="G983" t="s">
        <v>26</v>
      </c>
      <c r="H983">
        <v>1</v>
      </c>
      <c r="I983">
        <v>0</v>
      </c>
      <c r="J983">
        <v>0</v>
      </c>
      <c r="K983">
        <v>0</v>
      </c>
      <c r="L983">
        <v>0</v>
      </c>
      <c r="M983">
        <v>3</v>
      </c>
      <c r="N983">
        <v>0</v>
      </c>
      <c r="P983">
        <v>51.5</v>
      </c>
    </row>
    <row r="984" spans="1:16">
      <c r="A984" t="s">
        <v>1015</v>
      </c>
      <c r="B984" s="2">
        <v>45785</v>
      </c>
      <c r="C984" t="s">
        <v>723</v>
      </c>
      <c r="D984" t="s">
        <v>18</v>
      </c>
      <c r="E984" t="s">
        <v>19</v>
      </c>
      <c r="F984" t="s">
        <v>39</v>
      </c>
      <c r="G984" t="s">
        <v>26</v>
      </c>
      <c r="H984">
        <v>1</v>
      </c>
      <c r="I984">
        <v>0</v>
      </c>
      <c r="J984">
        <v>0</v>
      </c>
      <c r="K984">
        <v>0</v>
      </c>
      <c r="L984">
        <v>0</v>
      </c>
      <c r="M984">
        <v>0</v>
      </c>
      <c r="N984">
        <v>0</v>
      </c>
      <c r="P984">
        <v>59.9</v>
      </c>
    </row>
    <row r="985" spans="1:16">
      <c r="A985" t="s">
        <v>1016</v>
      </c>
      <c r="B985" s="2">
        <v>45766</v>
      </c>
      <c r="C985" t="s">
        <v>723</v>
      </c>
      <c r="D985" t="s">
        <v>23</v>
      </c>
      <c r="E985" t="s">
        <v>24</v>
      </c>
      <c r="F985" t="s">
        <v>29</v>
      </c>
      <c r="G985" t="s">
        <v>21</v>
      </c>
      <c r="H985">
        <v>1</v>
      </c>
      <c r="I985">
        <v>0</v>
      </c>
      <c r="J985">
        <v>0</v>
      </c>
      <c r="K985">
        <v>0</v>
      </c>
      <c r="L985">
        <v>0</v>
      </c>
      <c r="M985">
        <v>0</v>
      </c>
      <c r="N985">
        <v>0</v>
      </c>
      <c r="P985">
        <v>58.8</v>
      </c>
    </row>
    <row r="986" spans="1:16">
      <c r="A986" t="s">
        <v>1017</v>
      </c>
      <c r="B986" s="2">
        <v>45658</v>
      </c>
      <c r="C986" t="s">
        <v>723</v>
      </c>
      <c r="D986" t="s">
        <v>32</v>
      </c>
      <c r="E986" t="s">
        <v>34</v>
      </c>
      <c r="F986" t="s">
        <v>29</v>
      </c>
      <c r="G986" t="s">
        <v>21</v>
      </c>
      <c r="H986">
        <v>1</v>
      </c>
      <c r="I986">
        <v>0</v>
      </c>
      <c r="J986">
        <v>0</v>
      </c>
      <c r="K986">
        <v>0</v>
      </c>
      <c r="L986">
        <v>0</v>
      </c>
      <c r="M986">
        <v>0</v>
      </c>
      <c r="N986">
        <v>0</v>
      </c>
      <c r="P986">
        <v>69.599999999999994</v>
      </c>
    </row>
    <row r="987" spans="1:16">
      <c r="A987" t="s">
        <v>1018</v>
      </c>
      <c r="B987" s="2">
        <v>45726</v>
      </c>
      <c r="C987" t="s">
        <v>723</v>
      </c>
      <c r="D987" t="s">
        <v>28</v>
      </c>
      <c r="E987" t="s">
        <v>24</v>
      </c>
      <c r="F987" t="s">
        <v>29</v>
      </c>
      <c r="G987" t="s">
        <v>26</v>
      </c>
      <c r="H987">
        <v>1</v>
      </c>
      <c r="I987">
        <v>0</v>
      </c>
      <c r="J987">
        <v>0</v>
      </c>
      <c r="K987">
        <v>0</v>
      </c>
      <c r="L987">
        <v>0</v>
      </c>
      <c r="M987">
        <v>0</v>
      </c>
      <c r="N987">
        <v>0</v>
      </c>
      <c r="P987">
        <v>77.5</v>
      </c>
    </row>
    <row r="988" spans="1:16">
      <c r="A988" t="s">
        <v>1019</v>
      </c>
      <c r="B988" s="2">
        <v>45726</v>
      </c>
      <c r="C988" t="s">
        <v>723</v>
      </c>
      <c r="D988" t="s">
        <v>28</v>
      </c>
      <c r="E988" t="s">
        <v>34</v>
      </c>
      <c r="F988" t="s">
        <v>41</v>
      </c>
      <c r="G988" t="s">
        <v>30</v>
      </c>
      <c r="H988">
        <v>0</v>
      </c>
      <c r="I988">
        <v>0</v>
      </c>
      <c r="J988">
        <v>0</v>
      </c>
      <c r="K988">
        <v>0</v>
      </c>
      <c r="L988">
        <v>0</v>
      </c>
      <c r="M988">
        <v>2</v>
      </c>
      <c r="N988">
        <v>0</v>
      </c>
      <c r="P988">
        <v>57.5</v>
      </c>
    </row>
    <row r="989" spans="1:16">
      <c r="A989" t="s">
        <v>1020</v>
      </c>
      <c r="B989" s="2">
        <v>45766</v>
      </c>
      <c r="C989" t="s">
        <v>723</v>
      </c>
      <c r="D989" t="s">
        <v>23</v>
      </c>
      <c r="E989" t="s">
        <v>34</v>
      </c>
      <c r="F989" t="s">
        <v>20</v>
      </c>
      <c r="G989" t="s">
        <v>21</v>
      </c>
      <c r="H989">
        <v>1</v>
      </c>
      <c r="I989">
        <v>0</v>
      </c>
      <c r="J989">
        <v>0</v>
      </c>
      <c r="K989">
        <v>0</v>
      </c>
      <c r="L989">
        <v>0</v>
      </c>
      <c r="M989">
        <v>0</v>
      </c>
      <c r="N989">
        <v>0</v>
      </c>
      <c r="P989">
        <v>64.2</v>
      </c>
    </row>
    <row r="990" spans="1:16">
      <c r="A990" t="s">
        <v>1021</v>
      </c>
      <c r="B990" s="2">
        <v>45758</v>
      </c>
      <c r="C990" t="s">
        <v>723</v>
      </c>
      <c r="D990" t="s">
        <v>23</v>
      </c>
      <c r="E990" t="s">
        <v>19</v>
      </c>
      <c r="F990" t="s">
        <v>25</v>
      </c>
      <c r="G990" t="s">
        <v>26</v>
      </c>
      <c r="H990">
        <v>0</v>
      </c>
      <c r="I990">
        <v>0</v>
      </c>
      <c r="J990">
        <v>0</v>
      </c>
      <c r="K990">
        <v>0</v>
      </c>
      <c r="L990">
        <v>0</v>
      </c>
      <c r="M990">
        <v>0</v>
      </c>
      <c r="N990">
        <v>0</v>
      </c>
      <c r="P990">
        <v>60</v>
      </c>
    </row>
    <row r="991" spans="1:16">
      <c r="A991" t="s">
        <v>1022</v>
      </c>
      <c r="B991" s="2">
        <v>45757</v>
      </c>
      <c r="C991" t="s">
        <v>723</v>
      </c>
      <c r="D991" t="s">
        <v>28</v>
      </c>
      <c r="E991" t="s">
        <v>24</v>
      </c>
      <c r="F991" t="s">
        <v>25</v>
      </c>
      <c r="G991" t="s">
        <v>21</v>
      </c>
      <c r="H991">
        <v>1</v>
      </c>
      <c r="I991">
        <v>0</v>
      </c>
      <c r="J991">
        <v>0</v>
      </c>
      <c r="K991">
        <v>0</v>
      </c>
      <c r="L991">
        <v>0</v>
      </c>
      <c r="M991">
        <v>1</v>
      </c>
      <c r="N991">
        <v>0</v>
      </c>
      <c r="P991">
        <v>43.7</v>
      </c>
    </row>
    <row r="992" spans="1:16">
      <c r="A992" t="s">
        <v>1023</v>
      </c>
      <c r="B992" s="2">
        <v>45670</v>
      </c>
      <c r="C992" t="s">
        <v>723</v>
      </c>
      <c r="D992" t="s">
        <v>23</v>
      </c>
      <c r="E992" t="s">
        <v>19</v>
      </c>
      <c r="F992" t="s">
        <v>41</v>
      </c>
      <c r="G992" t="s">
        <v>26</v>
      </c>
      <c r="H992">
        <v>1</v>
      </c>
      <c r="I992">
        <v>0</v>
      </c>
      <c r="J992">
        <v>0</v>
      </c>
      <c r="K992">
        <v>0</v>
      </c>
      <c r="L992">
        <v>0</v>
      </c>
      <c r="M992">
        <v>0</v>
      </c>
      <c r="N992">
        <v>0</v>
      </c>
      <c r="P992">
        <v>64.900000000000006</v>
      </c>
    </row>
    <row r="993" spans="1:16">
      <c r="A993" t="s">
        <v>1024</v>
      </c>
      <c r="B993" s="2">
        <v>45744</v>
      </c>
      <c r="C993" t="s">
        <v>723</v>
      </c>
      <c r="D993" t="s">
        <v>32</v>
      </c>
      <c r="E993" t="s">
        <v>19</v>
      </c>
      <c r="F993" t="s">
        <v>25</v>
      </c>
      <c r="G993" t="s">
        <v>26</v>
      </c>
      <c r="H993">
        <v>1</v>
      </c>
      <c r="I993">
        <v>1</v>
      </c>
      <c r="J993">
        <v>0</v>
      </c>
      <c r="K993">
        <v>0</v>
      </c>
      <c r="L993">
        <v>0</v>
      </c>
      <c r="M993">
        <v>0</v>
      </c>
      <c r="N993">
        <v>0</v>
      </c>
      <c r="P993">
        <v>45.5</v>
      </c>
    </row>
    <row r="994" spans="1:16">
      <c r="A994" t="s">
        <v>1025</v>
      </c>
      <c r="B994" s="2">
        <v>45686</v>
      </c>
      <c r="C994" t="s">
        <v>723</v>
      </c>
      <c r="D994" t="s">
        <v>28</v>
      </c>
      <c r="E994" t="s">
        <v>24</v>
      </c>
      <c r="F994" t="s">
        <v>29</v>
      </c>
      <c r="G994" t="s">
        <v>26</v>
      </c>
      <c r="H994">
        <v>1</v>
      </c>
      <c r="I994">
        <v>1</v>
      </c>
      <c r="J994">
        <v>1</v>
      </c>
      <c r="K994">
        <v>1</v>
      </c>
      <c r="L994">
        <v>1772.97</v>
      </c>
      <c r="M994">
        <v>0</v>
      </c>
      <c r="N994">
        <v>0</v>
      </c>
      <c r="O994">
        <v>8</v>
      </c>
      <c r="P994">
        <v>61.2</v>
      </c>
    </row>
    <row r="995" spans="1:16">
      <c r="A995" t="s">
        <v>1026</v>
      </c>
      <c r="B995" s="2">
        <v>45743</v>
      </c>
      <c r="C995" t="s">
        <v>723</v>
      </c>
      <c r="D995" t="s">
        <v>32</v>
      </c>
      <c r="E995" t="s">
        <v>24</v>
      </c>
      <c r="F995" t="s">
        <v>39</v>
      </c>
      <c r="G995" t="s">
        <v>26</v>
      </c>
      <c r="H995">
        <v>0</v>
      </c>
      <c r="I995">
        <v>0</v>
      </c>
      <c r="J995">
        <v>0</v>
      </c>
      <c r="K995">
        <v>0</v>
      </c>
      <c r="L995">
        <v>0</v>
      </c>
      <c r="M995">
        <v>0</v>
      </c>
      <c r="N995">
        <v>0</v>
      </c>
      <c r="P995">
        <v>87.8</v>
      </c>
    </row>
    <row r="996" spans="1:16">
      <c r="A996" t="s">
        <v>1027</v>
      </c>
      <c r="B996" s="2">
        <v>45736</v>
      </c>
      <c r="C996" t="s">
        <v>723</v>
      </c>
      <c r="D996" t="s">
        <v>28</v>
      </c>
      <c r="E996" t="s">
        <v>34</v>
      </c>
      <c r="F996" t="s">
        <v>41</v>
      </c>
      <c r="G996" t="s">
        <v>26</v>
      </c>
      <c r="H996">
        <v>0</v>
      </c>
      <c r="I996">
        <v>0</v>
      </c>
      <c r="J996">
        <v>0</v>
      </c>
      <c r="K996">
        <v>0</v>
      </c>
      <c r="L996">
        <v>0</v>
      </c>
      <c r="M996">
        <v>0</v>
      </c>
      <c r="N996">
        <v>0</v>
      </c>
      <c r="P996">
        <v>86.4</v>
      </c>
    </row>
    <row r="997" spans="1:16">
      <c r="A997" t="s">
        <v>1028</v>
      </c>
      <c r="B997" s="2">
        <v>45666</v>
      </c>
      <c r="C997" t="s">
        <v>723</v>
      </c>
      <c r="D997" t="s">
        <v>18</v>
      </c>
      <c r="E997" t="s">
        <v>24</v>
      </c>
      <c r="F997" t="s">
        <v>29</v>
      </c>
      <c r="G997" t="s">
        <v>21</v>
      </c>
      <c r="H997">
        <v>0</v>
      </c>
      <c r="I997">
        <v>0</v>
      </c>
      <c r="J997">
        <v>0</v>
      </c>
      <c r="K997">
        <v>0</v>
      </c>
      <c r="L997">
        <v>0</v>
      </c>
      <c r="M997">
        <v>1</v>
      </c>
      <c r="N997">
        <v>0</v>
      </c>
      <c r="P997">
        <v>71.400000000000006</v>
      </c>
    </row>
    <row r="998" spans="1:16">
      <c r="A998" t="s">
        <v>1029</v>
      </c>
      <c r="B998" s="2">
        <v>45772</v>
      </c>
      <c r="C998" t="s">
        <v>723</v>
      </c>
      <c r="D998" t="s">
        <v>23</v>
      </c>
      <c r="E998" t="s">
        <v>24</v>
      </c>
      <c r="F998" t="s">
        <v>41</v>
      </c>
      <c r="G998" t="s">
        <v>26</v>
      </c>
      <c r="H998">
        <v>1</v>
      </c>
      <c r="I998">
        <v>1</v>
      </c>
      <c r="J998">
        <v>1</v>
      </c>
      <c r="K998">
        <v>1</v>
      </c>
      <c r="L998">
        <v>218.66</v>
      </c>
      <c r="M998">
        <v>0</v>
      </c>
      <c r="N998">
        <v>1</v>
      </c>
      <c r="O998">
        <v>8</v>
      </c>
      <c r="P998">
        <v>72.2</v>
      </c>
    </row>
    <row r="999" spans="1:16">
      <c r="A999" t="s">
        <v>1030</v>
      </c>
      <c r="B999" s="2">
        <v>45758</v>
      </c>
      <c r="C999" t="s">
        <v>723</v>
      </c>
      <c r="D999" t="s">
        <v>32</v>
      </c>
      <c r="E999" t="s">
        <v>19</v>
      </c>
      <c r="F999" t="s">
        <v>41</v>
      </c>
      <c r="G999" t="s">
        <v>26</v>
      </c>
      <c r="H999">
        <v>1</v>
      </c>
      <c r="I999">
        <v>0</v>
      </c>
      <c r="J999">
        <v>0</v>
      </c>
      <c r="K999">
        <v>0</v>
      </c>
      <c r="L999">
        <v>0</v>
      </c>
      <c r="M999">
        <v>0</v>
      </c>
      <c r="N999">
        <v>0</v>
      </c>
      <c r="P999">
        <v>51.9</v>
      </c>
    </row>
    <row r="1000" spans="1:16">
      <c r="A1000" t="s">
        <v>1031</v>
      </c>
      <c r="B1000" s="2">
        <v>45693</v>
      </c>
      <c r="C1000" t="s">
        <v>723</v>
      </c>
      <c r="D1000" t="s">
        <v>28</v>
      </c>
      <c r="E1000" t="s">
        <v>24</v>
      </c>
      <c r="F1000" t="s">
        <v>41</v>
      </c>
      <c r="G1000" t="s">
        <v>21</v>
      </c>
      <c r="H1000">
        <v>1</v>
      </c>
      <c r="I1000">
        <v>1</v>
      </c>
      <c r="J1000">
        <v>1</v>
      </c>
      <c r="K1000">
        <v>0</v>
      </c>
      <c r="L1000">
        <v>0</v>
      </c>
      <c r="M1000">
        <v>0</v>
      </c>
      <c r="N1000">
        <v>0</v>
      </c>
      <c r="P1000">
        <v>70.3</v>
      </c>
    </row>
    <row r="1001" spans="1:16">
      <c r="A1001" t="s">
        <v>1032</v>
      </c>
      <c r="B1001" s="2">
        <v>45744</v>
      </c>
      <c r="C1001" t="s">
        <v>723</v>
      </c>
      <c r="D1001" t="s">
        <v>32</v>
      </c>
      <c r="E1001" t="s">
        <v>24</v>
      </c>
      <c r="F1001" t="s">
        <v>41</v>
      </c>
      <c r="G1001" t="s">
        <v>30</v>
      </c>
      <c r="H1001">
        <v>1</v>
      </c>
      <c r="I1001">
        <v>0</v>
      </c>
      <c r="J1001">
        <v>0</v>
      </c>
      <c r="K1001">
        <v>0</v>
      </c>
      <c r="L1001">
        <v>0</v>
      </c>
      <c r="M1001">
        <v>1</v>
      </c>
      <c r="N1001">
        <v>0</v>
      </c>
      <c r="P1001">
        <v>49.2</v>
      </c>
    </row>
    <row r="1002" spans="1:16">
      <c r="A1002" t="s">
        <v>1033</v>
      </c>
      <c r="B1002" s="2">
        <v>45791</v>
      </c>
      <c r="C1002" t="s">
        <v>723</v>
      </c>
      <c r="D1002" t="s">
        <v>32</v>
      </c>
      <c r="E1002" t="s">
        <v>24</v>
      </c>
      <c r="F1002" t="s">
        <v>39</v>
      </c>
      <c r="G1002" t="s">
        <v>26</v>
      </c>
      <c r="H1002">
        <v>0</v>
      </c>
      <c r="I1002">
        <v>0</v>
      </c>
      <c r="J1002">
        <v>0</v>
      </c>
      <c r="K1002">
        <v>0</v>
      </c>
      <c r="L1002">
        <v>0</v>
      </c>
      <c r="M1002">
        <v>0</v>
      </c>
      <c r="N1002">
        <v>0</v>
      </c>
      <c r="P1002">
        <v>52.2</v>
      </c>
    </row>
    <row r="1003" spans="1:16">
      <c r="A1003" t="s">
        <v>1034</v>
      </c>
      <c r="B1003" s="2">
        <v>45726</v>
      </c>
      <c r="C1003" t="s">
        <v>723</v>
      </c>
      <c r="D1003" t="s">
        <v>28</v>
      </c>
      <c r="E1003" t="s">
        <v>24</v>
      </c>
      <c r="F1003" t="s">
        <v>29</v>
      </c>
      <c r="G1003" t="s">
        <v>21</v>
      </c>
      <c r="H1003">
        <v>0</v>
      </c>
      <c r="I1003">
        <v>0</v>
      </c>
      <c r="J1003">
        <v>0</v>
      </c>
      <c r="K1003">
        <v>0</v>
      </c>
      <c r="L1003">
        <v>0</v>
      </c>
      <c r="M1003">
        <v>1</v>
      </c>
      <c r="N1003">
        <v>0</v>
      </c>
      <c r="P1003">
        <v>62.6</v>
      </c>
    </row>
    <row r="1004" spans="1:16">
      <c r="A1004" t="s">
        <v>1035</v>
      </c>
      <c r="B1004" s="2">
        <v>45756</v>
      </c>
      <c r="C1004" t="s">
        <v>723</v>
      </c>
      <c r="D1004" t="s">
        <v>28</v>
      </c>
      <c r="E1004" t="s">
        <v>19</v>
      </c>
      <c r="F1004" t="s">
        <v>29</v>
      </c>
      <c r="G1004" t="s">
        <v>26</v>
      </c>
      <c r="H1004">
        <v>1</v>
      </c>
      <c r="I1004">
        <v>1</v>
      </c>
      <c r="J1004">
        <v>0</v>
      </c>
      <c r="K1004">
        <v>0</v>
      </c>
      <c r="L1004">
        <v>0</v>
      </c>
      <c r="M1004">
        <v>0</v>
      </c>
      <c r="N1004">
        <v>0</v>
      </c>
      <c r="P1004">
        <v>100</v>
      </c>
    </row>
    <row r="1005" spans="1:16">
      <c r="A1005" t="s">
        <v>1036</v>
      </c>
      <c r="B1005" s="2">
        <v>45701</v>
      </c>
      <c r="C1005" t="s">
        <v>723</v>
      </c>
      <c r="D1005" t="s">
        <v>18</v>
      </c>
      <c r="E1005" t="s">
        <v>24</v>
      </c>
      <c r="F1005" t="s">
        <v>39</v>
      </c>
      <c r="G1005" t="s">
        <v>21</v>
      </c>
      <c r="H1005">
        <v>1</v>
      </c>
      <c r="I1005">
        <v>1</v>
      </c>
      <c r="J1005">
        <v>1</v>
      </c>
      <c r="K1005">
        <v>0</v>
      </c>
      <c r="L1005">
        <v>0</v>
      </c>
      <c r="M1005">
        <v>2</v>
      </c>
      <c r="N1005">
        <v>0</v>
      </c>
      <c r="P1005">
        <v>45.9</v>
      </c>
    </row>
    <row r="1006" spans="1:16">
      <c r="A1006" t="s">
        <v>1037</v>
      </c>
      <c r="B1006" s="2">
        <v>45780</v>
      </c>
      <c r="C1006" t="s">
        <v>723</v>
      </c>
      <c r="D1006" t="s">
        <v>28</v>
      </c>
      <c r="E1006" t="s">
        <v>24</v>
      </c>
      <c r="F1006" t="s">
        <v>20</v>
      </c>
      <c r="G1006" t="s">
        <v>26</v>
      </c>
      <c r="H1006">
        <v>1</v>
      </c>
      <c r="I1006">
        <v>1</v>
      </c>
      <c r="J1006">
        <v>1</v>
      </c>
      <c r="K1006">
        <v>0</v>
      </c>
      <c r="L1006">
        <v>0</v>
      </c>
      <c r="M1006">
        <v>0</v>
      </c>
      <c r="N1006">
        <v>0</v>
      </c>
      <c r="P1006">
        <v>80.7</v>
      </c>
    </row>
    <row r="1007" spans="1:16">
      <c r="A1007" t="s">
        <v>1038</v>
      </c>
      <c r="B1007" s="2">
        <v>45763</v>
      </c>
      <c r="C1007" t="s">
        <v>723</v>
      </c>
      <c r="D1007" t="s">
        <v>32</v>
      </c>
      <c r="E1007" t="s">
        <v>19</v>
      </c>
      <c r="F1007" t="s">
        <v>39</v>
      </c>
      <c r="G1007" t="s">
        <v>30</v>
      </c>
      <c r="H1007">
        <v>1</v>
      </c>
      <c r="I1007">
        <v>0</v>
      </c>
      <c r="J1007">
        <v>0</v>
      </c>
      <c r="K1007">
        <v>0</v>
      </c>
      <c r="L1007">
        <v>0</v>
      </c>
      <c r="M1007">
        <v>0</v>
      </c>
      <c r="N1007">
        <v>0</v>
      </c>
      <c r="P1007">
        <v>51.9</v>
      </c>
    </row>
    <row r="1008" spans="1:16">
      <c r="A1008" t="s">
        <v>1039</v>
      </c>
      <c r="B1008" s="2">
        <v>45777</v>
      </c>
      <c r="C1008" t="s">
        <v>723</v>
      </c>
      <c r="D1008" t="s">
        <v>18</v>
      </c>
      <c r="E1008" t="s">
        <v>24</v>
      </c>
      <c r="F1008" t="s">
        <v>29</v>
      </c>
      <c r="G1008" t="s">
        <v>30</v>
      </c>
      <c r="H1008">
        <v>1</v>
      </c>
      <c r="I1008">
        <v>0</v>
      </c>
      <c r="J1008">
        <v>0</v>
      </c>
      <c r="K1008">
        <v>0</v>
      </c>
      <c r="L1008">
        <v>0</v>
      </c>
      <c r="M1008">
        <v>0</v>
      </c>
      <c r="N1008">
        <v>0</v>
      </c>
      <c r="P1008">
        <v>68.900000000000006</v>
      </c>
    </row>
    <row r="1009" spans="1:16">
      <c r="A1009" t="s">
        <v>1040</v>
      </c>
      <c r="B1009" s="2">
        <v>45706</v>
      </c>
      <c r="C1009" t="s">
        <v>723</v>
      </c>
      <c r="D1009" t="s">
        <v>23</v>
      </c>
      <c r="E1009" t="s">
        <v>19</v>
      </c>
      <c r="F1009" t="s">
        <v>25</v>
      </c>
      <c r="G1009" t="s">
        <v>26</v>
      </c>
      <c r="H1009">
        <v>1</v>
      </c>
      <c r="I1009">
        <v>0</v>
      </c>
      <c r="J1009">
        <v>0</v>
      </c>
      <c r="K1009">
        <v>0</v>
      </c>
      <c r="L1009">
        <v>0</v>
      </c>
      <c r="M1009">
        <v>0</v>
      </c>
      <c r="N1009">
        <v>0</v>
      </c>
      <c r="P1009">
        <v>66</v>
      </c>
    </row>
    <row r="1010" spans="1:16">
      <c r="A1010" t="s">
        <v>1041</v>
      </c>
      <c r="B1010" s="2">
        <v>45799</v>
      </c>
      <c r="C1010" t="s">
        <v>723</v>
      </c>
      <c r="D1010" t="s">
        <v>23</v>
      </c>
      <c r="E1010" t="s">
        <v>19</v>
      </c>
      <c r="F1010" t="s">
        <v>39</v>
      </c>
      <c r="G1010" t="s">
        <v>21</v>
      </c>
      <c r="H1010">
        <v>0</v>
      </c>
      <c r="I1010">
        <v>0</v>
      </c>
      <c r="J1010">
        <v>0</v>
      </c>
      <c r="K1010">
        <v>0</v>
      </c>
      <c r="L1010">
        <v>0</v>
      </c>
      <c r="M1010">
        <v>0</v>
      </c>
      <c r="N1010">
        <v>0</v>
      </c>
      <c r="P1010">
        <v>63.1</v>
      </c>
    </row>
    <row r="1011" spans="1:16">
      <c r="A1011" t="s">
        <v>1042</v>
      </c>
      <c r="B1011" s="2">
        <v>45798</v>
      </c>
      <c r="C1011" t="s">
        <v>723</v>
      </c>
      <c r="D1011" t="s">
        <v>32</v>
      </c>
      <c r="E1011" t="s">
        <v>19</v>
      </c>
      <c r="F1011" t="s">
        <v>25</v>
      </c>
      <c r="G1011" t="s">
        <v>26</v>
      </c>
      <c r="H1011">
        <v>0</v>
      </c>
      <c r="I1011">
        <v>0</v>
      </c>
      <c r="J1011">
        <v>0</v>
      </c>
      <c r="K1011">
        <v>0</v>
      </c>
      <c r="L1011">
        <v>0</v>
      </c>
      <c r="M1011">
        <v>0</v>
      </c>
      <c r="N1011">
        <v>0</v>
      </c>
      <c r="P1011">
        <v>56</v>
      </c>
    </row>
    <row r="1012" spans="1:16">
      <c r="A1012" t="s">
        <v>1043</v>
      </c>
      <c r="B1012" s="2">
        <v>45757</v>
      </c>
      <c r="C1012" t="s">
        <v>723</v>
      </c>
      <c r="D1012" t="s">
        <v>28</v>
      </c>
      <c r="E1012" t="s">
        <v>19</v>
      </c>
      <c r="F1012" t="s">
        <v>25</v>
      </c>
      <c r="G1012" t="s">
        <v>26</v>
      </c>
      <c r="H1012">
        <v>1</v>
      </c>
      <c r="I1012">
        <v>0</v>
      </c>
      <c r="J1012">
        <v>0</v>
      </c>
      <c r="K1012">
        <v>0</v>
      </c>
      <c r="L1012">
        <v>0</v>
      </c>
      <c r="M1012">
        <v>1</v>
      </c>
      <c r="N1012">
        <v>0</v>
      </c>
      <c r="P1012">
        <v>65.7</v>
      </c>
    </row>
    <row r="1013" spans="1:16">
      <c r="A1013" t="s">
        <v>1044</v>
      </c>
      <c r="B1013" s="2">
        <v>45664</v>
      </c>
      <c r="C1013" t="s">
        <v>723</v>
      </c>
      <c r="D1013" t="s">
        <v>18</v>
      </c>
      <c r="E1013" t="s">
        <v>19</v>
      </c>
      <c r="F1013" t="s">
        <v>25</v>
      </c>
      <c r="G1013" t="s">
        <v>30</v>
      </c>
      <c r="H1013">
        <v>1</v>
      </c>
      <c r="I1013">
        <v>1</v>
      </c>
      <c r="J1013">
        <v>1</v>
      </c>
      <c r="K1013">
        <v>1</v>
      </c>
      <c r="L1013">
        <v>1938.31</v>
      </c>
      <c r="M1013">
        <v>1</v>
      </c>
      <c r="N1013">
        <v>0</v>
      </c>
      <c r="O1013">
        <v>9</v>
      </c>
      <c r="P1013">
        <v>60.9</v>
      </c>
    </row>
    <row r="1014" spans="1:16">
      <c r="A1014" t="s">
        <v>1045</v>
      </c>
      <c r="B1014" s="2">
        <v>45691</v>
      </c>
      <c r="C1014" t="s">
        <v>723</v>
      </c>
      <c r="D1014" t="s">
        <v>32</v>
      </c>
      <c r="E1014" t="s">
        <v>19</v>
      </c>
      <c r="F1014" t="s">
        <v>41</v>
      </c>
      <c r="G1014" t="s">
        <v>26</v>
      </c>
      <c r="H1014">
        <v>0</v>
      </c>
      <c r="I1014">
        <v>0</v>
      </c>
      <c r="J1014">
        <v>0</v>
      </c>
      <c r="K1014">
        <v>0</v>
      </c>
      <c r="L1014">
        <v>0</v>
      </c>
      <c r="M1014">
        <v>0</v>
      </c>
      <c r="N1014">
        <v>0</v>
      </c>
      <c r="P1014">
        <v>45.5</v>
      </c>
    </row>
    <row r="1015" spans="1:16">
      <c r="A1015" t="s">
        <v>1046</v>
      </c>
      <c r="B1015" s="2">
        <v>45795</v>
      </c>
      <c r="C1015" t="s">
        <v>723</v>
      </c>
      <c r="D1015" t="s">
        <v>18</v>
      </c>
      <c r="E1015" t="s">
        <v>24</v>
      </c>
      <c r="F1015" t="s">
        <v>29</v>
      </c>
      <c r="G1015" t="s">
        <v>26</v>
      </c>
      <c r="H1015">
        <v>1</v>
      </c>
      <c r="I1015">
        <v>0</v>
      </c>
      <c r="J1015">
        <v>0</v>
      </c>
      <c r="K1015">
        <v>0</v>
      </c>
      <c r="L1015">
        <v>0</v>
      </c>
      <c r="M1015">
        <v>0</v>
      </c>
      <c r="N1015">
        <v>0</v>
      </c>
      <c r="P1015">
        <v>50</v>
      </c>
    </row>
    <row r="1016" spans="1:16">
      <c r="A1016" t="s">
        <v>1047</v>
      </c>
      <c r="B1016" s="2">
        <v>45688</v>
      </c>
      <c r="C1016" t="s">
        <v>723</v>
      </c>
      <c r="D1016" t="s">
        <v>18</v>
      </c>
      <c r="E1016" t="s">
        <v>24</v>
      </c>
      <c r="F1016" t="s">
        <v>39</v>
      </c>
      <c r="G1016" t="s">
        <v>26</v>
      </c>
      <c r="H1016">
        <v>1</v>
      </c>
      <c r="I1016">
        <v>0</v>
      </c>
      <c r="J1016">
        <v>0</v>
      </c>
      <c r="K1016">
        <v>0</v>
      </c>
      <c r="L1016">
        <v>0</v>
      </c>
      <c r="M1016">
        <v>0</v>
      </c>
      <c r="N1016">
        <v>0</v>
      </c>
      <c r="P1016">
        <v>72.099999999999994</v>
      </c>
    </row>
    <row r="1017" spans="1:16">
      <c r="A1017" t="s">
        <v>1048</v>
      </c>
      <c r="B1017" s="2">
        <v>45673</v>
      </c>
      <c r="C1017" t="s">
        <v>723</v>
      </c>
      <c r="D1017" t="s">
        <v>32</v>
      </c>
      <c r="E1017" t="s">
        <v>19</v>
      </c>
      <c r="F1017" t="s">
        <v>25</v>
      </c>
      <c r="G1017" t="s">
        <v>21</v>
      </c>
      <c r="H1017">
        <v>1</v>
      </c>
      <c r="I1017">
        <v>0</v>
      </c>
      <c r="J1017">
        <v>0</v>
      </c>
      <c r="K1017">
        <v>0</v>
      </c>
      <c r="L1017">
        <v>0</v>
      </c>
      <c r="M1017">
        <v>0</v>
      </c>
      <c r="N1017">
        <v>0</v>
      </c>
      <c r="P1017">
        <v>76.3</v>
      </c>
    </row>
    <row r="1018" spans="1:16">
      <c r="A1018" t="s">
        <v>1049</v>
      </c>
      <c r="B1018" s="2">
        <v>45791</v>
      </c>
      <c r="C1018" t="s">
        <v>723</v>
      </c>
      <c r="D1018" t="s">
        <v>28</v>
      </c>
      <c r="E1018" t="s">
        <v>24</v>
      </c>
      <c r="F1018" t="s">
        <v>29</v>
      </c>
      <c r="G1018" t="s">
        <v>21</v>
      </c>
      <c r="H1018">
        <v>1</v>
      </c>
      <c r="I1018">
        <v>1</v>
      </c>
      <c r="J1018">
        <v>0</v>
      </c>
      <c r="K1018">
        <v>0</v>
      </c>
      <c r="L1018">
        <v>0</v>
      </c>
      <c r="M1018">
        <v>1</v>
      </c>
      <c r="N1018">
        <v>0</v>
      </c>
      <c r="P1018">
        <v>54.8</v>
      </c>
    </row>
    <row r="1019" spans="1:16">
      <c r="A1019" t="s">
        <v>1050</v>
      </c>
      <c r="B1019" s="2">
        <v>45748</v>
      </c>
      <c r="C1019" t="s">
        <v>723</v>
      </c>
      <c r="D1019" t="s">
        <v>32</v>
      </c>
      <c r="E1019" t="s">
        <v>24</v>
      </c>
      <c r="G1019" t="s">
        <v>21</v>
      </c>
      <c r="H1019">
        <v>1</v>
      </c>
      <c r="I1019">
        <v>0</v>
      </c>
      <c r="J1019">
        <v>0</v>
      </c>
      <c r="K1019">
        <v>0</v>
      </c>
      <c r="L1019">
        <v>0</v>
      </c>
      <c r="M1019">
        <v>0</v>
      </c>
      <c r="N1019">
        <v>0</v>
      </c>
      <c r="P1019">
        <v>63.6</v>
      </c>
    </row>
    <row r="1020" spans="1:16">
      <c r="A1020" t="s">
        <v>1051</v>
      </c>
      <c r="B1020" s="2">
        <v>45770</v>
      </c>
      <c r="C1020" t="s">
        <v>723</v>
      </c>
      <c r="D1020" t="s">
        <v>32</v>
      </c>
      <c r="E1020" t="s">
        <v>24</v>
      </c>
      <c r="F1020" t="s">
        <v>25</v>
      </c>
      <c r="G1020" t="s">
        <v>26</v>
      </c>
      <c r="H1020">
        <v>1</v>
      </c>
      <c r="I1020">
        <v>0</v>
      </c>
      <c r="J1020">
        <v>0</v>
      </c>
      <c r="K1020">
        <v>0</v>
      </c>
      <c r="L1020">
        <v>0</v>
      </c>
      <c r="M1020">
        <v>0</v>
      </c>
      <c r="N1020">
        <v>0</v>
      </c>
      <c r="P1020">
        <v>68.8</v>
      </c>
    </row>
    <row r="1021" spans="1:16">
      <c r="A1021" t="s">
        <v>1052</v>
      </c>
      <c r="B1021" s="2">
        <v>45718</v>
      </c>
      <c r="C1021" t="s">
        <v>723</v>
      </c>
      <c r="D1021" t="s">
        <v>32</v>
      </c>
      <c r="E1021" t="s">
        <v>19</v>
      </c>
      <c r="F1021" t="s">
        <v>29</v>
      </c>
      <c r="G1021" t="s">
        <v>21</v>
      </c>
      <c r="H1021">
        <v>1</v>
      </c>
      <c r="I1021">
        <v>0</v>
      </c>
      <c r="J1021">
        <v>0</v>
      </c>
      <c r="K1021">
        <v>0</v>
      </c>
      <c r="L1021">
        <v>0</v>
      </c>
      <c r="M1021">
        <v>0</v>
      </c>
      <c r="N1021">
        <v>0</v>
      </c>
      <c r="P1021">
        <v>63.2</v>
      </c>
    </row>
    <row r="1022" spans="1:16">
      <c r="A1022" t="s">
        <v>1053</v>
      </c>
      <c r="B1022" s="2">
        <v>45659</v>
      </c>
      <c r="C1022" t="s">
        <v>723</v>
      </c>
      <c r="D1022" t="s">
        <v>28</v>
      </c>
      <c r="E1022" t="s">
        <v>24</v>
      </c>
      <c r="F1022" t="s">
        <v>29</v>
      </c>
      <c r="G1022" t="s">
        <v>21</v>
      </c>
      <c r="H1022">
        <v>0</v>
      </c>
      <c r="I1022">
        <v>0</v>
      </c>
      <c r="J1022">
        <v>0</v>
      </c>
      <c r="K1022">
        <v>0</v>
      </c>
      <c r="L1022">
        <v>0</v>
      </c>
      <c r="M1022">
        <v>0</v>
      </c>
      <c r="N1022">
        <v>0</v>
      </c>
      <c r="P1022">
        <v>45</v>
      </c>
    </row>
    <row r="1023" spans="1:16">
      <c r="A1023" t="s">
        <v>1054</v>
      </c>
      <c r="B1023" s="2">
        <v>45781</v>
      </c>
      <c r="C1023" t="s">
        <v>723</v>
      </c>
      <c r="D1023" t="s">
        <v>32</v>
      </c>
      <c r="E1023" t="s">
        <v>24</v>
      </c>
      <c r="F1023" t="s">
        <v>25</v>
      </c>
      <c r="G1023" t="s">
        <v>26</v>
      </c>
      <c r="H1023">
        <v>1</v>
      </c>
      <c r="I1023">
        <v>0</v>
      </c>
      <c r="J1023">
        <v>0</v>
      </c>
      <c r="K1023">
        <v>0</v>
      </c>
      <c r="L1023">
        <v>0</v>
      </c>
      <c r="M1023">
        <v>0</v>
      </c>
      <c r="N1023">
        <v>0</v>
      </c>
      <c r="P1023">
        <v>77.400000000000006</v>
      </c>
    </row>
    <row r="1024" spans="1:16">
      <c r="A1024" t="s">
        <v>1055</v>
      </c>
      <c r="B1024" s="2">
        <v>45673</v>
      </c>
      <c r="C1024" t="s">
        <v>723</v>
      </c>
      <c r="D1024" t="s">
        <v>28</v>
      </c>
      <c r="E1024" t="s">
        <v>19</v>
      </c>
      <c r="F1024" t="s">
        <v>29</v>
      </c>
      <c r="G1024" t="s">
        <v>21</v>
      </c>
      <c r="H1024">
        <v>0</v>
      </c>
      <c r="I1024">
        <v>0</v>
      </c>
      <c r="J1024">
        <v>0</v>
      </c>
      <c r="K1024">
        <v>0</v>
      </c>
      <c r="L1024">
        <v>0</v>
      </c>
      <c r="M1024">
        <v>0</v>
      </c>
      <c r="N1024">
        <v>0</v>
      </c>
      <c r="P1024">
        <v>53.1</v>
      </c>
    </row>
    <row r="1025" spans="1:16">
      <c r="A1025" t="s">
        <v>1056</v>
      </c>
      <c r="B1025" s="2">
        <v>45699</v>
      </c>
      <c r="C1025" t="s">
        <v>723</v>
      </c>
      <c r="D1025" t="s">
        <v>23</v>
      </c>
      <c r="E1025" t="s">
        <v>34</v>
      </c>
      <c r="F1025" t="s">
        <v>29</v>
      </c>
      <c r="G1025" t="s">
        <v>30</v>
      </c>
      <c r="H1025">
        <v>0</v>
      </c>
      <c r="I1025">
        <v>0</v>
      </c>
      <c r="J1025">
        <v>0</v>
      </c>
      <c r="K1025">
        <v>0</v>
      </c>
      <c r="L1025">
        <v>0</v>
      </c>
      <c r="M1025">
        <v>0</v>
      </c>
      <c r="N1025">
        <v>0</v>
      </c>
      <c r="P1025">
        <v>74</v>
      </c>
    </row>
    <row r="1026" spans="1:16">
      <c r="A1026" t="s">
        <v>1057</v>
      </c>
      <c r="B1026" s="2">
        <v>45750</v>
      </c>
      <c r="C1026" t="s">
        <v>723</v>
      </c>
      <c r="D1026" t="s">
        <v>18</v>
      </c>
      <c r="E1026" t="s">
        <v>24</v>
      </c>
      <c r="F1026" t="s">
        <v>41</v>
      </c>
      <c r="G1026" t="s">
        <v>30</v>
      </c>
      <c r="H1026">
        <v>1</v>
      </c>
      <c r="I1026">
        <v>1</v>
      </c>
      <c r="J1026">
        <v>1</v>
      </c>
      <c r="K1026">
        <v>1</v>
      </c>
      <c r="L1026">
        <v>1906.23</v>
      </c>
      <c r="M1026">
        <v>0</v>
      </c>
      <c r="N1026">
        <v>0</v>
      </c>
      <c r="O1026">
        <v>4</v>
      </c>
      <c r="P1026">
        <v>84.6</v>
      </c>
    </row>
    <row r="1027" spans="1:16">
      <c r="A1027" t="s">
        <v>1058</v>
      </c>
      <c r="B1027" s="2">
        <v>45742</v>
      </c>
      <c r="C1027" t="s">
        <v>723</v>
      </c>
      <c r="D1027" t="s">
        <v>28</v>
      </c>
      <c r="E1027" t="s">
        <v>24</v>
      </c>
      <c r="F1027" t="s">
        <v>39</v>
      </c>
      <c r="G1027" t="s">
        <v>26</v>
      </c>
      <c r="H1027">
        <v>1</v>
      </c>
      <c r="I1027">
        <v>0</v>
      </c>
      <c r="J1027">
        <v>0</v>
      </c>
      <c r="K1027">
        <v>0</v>
      </c>
      <c r="L1027">
        <v>0</v>
      </c>
      <c r="M1027">
        <v>0</v>
      </c>
      <c r="N1027">
        <v>0</v>
      </c>
      <c r="P1027">
        <v>57</v>
      </c>
    </row>
    <row r="1028" spans="1:16">
      <c r="A1028" t="s">
        <v>1059</v>
      </c>
      <c r="B1028" s="2">
        <v>45793</v>
      </c>
      <c r="C1028" t="s">
        <v>723</v>
      </c>
      <c r="D1028" t="s">
        <v>32</v>
      </c>
      <c r="E1028" t="s">
        <v>24</v>
      </c>
      <c r="F1028" t="s">
        <v>20</v>
      </c>
      <c r="G1028" t="s">
        <v>30</v>
      </c>
      <c r="H1028">
        <v>0</v>
      </c>
      <c r="I1028">
        <v>0</v>
      </c>
      <c r="J1028">
        <v>0</v>
      </c>
      <c r="K1028">
        <v>0</v>
      </c>
      <c r="L1028">
        <v>0</v>
      </c>
      <c r="M1028">
        <v>0</v>
      </c>
      <c r="N1028">
        <v>0</v>
      </c>
      <c r="P1028">
        <v>46.3</v>
      </c>
    </row>
    <row r="1029" spans="1:16">
      <c r="A1029" t="s">
        <v>1060</v>
      </c>
      <c r="B1029" s="2">
        <v>45767</v>
      </c>
      <c r="C1029" t="s">
        <v>723</v>
      </c>
      <c r="D1029" t="s">
        <v>23</v>
      </c>
      <c r="E1029" t="s">
        <v>24</v>
      </c>
      <c r="F1029" t="s">
        <v>41</v>
      </c>
      <c r="G1029" t="s">
        <v>26</v>
      </c>
      <c r="H1029">
        <v>0</v>
      </c>
      <c r="I1029">
        <v>0</v>
      </c>
      <c r="J1029">
        <v>0</v>
      </c>
      <c r="K1029">
        <v>0</v>
      </c>
      <c r="L1029">
        <v>0</v>
      </c>
      <c r="M1029">
        <v>1</v>
      </c>
      <c r="N1029">
        <v>0</v>
      </c>
      <c r="P1029">
        <v>64.400000000000006</v>
      </c>
    </row>
    <row r="1030" spans="1:16">
      <c r="A1030" t="s">
        <v>1061</v>
      </c>
      <c r="B1030" s="2">
        <v>45762</v>
      </c>
      <c r="C1030" t="s">
        <v>723</v>
      </c>
      <c r="D1030" t="s">
        <v>23</v>
      </c>
      <c r="E1030" t="s">
        <v>24</v>
      </c>
      <c r="F1030" t="s">
        <v>29</v>
      </c>
      <c r="G1030" t="s">
        <v>26</v>
      </c>
      <c r="H1030">
        <v>1</v>
      </c>
      <c r="I1030">
        <v>0</v>
      </c>
      <c r="J1030">
        <v>0</v>
      </c>
      <c r="K1030">
        <v>0</v>
      </c>
      <c r="L1030">
        <v>0</v>
      </c>
      <c r="M1030">
        <v>2</v>
      </c>
      <c r="N1030">
        <v>0</v>
      </c>
      <c r="P1030">
        <v>61.9</v>
      </c>
    </row>
    <row r="1031" spans="1:16">
      <c r="A1031" t="s">
        <v>1062</v>
      </c>
      <c r="B1031" s="2">
        <v>45681</v>
      </c>
      <c r="C1031" t="s">
        <v>723</v>
      </c>
      <c r="D1031" t="s">
        <v>18</v>
      </c>
      <c r="E1031" t="s">
        <v>24</v>
      </c>
      <c r="F1031" t="s">
        <v>25</v>
      </c>
      <c r="G1031" t="s">
        <v>30</v>
      </c>
      <c r="H1031">
        <v>1</v>
      </c>
      <c r="I1031">
        <v>1</v>
      </c>
      <c r="J1031">
        <v>1</v>
      </c>
      <c r="K1031">
        <v>0</v>
      </c>
      <c r="L1031">
        <v>0</v>
      </c>
      <c r="M1031">
        <v>0</v>
      </c>
      <c r="N1031">
        <v>0</v>
      </c>
      <c r="P1031">
        <v>93.7</v>
      </c>
    </row>
    <row r="1032" spans="1:16">
      <c r="A1032" t="s">
        <v>1063</v>
      </c>
      <c r="B1032" s="2">
        <v>45758</v>
      </c>
      <c r="C1032" t="s">
        <v>723</v>
      </c>
      <c r="D1032" t="s">
        <v>32</v>
      </c>
      <c r="E1032" t="s">
        <v>24</v>
      </c>
      <c r="F1032" t="s">
        <v>39</v>
      </c>
      <c r="G1032" t="s">
        <v>21</v>
      </c>
      <c r="H1032">
        <v>0</v>
      </c>
      <c r="I1032">
        <v>0</v>
      </c>
      <c r="J1032">
        <v>0</v>
      </c>
      <c r="K1032">
        <v>0</v>
      </c>
      <c r="L1032">
        <v>0</v>
      </c>
      <c r="M1032">
        <v>0</v>
      </c>
      <c r="N1032">
        <v>0</v>
      </c>
      <c r="P1032">
        <v>61.6</v>
      </c>
    </row>
    <row r="1033" spans="1:16">
      <c r="A1033" t="s">
        <v>1064</v>
      </c>
      <c r="B1033" s="2">
        <v>45796</v>
      </c>
      <c r="C1033" t="s">
        <v>723</v>
      </c>
      <c r="D1033" t="s">
        <v>18</v>
      </c>
      <c r="E1033" t="s">
        <v>24</v>
      </c>
      <c r="F1033" t="s">
        <v>29</v>
      </c>
      <c r="G1033" t="s">
        <v>26</v>
      </c>
      <c r="H1033">
        <v>1</v>
      </c>
      <c r="I1033">
        <v>0</v>
      </c>
      <c r="J1033">
        <v>0</v>
      </c>
      <c r="K1033">
        <v>0</v>
      </c>
      <c r="L1033">
        <v>0</v>
      </c>
      <c r="M1033">
        <v>0</v>
      </c>
      <c r="N1033">
        <v>0</v>
      </c>
      <c r="P1033">
        <v>72.2</v>
      </c>
    </row>
    <row r="1034" spans="1:16">
      <c r="A1034" t="s">
        <v>1065</v>
      </c>
      <c r="B1034" s="2">
        <v>45671</v>
      </c>
      <c r="C1034" t="s">
        <v>723</v>
      </c>
      <c r="D1034" t="s">
        <v>18</v>
      </c>
      <c r="E1034" t="s">
        <v>24</v>
      </c>
      <c r="F1034" t="s">
        <v>25</v>
      </c>
      <c r="G1034" t="s">
        <v>21</v>
      </c>
      <c r="H1034">
        <v>0</v>
      </c>
      <c r="I1034">
        <v>0</v>
      </c>
      <c r="J1034">
        <v>0</v>
      </c>
      <c r="K1034">
        <v>0</v>
      </c>
      <c r="L1034">
        <v>0</v>
      </c>
      <c r="M1034">
        <v>0</v>
      </c>
      <c r="N1034">
        <v>0</v>
      </c>
      <c r="P1034">
        <v>69.5</v>
      </c>
    </row>
    <row r="1035" spans="1:16">
      <c r="A1035" t="s">
        <v>1066</v>
      </c>
      <c r="B1035" s="2">
        <v>45716</v>
      </c>
      <c r="C1035" t="s">
        <v>723</v>
      </c>
      <c r="D1035" t="s">
        <v>28</v>
      </c>
      <c r="E1035" t="s">
        <v>19</v>
      </c>
      <c r="F1035" t="s">
        <v>25</v>
      </c>
      <c r="G1035" t="s">
        <v>21</v>
      </c>
      <c r="H1035">
        <v>0</v>
      </c>
      <c r="I1035">
        <v>0</v>
      </c>
      <c r="J1035">
        <v>0</v>
      </c>
      <c r="K1035">
        <v>0</v>
      </c>
      <c r="L1035">
        <v>0</v>
      </c>
      <c r="M1035">
        <v>0</v>
      </c>
      <c r="N1035">
        <v>0</v>
      </c>
      <c r="P1035">
        <v>59.7</v>
      </c>
    </row>
    <row r="1036" spans="1:16">
      <c r="A1036" t="s">
        <v>1067</v>
      </c>
      <c r="B1036" s="2">
        <v>45795</v>
      </c>
      <c r="C1036" t="s">
        <v>723</v>
      </c>
      <c r="D1036" t="s">
        <v>28</v>
      </c>
      <c r="E1036" t="s">
        <v>34</v>
      </c>
      <c r="F1036" t="s">
        <v>29</v>
      </c>
      <c r="G1036" t="s">
        <v>21</v>
      </c>
      <c r="H1036">
        <v>1</v>
      </c>
      <c r="I1036">
        <v>0</v>
      </c>
      <c r="J1036">
        <v>0</v>
      </c>
      <c r="K1036">
        <v>0</v>
      </c>
      <c r="L1036">
        <v>0</v>
      </c>
      <c r="M1036">
        <v>0</v>
      </c>
      <c r="N1036">
        <v>0</v>
      </c>
      <c r="P1036">
        <v>73.900000000000006</v>
      </c>
    </row>
    <row r="1037" spans="1:16">
      <c r="A1037" t="s">
        <v>1068</v>
      </c>
      <c r="B1037" s="2">
        <v>45661</v>
      </c>
      <c r="C1037" t="s">
        <v>723</v>
      </c>
      <c r="D1037" t="s">
        <v>18</v>
      </c>
      <c r="E1037" t="s">
        <v>24</v>
      </c>
      <c r="F1037" t="s">
        <v>41</v>
      </c>
      <c r="G1037" t="s">
        <v>26</v>
      </c>
      <c r="H1037">
        <v>0</v>
      </c>
      <c r="I1037">
        <v>0</v>
      </c>
      <c r="J1037">
        <v>0</v>
      </c>
      <c r="K1037">
        <v>0</v>
      </c>
      <c r="L1037">
        <v>0</v>
      </c>
      <c r="M1037">
        <v>0</v>
      </c>
      <c r="N1037">
        <v>0</v>
      </c>
      <c r="P1037">
        <v>41.5</v>
      </c>
    </row>
    <row r="1038" spans="1:16">
      <c r="A1038" t="s">
        <v>1069</v>
      </c>
      <c r="B1038" s="2">
        <v>45673</v>
      </c>
      <c r="C1038" t="s">
        <v>723</v>
      </c>
      <c r="D1038" t="s">
        <v>23</v>
      </c>
      <c r="E1038" t="s">
        <v>24</v>
      </c>
      <c r="F1038" t="s">
        <v>41</v>
      </c>
      <c r="G1038" t="s">
        <v>30</v>
      </c>
      <c r="H1038">
        <v>1</v>
      </c>
      <c r="I1038">
        <v>0</v>
      </c>
      <c r="J1038">
        <v>0</v>
      </c>
      <c r="K1038">
        <v>0</v>
      </c>
      <c r="L1038">
        <v>0</v>
      </c>
      <c r="M1038">
        <v>0</v>
      </c>
      <c r="N1038">
        <v>0</v>
      </c>
      <c r="P1038">
        <v>82.8</v>
      </c>
    </row>
    <row r="1039" spans="1:16">
      <c r="A1039" t="s">
        <v>1070</v>
      </c>
      <c r="B1039" s="2">
        <v>45730</v>
      </c>
      <c r="C1039" t="s">
        <v>723</v>
      </c>
      <c r="D1039" t="s">
        <v>23</v>
      </c>
      <c r="E1039" t="s">
        <v>24</v>
      </c>
      <c r="F1039" t="s">
        <v>41</v>
      </c>
      <c r="G1039" t="s">
        <v>30</v>
      </c>
      <c r="H1039">
        <v>1</v>
      </c>
      <c r="I1039">
        <v>0</v>
      </c>
      <c r="J1039">
        <v>0</v>
      </c>
      <c r="K1039">
        <v>0</v>
      </c>
      <c r="L1039">
        <v>0</v>
      </c>
      <c r="M1039">
        <v>3</v>
      </c>
      <c r="N1039">
        <v>0</v>
      </c>
      <c r="P1039">
        <v>70.2</v>
      </c>
    </row>
    <row r="1040" spans="1:16">
      <c r="A1040" t="s">
        <v>1071</v>
      </c>
      <c r="B1040" s="2">
        <v>45680</v>
      </c>
      <c r="C1040" t="s">
        <v>723</v>
      </c>
      <c r="D1040" t="s">
        <v>28</v>
      </c>
      <c r="E1040" t="s">
        <v>24</v>
      </c>
      <c r="F1040" t="s">
        <v>29</v>
      </c>
      <c r="G1040" t="s">
        <v>21</v>
      </c>
      <c r="H1040">
        <v>1</v>
      </c>
      <c r="I1040">
        <v>0</v>
      </c>
      <c r="J1040">
        <v>0</v>
      </c>
      <c r="K1040">
        <v>0</v>
      </c>
      <c r="L1040">
        <v>0</v>
      </c>
      <c r="M1040">
        <v>1</v>
      </c>
      <c r="N1040">
        <v>0</v>
      </c>
      <c r="P1040">
        <v>69.400000000000006</v>
      </c>
    </row>
    <row r="1041" spans="1:16">
      <c r="A1041" t="s">
        <v>1072</v>
      </c>
      <c r="B1041" s="2">
        <v>45691</v>
      </c>
      <c r="C1041" t="s">
        <v>723</v>
      </c>
      <c r="D1041" t="s">
        <v>18</v>
      </c>
      <c r="E1041" t="s">
        <v>19</v>
      </c>
      <c r="F1041" t="s">
        <v>25</v>
      </c>
      <c r="G1041" t="s">
        <v>21</v>
      </c>
      <c r="H1041">
        <v>1</v>
      </c>
      <c r="I1041">
        <v>0</v>
      </c>
      <c r="J1041">
        <v>0</v>
      </c>
      <c r="K1041">
        <v>0</v>
      </c>
      <c r="L1041">
        <v>0</v>
      </c>
      <c r="M1041">
        <v>0</v>
      </c>
      <c r="N1041">
        <v>0</v>
      </c>
      <c r="P1041">
        <v>60.4</v>
      </c>
    </row>
    <row r="1042" spans="1:16">
      <c r="A1042" t="s">
        <v>1073</v>
      </c>
      <c r="B1042" s="2">
        <v>45793</v>
      </c>
      <c r="C1042" t="s">
        <v>723</v>
      </c>
      <c r="D1042" t="s">
        <v>28</v>
      </c>
      <c r="E1042" t="s">
        <v>24</v>
      </c>
      <c r="F1042" t="s">
        <v>39</v>
      </c>
      <c r="G1042" t="s">
        <v>26</v>
      </c>
      <c r="H1042">
        <v>1</v>
      </c>
      <c r="I1042">
        <v>0</v>
      </c>
      <c r="J1042">
        <v>0</v>
      </c>
      <c r="K1042">
        <v>0</v>
      </c>
      <c r="L1042">
        <v>0</v>
      </c>
      <c r="M1042">
        <v>0</v>
      </c>
      <c r="N1042">
        <v>0</v>
      </c>
      <c r="P1042">
        <v>45.7</v>
      </c>
    </row>
    <row r="1043" spans="1:16">
      <c r="A1043" t="s">
        <v>1074</v>
      </c>
      <c r="B1043" s="2">
        <v>45668</v>
      </c>
      <c r="C1043" t="s">
        <v>723</v>
      </c>
      <c r="D1043" t="s">
        <v>23</v>
      </c>
      <c r="E1043" t="s">
        <v>24</v>
      </c>
      <c r="F1043" t="s">
        <v>25</v>
      </c>
      <c r="G1043" t="s">
        <v>21</v>
      </c>
      <c r="H1043">
        <v>0</v>
      </c>
      <c r="I1043">
        <v>0</v>
      </c>
      <c r="J1043">
        <v>0</v>
      </c>
      <c r="K1043">
        <v>0</v>
      </c>
      <c r="L1043">
        <v>0</v>
      </c>
      <c r="M1043">
        <v>1</v>
      </c>
      <c r="N1043">
        <v>0</v>
      </c>
      <c r="P1043">
        <v>42.2</v>
      </c>
    </row>
    <row r="1044" spans="1:16">
      <c r="A1044" t="s">
        <v>1075</v>
      </c>
      <c r="B1044" s="2">
        <v>45802</v>
      </c>
      <c r="C1044" t="s">
        <v>723</v>
      </c>
      <c r="D1044" t="s">
        <v>18</v>
      </c>
      <c r="E1044" t="s">
        <v>19</v>
      </c>
      <c r="F1044" t="s">
        <v>25</v>
      </c>
      <c r="G1044" t="s">
        <v>26</v>
      </c>
      <c r="H1044">
        <v>0</v>
      </c>
      <c r="I1044">
        <v>0</v>
      </c>
      <c r="J1044">
        <v>0</v>
      </c>
      <c r="K1044">
        <v>0</v>
      </c>
      <c r="L1044">
        <v>0</v>
      </c>
      <c r="M1044">
        <v>2</v>
      </c>
      <c r="N1044">
        <v>0</v>
      </c>
      <c r="P1044">
        <v>61.9</v>
      </c>
    </row>
    <row r="1045" spans="1:16">
      <c r="A1045" t="s">
        <v>1076</v>
      </c>
      <c r="B1045" s="2">
        <v>45785</v>
      </c>
      <c r="C1045" t="s">
        <v>723</v>
      </c>
      <c r="D1045" t="s">
        <v>28</v>
      </c>
      <c r="E1045" t="s">
        <v>24</v>
      </c>
      <c r="F1045" t="s">
        <v>29</v>
      </c>
      <c r="G1045" t="s">
        <v>30</v>
      </c>
      <c r="H1045">
        <v>0</v>
      </c>
      <c r="I1045">
        <v>0</v>
      </c>
      <c r="J1045">
        <v>0</v>
      </c>
      <c r="K1045">
        <v>0</v>
      </c>
      <c r="L1045">
        <v>0</v>
      </c>
      <c r="M1045">
        <v>0</v>
      </c>
      <c r="N1045">
        <v>0</v>
      </c>
      <c r="P1045">
        <v>44.9</v>
      </c>
    </row>
    <row r="1046" spans="1:16">
      <c r="A1046" t="s">
        <v>1077</v>
      </c>
      <c r="B1046" s="2">
        <v>45714</v>
      </c>
      <c r="C1046" t="s">
        <v>723</v>
      </c>
      <c r="D1046" t="s">
        <v>28</v>
      </c>
      <c r="E1046" t="s">
        <v>19</v>
      </c>
      <c r="G1046" t="s">
        <v>21</v>
      </c>
      <c r="H1046">
        <v>1</v>
      </c>
      <c r="I1046">
        <v>0</v>
      </c>
      <c r="J1046">
        <v>0</v>
      </c>
      <c r="K1046">
        <v>0</v>
      </c>
      <c r="L1046">
        <v>0</v>
      </c>
      <c r="M1046">
        <v>0</v>
      </c>
      <c r="N1046">
        <v>0</v>
      </c>
      <c r="P1046">
        <v>68</v>
      </c>
    </row>
    <row r="1047" spans="1:16">
      <c r="A1047" t="s">
        <v>1078</v>
      </c>
      <c r="B1047" s="2">
        <v>45746</v>
      </c>
      <c r="C1047" t="s">
        <v>723</v>
      </c>
      <c r="D1047" t="s">
        <v>18</v>
      </c>
      <c r="E1047" t="s">
        <v>24</v>
      </c>
      <c r="F1047" t="s">
        <v>29</v>
      </c>
      <c r="G1047" t="s">
        <v>26</v>
      </c>
      <c r="H1047">
        <v>1</v>
      </c>
      <c r="I1047">
        <v>0</v>
      </c>
      <c r="J1047">
        <v>0</v>
      </c>
      <c r="K1047">
        <v>0</v>
      </c>
      <c r="L1047">
        <v>0</v>
      </c>
      <c r="M1047">
        <v>0</v>
      </c>
      <c r="N1047">
        <v>0</v>
      </c>
      <c r="P1047">
        <v>61</v>
      </c>
    </row>
    <row r="1048" spans="1:16">
      <c r="A1048" t="s">
        <v>1079</v>
      </c>
      <c r="B1048" s="2">
        <v>45760</v>
      </c>
      <c r="C1048" t="s">
        <v>723</v>
      </c>
      <c r="D1048" t="s">
        <v>23</v>
      </c>
      <c r="E1048" t="s">
        <v>24</v>
      </c>
      <c r="F1048" t="s">
        <v>25</v>
      </c>
      <c r="G1048" t="s">
        <v>21</v>
      </c>
      <c r="H1048">
        <v>1</v>
      </c>
      <c r="I1048">
        <v>0</v>
      </c>
      <c r="J1048">
        <v>0</v>
      </c>
      <c r="K1048">
        <v>0</v>
      </c>
      <c r="L1048">
        <v>0</v>
      </c>
      <c r="M1048">
        <v>0</v>
      </c>
      <c r="N1048">
        <v>0</v>
      </c>
      <c r="P1048">
        <v>55</v>
      </c>
    </row>
    <row r="1049" spans="1:16">
      <c r="A1049" t="s">
        <v>1080</v>
      </c>
      <c r="B1049" s="2">
        <v>45708</v>
      </c>
      <c r="C1049" t="s">
        <v>723</v>
      </c>
      <c r="D1049" t="s">
        <v>28</v>
      </c>
      <c r="F1049" t="s">
        <v>29</v>
      </c>
      <c r="G1049" t="s">
        <v>21</v>
      </c>
      <c r="H1049">
        <v>1</v>
      </c>
      <c r="I1049">
        <v>0</v>
      </c>
      <c r="J1049">
        <v>0</v>
      </c>
      <c r="K1049">
        <v>0</v>
      </c>
      <c r="L1049">
        <v>0</v>
      </c>
      <c r="M1049">
        <v>0</v>
      </c>
      <c r="N1049">
        <v>0</v>
      </c>
      <c r="P1049">
        <v>63.1</v>
      </c>
    </row>
    <row r="1050" spans="1:16">
      <c r="A1050" t="s">
        <v>1081</v>
      </c>
      <c r="B1050" s="2">
        <v>45766</v>
      </c>
      <c r="C1050" t="s">
        <v>723</v>
      </c>
      <c r="D1050" t="s">
        <v>23</v>
      </c>
      <c r="E1050" t="s">
        <v>19</v>
      </c>
      <c r="F1050" t="s">
        <v>41</v>
      </c>
      <c r="G1050" t="s">
        <v>26</v>
      </c>
      <c r="H1050">
        <v>1</v>
      </c>
      <c r="I1050">
        <v>0</v>
      </c>
      <c r="J1050">
        <v>0</v>
      </c>
      <c r="K1050">
        <v>0</v>
      </c>
      <c r="L1050">
        <v>0</v>
      </c>
      <c r="M1050">
        <v>0</v>
      </c>
      <c r="N1050">
        <v>0</v>
      </c>
      <c r="P1050">
        <v>75.8</v>
      </c>
    </row>
    <row r="1051" spans="1:16">
      <c r="A1051" t="s">
        <v>1082</v>
      </c>
      <c r="B1051" s="2">
        <v>45738</v>
      </c>
      <c r="C1051" t="s">
        <v>723</v>
      </c>
      <c r="D1051" t="s">
        <v>32</v>
      </c>
      <c r="E1051" t="s">
        <v>24</v>
      </c>
      <c r="F1051" t="s">
        <v>29</v>
      </c>
      <c r="G1051" t="s">
        <v>26</v>
      </c>
      <c r="H1051">
        <v>1</v>
      </c>
      <c r="I1051">
        <v>1</v>
      </c>
      <c r="J1051">
        <v>0</v>
      </c>
      <c r="K1051">
        <v>0</v>
      </c>
      <c r="L1051">
        <v>0</v>
      </c>
      <c r="M1051">
        <v>1</v>
      </c>
      <c r="N1051">
        <v>0</v>
      </c>
      <c r="P1051">
        <v>43.8</v>
      </c>
    </row>
    <row r="1052" spans="1:16">
      <c r="A1052" t="s">
        <v>1083</v>
      </c>
      <c r="B1052" s="2">
        <v>45716</v>
      </c>
      <c r="C1052" t="s">
        <v>723</v>
      </c>
      <c r="D1052" t="s">
        <v>18</v>
      </c>
      <c r="E1052" t="s">
        <v>24</v>
      </c>
      <c r="F1052" t="s">
        <v>20</v>
      </c>
      <c r="G1052" t="s">
        <v>21</v>
      </c>
      <c r="H1052">
        <v>1</v>
      </c>
      <c r="I1052">
        <v>1</v>
      </c>
      <c r="J1052">
        <v>0</v>
      </c>
      <c r="K1052">
        <v>0</v>
      </c>
      <c r="L1052">
        <v>0</v>
      </c>
      <c r="M1052">
        <v>0</v>
      </c>
      <c r="N1052">
        <v>0</v>
      </c>
      <c r="P1052">
        <v>46.8</v>
      </c>
    </row>
    <row r="1053" spans="1:16">
      <c r="A1053" t="s">
        <v>1084</v>
      </c>
      <c r="B1053" s="2">
        <v>45801</v>
      </c>
      <c r="C1053" t="s">
        <v>723</v>
      </c>
      <c r="D1053" t="s">
        <v>28</v>
      </c>
      <c r="E1053" t="s">
        <v>24</v>
      </c>
      <c r="F1053" t="s">
        <v>41</v>
      </c>
      <c r="G1053" t="s">
        <v>26</v>
      </c>
      <c r="H1053">
        <v>1</v>
      </c>
      <c r="I1053">
        <v>1</v>
      </c>
      <c r="J1053">
        <v>1</v>
      </c>
      <c r="K1053">
        <v>0</v>
      </c>
      <c r="L1053">
        <v>0</v>
      </c>
      <c r="M1053">
        <v>0</v>
      </c>
      <c r="N1053">
        <v>0</v>
      </c>
      <c r="P1053">
        <v>97.4</v>
      </c>
    </row>
    <row r="1054" spans="1:16">
      <c r="A1054" t="s">
        <v>1085</v>
      </c>
      <c r="B1054" s="2">
        <v>45691</v>
      </c>
      <c r="C1054" t="s">
        <v>723</v>
      </c>
      <c r="D1054" t="s">
        <v>18</v>
      </c>
      <c r="E1054" t="s">
        <v>19</v>
      </c>
      <c r="F1054" t="s">
        <v>20</v>
      </c>
      <c r="G1054" t="s">
        <v>26</v>
      </c>
      <c r="H1054">
        <v>1</v>
      </c>
      <c r="I1054">
        <v>1</v>
      </c>
      <c r="J1054">
        <v>1</v>
      </c>
      <c r="K1054">
        <v>1</v>
      </c>
      <c r="L1054">
        <v>268.95999999999998</v>
      </c>
      <c r="M1054">
        <v>0</v>
      </c>
      <c r="N1054">
        <v>0</v>
      </c>
      <c r="O1054">
        <v>14</v>
      </c>
      <c r="P1054">
        <v>81</v>
      </c>
    </row>
    <row r="1055" spans="1:16">
      <c r="A1055" t="s">
        <v>1086</v>
      </c>
      <c r="B1055" s="2">
        <v>45684</v>
      </c>
      <c r="C1055" t="s">
        <v>723</v>
      </c>
      <c r="D1055" t="s">
        <v>32</v>
      </c>
      <c r="E1055" t="s">
        <v>24</v>
      </c>
      <c r="F1055" t="s">
        <v>25</v>
      </c>
      <c r="G1055" t="s">
        <v>26</v>
      </c>
      <c r="H1055">
        <v>1</v>
      </c>
      <c r="I1055">
        <v>0</v>
      </c>
      <c r="J1055">
        <v>0</v>
      </c>
      <c r="K1055">
        <v>0</v>
      </c>
      <c r="L1055">
        <v>0</v>
      </c>
      <c r="M1055">
        <v>1</v>
      </c>
      <c r="N1055">
        <v>0</v>
      </c>
      <c r="P1055">
        <v>58.9</v>
      </c>
    </row>
    <row r="1056" spans="1:16">
      <c r="A1056" t="s">
        <v>1087</v>
      </c>
      <c r="B1056" s="2">
        <v>45764</v>
      </c>
      <c r="C1056" t="s">
        <v>723</v>
      </c>
      <c r="D1056" t="s">
        <v>28</v>
      </c>
      <c r="E1056" t="s">
        <v>24</v>
      </c>
      <c r="F1056" t="s">
        <v>25</v>
      </c>
      <c r="G1056" t="s">
        <v>26</v>
      </c>
      <c r="H1056">
        <v>1</v>
      </c>
      <c r="I1056">
        <v>0</v>
      </c>
      <c r="J1056">
        <v>0</v>
      </c>
      <c r="K1056">
        <v>0</v>
      </c>
      <c r="L1056">
        <v>0</v>
      </c>
      <c r="M1056">
        <v>0</v>
      </c>
      <c r="N1056">
        <v>0</v>
      </c>
      <c r="P1056">
        <v>51.9</v>
      </c>
    </row>
    <row r="1057" spans="1:16">
      <c r="A1057" t="s">
        <v>1088</v>
      </c>
      <c r="B1057" s="2">
        <v>45694</v>
      </c>
      <c r="C1057" t="s">
        <v>723</v>
      </c>
      <c r="D1057" t="s">
        <v>23</v>
      </c>
      <c r="E1057" t="s">
        <v>24</v>
      </c>
      <c r="F1057" t="s">
        <v>41</v>
      </c>
      <c r="G1057" t="s">
        <v>26</v>
      </c>
      <c r="H1057">
        <v>1</v>
      </c>
      <c r="I1057">
        <v>1</v>
      </c>
      <c r="J1057">
        <v>0</v>
      </c>
      <c r="K1057">
        <v>0</v>
      </c>
      <c r="L1057">
        <v>0</v>
      </c>
      <c r="M1057">
        <v>0</v>
      </c>
      <c r="N1057">
        <v>0</v>
      </c>
      <c r="P1057">
        <v>61.7</v>
      </c>
    </row>
    <row r="1058" spans="1:16">
      <c r="A1058" t="s">
        <v>1089</v>
      </c>
      <c r="B1058" s="2">
        <v>45767</v>
      </c>
      <c r="C1058" t="s">
        <v>723</v>
      </c>
      <c r="D1058" t="s">
        <v>32</v>
      </c>
      <c r="E1058" t="s">
        <v>24</v>
      </c>
      <c r="F1058" t="s">
        <v>29</v>
      </c>
      <c r="G1058" t="s">
        <v>26</v>
      </c>
      <c r="H1058">
        <v>1</v>
      </c>
      <c r="I1058">
        <v>0</v>
      </c>
      <c r="J1058">
        <v>0</v>
      </c>
      <c r="K1058">
        <v>0</v>
      </c>
      <c r="L1058">
        <v>0</v>
      </c>
      <c r="M1058">
        <v>0</v>
      </c>
      <c r="N1058">
        <v>0</v>
      </c>
      <c r="P1058">
        <v>44.7</v>
      </c>
    </row>
    <row r="1059" spans="1:16">
      <c r="A1059" t="s">
        <v>1090</v>
      </c>
      <c r="B1059" s="2">
        <v>45783</v>
      </c>
      <c r="C1059" t="s">
        <v>723</v>
      </c>
      <c r="D1059" t="s">
        <v>18</v>
      </c>
      <c r="E1059" t="s">
        <v>24</v>
      </c>
      <c r="F1059" t="s">
        <v>29</v>
      </c>
      <c r="G1059" t="s">
        <v>21</v>
      </c>
      <c r="H1059">
        <v>0</v>
      </c>
      <c r="I1059">
        <v>0</v>
      </c>
      <c r="J1059">
        <v>0</v>
      </c>
      <c r="K1059">
        <v>0</v>
      </c>
      <c r="L1059">
        <v>0</v>
      </c>
      <c r="M1059">
        <v>0</v>
      </c>
      <c r="N1059">
        <v>0</v>
      </c>
      <c r="P1059">
        <v>63.2</v>
      </c>
    </row>
    <row r="1060" spans="1:16">
      <c r="A1060" t="s">
        <v>1091</v>
      </c>
      <c r="B1060" s="2">
        <v>45793</v>
      </c>
      <c r="C1060" t="s">
        <v>723</v>
      </c>
      <c r="D1060" t="s">
        <v>32</v>
      </c>
      <c r="E1060" t="s">
        <v>24</v>
      </c>
      <c r="F1060" t="s">
        <v>25</v>
      </c>
      <c r="G1060" t="s">
        <v>26</v>
      </c>
      <c r="H1060">
        <v>1</v>
      </c>
      <c r="I1060">
        <v>0</v>
      </c>
      <c r="J1060">
        <v>0</v>
      </c>
      <c r="K1060">
        <v>0</v>
      </c>
      <c r="L1060">
        <v>0</v>
      </c>
      <c r="M1060">
        <v>0</v>
      </c>
      <c r="N1060">
        <v>0</v>
      </c>
      <c r="P1060">
        <v>70.3</v>
      </c>
    </row>
    <row r="1061" spans="1:16">
      <c r="A1061" t="s">
        <v>1092</v>
      </c>
      <c r="B1061" s="2">
        <v>45718</v>
      </c>
      <c r="C1061" t="s">
        <v>723</v>
      </c>
      <c r="D1061" t="s">
        <v>32</v>
      </c>
      <c r="E1061" t="s">
        <v>24</v>
      </c>
      <c r="F1061" t="s">
        <v>29</v>
      </c>
      <c r="G1061" t="s">
        <v>30</v>
      </c>
      <c r="H1061">
        <v>1</v>
      </c>
      <c r="I1061">
        <v>1</v>
      </c>
      <c r="J1061">
        <v>0</v>
      </c>
      <c r="K1061">
        <v>0</v>
      </c>
      <c r="L1061">
        <v>0</v>
      </c>
      <c r="M1061">
        <v>1</v>
      </c>
      <c r="N1061">
        <v>0</v>
      </c>
      <c r="P1061">
        <v>83.1</v>
      </c>
    </row>
    <row r="1062" spans="1:16">
      <c r="A1062" t="s">
        <v>1093</v>
      </c>
      <c r="B1062" s="2">
        <v>45756</v>
      </c>
      <c r="C1062" t="s">
        <v>723</v>
      </c>
      <c r="D1062" t="s">
        <v>23</v>
      </c>
      <c r="E1062" t="s">
        <v>24</v>
      </c>
      <c r="F1062" t="s">
        <v>41</v>
      </c>
      <c r="G1062" t="s">
        <v>26</v>
      </c>
      <c r="H1062">
        <v>0</v>
      </c>
      <c r="I1062">
        <v>0</v>
      </c>
      <c r="J1062">
        <v>0</v>
      </c>
      <c r="K1062">
        <v>0</v>
      </c>
      <c r="L1062">
        <v>0</v>
      </c>
      <c r="M1062">
        <v>0</v>
      </c>
      <c r="N1062">
        <v>0</v>
      </c>
      <c r="P1062">
        <v>50.3</v>
      </c>
    </row>
    <row r="1063" spans="1:16">
      <c r="A1063" t="s">
        <v>1094</v>
      </c>
      <c r="B1063" s="2">
        <v>45683</v>
      </c>
      <c r="C1063" t="s">
        <v>723</v>
      </c>
      <c r="D1063" t="s">
        <v>28</v>
      </c>
      <c r="E1063" t="s">
        <v>24</v>
      </c>
      <c r="F1063" t="s">
        <v>29</v>
      </c>
      <c r="G1063" t="s">
        <v>26</v>
      </c>
      <c r="H1063">
        <v>1</v>
      </c>
      <c r="I1063">
        <v>1</v>
      </c>
      <c r="J1063">
        <v>1</v>
      </c>
      <c r="K1063">
        <v>1</v>
      </c>
      <c r="L1063">
        <v>437.09</v>
      </c>
      <c r="M1063">
        <v>2</v>
      </c>
      <c r="N1063">
        <v>1</v>
      </c>
      <c r="O1063">
        <v>1</v>
      </c>
      <c r="P1063">
        <v>58.2</v>
      </c>
    </row>
    <row r="1064" spans="1:16">
      <c r="A1064" t="s">
        <v>1095</v>
      </c>
      <c r="B1064" s="2">
        <v>45713</v>
      </c>
      <c r="C1064" t="s">
        <v>723</v>
      </c>
      <c r="D1064" t="s">
        <v>32</v>
      </c>
      <c r="E1064" t="s">
        <v>24</v>
      </c>
      <c r="F1064" t="s">
        <v>29</v>
      </c>
      <c r="G1064" t="s">
        <v>21</v>
      </c>
      <c r="H1064">
        <v>1</v>
      </c>
      <c r="I1064">
        <v>1</v>
      </c>
      <c r="J1064">
        <v>1</v>
      </c>
      <c r="K1064">
        <v>0</v>
      </c>
      <c r="L1064">
        <v>0</v>
      </c>
      <c r="M1064">
        <v>0</v>
      </c>
      <c r="N1064">
        <v>0</v>
      </c>
      <c r="P1064">
        <v>53.2</v>
      </c>
    </row>
    <row r="1065" spans="1:16">
      <c r="A1065" t="s">
        <v>1096</v>
      </c>
      <c r="B1065" s="2">
        <v>45664</v>
      </c>
      <c r="C1065" t="s">
        <v>723</v>
      </c>
      <c r="D1065" t="s">
        <v>28</v>
      </c>
      <c r="E1065" t="s">
        <v>24</v>
      </c>
      <c r="F1065" t="s">
        <v>25</v>
      </c>
      <c r="G1065" t="s">
        <v>30</v>
      </c>
      <c r="H1065">
        <v>0</v>
      </c>
      <c r="I1065">
        <v>0</v>
      </c>
      <c r="J1065">
        <v>0</v>
      </c>
      <c r="K1065">
        <v>0</v>
      </c>
      <c r="L1065">
        <v>0</v>
      </c>
      <c r="M1065">
        <v>0</v>
      </c>
      <c r="N1065">
        <v>0</v>
      </c>
      <c r="P1065">
        <v>36.4</v>
      </c>
    </row>
    <row r="1066" spans="1:16">
      <c r="A1066" t="s">
        <v>1097</v>
      </c>
      <c r="B1066" s="2">
        <v>45724</v>
      </c>
      <c r="C1066" t="s">
        <v>723</v>
      </c>
      <c r="D1066" t="s">
        <v>32</v>
      </c>
      <c r="E1066" t="s">
        <v>24</v>
      </c>
      <c r="F1066" t="s">
        <v>41</v>
      </c>
      <c r="G1066" t="s">
        <v>21</v>
      </c>
      <c r="H1066">
        <v>1</v>
      </c>
      <c r="I1066">
        <v>1</v>
      </c>
      <c r="J1066">
        <v>1</v>
      </c>
      <c r="K1066">
        <v>0</v>
      </c>
      <c r="L1066">
        <v>0</v>
      </c>
      <c r="M1066">
        <v>0</v>
      </c>
      <c r="N1066">
        <v>0</v>
      </c>
      <c r="P1066">
        <v>72.7</v>
      </c>
    </row>
    <row r="1067" spans="1:16">
      <c r="A1067" t="s">
        <v>1098</v>
      </c>
      <c r="B1067" s="2">
        <v>45799</v>
      </c>
      <c r="C1067" t="s">
        <v>723</v>
      </c>
      <c r="D1067" t="s">
        <v>28</v>
      </c>
      <c r="E1067" t="s">
        <v>24</v>
      </c>
      <c r="F1067" t="s">
        <v>39</v>
      </c>
      <c r="G1067" t="s">
        <v>26</v>
      </c>
      <c r="H1067">
        <v>1</v>
      </c>
      <c r="I1067">
        <v>0</v>
      </c>
      <c r="J1067">
        <v>0</v>
      </c>
      <c r="K1067">
        <v>0</v>
      </c>
      <c r="L1067">
        <v>0</v>
      </c>
      <c r="M1067">
        <v>1</v>
      </c>
      <c r="N1067">
        <v>0</v>
      </c>
      <c r="P1067">
        <v>86.7</v>
      </c>
    </row>
    <row r="1068" spans="1:16">
      <c r="A1068" t="s">
        <v>1099</v>
      </c>
      <c r="B1068" s="2">
        <v>45765</v>
      </c>
      <c r="C1068" t="s">
        <v>723</v>
      </c>
      <c r="D1068" t="s">
        <v>28</v>
      </c>
      <c r="E1068" t="s">
        <v>24</v>
      </c>
      <c r="F1068" t="s">
        <v>29</v>
      </c>
      <c r="G1068" t="s">
        <v>30</v>
      </c>
      <c r="H1068">
        <v>1</v>
      </c>
      <c r="I1068">
        <v>0</v>
      </c>
      <c r="J1068">
        <v>0</v>
      </c>
      <c r="K1068">
        <v>0</v>
      </c>
      <c r="L1068">
        <v>0</v>
      </c>
      <c r="M1068">
        <v>0</v>
      </c>
      <c r="N1068">
        <v>0</v>
      </c>
      <c r="P1068">
        <v>48.2</v>
      </c>
    </row>
    <row r="1069" spans="1:16">
      <c r="A1069" t="s">
        <v>1100</v>
      </c>
      <c r="B1069" s="2">
        <v>45712</v>
      </c>
      <c r="C1069" t="s">
        <v>723</v>
      </c>
      <c r="D1069" t="s">
        <v>23</v>
      </c>
      <c r="E1069" t="s">
        <v>24</v>
      </c>
      <c r="F1069" t="s">
        <v>39</v>
      </c>
      <c r="G1069" t="s">
        <v>21</v>
      </c>
      <c r="H1069">
        <v>0</v>
      </c>
      <c r="I1069">
        <v>0</v>
      </c>
      <c r="J1069">
        <v>0</v>
      </c>
      <c r="K1069">
        <v>0</v>
      </c>
      <c r="L1069">
        <v>0</v>
      </c>
      <c r="M1069">
        <v>1</v>
      </c>
      <c r="N1069">
        <v>0</v>
      </c>
      <c r="P1069">
        <v>57.6</v>
      </c>
    </row>
    <row r="1070" spans="1:16">
      <c r="A1070" t="s">
        <v>1101</v>
      </c>
      <c r="B1070" s="2">
        <v>45699</v>
      </c>
      <c r="C1070" t="s">
        <v>723</v>
      </c>
      <c r="D1070" t="s">
        <v>18</v>
      </c>
      <c r="E1070" t="s">
        <v>24</v>
      </c>
      <c r="F1070" t="s">
        <v>25</v>
      </c>
      <c r="G1070" t="s">
        <v>26</v>
      </c>
      <c r="H1070">
        <v>1</v>
      </c>
      <c r="I1070">
        <v>1</v>
      </c>
      <c r="J1070">
        <v>1</v>
      </c>
      <c r="K1070">
        <v>0</v>
      </c>
      <c r="L1070">
        <v>0</v>
      </c>
      <c r="M1070">
        <v>0</v>
      </c>
      <c r="N1070">
        <v>0</v>
      </c>
      <c r="P1070">
        <v>75.7</v>
      </c>
    </row>
    <row r="1071" spans="1:16">
      <c r="A1071" t="s">
        <v>1102</v>
      </c>
      <c r="B1071" s="2">
        <v>45727</v>
      </c>
      <c r="C1071" t="s">
        <v>723</v>
      </c>
      <c r="D1071" t="s">
        <v>23</v>
      </c>
      <c r="E1071" t="s">
        <v>19</v>
      </c>
      <c r="F1071" t="s">
        <v>29</v>
      </c>
      <c r="G1071" t="s">
        <v>26</v>
      </c>
      <c r="H1071">
        <v>1</v>
      </c>
      <c r="I1071">
        <v>0</v>
      </c>
      <c r="J1071">
        <v>0</v>
      </c>
      <c r="K1071">
        <v>0</v>
      </c>
      <c r="L1071">
        <v>0</v>
      </c>
      <c r="M1071">
        <v>2</v>
      </c>
      <c r="N1071">
        <v>0</v>
      </c>
      <c r="P1071">
        <v>48.6</v>
      </c>
    </row>
    <row r="1072" spans="1:16">
      <c r="A1072" t="s">
        <v>1103</v>
      </c>
      <c r="B1072" s="2">
        <v>45758</v>
      </c>
      <c r="C1072" t="s">
        <v>723</v>
      </c>
      <c r="D1072" t="s">
        <v>28</v>
      </c>
      <c r="E1072" t="s">
        <v>34</v>
      </c>
      <c r="F1072" t="s">
        <v>39</v>
      </c>
      <c r="G1072" t="s">
        <v>26</v>
      </c>
      <c r="H1072">
        <v>1</v>
      </c>
      <c r="I1072">
        <v>1</v>
      </c>
      <c r="J1072">
        <v>1</v>
      </c>
      <c r="K1072">
        <v>0</v>
      </c>
      <c r="L1072">
        <v>0</v>
      </c>
      <c r="M1072">
        <v>0</v>
      </c>
      <c r="N1072">
        <v>0</v>
      </c>
      <c r="P1072">
        <v>72</v>
      </c>
    </row>
    <row r="1073" spans="1:16">
      <c r="A1073" t="s">
        <v>1104</v>
      </c>
      <c r="B1073" s="2">
        <v>45727</v>
      </c>
      <c r="C1073" t="s">
        <v>723</v>
      </c>
      <c r="D1073" t="s">
        <v>18</v>
      </c>
      <c r="E1073" t="s">
        <v>24</v>
      </c>
      <c r="F1073" t="s">
        <v>25</v>
      </c>
      <c r="G1073" t="s">
        <v>26</v>
      </c>
      <c r="H1073">
        <v>0</v>
      </c>
      <c r="I1073">
        <v>0</v>
      </c>
      <c r="J1073">
        <v>0</v>
      </c>
      <c r="K1073">
        <v>0</v>
      </c>
      <c r="L1073">
        <v>0</v>
      </c>
      <c r="M1073">
        <v>0</v>
      </c>
      <c r="N1073">
        <v>0</v>
      </c>
      <c r="P1073">
        <v>72.2</v>
      </c>
    </row>
    <row r="1074" spans="1:16">
      <c r="A1074" t="s">
        <v>1105</v>
      </c>
      <c r="B1074" s="2">
        <v>45799</v>
      </c>
      <c r="C1074" t="s">
        <v>723</v>
      </c>
      <c r="D1074" t="s">
        <v>28</v>
      </c>
      <c r="E1074" t="s">
        <v>24</v>
      </c>
      <c r="F1074" t="s">
        <v>39</v>
      </c>
      <c r="G1074" t="s">
        <v>26</v>
      </c>
      <c r="H1074">
        <v>1</v>
      </c>
      <c r="I1074">
        <v>0</v>
      </c>
      <c r="J1074">
        <v>0</v>
      </c>
      <c r="K1074">
        <v>0</v>
      </c>
      <c r="L1074">
        <v>0</v>
      </c>
      <c r="M1074">
        <v>1</v>
      </c>
      <c r="N1074">
        <v>0</v>
      </c>
    </row>
    <row r="1075" spans="1:16">
      <c r="A1075" t="s">
        <v>1106</v>
      </c>
      <c r="B1075" s="2">
        <v>45710</v>
      </c>
      <c r="C1075" t="s">
        <v>723</v>
      </c>
      <c r="D1075" t="s">
        <v>32</v>
      </c>
      <c r="E1075" t="s">
        <v>19</v>
      </c>
      <c r="F1075" t="s">
        <v>25</v>
      </c>
      <c r="G1075" t="s">
        <v>26</v>
      </c>
      <c r="H1075">
        <v>1</v>
      </c>
      <c r="I1075">
        <v>1</v>
      </c>
      <c r="J1075">
        <v>1</v>
      </c>
      <c r="K1075">
        <v>1</v>
      </c>
      <c r="L1075">
        <v>331.53</v>
      </c>
      <c r="M1075">
        <v>2</v>
      </c>
      <c r="N1075">
        <v>0</v>
      </c>
      <c r="O1075">
        <v>4</v>
      </c>
      <c r="P1075">
        <v>56.8</v>
      </c>
    </row>
    <row r="1076" spans="1:16">
      <c r="A1076" t="s">
        <v>1107</v>
      </c>
      <c r="B1076" s="2">
        <v>45670</v>
      </c>
      <c r="C1076" t="s">
        <v>723</v>
      </c>
      <c r="D1076" t="s">
        <v>28</v>
      </c>
      <c r="E1076" t="s">
        <v>24</v>
      </c>
      <c r="F1076" t="s">
        <v>29</v>
      </c>
      <c r="G1076" t="s">
        <v>21</v>
      </c>
      <c r="H1076">
        <v>1</v>
      </c>
      <c r="I1076">
        <v>0</v>
      </c>
      <c r="J1076">
        <v>0</v>
      </c>
      <c r="K1076">
        <v>0</v>
      </c>
      <c r="L1076">
        <v>0</v>
      </c>
      <c r="M1076">
        <v>0</v>
      </c>
      <c r="N1076">
        <v>0</v>
      </c>
      <c r="P1076">
        <v>62.5</v>
      </c>
    </row>
    <row r="1077" spans="1:16">
      <c r="A1077" t="s">
        <v>1108</v>
      </c>
      <c r="B1077" s="2">
        <v>45796</v>
      </c>
      <c r="C1077" t="s">
        <v>723</v>
      </c>
      <c r="D1077" t="s">
        <v>32</v>
      </c>
      <c r="E1077" t="s">
        <v>24</v>
      </c>
      <c r="F1077" t="s">
        <v>25</v>
      </c>
      <c r="G1077" t="s">
        <v>26</v>
      </c>
      <c r="H1077">
        <v>1</v>
      </c>
      <c r="I1077">
        <v>0</v>
      </c>
      <c r="J1077">
        <v>0</v>
      </c>
      <c r="K1077">
        <v>0</v>
      </c>
      <c r="L1077">
        <v>0</v>
      </c>
      <c r="M1077">
        <v>0</v>
      </c>
      <c r="N1077">
        <v>0</v>
      </c>
      <c r="P1077">
        <v>63.4</v>
      </c>
    </row>
    <row r="1078" spans="1:16">
      <c r="A1078" t="s">
        <v>1109</v>
      </c>
      <c r="B1078" s="2">
        <v>45724</v>
      </c>
      <c r="C1078" t="s">
        <v>723</v>
      </c>
      <c r="D1078" t="s">
        <v>18</v>
      </c>
      <c r="E1078" t="s">
        <v>34</v>
      </c>
      <c r="F1078" t="s">
        <v>25</v>
      </c>
      <c r="G1078" t="s">
        <v>21</v>
      </c>
      <c r="H1078">
        <v>1</v>
      </c>
      <c r="I1078">
        <v>1</v>
      </c>
      <c r="J1078">
        <v>1</v>
      </c>
      <c r="K1078">
        <v>1</v>
      </c>
      <c r="L1078">
        <v>774.78</v>
      </c>
      <c r="M1078">
        <v>0</v>
      </c>
      <c r="N1078">
        <v>0</v>
      </c>
      <c r="O1078">
        <v>3</v>
      </c>
      <c r="P1078">
        <v>46.8</v>
      </c>
    </row>
    <row r="1079" spans="1:16">
      <c r="A1079" t="s">
        <v>1110</v>
      </c>
      <c r="B1079" s="2">
        <v>45767</v>
      </c>
      <c r="C1079" t="s">
        <v>723</v>
      </c>
      <c r="D1079" t="s">
        <v>32</v>
      </c>
      <c r="E1079" t="s">
        <v>24</v>
      </c>
      <c r="F1079" t="s">
        <v>25</v>
      </c>
      <c r="G1079" t="s">
        <v>26</v>
      </c>
      <c r="H1079">
        <v>1</v>
      </c>
      <c r="I1079">
        <v>1</v>
      </c>
      <c r="J1079">
        <v>1</v>
      </c>
      <c r="K1079">
        <v>1</v>
      </c>
      <c r="L1079">
        <v>422.02</v>
      </c>
      <c r="M1079">
        <v>0</v>
      </c>
      <c r="N1079">
        <v>0</v>
      </c>
      <c r="O1079">
        <v>8</v>
      </c>
      <c r="P1079">
        <v>86.5</v>
      </c>
    </row>
    <row r="1080" spans="1:16">
      <c r="A1080" t="s">
        <v>1111</v>
      </c>
      <c r="B1080" s="2">
        <v>45785</v>
      </c>
      <c r="C1080" t="s">
        <v>723</v>
      </c>
      <c r="D1080" t="s">
        <v>23</v>
      </c>
      <c r="E1080" t="s">
        <v>24</v>
      </c>
      <c r="F1080" t="s">
        <v>20</v>
      </c>
      <c r="G1080" t="s">
        <v>21</v>
      </c>
      <c r="H1080">
        <v>0</v>
      </c>
      <c r="I1080">
        <v>0</v>
      </c>
      <c r="J1080">
        <v>0</v>
      </c>
      <c r="K1080">
        <v>0</v>
      </c>
      <c r="L1080">
        <v>0</v>
      </c>
      <c r="M1080">
        <v>1</v>
      </c>
      <c r="N1080">
        <v>0</v>
      </c>
      <c r="P1080">
        <v>75.099999999999994</v>
      </c>
    </row>
    <row r="1081" spans="1:16">
      <c r="A1081" t="s">
        <v>1112</v>
      </c>
      <c r="B1081" s="2">
        <v>45787</v>
      </c>
      <c r="C1081" t="s">
        <v>723</v>
      </c>
      <c r="D1081" t="s">
        <v>32</v>
      </c>
      <c r="E1081" t="s">
        <v>24</v>
      </c>
      <c r="F1081" t="s">
        <v>25</v>
      </c>
      <c r="G1081" t="s">
        <v>21</v>
      </c>
      <c r="H1081">
        <v>1</v>
      </c>
      <c r="I1081">
        <v>0</v>
      </c>
      <c r="J1081">
        <v>0</v>
      </c>
      <c r="K1081">
        <v>0</v>
      </c>
      <c r="L1081">
        <v>0</v>
      </c>
      <c r="M1081">
        <v>0</v>
      </c>
      <c r="N1081">
        <v>0</v>
      </c>
      <c r="P1081">
        <v>64.5</v>
      </c>
    </row>
    <row r="1082" spans="1:16">
      <c r="A1082" t="s">
        <v>1113</v>
      </c>
      <c r="B1082" s="2">
        <v>45744</v>
      </c>
      <c r="C1082" t="s">
        <v>723</v>
      </c>
      <c r="D1082" t="s">
        <v>28</v>
      </c>
      <c r="E1082" t="s">
        <v>24</v>
      </c>
      <c r="F1082" t="s">
        <v>25</v>
      </c>
      <c r="G1082" t="s">
        <v>26</v>
      </c>
      <c r="H1082">
        <v>1</v>
      </c>
      <c r="I1082">
        <v>0</v>
      </c>
      <c r="J1082">
        <v>0</v>
      </c>
      <c r="K1082">
        <v>0</v>
      </c>
      <c r="L1082">
        <v>0</v>
      </c>
      <c r="M1082">
        <v>0</v>
      </c>
      <c r="N1082">
        <v>0</v>
      </c>
      <c r="P1082">
        <v>54.2</v>
      </c>
    </row>
    <row r="1083" spans="1:16">
      <c r="A1083" t="s">
        <v>1114</v>
      </c>
      <c r="B1083" s="2">
        <v>45777</v>
      </c>
      <c r="C1083" t="s">
        <v>723</v>
      </c>
      <c r="D1083" t="s">
        <v>28</v>
      </c>
      <c r="E1083" t="s">
        <v>24</v>
      </c>
      <c r="F1083" t="s">
        <v>29</v>
      </c>
      <c r="G1083" t="s">
        <v>30</v>
      </c>
      <c r="H1083">
        <v>1</v>
      </c>
      <c r="I1083">
        <v>1</v>
      </c>
      <c r="J1083">
        <v>1</v>
      </c>
      <c r="K1083">
        <v>0</v>
      </c>
      <c r="L1083">
        <v>0</v>
      </c>
      <c r="M1083">
        <v>0</v>
      </c>
      <c r="N1083">
        <v>0</v>
      </c>
      <c r="P1083">
        <v>84.1</v>
      </c>
    </row>
    <row r="1084" spans="1:16">
      <c r="A1084" t="s">
        <v>1115</v>
      </c>
      <c r="B1084" s="2">
        <v>45696</v>
      </c>
      <c r="C1084" t="s">
        <v>723</v>
      </c>
      <c r="D1084" t="s">
        <v>18</v>
      </c>
      <c r="E1084" t="s">
        <v>24</v>
      </c>
      <c r="F1084" t="s">
        <v>25</v>
      </c>
      <c r="G1084" t="s">
        <v>21</v>
      </c>
      <c r="H1084">
        <v>0</v>
      </c>
      <c r="I1084">
        <v>0</v>
      </c>
      <c r="J1084">
        <v>0</v>
      </c>
      <c r="K1084">
        <v>0</v>
      </c>
      <c r="L1084">
        <v>0</v>
      </c>
      <c r="M1084">
        <v>1</v>
      </c>
      <c r="N1084">
        <v>0</v>
      </c>
      <c r="P1084">
        <v>49.1</v>
      </c>
    </row>
    <row r="1085" spans="1:16">
      <c r="A1085" t="s">
        <v>1116</v>
      </c>
      <c r="B1085" s="2">
        <v>45723</v>
      </c>
      <c r="C1085" t="s">
        <v>723</v>
      </c>
      <c r="D1085" t="s">
        <v>32</v>
      </c>
      <c r="E1085" t="s">
        <v>24</v>
      </c>
      <c r="F1085" t="s">
        <v>39</v>
      </c>
      <c r="G1085" t="s">
        <v>30</v>
      </c>
      <c r="H1085">
        <v>0</v>
      </c>
      <c r="I1085">
        <v>0</v>
      </c>
      <c r="J1085">
        <v>0</v>
      </c>
      <c r="K1085">
        <v>0</v>
      </c>
      <c r="L1085">
        <v>0</v>
      </c>
      <c r="M1085">
        <v>0</v>
      </c>
      <c r="N1085">
        <v>0</v>
      </c>
      <c r="P1085">
        <v>92.7</v>
      </c>
    </row>
    <row r="1086" spans="1:16">
      <c r="A1086" t="s">
        <v>1117</v>
      </c>
      <c r="B1086" s="2">
        <v>45798</v>
      </c>
      <c r="C1086" t="s">
        <v>723</v>
      </c>
      <c r="D1086" t="s">
        <v>32</v>
      </c>
      <c r="E1086" t="s">
        <v>24</v>
      </c>
      <c r="F1086" t="s">
        <v>41</v>
      </c>
      <c r="G1086" t="s">
        <v>21</v>
      </c>
      <c r="H1086">
        <v>1</v>
      </c>
      <c r="I1086">
        <v>1</v>
      </c>
      <c r="J1086">
        <v>1</v>
      </c>
      <c r="K1086">
        <v>0</v>
      </c>
      <c r="L1086">
        <v>0</v>
      </c>
      <c r="M1086">
        <v>1</v>
      </c>
      <c r="N1086">
        <v>0</v>
      </c>
      <c r="P1086">
        <v>58.7</v>
      </c>
    </row>
    <row r="1087" spans="1:16">
      <c r="A1087" t="s">
        <v>1118</v>
      </c>
      <c r="B1087" s="2">
        <v>45759</v>
      </c>
      <c r="C1087" t="s">
        <v>723</v>
      </c>
      <c r="D1087" t="s">
        <v>32</v>
      </c>
      <c r="E1087" t="s">
        <v>24</v>
      </c>
      <c r="F1087" t="s">
        <v>41</v>
      </c>
      <c r="G1087" t="s">
        <v>26</v>
      </c>
      <c r="H1087">
        <v>1</v>
      </c>
      <c r="I1087">
        <v>1</v>
      </c>
      <c r="J1087">
        <v>1</v>
      </c>
      <c r="K1087">
        <v>0</v>
      </c>
      <c r="L1087">
        <v>0</v>
      </c>
      <c r="M1087">
        <v>0</v>
      </c>
      <c r="N1087">
        <v>0</v>
      </c>
      <c r="P1087">
        <v>59.3</v>
      </c>
    </row>
    <row r="1088" spans="1:16">
      <c r="A1088" t="s">
        <v>1119</v>
      </c>
      <c r="B1088" s="2">
        <v>45690</v>
      </c>
      <c r="C1088" t="s">
        <v>723</v>
      </c>
      <c r="D1088" t="s">
        <v>32</v>
      </c>
      <c r="E1088" t="s">
        <v>24</v>
      </c>
      <c r="F1088" t="s">
        <v>29</v>
      </c>
      <c r="G1088" t="s">
        <v>26</v>
      </c>
      <c r="H1088">
        <v>1</v>
      </c>
      <c r="I1088">
        <v>0</v>
      </c>
      <c r="J1088">
        <v>0</v>
      </c>
      <c r="K1088">
        <v>0</v>
      </c>
      <c r="L1088">
        <v>0</v>
      </c>
      <c r="M1088">
        <v>0</v>
      </c>
      <c r="N1088">
        <v>0</v>
      </c>
      <c r="P1088">
        <v>62</v>
      </c>
    </row>
    <row r="1089" spans="1:16">
      <c r="A1089" t="s">
        <v>1120</v>
      </c>
      <c r="B1089" s="2">
        <v>45769</v>
      </c>
      <c r="C1089" t="s">
        <v>723</v>
      </c>
      <c r="D1089" t="s">
        <v>18</v>
      </c>
      <c r="E1089" t="s">
        <v>34</v>
      </c>
      <c r="F1089" t="s">
        <v>39</v>
      </c>
      <c r="G1089" t="s">
        <v>26</v>
      </c>
      <c r="H1089">
        <v>1</v>
      </c>
      <c r="I1089">
        <v>1</v>
      </c>
      <c r="J1089">
        <v>1</v>
      </c>
      <c r="K1089">
        <v>0</v>
      </c>
      <c r="L1089">
        <v>0</v>
      </c>
      <c r="M1089">
        <v>1</v>
      </c>
      <c r="N1089">
        <v>0</v>
      </c>
      <c r="P1089">
        <v>60.3</v>
      </c>
    </row>
    <row r="1090" spans="1:16">
      <c r="A1090" t="s">
        <v>1121</v>
      </c>
      <c r="B1090" s="2">
        <v>45696</v>
      </c>
      <c r="C1090" t="s">
        <v>723</v>
      </c>
      <c r="D1090" t="s">
        <v>18</v>
      </c>
      <c r="E1090" t="s">
        <v>24</v>
      </c>
      <c r="F1090" t="s">
        <v>41</v>
      </c>
      <c r="G1090" t="s">
        <v>21</v>
      </c>
      <c r="H1090">
        <v>1</v>
      </c>
      <c r="I1090">
        <v>0</v>
      </c>
      <c r="J1090">
        <v>0</v>
      </c>
      <c r="K1090">
        <v>0</v>
      </c>
      <c r="L1090">
        <v>0</v>
      </c>
      <c r="M1090">
        <v>0</v>
      </c>
      <c r="N1090">
        <v>0</v>
      </c>
      <c r="P1090">
        <v>70.5</v>
      </c>
    </row>
    <row r="1091" spans="1:16">
      <c r="A1091" t="s">
        <v>1122</v>
      </c>
      <c r="B1091" s="2">
        <v>45681</v>
      </c>
      <c r="C1091" t="s">
        <v>723</v>
      </c>
      <c r="D1091" t="s">
        <v>32</v>
      </c>
      <c r="E1091" t="s">
        <v>19</v>
      </c>
      <c r="F1091" t="s">
        <v>20</v>
      </c>
      <c r="G1091" t="s">
        <v>26</v>
      </c>
      <c r="H1091">
        <v>1</v>
      </c>
      <c r="I1091">
        <v>0</v>
      </c>
      <c r="J1091">
        <v>0</v>
      </c>
      <c r="K1091">
        <v>0</v>
      </c>
      <c r="L1091">
        <v>0</v>
      </c>
      <c r="M1091">
        <v>0</v>
      </c>
      <c r="N1091">
        <v>0</v>
      </c>
      <c r="P1091">
        <v>36.799999999999997</v>
      </c>
    </row>
    <row r="1092" spans="1:16">
      <c r="A1092" t="s">
        <v>1123</v>
      </c>
      <c r="B1092" s="2">
        <v>45789</v>
      </c>
      <c r="C1092" t="s">
        <v>723</v>
      </c>
      <c r="D1092" t="s">
        <v>32</v>
      </c>
      <c r="E1092" t="s">
        <v>24</v>
      </c>
      <c r="F1092" t="s">
        <v>29</v>
      </c>
      <c r="G1092" t="s">
        <v>21</v>
      </c>
      <c r="H1092">
        <v>0</v>
      </c>
      <c r="I1092">
        <v>0</v>
      </c>
      <c r="J1092">
        <v>0</v>
      </c>
      <c r="K1092">
        <v>0</v>
      </c>
      <c r="L1092">
        <v>0</v>
      </c>
      <c r="M1092">
        <v>1</v>
      </c>
      <c r="N1092">
        <v>0</v>
      </c>
      <c r="P1092">
        <v>73.2</v>
      </c>
    </row>
    <row r="1093" spans="1:16">
      <c r="A1093" t="s">
        <v>1124</v>
      </c>
      <c r="B1093" s="2">
        <v>45746</v>
      </c>
      <c r="C1093" t="s">
        <v>723</v>
      </c>
      <c r="D1093" t="s">
        <v>18</v>
      </c>
      <c r="E1093" t="s">
        <v>24</v>
      </c>
      <c r="F1093" t="s">
        <v>25</v>
      </c>
      <c r="G1093" t="s">
        <v>21</v>
      </c>
      <c r="H1093">
        <v>0</v>
      </c>
      <c r="I1093">
        <v>0</v>
      </c>
      <c r="J1093">
        <v>0</v>
      </c>
      <c r="K1093">
        <v>0</v>
      </c>
      <c r="L1093">
        <v>0</v>
      </c>
      <c r="M1093">
        <v>0</v>
      </c>
      <c r="N1093">
        <v>0</v>
      </c>
      <c r="P1093">
        <v>70.099999999999994</v>
      </c>
    </row>
    <row r="1094" spans="1:16">
      <c r="A1094" t="s">
        <v>1125</v>
      </c>
      <c r="B1094" s="2">
        <v>45659</v>
      </c>
      <c r="C1094" t="s">
        <v>723</v>
      </c>
      <c r="D1094" t="s">
        <v>32</v>
      </c>
      <c r="E1094" t="s">
        <v>19</v>
      </c>
      <c r="F1094" t="s">
        <v>29</v>
      </c>
      <c r="G1094" t="s">
        <v>21</v>
      </c>
      <c r="H1094">
        <v>1</v>
      </c>
      <c r="I1094">
        <v>0</v>
      </c>
      <c r="J1094">
        <v>0</v>
      </c>
      <c r="K1094">
        <v>0</v>
      </c>
      <c r="L1094">
        <v>0</v>
      </c>
      <c r="M1094">
        <v>0</v>
      </c>
      <c r="N1094">
        <v>0</v>
      </c>
      <c r="P1094">
        <v>76.400000000000006</v>
      </c>
    </row>
    <row r="1095" spans="1:16">
      <c r="A1095" t="s">
        <v>1126</v>
      </c>
      <c r="B1095" s="2">
        <v>45737</v>
      </c>
      <c r="C1095" t="s">
        <v>723</v>
      </c>
      <c r="D1095" t="s">
        <v>32</v>
      </c>
      <c r="E1095" t="s">
        <v>34</v>
      </c>
      <c r="F1095" t="s">
        <v>20</v>
      </c>
      <c r="G1095" t="s">
        <v>21</v>
      </c>
      <c r="H1095">
        <v>0</v>
      </c>
      <c r="I1095">
        <v>0</v>
      </c>
      <c r="J1095">
        <v>0</v>
      </c>
      <c r="K1095">
        <v>0</v>
      </c>
      <c r="L1095">
        <v>0</v>
      </c>
      <c r="M1095">
        <v>0</v>
      </c>
      <c r="N1095">
        <v>0</v>
      </c>
      <c r="P1095">
        <v>46.4</v>
      </c>
    </row>
    <row r="1096" spans="1:16">
      <c r="A1096" t="s">
        <v>1127</v>
      </c>
      <c r="B1096" s="2">
        <v>45682</v>
      </c>
      <c r="C1096" t="s">
        <v>723</v>
      </c>
      <c r="D1096" t="s">
        <v>23</v>
      </c>
      <c r="E1096" t="s">
        <v>24</v>
      </c>
      <c r="F1096" t="s">
        <v>25</v>
      </c>
      <c r="G1096" t="s">
        <v>26</v>
      </c>
      <c r="H1096">
        <v>1</v>
      </c>
      <c r="I1096">
        <v>1</v>
      </c>
      <c r="J1096">
        <v>1</v>
      </c>
      <c r="K1096">
        <v>0</v>
      </c>
      <c r="L1096">
        <v>0</v>
      </c>
      <c r="M1096">
        <v>1</v>
      </c>
      <c r="N1096">
        <v>0</v>
      </c>
      <c r="P1096">
        <v>81.3</v>
      </c>
    </row>
    <row r="1097" spans="1:16">
      <c r="A1097" t="s">
        <v>1128</v>
      </c>
      <c r="B1097" s="2">
        <v>45669</v>
      </c>
      <c r="C1097" t="s">
        <v>723</v>
      </c>
      <c r="D1097" t="s">
        <v>32</v>
      </c>
      <c r="E1097" t="s">
        <v>34</v>
      </c>
      <c r="F1097" t="s">
        <v>41</v>
      </c>
      <c r="G1097" t="s">
        <v>26</v>
      </c>
      <c r="H1097">
        <v>1</v>
      </c>
      <c r="I1097">
        <v>1</v>
      </c>
      <c r="J1097">
        <v>1</v>
      </c>
      <c r="K1097">
        <v>0</v>
      </c>
      <c r="L1097">
        <v>0</v>
      </c>
      <c r="M1097">
        <v>0</v>
      </c>
      <c r="N1097">
        <v>0</v>
      </c>
      <c r="P1097">
        <v>55.3</v>
      </c>
    </row>
    <row r="1098" spans="1:16">
      <c r="A1098" t="s">
        <v>1129</v>
      </c>
      <c r="B1098" s="2">
        <v>45734</v>
      </c>
      <c r="C1098" t="s">
        <v>723</v>
      </c>
      <c r="D1098" t="s">
        <v>28</v>
      </c>
      <c r="E1098" t="s">
        <v>19</v>
      </c>
      <c r="F1098" t="s">
        <v>39</v>
      </c>
      <c r="G1098" t="s">
        <v>26</v>
      </c>
      <c r="H1098">
        <v>1</v>
      </c>
      <c r="I1098">
        <v>0</v>
      </c>
      <c r="J1098">
        <v>0</v>
      </c>
      <c r="K1098">
        <v>0</v>
      </c>
      <c r="L1098">
        <v>0</v>
      </c>
      <c r="M1098">
        <v>0</v>
      </c>
      <c r="N1098">
        <v>0</v>
      </c>
      <c r="P1098">
        <v>44.7</v>
      </c>
    </row>
    <row r="1099" spans="1:16">
      <c r="A1099" t="s">
        <v>1130</v>
      </c>
      <c r="B1099" s="2">
        <v>45742</v>
      </c>
      <c r="C1099" t="s">
        <v>723</v>
      </c>
      <c r="D1099" t="s">
        <v>28</v>
      </c>
      <c r="E1099" t="s">
        <v>24</v>
      </c>
      <c r="F1099" t="s">
        <v>29</v>
      </c>
      <c r="G1099" t="s">
        <v>21</v>
      </c>
      <c r="H1099">
        <v>1</v>
      </c>
      <c r="I1099">
        <v>0</v>
      </c>
      <c r="J1099">
        <v>0</v>
      </c>
      <c r="K1099">
        <v>0</v>
      </c>
      <c r="L1099">
        <v>0</v>
      </c>
      <c r="M1099">
        <v>0</v>
      </c>
      <c r="N1099">
        <v>0</v>
      </c>
      <c r="P1099">
        <v>67.2</v>
      </c>
    </row>
    <row r="1100" spans="1:16">
      <c r="A1100" t="s">
        <v>1131</v>
      </c>
      <c r="B1100" s="2">
        <v>45766</v>
      </c>
      <c r="C1100" t="s">
        <v>723</v>
      </c>
      <c r="D1100" t="s">
        <v>18</v>
      </c>
      <c r="E1100" t="s">
        <v>24</v>
      </c>
      <c r="F1100" t="s">
        <v>29</v>
      </c>
      <c r="G1100" t="s">
        <v>21</v>
      </c>
      <c r="H1100">
        <v>1</v>
      </c>
      <c r="I1100">
        <v>0</v>
      </c>
      <c r="J1100">
        <v>0</v>
      </c>
      <c r="K1100">
        <v>0</v>
      </c>
      <c r="L1100">
        <v>0</v>
      </c>
      <c r="M1100">
        <v>0</v>
      </c>
      <c r="N1100">
        <v>0</v>
      </c>
    </row>
    <row r="1101" spans="1:16">
      <c r="A1101" t="s">
        <v>1132</v>
      </c>
      <c r="B1101" s="2">
        <v>45764</v>
      </c>
      <c r="C1101" t="s">
        <v>723</v>
      </c>
      <c r="D1101" t="s">
        <v>28</v>
      </c>
      <c r="E1101" t="s">
        <v>24</v>
      </c>
      <c r="F1101" t="s">
        <v>25</v>
      </c>
      <c r="G1101" t="s">
        <v>30</v>
      </c>
      <c r="H1101">
        <v>1</v>
      </c>
      <c r="I1101">
        <v>1</v>
      </c>
      <c r="J1101">
        <v>1</v>
      </c>
      <c r="K1101">
        <v>0</v>
      </c>
      <c r="L1101">
        <v>0</v>
      </c>
      <c r="M1101">
        <v>1</v>
      </c>
      <c r="N1101">
        <v>0</v>
      </c>
      <c r="P1101">
        <v>70.8</v>
      </c>
    </row>
    <row r="1102" spans="1:16">
      <c r="A1102" t="s">
        <v>1133</v>
      </c>
      <c r="B1102" s="2">
        <v>45803</v>
      </c>
      <c r="C1102" t="s">
        <v>723</v>
      </c>
      <c r="D1102" t="s">
        <v>32</v>
      </c>
      <c r="E1102" t="s">
        <v>24</v>
      </c>
      <c r="F1102" t="s">
        <v>29</v>
      </c>
      <c r="G1102" t="s">
        <v>26</v>
      </c>
      <c r="H1102">
        <v>1</v>
      </c>
      <c r="I1102">
        <v>0</v>
      </c>
      <c r="J1102">
        <v>0</v>
      </c>
      <c r="K1102">
        <v>0</v>
      </c>
      <c r="L1102">
        <v>0</v>
      </c>
      <c r="M1102">
        <v>0</v>
      </c>
      <c r="N1102">
        <v>0</v>
      </c>
      <c r="P1102">
        <v>71.3</v>
      </c>
    </row>
    <row r="1103" spans="1:16">
      <c r="A1103" t="s">
        <v>1134</v>
      </c>
      <c r="B1103" s="2">
        <v>45761</v>
      </c>
      <c r="C1103" t="s">
        <v>723</v>
      </c>
      <c r="D1103" t="s">
        <v>18</v>
      </c>
      <c r="E1103" t="s">
        <v>24</v>
      </c>
      <c r="F1103" t="s">
        <v>41</v>
      </c>
      <c r="G1103" t="s">
        <v>30</v>
      </c>
      <c r="H1103">
        <v>1</v>
      </c>
      <c r="I1103">
        <v>1</v>
      </c>
      <c r="J1103">
        <v>1</v>
      </c>
      <c r="K1103">
        <v>0</v>
      </c>
      <c r="L1103">
        <v>0</v>
      </c>
      <c r="M1103">
        <v>0</v>
      </c>
      <c r="N1103">
        <v>0</v>
      </c>
      <c r="P1103">
        <v>69.400000000000006</v>
      </c>
    </row>
    <row r="1104" spans="1:16">
      <c r="A1104" t="s">
        <v>1135</v>
      </c>
      <c r="B1104" s="2">
        <v>45680</v>
      </c>
      <c r="C1104" t="s">
        <v>723</v>
      </c>
      <c r="D1104" t="s">
        <v>32</v>
      </c>
      <c r="E1104" t="s">
        <v>24</v>
      </c>
      <c r="F1104" t="s">
        <v>25</v>
      </c>
      <c r="G1104" t="s">
        <v>21</v>
      </c>
      <c r="H1104">
        <v>1</v>
      </c>
      <c r="I1104">
        <v>1</v>
      </c>
      <c r="J1104">
        <v>0</v>
      </c>
      <c r="K1104">
        <v>0</v>
      </c>
      <c r="L1104">
        <v>0</v>
      </c>
      <c r="M1104">
        <v>0</v>
      </c>
      <c r="N1104">
        <v>0</v>
      </c>
      <c r="P1104">
        <v>58.9</v>
      </c>
    </row>
    <row r="1105" spans="1:16">
      <c r="A1105" t="s">
        <v>1136</v>
      </c>
      <c r="B1105" s="2">
        <v>45663</v>
      </c>
      <c r="C1105" t="s">
        <v>723</v>
      </c>
      <c r="D1105" t="s">
        <v>28</v>
      </c>
      <c r="E1105" t="s">
        <v>24</v>
      </c>
      <c r="F1105" t="s">
        <v>39</v>
      </c>
      <c r="G1105" t="s">
        <v>26</v>
      </c>
      <c r="H1105">
        <v>0</v>
      </c>
      <c r="I1105">
        <v>0</v>
      </c>
      <c r="J1105">
        <v>0</v>
      </c>
      <c r="K1105">
        <v>0</v>
      </c>
      <c r="L1105">
        <v>0</v>
      </c>
      <c r="M1105">
        <v>0</v>
      </c>
      <c r="N1105">
        <v>0</v>
      </c>
      <c r="P1105">
        <v>70.7</v>
      </c>
    </row>
    <row r="1106" spans="1:16">
      <c r="A1106" t="s">
        <v>1137</v>
      </c>
      <c r="B1106" s="2">
        <v>45808</v>
      </c>
      <c r="C1106" t="s">
        <v>723</v>
      </c>
      <c r="D1106" t="s">
        <v>23</v>
      </c>
      <c r="E1106" t="s">
        <v>24</v>
      </c>
      <c r="F1106" t="s">
        <v>20</v>
      </c>
      <c r="G1106" t="s">
        <v>21</v>
      </c>
      <c r="H1106">
        <v>1</v>
      </c>
      <c r="I1106">
        <v>0</v>
      </c>
      <c r="J1106">
        <v>0</v>
      </c>
      <c r="K1106">
        <v>0</v>
      </c>
      <c r="L1106">
        <v>0</v>
      </c>
      <c r="M1106">
        <v>0</v>
      </c>
      <c r="N1106">
        <v>0</v>
      </c>
      <c r="P1106">
        <v>60.5</v>
      </c>
    </row>
    <row r="1107" spans="1:16">
      <c r="A1107" t="s">
        <v>1138</v>
      </c>
      <c r="B1107" s="2">
        <v>45796</v>
      </c>
      <c r="C1107" t="s">
        <v>723</v>
      </c>
      <c r="D1107" t="s">
        <v>18</v>
      </c>
      <c r="E1107" t="s">
        <v>24</v>
      </c>
      <c r="F1107" t="s">
        <v>25</v>
      </c>
      <c r="G1107" t="s">
        <v>21</v>
      </c>
      <c r="H1107">
        <v>1</v>
      </c>
      <c r="I1107">
        <v>1</v>
      </c>
      <c r="J1107">
        <v>1</v>
      </c>
      <c r="K1107">
        <v>0</v>
      </c>
      <c r="L1107">
        <v>0</v>
      </c>
      <c r="M1107">
        <v>0</v>
      </c>
      <c r="N1107">
        <v>0</v>
      </c>
      <c r="P1107">
        <v>77.3</v>
      </c>
    </row>
    <row r="1108" spans="1:16">
      <c r="A1108" t="s">
        <v>1139</v>
      </c>
      <c r="B1108" s="2">
        <v>45713</v>
      </c>
      <c r="C1108" t="s">
        <v>723</v>
      </c>
      <c r="D1108" t="s">
        <v>18</v>
      </c>
      <c r="E1108" t="s">
        <v>24</v>
      </c>
      <c r="F1108" t="s">
        <v>25</v>
      </c>
      <c r="G1108" t="s">
        <v>26</v>
      </c>
      <c r="H1108">
        <v>0</v>
      </c>
      <c r="I1108">
        <v>0</v>
      </c>
      <c r="J1108">
        <v>0</v>
      </c>
      <c r="K1108">
        <v>0</v>
      </c>
      <c r="L1108">
        <v>0</v>
      </c>
      <c r="M1108">
        <v>1</v>
      </c>
      <c r="N1108">
        <v>0</v>
      </c>
      <c r="P1108">
        <v>39.5</v>
      </c>
    </row>
    <row r="1109" spans="1:16">
      <c r="A1109" t="s">
        <v>1140</v>
      </c>
      <c r="B1109" s="2">
        <v>45667</v>
      </c>
      <c r="C1109" t="s">
        <v>723</v>
      </c>
      <c r="D1109" t="s">
        <v>32</v>
      </c>
      <c r="E1109" t="s">
        <v>34</v>
      </c>
      <c r="F1109" t="s">
        <v>25</v>
      </c>
      <c r="G1109" t="s">
        <v>21</v>
      </c>
      <c r="H1109">
        <v>1</v>
      </c>
      <c r="I1109">
        <v>0</v>
      </c>
      <c r="J1109">
        <v>0</v>
      </c>
      <c r="K1109">
        <v>0</v>
      </c>
      <c r="L1109">
        <v>0</v>
      </c>
      <c r="M1109">
        <v>0</v>
      </c>
      <c r="N1109">
        <v>0</v>
      </c>
      <c r="P1109">
        <v>68.099999999999994</v>
      </c>
    </row>
    <row r="1110" spans="1:16">
      <c r="A1110" t="s">
        <v>1141</v>
      </c>
      <c r="B1110" s="2">
        <v>45790</v>
      </c>
      <c r="C1110" t="s">
        <v>723</v>
      </c>
      <c r="D1110" t="s">
        <v>18</v>
      </c>
      <c r="E1110" t="s">
        <v>34</v>
      </c>
      <c r="F1110" t="s">
        <v>29</v>
      </c>
      <c r="G1110" t="s">
        <v>26</v>
      </c>
      <c r="H1110">
        <v>0</v>
      </c>
      <c r="I1110">
        <v>0</v>
      </c>
      <c r="J1110">
        <v>0</v>
      </c>
      <c r="K1110">
        <v>0</v>
      </c>
      <c r="L1110">
        <v>0</v>
      </c>
      <c r="M1110">
        <v>0</v>
      </c>
      <c r="N1110">
        <v>0</v>
      </c>
      <c r="P1110">
        <v>80.3</v>
      </c>
    </row>
    <row r="1111" spans="1:16">
      <c r="A1111" t="s">
        <v>1142</v>
      </c>
      <c r="B1111" s="2">
        <v>45774</v>
      </c>
      <c r="C1111" t="s">
        <v>723</v>
      </c>
      <c r="D1111" t="s">
        <v>23</v>
      </c>
      <c r="E1111" t="s">
        <v>19</v>
      </c>
      <c r="F1111" t="s">
        <v>25</v>
      </c>
      <c r="G1111" t="s">
        <v>30</v>
      </c>
      <c r="H1111">
        <v>1</v>
      </c>
      <c r="I1111">
        <v>0</v>
      </c>
      <c r="J1111">
        <v>0</v>
      </c>
      <c r="K1111">
        <v>0</v>
      </c>
      <c r="L1111">
        <v>0</v>
      </c>
      <c r="M1111">
        <v>0</v>
      </c>
      <c r="N1111">
        <v>0</v>
      </c>
      <c r="P1111">
        <v>77.7</v>
      </c>
    </row>
    <row r="1112" spans="1:16">
      <c r="A1112" t="s">
        <v>1143</v>
      </c>
      <c r="B1112" s="2">
        <v>45750</v>
      </c>
      <c r="C1112" t="s">
        <v>723</v>
      </c>
      <c r="D1112" t="s">
        <v>32</v>
      </c>
      <c r="E1112" t="s">
        <v>24</v>
      </c>
      <c r="F1112" t="s">
        <v>25</v>
      </c>
      <c r="G1112" t="s">
        <v>26</v>
      </c>
      <c r="H1112">
        <v>1</v>
      </c>
      <c r="I1112">
        <v>0</v>
      </c>
      <c r="J1112">
        <v>0</v>
      </c>
      <c r="K1112">
        <v>0</v>
      </c>
      <c r="L1112">
        <v>0</v>
      </c>
      <c r="M1112">
        <v>1</v>
      </c>
      <c r="N1112">
        <v>0</v>
      </c>
      <c r="P1112">
        <v>66.2</v>
      </c>
    </row>
    <row r="1113" spans="1:16">
      <c r="A1113" t="s">
        <v>1144</v>
      </c>
      <c r="B1113" s="2">
        <v>45742</v>
      </c>
      <c r="C1113" t="s">
        <v>723</v>
      </c>
      <c r="D1113" t="s">
        <v>32</v>
      </c>
      <c r="E1113" t="s">
        <v>24</v>
      </c>
      <c r="F1113" t="s">
        <v>25</v>
      </c>
      <c r="G1113" t="s">
        <v>26</v>
      </c>
      <c r="H1113">
        <v>1</v>
      </c>
      <c r="I1113">
        <v>1</v>
      </c>
      <c r="J1113">
        <v>1</v>
      </c>
      <c r="K1113">
        <v>0</v>
      </c>
      <c r="L1113">
        <v>0</v>
      </c>
      <c r="M1113">
        <v>1</v>
      </c>
      <c r="N1113">
        <v>0</v>
      </c>
      <c r="P1113">
        <v>43.9</v>
      </c>
    </row>
    <row r="1114" spans="1:16">
      <c r="A1114" t="s">
        <v>1145</v>
      </c>
      <c r="B1114" s="2">
        <v>45688</v>
      </c>
      <c r="C1114" t="s">
        <v>723</v>
      </c>
      <c r="D1114" t="s">
        <v>32</v>
      </c>
      <c r="E1114" t="s">
        <v>24</v>
      </c>
      <c r="F1114" t="s">
        <v>25</v>
      </c>
      <c r="G1114" t="s">
        <v>21</v>
      </c>
      <c r="H1114">
        <v>1</v>
      </c>
      <c r="I1114">
        <v>1</v>
      </c>
      <c r="J1114">
        <v>1</v>
      </c>
      <c r="K1114">
        <v>0</v>
      </c>
      <c r="L1114">
        <v>0</v>
      </c>
      <c r="M1114">
        <v>2</v>
      </c>
      <c r="N1114">
        <v>0</v>
      </c>
      <c r="P1114">
        <v>59.1</v>
      </c>
    </row>
    <row r="1115" spans="1:16">
      <c r="A1115" t="s">
        <v>1146</v>
      </c>
      <c r="B1115" s="2">
        <v>45682</v>
      </c>
      <c r="C1115" t="s">
        <v>723</v>
      </c>
      <c r="D1115" t="s">
        <v>32</v>
      </c>
      <c r="E1115" t="s">
        <v>24</v>
      </c>
      <c r="F1115" t="s">
        <v>41</v>
      </c>
      <c r="G1115" t="s">
        <v>26</v>
      </c>
      <c r="H1115">
        <v>1</v>
      </c>
      <c r="I1115">
        <v>1</v>
      </c>
      <c r="J1115">
        <v>1</v>
      </c>
      <c r="K1115">
        <v>1</v>
      </c>
      <c r="L1115">
        <v>416.94</v>
      </c>
      <c r="M1115">
        <v>1</v>
      </c>
      <c r="N1115">
        <v>0</v>
      </c>
      <c r="O1115">
        <v>11</v>
      </c>
      <c r="P1115">
        <v>67</v>
      </c>
    </row>
    <row r="1116" spans="1:16">
      <c r="A1116" t="s">
        <v>1147</v>
      </c>
      <c r="B1116" s="2">
        <v>45694</v>
      </c>
      <c r="C1116" t="s">
        <v>723</v>
      </c>
      <c r="D1116" t="s">
        <v>23</v>
      </c>
      <c r="E1116" t="s">
        <v>24</v>
      </c>
      <c r="F1116" t="s">
        <v>39</v>
      </c>
      <c r="G1116" t="s">
        <v>21</v>
      </c>
      <c r="H1116">
        <v>1</v>
      </c>
      <c r="I1116">
        <v>0</v>
      </c>
      <c r="J1116">
        <v>0</v>
      </c>
      <c r="K1116">
        <v>0</v>
      </c>
      <c r="L1116">
        <v>0</v>
      </c>
      <c r="M1116">
        <v>0</v>
      </c>
      <c r="N1116">
        <v>0</v>
      </c>
      <c r="P1116">
        <v>47.9</v>
      </c>
    </row>
    <row r="1117" spans="1:16">
      <c r="A1117" t="s">
        <v>1148</v>
      </c>
      <c r="B1117" s="2">
        <v>45726</v>
      </c>
      <c r="C1117" t="s">
        <v>723</v>
      </c>
      <c r="D1117" t="s">
        <v>28</v>
      </c>
      <c r="E1117" t="s">
        <v>24</v>
      </c>
      <c r="F1117" t="s">
        <v>29</v>
      </c>
      <c r="G1117" t="s">
        <v>26</v>
      </c>
      <c r="H1117">
        <v>1</v>
      </c>
      <c r="I1117">
        <v>1</v>
      </c>
      <c r="J1117">
        <v>0</v>
      </c>
      <c r="K1117">
        <v>0</v>
      </c>
      <c r="L1117">
        <v>0</v>
      </c>
      <c r="M1117">
        <v>0</v>
      </c>
      <c r="N1117">
        <v>0</v>
      </c>
      <c r="P1117">
        <v>41.5</v>
      </c>
    </row>
    <row r="1118" spans="1:16">
      <c r="A1118" t="s">
        <v>1149</v>
      </c>
      <c r="B1118" s="2">
        <v>45683</v>
      </c>
      <c r="C1118" t="s">
        <v>723</v>
      </c>
      <c r="D1118" t="s">
        <v>23</v>
      </c>
      <c r="E1118" t="s">
        <v>24</v>
      </c>
      <c r="F1118" t="s">
        <v>25</v>
      </c>
      <c r="G1118" t="s">
        <v>21</v>
      </c>
      <c r="H1118">
        <v>1</v>
      </c>
      <c r="I1118">
        <v>1</v>
      </c>
      <c r="J1118">
        <v>1</v>
      </c>
      <c r="K1118">
        <v>0</v>
      </c>
      <c r="L1118">
        <v>0</v>
      </c>
      <c r="M1118">
        <v>3</v>
      </c>
      <c r="N1118">
        <v>0</v>
      </c>
      <c r="P1118">
        <v>30.6</v>
      </c>
    </row>
    <row r="1119" spans="1:16">
      <c r="A1119" t="s">
        <v>1150</v>
      </c>
      <c r="B1119" s="2">
        <v>45658</v>
      </c>
      <c r="C1119" t="s">
        <v>723</v>
      </c>
      <c r="D1119" t="s">
        <v>28</v>
      </c>
      <c r="E1119" t="s">
        <v>24</v>
      </c>
      <c r="F1119" t="s">
        <v>29</v>
      </c>
      <c r="G1119" t="s">
        <v>26</v>
      </c>
      <c r="H1119">
        <v>1</v>
      </c>
      <c r="I1119">
        <v>1</v>
      </c>
      <c r="J1119">
        <v>0</v>
      </c>
      <c r="K1119">
        <v>0</v>
      </c>
      <c r="L1119">
        <v>0</v>
      </c>
      <c r="M1119">
        <v>0</v>
      </c>
      <c r="N1119">
        <v>0</v>
      </c>
      <c r="P1119">
        <v>91.5</v>
      </c>
    </row>
    <row r="1120" spans="1:16">
      <c r="A1120" t="s">
        <v>1151</v>
      </c>
      <c r="B1120" s="2">
        <v>45775</v>
      </c>
      <c r="C1120" t="s">
        <v>723</v>
      </c>
      <c r="D1120" t="s">
        <v>18</v>
      </c>
      <c r="E1120" t="s">
        <v>19</v>
      </c>
      <c r="F1120" t="s">
        <v>41</v>
      </c>
      <c r="G1120" t="s">
        <v>21</v>
      </c>
      <c r="H1120">
        <v>1</v>
      </c>
      <c r="I1120">
        <v>0</v>
      </c>
      <c r="J1120">
        <v>0</v>
      </c>
      <c r="K1120">
        <v>0</v>
      </c>
      <c r="L1120">
        <v>0</v>
      </c>
      <c r="M1120">
        <v>0</v>
      </c>
      <c r="N1120">
        <v>0</v>
      </c>
      <c r="P1120">
        <v>80.8</v>
      </c>
    </row>
    <row r="1121" spans="1:16">
      <c r="A1121" t="s">
        <v>1152</v>
      </c>
      <c r="B1121" s="2">
        <v>45751</v>
      </c>
      <c r="C1121" t="s">
        <v>723</v>
      </c>
      <c r="D1121" t="s">
        <v>18</v>
      </c>
      <c r="E1121" t="s">
        <v>24</v>
      </c>
      <c r="F1121" t="s">
        <v>25</v>
      </c>
      <c r="G1121" t="s">
        <v>30</v>
      </c>
      <c r="H1121">
        <v>1</v>
      </c>
      <c r="I1121">
        <v>0</v>
      </c>
      <c r="J1121">
        <v>0</v>
      </c>
      <c r="K1121">
        <v>0</v>
      </c>
      <c r="L1121">
        <v>0</v>
      </c>
      <c r="M1121">
        <v>0</v>
      </c>
      <c r="N1121">
        <v>0</v>
      </c>
      <c r="P1121">
        <v>68.099999999999994</v>
      </c>
    </row>
    <row r="1122" spans="1:16">
      <c r="A1122" t="s">
        <v>1153</v>
      </c>
      <c r="B1122" s="2">
        <v>45718</v>
      </c>
      <c r="C1122" t="s">
        <v>723</v>
      </c>
      <c r="D1122" t="s">
        <v>28</v>
      </c>
      <c r="E1122" t="s">
        <v>24</v>
      </c>
      <c r="F1122" t="s">
        <v>29</v>
      </c>
      <c r="G1122" t="s">
        <v>26</v>
      </c>
      <c r="H1122">
        <v>1</v>
      </c>
      <c r="I1122">
        <v>0</v>
      </c>
      <c r="J1122">
        <v>0</v>
      </c>
      <c r="K1122">
        <v>0</v>
      </c>
      <c r="L1122">
        <v>0</v>
      </c>
      <c r="M1122">
        <v>0</v>
      </c>
      <c r="N1122">
        <v>0</v>
      </c>
      <c r="P1122">
        <v>80.3</v>
      </c>
    </row>
    <row r="1123" spans="1:16">
      <c r="A1123" t="s">
        <v>1154</v>
      </c>
      <c r="B1123" s="2">
        <v>45735</v>
      </c>
      <c r="C1123" t="s">
        <v>723</v>
      </c>
      <c r="D1123" t="s">
        <v>32</v>
      </c>
      <c r="E1123" t="s">
        <v>34</v>
      </c>
      <c r="F1123" t="s">
        <v>25</v>
      </c>
      <c r="G1123" t="s">
        <v>21</v>
      </c>
      <c r="H1123">
        <v>1</v>
      </c>
      <c r="I1123">
        <v>0</v>
      </c>
      <c r="J1123">
        <v>0</v>
      </c>
      <c r="K1123">
        <v>0</v>
      </c>
      <c r="L1123">
        <v>0</v>
      </c>
      <c r="M1123">
        <v>0</v>
      </c>
      <c r="N1123">
        <v>0</v>
      </c>
      <c r="P1123">
        <v>44.4</v>
      </c>
    </row>
    <row r="1124" spans="1:16">
      <c r="A1124" t="s">
        <v>1155</v>
      </c>
      <c r="B1124" s="2">
        <v>45677</v>
      </c>
      <c r="C1124" t="s">
        <v>723</v>
      </c>
      <c r="D1124" t="s">
        <v>32</v>
      </c>
      <c r="E1124" t="s">
        <v>19</v>
      </c>
      <c r="F1124" t="s">
        <v>25</v>
      </c>
      <c r="G1124" t="s">
        <v>21</v>
      </c>
      <c r="H1124">
        <v>0</v>
      </c>
      <c r="I1124">
        <v>0</v>
      </c>
      <c r="J1124">
        <v>0</v>
      </c>
      <c r="K1124">
        <v>0</v>
      </c>
      <c r="L1124">
        <v>0</v>
      </c>
      <c r="M1124">
        <v>0</v>
      </c>
      <c r="N1124">
        <v>0</v>
      </c>
      <c r="P1124">
        <v>51.9</v>
      </c>
    </row>
    <row r="1125" spans="1:16">
      <c r="A1125" t="s">
        <v>1156</v>
      </c>
      <c r="B1125" s="2">
        <v>45750</v>
      </c>
      <c r="C1125" t="s">
        <v>723</v>
      </c>
      <c r="D1125" t="s">
        <v>28</v>
      </c>
      <c r="E1125" t="s">
        <v>24</v>
      </c>
      <c r="F1125" t="s">
        <v>29</v>
      </c>
      <c r="G1125" t="s">
        <v>26</v>
      </c>
      <c r="H1125">
        <v>1</v>
      </c>
      <c r="I1125">
        <v>1</v>
      </c>
      <c r="J1125">
        <v>0</v>
      </c>
      <c r="K1125">
        <v>0</v>
      </c>
      <c r="L1125">
        <v>0</v>
      </c>
      <c r="M1125">
        <v>0</v>
      </c>
      <c r="N1125">
        <v>0</v>
      </c>
      <c r="P1125">
        <v>49.8</v>
      </c>
    </row>
    <row r="1126" spans="1:16">
      <c r="A1126" t="s">
        <v>1157</v>
      </c>
      <c r="B1126" s="2">
        <v>45668</v>
      </c>
      <c r="C1126" t="s">
        <v>723</v>
      </c>
      <c r="D1126" t="s">
        <v>28</v>
      </c>
      <c r="E1126" t="s">
        <v>19</v>
      </c>
      <c r="F1126" t="s">
        <v>41</v>
      </c>
      <c r="G1126" t="s">
        <v>26</v>
      </c>
      <c r="H1126">
        <v>1</v>
      </c>
      <c r="I1126">
        <v>1</v>
      </c>
      <c r="J1126">
        <v>1</v>
      </c>
      <c r="K1126">
        <v>0</v>
      </c>
      <c r="L1126">
        <v>0</v>
      </c>
      <c r="M1126">
        <v>3</v>
      </c>
      <c r="N1126">
        <v>0</v>
      </c>
      <c r="P1126">
        <v>62.1</v>
      </c>
    </row>
    <row r="1127" spans="1:16">
      <c r="A1127" t="s">
        <v>1158</v>
      </c>
      <c r="B1127" s="2">
        <v>45690</v>
      </c>
      <c r="C1127" t="s">
        <v>723</v>
      </c>
      <c r="D1127" t="s">
        <v>23</v>
      </c>
      <c r="E1127" t="s">
        <v>19</v>
      </c>
      <c r="F1127" t="s">
        <v>41</v>
      </c>
      <c r="G1127" t="s">
        <v>21</v>
      </c>
      <c r="H1127">
        <v>1</v>
      </c>
      <c r="I1127">
        <v>0</v>
      </c>
      <c r="J1127">
        <v>0</v>
      </c>
      <c r="K1127">
        <v>0</v>
      </c>
      <c r="L1127">
        <v>0</v>
      </c>
      <c r="M1127">
        <v>0</v>
      </c>
      <c r="N1127">
        <v>0</v>
      </c>
      <c r="P1127">
        <v>91.3</v>
      </c>
    </row>
    <row r="1128" spans="1:16">
      <c r="A1128" t="s">
        <v>1159</v>
      </c>
      <c r="B1128" s="2">
        <v>45748</v>
      </c>
      <c r="C1128" t="s">
        <v>723</v>
      </c>
      <c r="D1128" t="s">
        <v>32</v>
      </c>
      <c r="E1128" t="s">
        <v>24</v>
      </c>
      <c r="F1128" t="s">
        <v>25</v>
      </c>
      <c r="G1128" t="s">
        <v>21</v>
      </c>
      <c r="H1128">
        <v>1</v>
      </c>
      <c r="I1128">
        <v>0</v>
      </c>
      <c r="J1128">
        <v>0</v>
      </c>
      <c r="K1128">
        <v>0</v>
      </c>
      <c r="L1128">
        <v>0</v>
      </c>
      <c r="M1128">
        <v>0</v>
      </c>
      <c r="N1128">
        <v>0</v>
      </c>
      <c r="P1128">
        <v>66.400000000000006</v>
      </c>
    </row>
    <row r="1129" spans="1:16">
      <c r="A1129" t="s">
        <v>1160</v>
      </c>
      <c r="B1129" s="2">
        <v>45799</v>
      </c>
      <c r="C1129" t="s">
        <v>723</v>
      </c>
      <c r="D1129" t="s">
        <v>28</v>
      </c>
      <c r="E1129" t="s">
        <v>24</v>
      </c>
      <c r="F1129" t="s">
        <v>25</v>
      </c>
      <c r="G1129" t="s">
        <v>21</v>
      </c>
      <c r="H1129">
        <v>1</v>
      </c>
      <c r="I1129">
        <v>0</v>
      </c>
      <c r="J1129">
        <v>0</v>
      </c>
      <c r="K1129">
        <v>0</v>
      </c>
      <c r="L1129">
        <v>0</v>
      </c>
      <c r="M1129">
        <v>0</v>
      </c>
      <c r="N1129">
        <v>0</v>
      </c>
      <c r="P1129">
        <v>41.5</v>
      </c>
    </row>
    <row r="1130" spans="1:16">
      <c r="A1130" t="s">
        <v>1161</v>
      </c>
      <c r="B1130" s="2">
        <v>45708</v>
      </c>
      <c r="C1130" t="s">
        <v>723</v>
      </c>
      <c r="D1130" t="s">
        <v>23</v>
      </c>
      <c r="E1130" t="s">
        <v>24</v>
      </c>
      <c r="F1130" t="s">
        <v>25</v>
      </c>
      <c r="G1130" t="s">
        <v>21</v>
      </c>
      <c r="H1130">
        <v>0</v>
      </c>
      <c r="I1130">
        <v>0</v>
      </c>
      <c r="J1130">
        <v>0</v>
      </c>
      <c r="K1130">
        <v>0</v>
      </c>
      <c r="L1130">
        <v>0</v>
      </c>
      <c r="M1130">
        <v>0</v>
      </c>
      <c r="N1130">
        <v>0</v>
      </c>
      <c r="P1130">
        <v>77.099999999999994</v>
      </c>
    </row>
    <row r="1131" spans="1:16">
      <c r="A1131" t="s">
        <v>1162</v>
      </c>
      <c r="B1131" s="2">
        <v>45737</v>
      </c>
      <c r="C1131" t="s">
        <v>723</v>
      </c>
      <c r="D1131" t="s">
        <v>23</v>
      </c>
      <c r="E1131" t="s">
        <v>24</v>
      </c>
      <c r="F1131" t="s">
        <v>25</v>
      </c>
      <c r="G1131" t="s">
        <v>26</v>
      </c>
      <c r="H1131">
        <v>1</v>
      </c>
      <c r="I1131">
        <v>0</v>
      </c>
      <c r="J1131">
        <v>0</v>
      </c>
      <c r="K1131">
        <v>0</v>
      </c>
      <c r="L1131">
        <v>0</v>
      </c>
      <c r="M1131">
        <v>0</v>
      </c>
      <c r="N1131">
        <v>0</v>
      </c>
      <c r="P1131">
        <v>63.2</v>
      </c>
    </row>
    <row r="1132" spans="1:16">
      <c r="A1132" t="s">
        <v>1163</v>
      </c>
      <c r="B1132" s="2">
        <v>45778</v>
      </c>
      <c r="C1132" t="s">
        <v>723</v>
      </c>
      <c r="D1132" t="s">
        <v>23</v>
      </c>
      <c r="E1132" t="s">
        <v>19</v>
      </c>
      <c r="F1132" t="s">
        <v>39</v>
      </c>
      <c r="G1132" t="s">
        <v>26</v>
      </c>
      <c r="H1132">
        <v>1</v>
      </c>
      <c r="I1132">
        <v>1</v>
      </c>
      <c r="J1132">
        <v>1</v>
      </c>
      <c r="K1132">
        <v>0</v>
      </c>
      <c r="L1132">
        <v>0</v>
      </c>
      <c r="M1132">
        <v>3</v>
      </c>
      <c r="N1132">
        <v>0</v>
      </c>
      <c r="P1132">
        <v>75.7</v>
      </c>
    </row>
    <row r="1133" spans="1:16">
      <c r="A1133" t="s">
        <v>1164</v>
      </c>
      <c r="B1133" s="2">
        <v>45663</v>
      </c>
      <c r="C1133" t="s">
        <v>723</v>
      </c>
      <c r="D1133" t="s">
        <v>23</v>
      </c>
      <c r="E1133" t="s">
        <v>24</v>
      </c>
      <c r="F1133" t="s">
        <v>29</v>
      </c>
      <c r="G1133" t="s">
        <v>21</v>
      </c>
      <c r="H1133">
        <v>0</v>
      </c>
      <c r="I1133">
        <v>0</v>
      </c>
      <c r="J1133">
        <v>0</v>
      </c>
      <c r="K1133">
        <v>0</v>
      </c>
      <c r="L1133">
        <v>0</v>
      </c>
      <c r="M1133">
        <v>0</v>
      </c>
      <c r="N1133">
        <v>0</v>
      </c>
      <c r="P1133">
        <v>62.9</v>
      </c>
    </row>
    <row r="1134" spans="1:16">
      <c r="A1134" t="s">
        <v>1165</v>
      </c>
      <c r="B1134" s="2">
        <v>45759</v>
      </c>
      <c r="C1134" t="s">
        <v>723</v>
      </c>
      <c r="D1134" t="s">
        <v>18</v>
      </c>
      <c r="E1134" t="s">
        <v>19</v>
      </c>
      <c r="F1134" t="s">
        <v>29</v>
      </c>
      <c r="G1134" t="s">
        <v>30</v>
      </c>
      <c r="H1134">
        <v>1</v>
      </c>
      <c r="I1134">
        <v>0</v>
      </c>
      <c r="J1134">
        <v>0</v>
      </c>
      <c r="K1134">
        <v>0</v>
      </c>
      <c r="L1134">
        <v>0</v>
      </c>
      <c r="M1134">
        <v>3</v>
      </c>
      <c r="N1134">
        <v>0</v>
      </c>
      <c r="P1134">
        <v>64.599999999999994</v>
      </c>
    </row>
    <row r="1135" spans="1:16">
      <c r="A1135" t="s">
        <v>1166</v>
      </c>
      <c r="B1135" s="2">
        <v>45765</v>
      </c>
      <c r="C1135" t="s">
        <v>723</v>
      </c>
      <c r="D1135" t="s">
        <v>18</v>
      </c>
      <c r="E1135" t="s">
        <v>24</v>
      </c>
      <c r="G1135" t="s">
        <v>21</v>
      </c>
      <c r="H1135">
        <v>1</v>
      </c>
      <c r="I1135">
        <v>0</v>
      </c>
      <c r="J1135">
        <v>0</v>
      </c>
      <c r="K1135">
        <v>0</v>
      </c>
      <c r="L1135">
        <v>0</v>
      </c>
      <c r="M1135">
        <v>0</v>
      </c>
      <c r="N1135">
        <v>0</v>
      </c>
      <c r="P1135">
        <v>76.599999999999994</v>
      </c>
    </row>
    <row r="1136" spans="1:16">
      <c r="A1136" t="s">
        <v>1167</v>
      </c>
      <c r="B1136" s="2">
        <v>45740</v>
      </c>
      <c r="C1136" t="s">
        <v>723</v>
      </c>
      <c r="D1136" t="s">
        <v>28</v>
      </c>
      <c r="E1136" t="s">
        <v>24</v>
      </c>
      <c r="F1136" t="s">
        <v>41</v>
      </c>
      <c r="G1136" t="s">
        <v>21</v>
      </c>
      <c r="H1136">
        <v>1</v>
      </c>
      <c r="I1136">
        <v>0</v>
      </c>
      <c r="J1136">
        <v>0</v>
      </c>
      <c r="K1136">
        <v>0</v>
      </c>
      <c r="L1136">
        <v>0</v>
      </c>
      <c r="M1136">
        <v>0</v>
      </c>
      <c r="N1136">
        <v>0</v>
      </c>
      <c r="P1136">
        <v>74.8</v>
      </c>
    </row>
    <row r="1137" spans="1:16">
      <c r="A1137" t="s">
        <v>1168</v>
      </c>
      <c r="B1137" s="2">
        <v>45734</v>
      </c>
      <c r="C1137" t="s">
        <v>723</v>
      </c>
      <c r="D1137" t="s">
        <v>28</v>
      </c>
      <c r="E1137" t="s">
        <v>19</v>
      </c>
      <c r="F1137" t="s">
        <v>20</v>
      </c>
      <c r="G1137" t="s">
        <v>30</v>
      </c>
      <c r="H1137">
        <v>1</v>
      </c>
      <c r="I1137">
        <v>0</v>
      </c>
      <c r="J1137">
        <v>0</v>
      </c>
      <c r="K1137">
        <v>0</v>
      </c>
      <c r="L1137">
        <v>0</v>
      </c>
      <c r="M1137">
        <v>2</v>
      </c>
      <c r="N1137">
        <v>0</v>
      </c>
      <c r="P1137">
        <v>38.1</v>
      </c>
    </row>
    <row r="1138" spans="1:16">
      <c r="A1138" t="s">
        <v>1169</v>
      </c>
      <c r="B1138" s="2">
        <v>45777</v>
      </c>
      <c r="C1138" t="s">
        <v>723</v>
      </c>
      <c r="D1138" t="s">
        <v>32</v>
      </c>
      <c r="E1138" t="s">
        <v>34</v>
      </c>
      <c r="F1138" t="s">
        <v>29</v>
      </c>
      <c r="G1138" t="s">
        <v>21</v>
      </c>
      <c r="H1138">
        <v>1</v>
      </c>
      <c r="I1138">
        <v>1</v>
      </c>
      <c r="J1138">
        <v>0</v>
      </c>
      <c r="K1138">
        <v>0</v>
      </c>
      <c r="L1138">
        <v>0</v>
      </c>
      <c r="M1138">
        <v>0</v>
      </c>
      <c r="N1138">
        <v>0</v>
      </c>
      <c r="P1138">
        <v>60.2</v>
      </c>
    </row>
    <row r="1139" spans="1:16">
      <c r="A1139" t="s">
        <v>1170</v>
      </c>
      <c r="B1139" s="2">
        <v>45682</v>
      </c>
      <c r="C1139" t="s">
        <v>723</v>
      </c>
      <c r="D1139" t="s">
        <v>23</v>
      </c>
      <c r="E1139" t="s">
        <v>24</v>
      </c>
      <c r="F1139" t="s">
        <v>20</v>
      </c>
      <c r="G1139" t="s">
        <v>26</v>
      </c>
      <c r="H1139">
        <v>1</v>
      </c>
      <c r="I1139">
        <v>1</v>
      </c>
      <c r="J1139">
        <v>0</v>
      </c>
      <c r="K1139">
        <v>0</v>
      </c>
      <c r="L1139">
        <v>0</v>
      </c>
      <c r="M1139">
        <v>0</v>
      </c>
      <c r="N1139">
        <v>0</v>
      </c>
      <c r="P1139">
        <v>73.5</v>
      </c>
    </row>
    <row r="1140" spans="1:16">
      <c r="A1140" t="s">
        <v>1171</v>
      </c>
      <c r="B1140" s="2">
        <v>45757</v>
      </c>
      <c r="C1140" t="s">
        <v>723</v>
      </c>
      <c r="D1140" t="s">
        <v>32</v>
      </c>
      <c r="E1140" t="s">
        <v>24</v>
      </c>
      <c r="F1140" t="s">
        <v>25</v>
      </c>
      <c r="G1140" t="s">
        <v>26</v>
      </c>
      <c r="H1140">
        <v>1</v>
      </c>
      <c r="I1140">
        <v>0</v>
      </c>
      <c r="J1140">
        <v>0</v>
      </c>
      <c r="K1140">
        <v>0</v>
      </c>
      <c r="L1140">
        <v>0</v>
      </c>
      <c r="M1140">
        <v>0</v>
      </c>
      <c r="N1140">
        <v>0</v>
      </c>
      <c r="P1140">
        <v>70.900000000000006</v>
      </c>
    </row>
    <row r="1141" spans="1:16">
      <c r="A1141" t="s">
        <v>1172</v>
      </c>
      <c r="B1141" s="2">
        <v>45667</v>
      </c>
      <c r="C1141" t="s">
        <v>723</v>
      </c>
      <c r="D1141" t="s">
        <v>23</v>
      </c>
      <c r="E1141" t="s">
        <v>24</v>
      </c>
      <c r="F1141" t="s">
        <v>41</v>
      </c>
      <c r="G1141" t="s">
        <v>26</v>
      </c>
      <c r="H1141">
        <v>1</v>
      </c>
      <c r="I1141">
        <v>0</v>
      </c>
      <c r="J1141">
        <v>0</v>
      </c>
      <c r="K1141">
        <v>0</v>
      </c>
      <c r="L1141">
        <v>0</v>
      </c>
      <c r="M1141">
        <v>0</v>
      </c>
      <c r="N1141">
        <v>0</v>
      </c>
      <c r="P1141">
        <v>63.7</v>
      </c>
    </row>
    <row r="1142" spans="1:16">
      <c r="A1142" t="s">
        <v>1173</v>
      </c>
      <c r="B1142" s="2">
        <v>45699</v>
      </c>
      <c r="C1142" t="s">
        <v>723</v>
      </c>
      <c r="D1142" t="s">
        <v>32</v>
      </c>
      <c r="E1142" t="s">
        <v>24</v>
      </c>
      <c r="F1142" t="s">
        <v>29</v>
      </c>
      <c r="G1142" t="s">
        <v>26</v>
      </c>
      <c r="H1142">
        <v>1</v>
      </c>
      <c r="I1142">
        <v>0</v>
      </c>
      <c r="J1142">
        <v>0</v>
      </c>
      <c r="K1142">
        <v>0</v>
      </c>
      <c r="L1142">
        <v>0</v>
      </c>
      <c r="M1142">
        <v>0</v>
      </c>
      <c r="N1142">
        <v>0</v>
      </c>
      <c r="P1142">
        <v>86.5</v>
      </c>
    </row>
    <row r="1143" spans="1:16">
      <c r="A1143" t="s">
        <v>1174</v>
      </c>
      <c r="B1143" s="2">
        <v>45778</v>
      </c>
      <c r="C1143" t="s">
        <v>723</v>
      </c>
      <c r="D1143" t="s">
        <v>28</v>
      </c>
      <c r="E1143" t="s">
        <v>24</v>
      </c>
      <c r="F1143" t="s">
        <v>41</v>
      </c>
      <c r="G1143" t="s">
        <v>21</v>
      </c>
      <c r="H1143">
        <v>1</v>
      </c>
      <c r="I1143">
        <v>1</v>
      </c>
      <c r="J1143">
        <v>1</v>
      </c>
      <c r="K1143">
        <v>1</v>
      </c>
      <c r="L1143">
        <v>921.72</v>
      </c>
      <c r="M1143">
        <v>3</v>
      </c>
      <c r="N1143">
        <v>0</v>
      </c>
      <c r="O1143">
        <v>7</v>
      </c>
      <c r="P1143">
        <v>74.599999999999994</v>
      </c>
    </row>
    <row r="1144" spans="1:16">
      <c r="A1144" t="s">
        <v>1175</v>
      </c>
      <c r="B1144" s="2">
        <v>45675</v>
      </c>
      <c r="C1144" t="s">
        <v>723</v>
      </c>
      <c r="D1144" t="s">
        <v>28</v>
      </c>
      <c r="E1144" t="s">
        <v>24</v>
      </c>
      <c r="F1144" t="s">
        <v>25</v>
      </c>
      <c r="G1144" t="s">
        <v>26</v>
      </c>
      <c r="H1144">
        <v>1</v>
      </c>
      <c r="I1144">
        <v>0</v>
      </c>
      <c r="J1144">
        <v>0</v>
      </c>
      <c r="K1144">
        <v>0</v>
      </c>
      <c r="L1144">
        <v>0</v>
      </c>
      <c r="M1144">
        <v>0</v>
      </c>
      <c r="N1144">
        <v>0</v>
      </c>
      <c r="P1144">
        <v>46.6</v>
      </c>
    </row>
    <row r="1145" spans="1:16">
      <c r="A1145" t="s">
        <v>1176</v>
      </c>
      <c r="B1145" s="2">
        <v>45659</v>
      </c>
      <c r="C1145" t="s">
        <v>723</v>
      </c>
      <c r="D1145" t="s">
        <v>18</v>
      </c>
      <c r="E1145" t="s">
        <v>24</v>
      </c>
      <c r="F1145" t="s">
        <v>29</v>
      </c>
      <c r="G1145" t="s">
        <v>26</v>
      </c>
      <c r="H1145">
        <v>0</v>
      </c>
      <c r="I1145">
        <v>0</v>
      </c>
      <c r="J1145">
        <v>0</v>
      </c>
      <c r="K1145">
        <v>0</v>
      </c>
      <c r="L1145">
        <v>0</v>
      </c>
      <c r="M1145">
        <v>0</v>
      </c>
      <c r="N1145">
        <v>0</v>
      </c>
      <c r="P1145">
        <v>61.2</v>
      </c>
    </row>
    <row r="1146" spans="1:16">
      <c r="A1146" t="s">
        <v>1177</v>
      </c>
      <c r="B1146" s="2">
        <v>45788</v>
      </c>
      <c r="C1146" t="s">
        <v>723</v>
      </c>
      <c r="D1146" t="s">
        <v>23</v>
      </c>
      <c r="E1146" t="s">
        <v>24</v>
      </c>
      <c r="F1146" t="s">
        <v>25</v>
      </c>
      <c r="G1146" t="s">
        <v>26</v>
      </c>
      <c r="H1146">
        <v>1</v>
      </c>
      <c r="I1146">
        <v>1</v>
      </c>
      <c r="J1146">
        <v>1</v>
      </c>
      <c r="K1146">
        <v>1</v>
      </c>
      <c r="L1146">
        <v>290.39</v>
      </c>
      <c r="M1146">
        <v>0</v>
      </c>
      <c r="N1146">
        <v>0</v>
      </c>
      <c r="O1146">
        <v>4</v>
      </c>
      <c r="P1146">
        <v>54.4</v>
      </c>
    </row>
    <row r="1147" spans="1:16">
      <c r="A1147" t="s">
        <v>1178</v>
      </c>
      <c r="B1147" s="2">
        <v>45738</v>
      </c>
      <c r="C1147" t="s">
        <v>723</v>
      </c>
      <c r="D1147" t="s">
        <v>18</v>
      </c>
      <c r="E1147" t="s">
        <v>24</v>
      </c>
      <c r="F1147" t="s">
        <v>39</v>
      </c>
      <c r="G1147" t="s">
        <v>26</v>
      </c>
      <c r="H1147">
        <v>1</v>
      </c>
      <c r="I1147">
        <v>1</v>
      </c>
      <c r="J1147">
        <v>1</v>
      </c>
      <c r="K1147">
        <v>0</v>
      </c>
      <c r="L1147">
        <v>0</v>
      </c>
      <c r="M1147">
        <v>0</v>
      </c>
      <c r="N1147">
        <v>0</v>
      </c>
      <c r="P1147">
        <v>72</v>
      </c>
    </row>
    <row r="1148" spans="1:16">
      <c r="A1148" t="s">
        <v>1179</v>
      </c>
      <c r="B1148" s="2">
        <v>45779</v>
      </c>
      <c r="C1148" t="s">
        <v>723</v>
      </c>
      <c r="D1148" t="s">
        <v>32</v>
      </c>
      <c r="E1148" t="s">
        <v>24</v>
      </c>
      <c r="F1148" t="s">
        <v>41</v>
      </c>
      <c r="G1148" t="s">
        <v>30</v>
      </c>
      <c r="H1148">
        <v>1</v>
      </c>
      <c r="I1148">
        <v>1</v>
      </c>
      <c r="J1148">
        <v>1</v>
      </c>
      <c r="K1148">
        <v>1</v>
      </c>
      <c r="L1148">
        <v>1858.85</v>
      </c>
      <c r="M1148">
        <v>0</v>
      </c>
      <c r="N1148">
        <v>0</v>
      </c>
      <c r="O1148">
        <v>8</v>
      </c>
      <c r="P1148">
        <v>88.6</v>
      </c>
    </row>
    <row r="1149" spans="1:16">
      <c r="A1149" t="s">
        <v>1180</v>
      </c>
      <c r="B1149" s="2">
        <v>45803</v>
      </c>
      <c r="C1149" t="s">
        <v>723</v>
      </c>
      <c r="D1149" t="s">
        <v>28</v>
      </c>
      <c r="E1149" t="s">
        <v>19</v>
      </c>
      <c r="G1149" t="s">
        <v>21</v>
      </c>
      <c r="H1149">
        <v>1</v>
      </c>
      <c r="I1149">
        <v>0</v>
      </c>
      <c r="J1149">
        <v>0</v>
      </c>
      <c r="K1149">
        <v>0</v>
      </c>
      <c r="L1149">
        <v>0</v>
      </c>
      <c r="M1149">
        <v>0</v>
      </c>
      <c r="N1149">
        <v>0</v>
      </c>
      <c r="P1149">
        <v>77.599999999999994</v>
      </c>
    </row>
    <row r="1150" spans="1:16">
      <c r="A1150" t="s">
        <v>1181</v>
      </c>
      <c r="B1150" s="2">
        <v>45729</v>
      </c>
      <c r="C1150" t="s">
        <v>723</v>
      </c>
      <c r="D1150" t="s">
        <v>32</v>
      </c>
      <c r="E1150" t="s">
        <v>24</v>
      </c>
      <c r="F1150" t="s">
        <v>25</v>
      </c>
      <c r="G1150" t="s">
        <v>21</v>
      </c>
      <c r="H1150">
        <v>1</v>
      </c>
      <c r="I1150">
        <v>0</v>
      </c>
      <c r="J1150">
        <v>0</v>
      </c>
      <c r="K1150">
        <v>0</v>
      </c>
      <c r="L1150">
        <v>0</v>
      </c>
      <c r="M1150">
        <v>1</v>
      </c>
      <c r="N1150">
        <v>0</v>
      </c>
      <c r="P1150">
        <v>44.3</v>
      </c>
    </row>
    <row r="1151" spans="1:16">
      <c r="A1151" t="s">
        <v>1182</v>
      </c>
      <c r="B1151" s="2">
        <v>45794</v>
      </c>
      <c r="C1151" t="s">
        <v>723</v>
      </c>
      <c r="D1151" t="s">
        <v>32</v>
      </c>
      <c r="E1151" t="s">
        <v>19</v>
      </c>
      <c r="F1151" t="s">
        <v>29</v>
      </c>
      <c r="G1151" t="s">
        <v>26</v>
      </c>
      <c r="H1151">
        <v>1</v>
      </c>
      <c r="I1151">
        <v>1</v>
      </c>
      <c r="J1151">
        <v>0</v>
      </c>
      <c r="K1151">
        <v>0</v>
      </c>
      <c r="L1151">
        <v>0</v>
      </c>
      <c r="M1151">
        <v>0</v>
      </c>
      <c r="N1151">
        <v>0</v>
      </c>
      <c r="P1151">
        <v>49</v>
      </c>
    </row>
    <row r="1152" spans="1:16">
      <c r="A1152" t="s">
        <v>1183</v>
      </c>
      <c r="B1152" s="2">
        <v>45729</v>
      </c>
      <c r="C1152" t="s">
        <v>723</v>
      </c>
      <c r="D1152" t="s">
        <v>18</v>
      </c>
      <c r="E1152" t="s">
        <v>19</v>
      </c>
      <c r="F1152" t="s">
        <v>39</v>
      </c>
      <c r="G1152" t="s">
        <v>30</v>
      </c>
      <c r="H1152">
        <v>1</v>
      </c>
      <c r="I1152">
        <v>0</v>
      </c>
      <c r="J1152">
        <v>0</v>
      </c>
      <c r="K1152">
        <v>0</v>
      </c>
      <c r="L1152">
        <v>0</v>
      </c>
      <c r="M1152">
        <v>0</v>
      </c>
      <c r="N1152">
        <v>0</v>
      </c>
      <c r="P1152">
        <v>53.9</v>
      </c>
    </row>
    <row r="1153" spans="1:16">
      <c r="A1153" t="s">
        <v>1184</v>
      </c>
      <c r="B1153" s="2">
        <v>45699</v>
      </c>
      <c r="C1153" t="s">
        <v>723</v>
      </c>
      <c r="D1153" t="s">
        <v>28</v>
      </c>
      <c r="E1153" t="s">
        <v>19</v>
      </c>
      <c r="F1153" t="s">
        <v>25</v>
      </c>
      <c r="G1153" t="s">
        <v>21</v>
      </c>
      <c r="H1153">
        <v>1</v>
      </c>
      <c r="I1153">
        <v>0</v>
      </c>
      <c r="J1153">
        <v>0</v>
      </c>
      <c r="K1153">
        <v>0</v>
      </c>
      <c r="L1153">
        <v>0</v>
      </c>
      <c r="M1153">
        <v>1</v>
      </c>
      <c r="N1153">
        <v>0</v>
      </c>
      <c r="P1153">
        <v>69</v>
      </c>
    </row>
    <row r="1154" spans="1:16">
      <c r="A1154" t="s">
        <v>1185</v>
      </c>
      <c r="B1154" s="2">
        <v>45717</v>
      </c>
      <c r="C1154" t="s">
        <v>723</v>
      </c>
      <c r="D1154" t="s">
        <v>23</v>
      </c>
      <c r="E1154" t="s">
        <v>24</v>
      </c>
      <c r="F1154" t="s">
        <v>41</v>
      </c>
      <c r="G1154" t="s">
        <v>26</v>
      </c>
      <c r="H1154">
        <v>0</v>
      </c>
      <c r="I1154">
        <v>0</v>
      </c>
      <c r="J1154">
        <v>0</v>
      </c>
      <c r="K1154">
        <v>0</v>
      </c>
      <c r="L1154">
        <v>0</v>
      </c>
      <c r="M1154">
        <v>0</v>
      </c>
      <c r="N1154">
        <v>0</v>
      </c>
      <c r="P1154">
        <v>37.4</v>
      </c>
    </row>
    <row r="1155" spans="1:16">
      <c r="A1155" t="s">
        <v>1186</v>
      </c>
      <c r="B1155" s="2">
        <v>45762</v>
      </c>
      <c r="C1155" t="s">
        <v>723</v>
      </c>
      <c r="D1155" t="s">
        <v>23</v>
      </c>
      <c r="E1155" t="s">
        <v>24</v>
      </c>
      <c r="F1155" t="s">
        <v>25</v>
      </c>
      <c r="G1155" t="s">
        <v>21</v>
      </c>
      <c r="H1155">
        <v>0</v>
      </c>
      <c r="I1155">
        <v>0</v>
      </c>
      <c r="J1155">
        <v>0</v>
      </c>
      <c r="K1155">
        <v>0</v>
      </c>
      <c r="L1155">
        <v>0</v>
      </c>
      <c r="M1155">
        <v>0</v>
      </c>
      <c r="N1155">
        <v>0</v>
      </c>
      <c r="P1155">
        <v>59</v>
      </c>
    </row>
    <row r="1156" spans="1:16">
      <c r="A1156" t="s">
        <v>1187</v>
      </c>
      <c r="B1156" s="2">
        <v>45690</v>
      </c>
      <c r="C1156" t="s">
        <v>723</v>
      </c>
      <c r="D1156" t="s">
        <v>28</v>
      </c>
      <c r="E1156" t="s">
        <v>24</v>
      </c>
      <c r="F1156" t="s">
        <v>25</v>
      </c>
      <c r="G1156" t="s">
        <v>30</v>
      </c>
      <c r="H1156">
        <v>1</v>
      </c>
      <c r="I1156">
        <v>0</v>
      </c>
      <c r="J1156">
        <v>0</v>
      </c>
      <c r="K1156">
        <v>0</v>
      </c>
      <c r="L1156">
        <v>0</v>
      </c>
      <c r="M1156">
        <v>0</v>
      </c>
      <c r="N1156">
        <v>0</v>
      </c>
      <c r="P1156">
        <v>60.8</v>
      </c>
    </row>
    <row r="1157" spans="1:16">
      <c r="A1157" t="s">
        <v>1188</v>
      </c>
      <c r="B1157" s="2">
        <v>45796</v>
      </c>
      <c r="C1157" t="s">
        <v>723</v>
      </c>
      <c r="D1157" t="s">
        <v>32</v>
      </c>
      <c r="E1157" t="s">
        <v>24</v>
      </c>
      <c r="F1157" t="s">
        <v>20</v>
      </c>
      <c r="G1157" t="s">
        <v>26</v>
      </c>
      <c r="H1157">
        <v>1</v>
      </c>
      <c r="I1157">
        <v>0</v>
      </c>
      <c r="J1157">
        <v>0</v>
      </c>
      <c r="K1157">
        <v>0</v>
      </c>
      <c r="L1157">
        <v>0</v>
      </c>
      <c r="M1157">
        <v>0</v>
      </c>
      <c r="N1157">
        <v>0</v>
      </c>
      <c r="P1157">
        <v>57.5</v>
      </c>
    </row>
    <row r="1158" spans="1:16">
      <c r="A1158" t="s">
        <v>1189</v>
      </c>
      <c r="B1158" s="2">
        <v>45662</v>
      </c>
      <c r="C1158" t="s">
        <v>723</v>
      </c>
      <c r="D1158" t="s">
        <v>23</v>
      </c>
      <c r="E1158" t="s">
        <v>24</v>
      </c>
      <c r="F1158" t="s">
        <v>39</v>
      </c>
      <c r="G1158" t="s">
        <v>26</v>
      </c>
      <c r="H1158">
        <v>0</v>
      </c>
      <c r="I1158">
        <v>0</v>
      </c>
      <c r="J1158">
        <v>0</v>
      </c>
      <c r="K1158">
        <v>0</v>
      </c>
      <c r="L1158">
        <v>0</v>
      </c>
      <c r="M1158">
        <v>0</v>
      </c>
      <c r="N1158">
        <v>0</v>
      </c>
      <c r="P1158">
        <v>84.2</v>
      </c>
    </row>
    <row r="1159" spans="1:16">
      <c r="A1159" t="s">
        <v>1190</v>
      </c>
      <c r="B1159" s="2">
        <v>45724</v>
      </c>
      <c r="C1159" t="s">
        <v>723</v>
      </c>
      <c r="D1159" t="s">
        <v>32</v>
      </c>
      <c r="E1159" t="s">
        <v>24</v>
      </c>
      <c r="F1159" t="s">
        <v>29</v>
      </c>
      <c r="G1159" t="s">
        <v>26</v>
      </c>
      <c r="H1159">
        <v>1</v>
      </c>
      <c r="I1159">
        <v>1</v>
      </c>
      <c r="J1159">
        <v>0</v>
      </c>
      <c r="K1159">
        <v>0</v>
      </c>
      <c r="L1159">
        <v>0</v>
      </c>
      <c r="M1159">
        <v>0</v>
      </c>
      <c r="N1159">
        <v>0</v>
      </c>
      <c r="P1159">
        <v>27.4</v>
      </c>
    </row>
    <row r="1160" spans="1:16">
      <c r="A1160" t="s">
        <v>1191</v>
      </c>
      <c r="B1160" s="2">
        <v>45728</v>
      </c>
      <c r="C1160" t="s">
        <v>723</v>
      </c>
      <c r="D1160" t="s">
        <v>23</v>
      </c>
      <c r="E1160" t="s">
        <v>24</v>
      </c>
      <c r="F1160" t="s">
        <v>20</v>
      </c>
      <c r="G1160" t="s">
        <v>21</v>
      </c>
      <c r="H1160">
        <v>1</v>
      </c>
      <c r="I1160">
        <v>0</v>
      </c>
      <c r="J1160">
        <v>0</v>
      </c>
      <c r="K1160">
        <v>0</v>
      </c>
      <c r="L1160">
        <v>0</v>
      </c>
      <c r="M1160">
        <v>1</v>
      </c>
      <c r="N1160">
        <v>0</v>
      </c>
      <c r="P1160">
        <v>67.599999999999994</v>
      </c>
    </row>
    <row r="1161" spans="1:16">
      <c r="A1161" t="s">
        <v>1192</v>
      </c>
      <c r="B1161" s="2">
        <v>45681</v>
      </c>
      <c r="C1161" t="s">
        <v>723</v>
      </c>
      <c r="D1161" t="s">
        <v>23</v>
      </c>
      <c r="E1161" t="s">
        <v>24</v>
      </c>
      <c r="F1161" t="s">
        <v>25</v>
      </c>
      <c r="G1161" t="s">
        <v>26</v>
      </c>
      <c r="H1161">
        <v>0</v>
      </c>
      <c r="I1161">
        <v>0</v>
      </c>
      <c r="J1161">
        <v>0</v>
      </c>
      <c r="K1161">
        <v>0</v>
      </c>
      <c r="L1161">
        <v>0</v>
      </c>
      <c r="M1161">
        <v>0</v>
      </c>
      <c r="N1161">
        <v>0</v>
      </c>
      <c r="P1161">
        <v>68.400000000000006</v>
      </c>
    </row>
    <row r="1162" spans="1:16">
      <c r="A1162" t="s">
        <v>1193</v>
      </c>
      <c r="B1162" s="2">
        <v>45799</v>
      </c>
      <c r="C1162" t="s">
        <v>723</v>
      </c>
      <c r="D1162" t="s">
        <v>32</v>
      </c>
      <c r="E1162" t="s">
        <v>24</v>
      </c>
      <c r="F1162" t="s">
        <v>29</v>
      </c>
      <c r="G1162" t="s">
        <v>21</v>
      </c>
      <c r="H1162">
        <v>1</v>
      </c>
      <c r="I1162">
        <v>1</v>
      </c>
      <c r="J1162">
        <v>1</v>
      </c>
      <c r="K1162">
        <v>0</v>
      </c>
      <c r="L1162">
        <v>0</v>
      </c>
      <c r="M1162">
        <v>0</v>
      </c>
      <c r="N1162">
        <v>0</v>
      </c>
      <c r="P1162">
        <v>66.5</v>
      </c>
    </row>
    <row r="1163" spans="1:16">
      <c r="A1163" t="s">
        <v>1194</v>
      </c>
      <c r="B1163" s="2">
        <v>45743</v>
      </c>
      <c r="C1163" t="s">
        <v>723</v>
      </c>
      <c r="D1163" t="s">
        <v>32</v>
      </c>
      <c r="E1163" t="s">
        <v>24</v>
      </c>
      <c r="F1163" t="s">
        <v>29</v>
      </c>
      <c r="G1163" t="s">
        <v>26</v>
      </c>
      <c r="H1163">
        <v>1</v>
      </c>
      <c r="I1163">
        <v>0</v>
      </c>
      <c r="J1163">
        <v>0</v>
      </c>
      <c r="K1163">
        <v>0</v>
      </c>
      <c r="L1163">
        <v>0</v>
      </c>
      <c r="M1163">
        <v>0</v>
      </c>
      <c r="N1163">
        <v>0</v>
      </c>
      <c r="P1163">
        <v>38.200000000000003</v>
      </c>
    </row>
    <row r="1164" spans="1:16">
      <c r="A1164" t="s">
        <v>1195</v>
      </c>
      <c r="B1164" s="2">
        <v>45659</v>
      </c>
      <c r="C1164" t="s">
        <v>723</v>
      </c>
      <c r="D1164" t="s">
        <v>23</v>
      </c>
      <c r="E1164" t="s">
        <v>24</v>
      </c>
      <c r="F1164" t="s">
        <v>41</v>
      </c>
      <c r="G1164" t="s">
        <v>26</v>
      </c>
      <c r="H1164">
        <v>0</v>
      </c>
      <c r="I1164">
        <v>0</v>
      </c>
      <c r="J1164">
        <v>0</v>
      </c>
      <c r="K1164">
        <v>0</v>
      </c>
      <c r="L1164">
        <v>0</v>
      </c>
      <c r="M1164">
        <v>1</v>
      </c>
      <c r="N1164">
        <v>0</v>
      </c>
      <c r="P1164">
        <v>66.7</v>
      </c>
    </row>
    <row r="1165" spans="1:16">
      <c r="A1165" t="s">
        <v>1196</v>
      </c>
      <c r="B1165" s="2">
        <v>45712</v>
      </c>
      <c r="C1165" t="s">
        <v>723</v>
      </c>
      <c r="D1165" t="s">
        <v>18</v>
      </c>
      <c r="E1165" t="s">
        <v>24</v>
      </c>
      <c r="F1165" t="s">
        <v>29</v>
      </c>
      <c r="G1165" t="s">
        <v>26</v>
      </c>
      <c r="H1165">
        <v>0</v>
      </c>
      <c r="I1165">
        <v>0</v>
      </c>
      <c r="J1165">
        <v>0</v>
      </c>
      <c r="K1165">
        <v>0</v>
      </c>
      <c r="L1165">
        <v>0</v>
      </c>
      <c r="M1165">
        <v>1</v>
      </c>
      <c r="N1165">
        <v>0</v>
      </c>
      <c r="P1165">
        <v>73.7</v>
      </c>
    </row>
    <row r="1166" spans="1:16">
      <c r="A1166" t="s">
        <v>1197</v>
      </c>
      <c r="B1166" s="2">
        <v>45717</v>
      </c>
      <c r="C1166" t="s">
        <v>723</v>
      </c>
      <c r="D1166" t="s">
        <v>23</v>
      </c>
      <c r="E1166" t="s">
        <v>19</v>
      </c>
      <c r="F1166" t="s">
        <v>25</v>
      </c>
      <c r="G1166" t="s">
        <v>21</v>
      </c>
      <c r="H1166">
        <v>1</v>
      </c>
      <c r="I1166">
        <v>1</v>
      </c>
      <c r="J1166">
        <v>1</v>
      </c>
      <c r="K1166">
        <v>0</v>
      </c>
      <c r="L1166">
        <v>0</v>
      </c>
      <c r="M1166">
        <v>0</v>
      </c>
      <c r="N1166">
        <v>0</v>
      </c>
      <c r="P1166">
        <v>63.9</v>
      </c>
    </row>
    <row r="1167" spans="1:16">
      <c r="A1167" t="s">
        <v>1198</v>
      </c>
      <c r="B1167" s="2">
        <v>45742</v>
      </c>
      <c r="C1167" t="s">
        <v>723</v>
      </c>
      <c r="D1167" t="s">
        <v>32</v>
      </c>
      <c r="E1167" t="s">
        <v>34</v>
      </c>
      <c r="F1167" t="s">
        <v>25</v>
      </c>
      <c r="G1167" t="s">
        <v>21</v>
      </c>
      <c r="H1167">
        <v>1</v>
      </c>
      <c r="I1167">
        <v>0</v>
      </c>
      <c r="J1167">
        <v>0</v>
      </c>
      <c r="K1167">
        <v>0</v>
      </c>
      <c r="L1167">
        <v>0</v>
      </c>
      <c r="M1167">
        <v>1</v>
      </c>
      <c r="N1167">
        <v>0</v>
      </c>
      <c r="P1167">
        <v>82.6</v>
      </c>
    </row>
    <row r="1168" spans="1:16">
      <c r="A1168" t="s">
        <v>1199</v>
      </c>
      <c r="B1168" s="2">
        <v>45802</v>
      </c>
      <c r="C1168" t="s">
        <v>723</v>
      </c>
      <c r="D1168" t="s">
        <v>28</v>
      </c>
      <c r="E1168" t="s">
        <v>24</v>
      </c>
      <c r="F1168" t="s">
        <v>29</v>
      </c>
      <c r="G1168" t="s">
        <v>26</v>
      </c>
      <c r="H1168">
        <v>0</v>
      </c>
      <c r="I1168">
        <v>0</v>
      </c>
      <c r="J1168">
        <v>0</v>
      </c>
      <c r="K1168">
        <v>0</v>
      </c>
      <c r="L1168">
        <v>0</v>
      </c>
      <c r="M1168">
        <v>1</v>
      </c>
      <c r="N1168">
        <v>0</v>
      </c>
      <c r="P1168">
        <v>58.3</v>
      </c>
    </row>
    <row r="1169" spans="1:16">
      <c r="A1169" t="s">
        <v>1200</v>
      </c>
      <c r="B1169" s="2">
        <v>45713</v>
      </c>
      <c r="C1169" t="s">
        <v>723</v>
      </c>
      <c r="D1169" t="s">
        <v>23</v>
      </c>
      <c r="E1169" t="s">
        <v>24</v>
      </c>
      <c r="F1169" t="s">
        <v>39</v>
      </c>
      <c r="G1169" t="s">
        <v>30</v>
      </c>
      <c r="H1169">
        <v>1</v>
      </c>
      <c r="I1169">
        <v>1</v>
      </c>
      <c r="J1169">
        <v>1</v>
      </c>
      <c r="K1169">
        <v>1</v>
      </c>
      <c r="L1169">
        <v>1547.06</v>
      </c>
      <c r="M1169">
        <v>0</v>
      </c>
      <c r="N1169">
        <v>1</v>
      </c>
      <c r="O1169">
        <v>2</v>
      </c>
      <c r="P1169">
        <v>72.900000000000006</v>
      </c>
    </row>
    <row r="1170" spans="1:16">
      <c r="A1170" t="s">
        <v>1201</v>
      </c>
      <c r="B1170" s="2">
        <v>45739</v>
      </c>
      <c r="C1170" t="s">
        <v>723</v>
      </c>
      <c r="D1170" t="s">
        <v>32</v>
      </c>
      <c r="E1170" t="s">
        <v>24</v>
      </c>
      <c r="F1170" t="s">
        <v>41</v>
      </c>
      <c r="G1170" t="s">
        <v>26</v>
      </c>
      <c r="H1170">
        <v>1</v>
      </c>
      <c r="I1170">
        <v>1</v>
      </c>
      <c r="J1170">
        <v>1</v>
      </c>
      <c r="K1170">
        <v>0</v>
      </c>
      <c r="L1170">
        <v>0</v>
      </c>
      <c r="M1170">
        <v>2</v>
      </c>
      <c r="N1170">
        <v>0</v>
      </c>
      <c r="P1170">
        <v>53.5</v>
      </c>
    </row>
    <row r="1171" spans="1:16">
      <c r="A1171" t="s">
        <v>1202</v>
      </c>
      <c r="B1171" s="2">
        <v>45768</v>
      </c>
      <c r="C1171" t="s">
        <v>723</v>
      </c>
      <c r="D1171" t="s">
        <v>23</v>
      </c>
      <c r="E1171" t="s">
        <v>24</v>
      </c>
      <c r="F1171" t="s">
        <v>39</v>
      </c>
      <c r="G1171" t="s">
        <v>26</v>
      </c>
      <c r="H1171">
        <v>1</v>
      </c>
      <c r="I1171">
        <v>0</v>
      </c>
      <c r="J1171">
        <v>0</v>
      </c>
      <c r="K1171">
        <v>0</v>
      </c>
      <c r="L1171">
        <v>0</v>
      </c>
      <c r="M1171">
        <v>0</v>
      </c>
      <c r="N1171">
        <v>0</v>
      </c>
      <c r="P1171">
        <v>54.8</v>
      </c>
    </row>
    <row r="1172" spans="1:16">
      <c r="A1172" t="s">
        <v>1203</v>
      </c>
      <c r="B1172" s="2">
        <v>45798</v>
      </c>
      <c r="C1172" t="s">
        <v>723</v>
      </c>
      <c r="D1172" t="s">
        <v>18</v>
      </c>
      <c r="E1172" t="s">
        <v>24</v>
      </c>
      <c r="F1172" t="s">
        <v>25</v>
      </c>
      <c r="G1172" t="s">
        <v>30</v>
      </c>
      <c r="H1172">
        <v>1</v>
      </c>
      <c r="I1172">
        <v>0</v>
      </c>
      <c r="J1172">
        <v>0</v>
      </c>
      <c r="K1172">
        <v>0</v>
      </c>
      <c r="L1172">
        <v>0</v>
      </c>
      <c r="M1172">
        <v>0</v>
      </c>
      <c r="N1172">
        <v>0</v>
      </c>
      <c r="P1172">
        <v>69.5</v>
      </c>
    </row>
    <row r="1173" spans="1:16">
      <c r="A1173" t="s">
        <v>1204</v>
      </c>
      <c r="B1173" s="2">
        <v>45772</v>
      </c>
      <c r="C1173" t="s">
        <v>723</v>
      </c>
      <c r="D1173" t="s">
        <v>18</v>
      </c>
      <c r="E1173" t="s">
        <v>19</v>
      </c>
      <c r="F1173" t="s">
        <v>41</v>
      </c>
      <c r="G1173" t="s">
        <v>26</v>
      </c>
      <c r="H1173">
        <v>1</v>
      </c>
      <c r="I1173">
        <v>0</v>
      </c>
      <c r="J1173">
        <v>0</v>
      </c>
      <c r="K1173">
        <v>0</v>
      </c>
      <c r="L1173">
        <v>0</v>
      </c>
      <c r="M1173">
        <v>1</v>
      </c>
      <c r="N1173">
        <v>0</v>
      </c>
      <c r="P1173">
        <v>71.3</v>
      </c>
    </row>
    <row r="1174" spans="1:16">
      <c r="A1174" t="s">
        <v>1205</v>
      </c>
      <c r="B1174" s="2">
        <v>45800</v>
      </c>
      <c r="C1174" t="s">
        <v>723</v>
      </c>
      <c r="D1174" t="s">
        <v>23</v>
      </c>
      <c r="E1174" t="s">
        <v>24</v>
      </c>
      <c r="F1174" t="s">
        <v>39</v>
      </c>
      <c r="G1174" t="s">
        <v>21</v>
      </c>
      <c r="H1174">
        <v>1</v>
      </c>
      <c r="I1174">
        <v>0</v>
      </c>
      <c r="J1174">
        <v>0</v>
      </c>
      <c r="K1174">
        <v>0</v>
      </c>
      <c r="L1174">
        <v>0</v>
      </c>
      <c r="M1174">
        <v>1</v>
      </c>
      <c r="N1174">
        <v>0</v>
      </c>
      <c r="P1174">
        <v>57.5</v>
      </c>
    </row>
    <row r="1175" spans="1:16">
      <c r="A1175" t="s">
        <v>1206</v>
      </c>
      <c r="B1175" s="2">
        <v>45734</v>
      </c>
      <c r="C1175" t="s">
        <v>723</v>
      </c>
      <c r="D1175" t="s">
        <v>32</v>
      </c>
      <c r="E1175" t="s">
        <v>24</v>
      </c>
      <c r="F1175" t="s">
        <v>20</v>
      </c>
      <c r="G1175" t="s">
        <v>26</v>
      </c>
      <c r="H1175">
        <v>1</v>
      </c>
      <c r="I1175">
        <v>0</v>
      </c>
      <c r="J1175">
        <v>0</v>
      </c>
      <c r="K1175">
        <v>0</v>
      </c>
      <c r="L1175">
        <v>0</v>
      </c>
      <c r="M1175">
        <v>4</v>
      </c>
      <c r="N1175">
        <v>0</v>
      </c>
      <c r="P1175">
        <v>50.9</v>
      </c>
    </row>
    <row r="1176" spans="1:16">
      <c r="A1176" t="s">
        <v>1207</v>
      </c>
      <c r="B1176" s="2">
        <v>45660</v>
      </c>
      <c r="C1176" t="s">
        <v>723</v>
      </c>
      <c r="D1176" t="s">
        <v>32</v>
      </c>
      <c r="E1176" t="s">
        <v>34</v>
      </c>
      <c r="F1176" t="s">
        <v>25</v>
      </c>
      <c r="G1176" t="s">
        <v>26</v>
      </c>
      <c r="H1176">
        <v>1</v>
      </c>
      <c r="I1176">
        <v>1</v>
      </c>
      <c r="J1176">
        <v>1</v>
      </c>
      <c r="K1176">
        <v>0</v>
      </c>
      <c r="L1176">
        <v>0</v>
      </c>
      <c r="M1176">
        <v>0</v>
      </c>
      <c r="N1176">
        <v>0</v>
      </c>
      <c r="P1176">
        <v>69.3</v>
      </c>
    </row>
    <row r="1177" spans="1:16">
      <c r="A1177" t="s">
        <v>1208</v>
      </c>
      <c r="B1177" s="2">
        <v>45696</v>
      </c>
      <c r="C1177" t="s">
        <v>723</v>
      </c>
      <c r="D1177" t="s">
        <v>23</v>
      </c>
      <c r="E1177" t="s">
        <v>19</v>
      </c>
      <c r="F1177" t="s">
        <v>25</v>
      </c>
      <c r="G1177" t="s">
        <v>26</v>
      </c>
      <c r="H1177">
        <v>1</v>
      </c>
      <c r="I1177">
        <v>0</v>
      </c>
      <c r="J1177">
        <v>0</v>
      </c>
      <c r="K1177">
        <v>0</v>
      </c>
      <c r="L1177">
        <v>0</v>
      </c>
      <c r="M1177">
        <v>0</v>
      </c>
      <c r="N1177">
        <v>0</v>
      </c>
      <c r="P1177">
        <v>50.1</v>
      </c>
    </row>
    <row r="1178" spans="1:16">
      <c r="A1178" t="s">
        <v>1209</v>
      </c>
      <c r="B1178" s="2">
        <v>45692</v>
      </c>
      <c r="C1178" t="s">
        <v>723</v>
      </c>
      <c r="D1178" t="s">
        <v>28</v>
      </c>
      <c r="F1178" t="s">
        <v>29</v>
      </c>
      <c r="G1178" t="s">
        <v>21</v>
      </c>
      <c r="H1178">
        <v>0</v>
      </c>
      <c r="I1178">
        <v>0</v>
      </c>
      <c r="J1178">
        <v>0</v>
      </c>
      <c r="K1178">
        <v>0</v>
      </c>
      <c r="L1178">
        <v>0</v>
      </c>
      <c r="M1178">
        <v>0</v>
      </c>
      <c r="N1178">
        <v>0</v>
      </c>
      <c r="P1178">
        <v>69.7</v>
      </c>
    </row>
    <row r="1179" spans="1:16">
      <c r="A1179" t="s">
        <v>1210</v>
      </c>
      <c r="B1179" s="2">
        <v>45673</v>
      </c>
      <c r="C1179" t="s">
        <v>723</v>
      </c>
      <c r="D1179" t="s">
        <v>18</v>
      </c>
      <c r="E1179" t="s">
        <v>24</v>
      </c>
      <c r="F1179" t="s">
        <v>29</v>
      </c>
      <c r="G1179" t="s">
        <v>26</v>
      </c>
      <c r="H1179">
        <v>0</v>
      </c>
      <c r="I1179">
        <v>0</v>
      </c>
      <c r="J1179">
        <v>0</v>
      </c>
      <c r="K1179">
        <v>0</v>
      </c>
      <c r="L1179">
        <v>0</v>
      </c>
      <c r="M1179">
        <v>0</v>
      </c>
      <c r="N1179">
        <v>0</v>
      </c>
      <c r="P1179">
        <v>63.5</v>
      </c>
    </row>
    <row r="1180" spans="1:16">
      <c r="A1180" t="s">
        <v>1211</v>
      </c>
      <c r="B1180" s="2">
        <v>45751</v>
      </c>
      <c r="C1180" t="s">
        <v>723</v>
      </c>
      <c r="D1180" t="s">
        <v>23</v>
      </c>
      <c r="E1180" t="s">
        <v>19</v>
      </c>
      <c r="F1180" t="s">
        <v>29</v>
      </c>
      <c r="G1180" t="s">
        <v>26</v>
      </c>
      <c r="H1180">
        <v>1</v>
      </c>
      <c r="I1180">
        <v>1</v>
      </c>
      <c r="J1180">
        <v>1</v>
      </c>
      <c r="K1180">
        <v>1</v>
      </c>
      <c r="L1180">
        <v>265.58999999999997</v>
      </c>
      <c r="M1180">
        <v>1</v>
      </c>
      <c r="N1180">
        <v>0</v>
      </c>
      <c r="O1180">
        <v>8</v>
      </c>
      <c r="P1180">
        <v>80.400000000000006</v>
      </c>
    </row>
    <row r="1181" spans="1:16">
      <c r="A1181" t="s">
        <v>1212</v>
      </c>
      <c r="B1181" s="2">
        <v>45680</v>
      </c>
      <c r="C1181" t="s">
        <v>723</v>
      </c>
      <c r="D1181" t="s">
        <v>18</v>
      </c>
      <c r="E1181" t="s">
        <v>19</v>
      </c>
      <c r="F1181" t="s">
        <v>29</v>
      </c>
      <c r="G1181" t="s">
        <v>26</v>
      </c>
      <c r="H1181">
        <v>0</v>
      </c>
      <c r="I1181">
        <v>0</v>
      </c>
      <c r="J1181">
        <v>0</v>
      </c>
      <c r="K1181">
        <v>0</v>
      </c>
      <c r="L1181">
        <v>0</v>
      </c>
      <c r="M1181">
        <v>0</v>
      </c>
      <c r="N1181">
        <v>0</v>
      </c>
      <c r="P1181">
        <v>58.9</v>
      </c>
    </row>
    <row r="1182" spans="1:16">
      <c r="A1182" t="s">
        <v>1213</v>
      </c>
      <c r="B1182" s="2">
        <v>45738</v>
      </c>
      <c r="C1182" t="s">
        <v>723</v>
      </c>
      <c r="D1182" t="s">
        <v>32</v>
      </c>
      <c r="E1182" t="s">
        <v>19</v>
      </c>
      <c r="F1182" t="s">
        <v>29</v>
      </c>
      <c r="G1182" t="s">
        <v>26</v>
      </c>
      <c r="H1182">
        <v>1</v>
      </c>
      <c r="I1182">
        <v>0</v>
      </c>
      <c r="J1182">
        <v>0</v>
      </c>
      <c r="K1182">
        <v>0</v>
      </c>
      <c r="L1182">
        <v>0</v>
      </c>
      <c r="M1182">
        <v>0</v>
      </c>
      <c r="N1182">
        <v>0</v>
      </c>
      <c r="P1182">
        <v>56.8</v>
      </c>
    </row>
    <row r="1183" spans="1:16">
      <c r="A1183" t="s">
        <v>1214</v>
      </c>
      <c r="B1183" s="2">
        <v>45690</v>
      </c>
      <c r="C1183" t="s">
        <v>723</v>
      </c>
      <c r="D1183" t="s">
        <v>28</v>
      </c>
      <c r="E1183" t="s">
        <v>34</v>
      </c>
      <c r="F1183" t="s">
        <v>41</v>
      </c>
      <c r="G1183" t="s">
        <v>30</v>
      </c>
      <c r="H1183">
        <v>0</v>
      </c>
      <c r="I1183">
        <v>0</v>
      </c>
      <c r="J1183">
        <v>0</v>
      </c>
      <c r="K1183">
        <v>0</v>
      </c>
      <c r="L1183">
        <v>0</v>
      </c>
      <c r="M1183">
        <v>0</v>
      </c>
      <c r="N1183">
        <v>0</v>
      </c>
      <c r="P1183">
        <v>73.900000000000006</v>
      </c>
    </row>
    <row r="1184" spans="1:16">
      <c r="A1184" t="s">
        <v>1215</v>
      </c>
      <c r="B1184" s="2">
        <v>45688</v>
      </c>
      <c r="C1184" t="s">
        <v>723</v>
      </c>
      <c r="D1184" t="s">
        <v>18</v>
      </c>
      <c r="E1184" t="s">
        <v>19</v>
      </c>
      <c r="F1184" t="s">
        <v>29</v>
      </c>
      <c r="G1184" t="s">
        <v>26</v>
      </c>
      <c r="H1184">
        <v>0</v>
      </c>
      <c r="I1184">
        <v>0</v>
      </c>
      <c r="J1184">
        <v>0</v>
      </c>
      <c r="K1184">
        <v>0</v>
      </c>
      <c r="L1184">
        <v>0</v>
      </c>
      <c r="M1184">
        <v>0</v>
      </c>
      <c r="N1184">
        <v>0</v>
      </c>
      <c r="P1184">
        <v>76.3</v>
      </c>
    </row>
    <row r="1185" spans="1:16">
      <c r="A1185" t="s">
        <v>1216</v>
      </c>
      <c r="B1185" s="2">
        <v>45804</v>
      </c>
      <c r="C1185" t="s">
        <v>723</v>
      </c>
      <c r="D1185" t="s">
        <v>23</v>
      </c>
      <c r="E1185" t="s">
        <v>24</v>
      </c>
      <c r="F1185" t="s">
        <v>25</v>
      </c>
      <c r="G1185" t="s">
        <v>21</v>
      </c>
      <c r="H1185">
        <v>1</v>
      </c>
      <c r="I1185">
        <v>0</v>
      </c>
      <c r="J1185">
        <v>0</v>
      </c>
      <c r="K1185">
        <v>0</v>
      </c>
      <c r="L1185">
        <v>0</v>
      </c>
      <c r="M1185">
        <v>0</v>
      </c>
      <c r="N1185">
        <v>0</v>
      </c>
      <c r="P1185">
        <v>56.9</v>
      </c>
    </row>
    <row r="1186" spans="1:16">
      <c r="A1186" t="s">
        <v>1217</v>
      </c>
      <c r="B1186" s="2">
        <v>45784</v>
      </c>
      <c r="C1186" t="s">
        <v>723</v>
      </c>
      <c r="D1186" t="s">
        <v>18</v>
      </c>
      <c r="E1186" t="s">
        <v>24</v>
      </c>
      <c r="F1186" t="s">
        <v>25</v>
      </c>
      <c r="G1186" t="s">
        <v>30</v>
      </c>
      <c r="H1186">
        <v>1</v>
      </c>
      <c r="I1186">
        <v>0</v>
      </c>
      <c r="J1186">
        <v>0</v>
      </c>
      <c r="K1186">
        <v>0</v>
      </c>
      <c r="L1186">
        <v>0</v>
      </c>
      <c r="M1186">
        <v>2</v>
      </c>
      <c r="N1186">
        <v>0</v>
      </c>
      <c r="P1186">
        <v>49.4</v>
      </c>
    </row>
    <row r="1187" spans="1:16">
      <c r="A1187" t="s">
        <v>1218</v>
      </c>
      <c r="B1187" s="2">
        <v>45785</v>
      </c>
      <c r="C1187" t="s">
        <v>723</v>
      </c>
      <c r="D1187" t="s">
        <v>18</v>
      </c>
      <c r="E1187" t="s">
        <v>19</v>
      </c>
      <c r="F1187" t="s">
        <v>29</v>
      </c>
      <c r="G1187" t="s">
        <v>21</v>
      </c>
      <c r="H1187">
        <v>1</v>
      </c>
      <c r="I1187">
        <v>0</v>
      </c>
      <c r="J1187">
        <v>0</v>
      </c>
      <c r="K1187">
        <v>0</v>
      </c>
      <c r="L1187">
        <v>0</v>
      </c>
      <c r="M1187">
        <v>0</v>
      </c>
      <c r="N1187">
        <v>0</v>
      </c>
      <c r="P1187">
        <v>86.7</v>
      </c>
    </row>
    <row r="1188" spans="1:16">
      <c r="A1188" t="s">
        <v>1219</v>
      </c>
      <c r="B1188" s="2">
        <v>45672</v>
      </c>
      <c r="C1188" t="s">
        <v>723</v>
      </c>
      <c r="D1188" t="s">
        <v>23</v>
      </c>
      <c r="E1188" t="s">
        <v>19</v>
      </c>
      <c r="F1188" t="s">
        <v>20</v>
      </c>
      <c r="G1188" t="s">
        <v>26</v>
      </c>
      <c r="H1188">
        <v>1</v>
      </c>
      <c r="I1188">
        <v>0</v>
      </c>
      <c r="J1188">
        <v>0</v>
      </c>
      <c r="K1188">
        <v>0</v>
      </c>
      <c r="L1188">
        <v>0</v>
      </c>
      <c r="M1188">
        <v>3</v>
      </c>
      <c r="N1188">
        <v>0</v>
      </c>
      <c r="P1188">
        <v>69</v>
      </c>
    </row>
    <row r="1189" spans="1:16">
      <c r="A1189" t="s">
        <v>1220</v>
      </c>
      <c r="B1189" s="2">
        <v>45675</v>
      </c>
      <c r="C1189" t="s">
        <v>723</v>
      </c>
      <c r="D1189" t="s">
        <v>18</v>
      </c>
      <c r="E1189" t="s">
        <v>24</v>
      </c>
      <c r="F1189" t="s">
        <v>29</v>
      </c>
      <c r="G1189" t="s">
        <v>26</v>
      </c>
      <c r="H1189">
        <v>0</v>
      </c>
      <c r="I1189">
        <v>0</v>
      </c>
      <c r="J1189">
        <v>0</v>
      </c>
      <c r="K1189">
        <v>0</v>
      </c>
      <c r="L1189">
        <v>0</v>
      </c>
      <c r="M1189">
        <v>0</v>
      </c>
      <c r="N1189">
        <v>0</v>
      </c>
      <c r="P1189">
        <v>84.5</v>
      </c>
    </row>
    <row r="1190" spans="1:16">
      <c r="A1190" t="s">
        <v>1221</v>
      </c>
      <c r="B1190" s="2">
        <v>45763</v>
      </c>
      <c r="C1190" t="s">
        <v>723</v>
      </c>
      <c r="D1190" t="s">
        <v>28</v>
      </c>
      <c r="F1190" t="s">
        <v>39</v>
      </c>
      <c r="G1190" t="s">
        <v>26</v>
      </c>
      <c r="H1190">
        <v>1</v>
      </c>
      <c r="I1190">
        <v>0</v>
      </c>
      <c r="J1190">
        <v>0</v>
      </c>
      <c r="K1190">
        <v>0</v>
      </c>
      <c r="L1190">
        <v>0</v>
      </c>
      <c r="M1190">
        <v>0</v>
      </c>
      <c r="N1190">
        <v>0</v>
      </c>
      <c r="P1190">
        <v>66.3</v>
      </c>
    </row>
    <row r="1191" spans="1:16">
      <c r="A1191" t="s">
        <v>1222</v>
      </c>
      <c r="B1191" s="2">
        <v>45704</v>
      </c>
      <c r="C1191" t="s">
        <v>723</v>
      </c>
      <c r="D1191" t="s">
        <v>28</v>
      </c>
      <c r="E1191" t="s">
        <v>19</v>
      </c>
      <c r="F1191" t="s">
        <v>29</v>
      </c>
      <c r="G1191" t="s">
        <v>26</v>
      </c>
      <c r="H1191">
        <v>0</v>
      </c>
      <c r="I1191">
        <v>0</v>
      </c>
      <c r="J1191">
        <v>0</v>
      </c>
      <c r="K1191">
        <v>0</v>
      </c>
      <c r="L1191">
        <v>0</v>
      </c>
      <c r="M1191">
        <v>0</v>
      </c>
      <c r="N1191">
        <v>0</v>
      </c>
      <c r="P1191">
        <v>52.2</v>
      </c>
    </row>
    <row r="1192" spans="1:16">
      <c r="A1192" t="s">
        <v>1223</v>
      </c>
      <c r="B1192" s="2">
        <v>45764</v>
      </c>
      <c r="C1192" t="s">
        <v>723</v>
      </c>
      <c r="D1192" t="s">
        <v>32</v>
      </c>
      <c r="E1192" t="s">
        <v>19</v>
      </c>
      <c r="F1192" t="s">
        <v>39</v>
      </c>
      <c r="G1192" t="s">
        <v>30</v>
      </c>
      <c r="H1192">
        <v>1</v>
      </c>
      <c r="I1192">
        <v>1</v>
      </c>
      <c r="J1192">
        <v>1</v>
      </c>
      <c r="K1192">
        <v>0</v>
      </c>
      <c r="L1192">
        <v>0</v>
      </c>
      <c r="M1192">
        <v>0</v>
      </c>
      <c r="N1192">
        <v>0</v>
      </c>
      <c r="P1192">
        <v>81.2</v>
      </c>
    </row>
    <row r="1193" spans="1:16">
      <c r="A1193" t="s">
        <v>1224</v>
      </c>
      <c r="B1193" s="2">
        <v>45777</v>
      </c>
      <c r="C1193" t="s">
        <v>723</v>
      </c>
      <c r="D1193" t="s">
        <v>32</v>
      </c>
      <c r="E1193" t="s">
        <v>24</v>
      </c>
      <c r="F1193" t="s">
        <v>25</v>
      </c>
      <c r="G1193" t="s">
        <v>21</v>
      </c>
      <c r="H1193">
        <v>0</v>
      </c>
      <c r="I1193">
        <v>0</v>
      </c>
      <c r="J1193">
        <v>0</v>
      </c>
      <c r="K1193">
        <v>0</v>
      </c>
      <c r="L1193">
        <v>0</v>
      </c>
      <c r="M1193">
        <v>0</v>
      </c>
      <c r="N1193">
        <v>0</v>
      </c>
      <c r="P1193">
        <v>53.9</v>
      </c>
    </row>
    <row r="1194" spans="1:16">
      <c r="A1194" t="s">
        <v>1225</v>
      </c>
      <c r="B1194" s="2">
        <v>45686</v>
      </c>
      <c r="C1194" t="s">
        <v>723</v>
      </c>
      <c r="D1194" t="s">
        <v>23</v>
      </c>
      <c r="E1194" t="s">
        <v>24</v>
      </c>
      <c r="F1194" t="s">
        <v>41</v>
      </c>
      <c r="G1194" t="s">
        <v>30</v>
      </c>
      <c r="H1194">
        <v>0</v>
      </c>
      <c r="I1194">
        <v>0</v>
      </c>
      <c r="J1194">
        <v>0</v>
      </c>
      <c r="K1194">
        <v>0</v>
      </c>
      <c r="L1194">
        <v>0</v>
      </c>
      <c r="M1194">
        <v>0</v>
      </c>
      <c r="N1194">
        <v>0</v>
      </c>
      <c r="P1194">
        <v>39.1</v>
      </c>
    </row>
    <row r="1195" spans="1:16">
      <c r="A1195" t="s">
        <v>1226</v>
      </c>
      <c r="B1195" s="2">
        <v>45668</v>
      </c>
      <c r="C1195" t="s">
        <v>723</v>
      </c>
      <c r="D1195" t="s">
        <v>18</v>
      </c>
      <c r="E1195" t="s">
        <v>24</v>
      </c>
      <c r="F1195" t="s">
        <v>41</v>
      </c>
      <c r="G1195" t="s">
        <v>21</v>
      </c>
      <c r="H1195">
        <v>0</v>
      </c>
      <c r="I1195">
        <v>0</v>
      </c>
      <c r="J1195">
        <v>0</v>
      </c>
      <c r="K1195">
        <v>0</v>
      </c>
      <c r="L1195">
        <v>0</v>
      </c>
      <c r="M1195">
        <v>0</v>
      </c>
      <c r="N1195">
        <v>0</v>
      </c>
      <c r="P1195">
        <v>57.3</v>
      </c>
    </row>
    <row r="1196" spans="1:16">
      <c r="A1196" t="s">
        <v>1227</v>
      </c>
      <c r="B1196" s="2">
        <v>45755</v>
      </c>
      <c r="C1196" t="s">
        <v>723</v>
      </c>
      <c r="D1196" t="s">
        <v>28</v>
      </c>
      <c r="E1196" t="s">
        <v>19</v>
      </c>
      <c r="F1196" t="s">
        <v>29</v>
      </c>
      <c r="G1196" t="s">
        <v>30</v>
      </c>
      <c r="H1196">
        <v>1</v>
      </c>
      <c r="I1196">
        <v>0</v>
      </c>
      <c r="J1196">
        <v>0</v>
      </c>
      <c r="K1196">
        <v>0</v>
      </c>
      <c r="L1196">
        <v>0</v>
      </c>
      <c r="M1196">
        <v>1</v>
      </c>
      <c r="N1196">
        <v>0</v>
      </c>
      <c r="P1196">
        <v>65.900000000000006</v>
      </c>
    </row>
    <row r="1197" spans="1:16">
      <c r="A1197" t="s">
        <v>1228</v>
      </c>
      <c r="B1197" s="2">
        <v>45710</v>
      </c>
      <c r="C1197" t="s">
        <v>723</v>
      </c>
      <c r="D1197" t="s">
        <v>18</v>
      </c>
      <c r="F1197" t="s">
        <v>41</v>
      </c>
      <c r="G1197" t="s">
        <v>26</v>
      </c>
      <c r="H1197">
        <v>1</v>
      </c>
      <c r="I1197">
        <v>0</v>
      </c>
      <c r="J1197">
        <v>0</v>
      </c>
      <c r="K1197">
        <v>0</v>
      </c>
      <c r="L1197">
        <v>0</v>
      </c>
      <c r="M1197">
        <v>1</v>
      </c>
      <c r="N1197">
        <v>0</v>
      </c>
      <c r="P1197">
        <v>34.200000000000003</v>
      </c>
    </row>
    <row r="1198" spans="1:16">
      <c r="A1198" t="s">
        <v>1229</v>
      </c>
      <c r="B1198" s="2">
        <v>45739</v>
      </c>
      <c r="C1198" t="s">
        <v>723</v>
      </c>
      <c r="D1198" t="s">
        <v>32</v>
      </c>
      <c r="E1198" t="s">
        <v>24</v>
      </c>
      <c r="F1198" t="s">
        <v>25</v>
      </c>
      <c r="G1198" t="s">
        <v>26</v>
      </c>
      <c r="H1198">
        <v>0</v>
      </c>
      <c r="I1198">
        <v>0</v>
      </c>
      <c r="J1198">
        <v>0</v>
      </c>
      <c r="K1198">
        <v>0</v>
      </c>
      <c r="L1198">
        <v>0</v>
      </c>
      <c r="M1198">
        <v>0</v>
      </c>
      <c r="N1198">
        <v>0</v>
      </c>
      <c r="P1198">
        <v>47.2</v>
      </c>
    </row>
    <row r="1199" spans="1:16">
      <c r="A1199" t="s">
        <v>1230</v>
      </c>
      <c r="B1199" s="2">
        <v>45800</v>
      </c>
      <c r="C1199" t="s">
        <v>723</v>
      </c>
      <c r="D1199" t="s">
        <v>32</v>
      </c>
      <c r="E1199" t="s">
        <v>34</v>
      </c>
      <c r="F1199" t="s">
        <v>29</v>
      </c>
      <c r="G1199" t="s">
        <v>26</v>
      </c>
      <c r="H1199">
        <v>1</v>
      </c>
      <c r="I1199">
        <v>0</v>
      </c>
      <c r="J1199">
        <v>0</v>
      </c>
      <c r="K1199">
        <v>0</v>
      </c>
      <c r="L1199">
        <v>0</v>
      </c>
      <c r="M1199">
        <v>1</v>
      </c>
      <c r="N1199">
        <v>0</v>
      </c>
      <c r="P1199">
        <v>55</v>
      </c>
    </row>
    <row r="1200" spans="1:16">
      <c r="A1200" t="s">
        <v>1231</v>
      </c>
      <c r="B1200" s="2">
        <v>45774</v>
      </c>
      <c r="C1200" t="s">
        <v>723</v>
      </c>
      <c r="D1200" t="s">
        <v>23</v>
      </c>
      <c r="E1200" t="s">
        <v>24</v>
      </c>
      <c r="F1200" t="s">
        <v>39</v>
      </c>
      <c r="G1200" t="s">
        <v>21</v>
      </c>
      <c r="H1200">
        <v>1</v>
      </c>
      <c r="I1200">
        <v>1</v>
      </c>
      <c r="J1200">
        <v>1</v>
      </c>
      <c r="K1200">
        <v>0</v>
      </c>
      <c r="L1200">
        <v>0</v>
      </c>
      <c r="M1200">
        <v>0</v>
      </c>
      <c r="N1200">
        <v>0</v>
      </c>
      <c r="P1200">
        <v>76.400000000000006</v>
      </c>
    </row>
    <row r="1201" spans="1:16">
      <c r="A1201" t="s">
        <v>1232</v>
      </c>
      <c r="B1201" s="2">
        <v>45803</v>
      </c>
      <c r="C1201" t="s">
        <v>723</v>
      </c>
      <c r="D1201" t="s">
        <v>18</v>
      </c>
      <c r="E1201" t="s">
        <v>24</v>
      </c>
      <c r="F1201" t="s">
        <v>39</v>
      </c>
      <c r="G1201" t="s">
        <v>26</v>
      </c>
      <c r="H1201">
        <v>1</v>
      </c>
      <c r="I1201">
        <v>0</v>
      </c>
      <c r="J1201">
        <v>0</v>
      </c>
      <c r="K1201">
        <v>0</v>
      </c>
      <c r="L1201">
        <v>0</v>
      </c>
      <c r="M1201">
        <v>0</v>
      </c>
      <c r="N1201">
        <v>0</v>
      </c>
      <c r="P1201">
        <v>70.8</v>
      </c>
    </row>
    <row r="1202" spans="1:16">
      <c r="A1202" t="s">
        <v>1233</v>
      </c>
      <c r="B1202" s="2">
        <v>45722</v>
      </c>
      <c r="C1202" t="s">
        <v>723</v>
      </c>
      <c r="D1202" t="s">
        <v>28</v>
      </c>
      <c r="E1202" t="s">
        <v>24</v>
      </c>
      <c r="F1202" t="s">
        <v>29</v>
      </c>
      <c r="G1202" t="s">
        <v>21</v>
      </c>
      <c r="H1202">
        <v>1</v>
      </c>
      <c r="I1202">
        <v>1</v>
      </c>
      <c r="J1202">
        <v>0</v>
      </c>
      <c r="K1202">
        <v>0</v>
      </c>
      <c r="L1202">
        <v>0</v>
      </c>
      <c r="M1202">
        <v>1</v>
      </c>
      <c r="N1202">
        <v>0</v>
      </c>
      <c r="P1202">
        <v>58</v>
      </c>
    </row>
    <row r="1203" spans="1:16">
      <c r="A1203" t="s">
        <v>1234</v>
      </c>
      <c r="B1203" s="2">
        <v>45750</v>
      </c>
      <c r="C1203" t="s">
        <v>723</v>
      </c>
      <c r="D1203" t="s">
        <v>23</v>
      </c>
      <c r="E1203" t="s">
        <v>24</v>
      </c>
      <c r="F1203" t="s">
        <v>25</v>
      </c>
      <c r="G1203" t="s">
        <v>21</v>
      </c>
      <c r="H1203">
        <v>1</v>
      </c>
      <c r="I1203">
        <v>1</v>
      </c>
      <c r="J1203">
        <v>1</v>
      </c>
      <c r="K1203">
        <v>0</v>
      </c>
      <c r="L1203">
        <v>0</v>
      </c>
      <c r="M1203">
        <v>1</v>
      </c>
      <c r="N1203">
        <v>0</v>
      </c>
      <c r="P1203">
        <v>70.8</v>
      </c>
    </row>
    <row r="1204" spans="1:16">
      <c r="A1204" t="s">
        <v>1235</v>
      </c>
      <c r="B1204" s="2">
        <v>45689</v>
      </c>
      <c r="C1204" t="s">
        <v>723</v>
      </c>
      <c r="D1204" t="s">
        <v>28</v>
      </c>
      <c r="E1204" t="s">
        <v>19</v>
      </c>
      <c r="F1204" t="s">
        <v>29</v>
      </c>
      <c r="G1204" t="s">
        <v>26</v>
      </c>
      <c r="H1204">
        <v>1</v>
      </c>
      <c r="I1204">
        <v>0</v>
      </c>
      <c r="J1204">
        <v>0</v>
      </c>
      <c r="K1204">
        <v>0</v>
      </c>
      <c r="L1204">
        <v>0</v>
      </c>
      <c r="M1204">
        <v>3</v>
      </c>
      <c r="N1204">
        <v>0</v>
      </c>
      <c r="P1204">
        <v>60</v>
      </c>
    </row>
    <row r="1205" spans="1:16">
      <c r="A1205" t="s">
        <v>1236</v>
      </c>
      <c r="B1205" s="2">
        <v>45778</v>
      </c>
      <c r="C1205" t="s">
        <v>723</v>
      </c>
      <c r="D1205" t="s">
        <v>23</v>
      </c>
      <c r="E1205" t="s">
        <v>24</v>
      </c>
      <c r="F1205" t="s">
        <v>39</v>
      </c>
      <c r="G1205" t="s">
        <v>30</v>
      </c>
      <c r="H1205">
        <v>1</v>
      </c>
      <c r="I1205">
        <v>1</v>
      </c>
      <c r="J1205">
        <v>1</v>
      </c>
      <c r="K1205">
        <v>0</v>
      </c>
      <c r="L1205">
        <v>0</v>
      </c>
      <c r="M1205">
        <v>3</v>
      </c>
      <c r="N1205">
        <v>0</v>
      </c>
      <c r="P1205">
        <v>58.1</v>
      </c>
    </row>
    <row r="1206" spans="1:16">
      <c r="A1206" t="s">
        <v>1237</v>
      </c>
      <c r="B1206" s="2">
        <v>45760</v>
      </c>
      <c r="C1206" t="s">
        <v>723</v>
      </c>
      <c r="D1206" t="s">
        <v>18</v>
      </c>
      <c r="E1206" t="s">
        <v>24</v>
      </c>
      <c r="F1206" t="s">
        <v>41</v>
      </c>
      <c r="G1206" t="s">
        <v>30</v>
      </c>
      <c r="H1206">
        <v>0</v>
      </c>
      <c r="I1206">
        <v>0</v>
      </c>
      <c r="J1206">
        <v>0</v>
      </c>
      <c r="K1206">
        <v>0</v>
      </c>
      <c r="L1206">
        <v>0</v>
      </c>
      <c r="M1206">
        <v>0</v>
      </c>
      <c r="N1206">
        <v>0</v>
      </c>
      <c r="P1206">
        <v>59.7</v>
      </c>
    </row>
    <row r="1207" spans="1:16">
      <c r="A1207" t="s">
        <v>1238</v>
      </c>
      <c r="B1207" s="2">
        <v>45682</v>
      </c>
      <c r="C1207" t="s">
        <v>723</v>
      </c>
      <c r="D1207" t="s">
        <v>28</v>
      </c>
      <c r="E1207" t="s">
        <v>24</v>
      </c>
      <c r="F1207" t="s">
        <v>41</v>
      </c>
      <c r="G1207" t="s">
        <v>26</v>
      </c>
      <c r="H1207">
        <v>0</v>
      </c>
      <c r="I1207">
        <v>0</v>
      </c>
      <c r="J1207">
        <v>0</v>
      </c>
      <c r="K1207">
        <v>0</v>
      </c>
      <c r="L1207">
        <v>0</v>
      </c>
      <c r="M1207">
        <v>0</v>
      </c>
      <c r="N1207">
        <v>0</v>
      </c>
      <c r="P1207">
        <v>47.7</v>
      </c>
    </row>
    <row r="1208" spans="1:16">
      <c r="A1208" t="s">
        <v>1239</v>
      </c>
      <c r="B1208" s="2">
        <v>45733</v>
      </c>
      <c r="C1208" t="s">
        <v>723</v>
      </c>
      <c r="D1208" t="s">
        <v>18</v>
      </c>
      <c r="E1208" t="s">
        <v>24</v>
      </c>
      <c r="F1208" t="s">
        <v>25</v>
      </c>
      <c r="G1208" t="s">
        <v>26</v>
      </c>
      <c r="H1208">
        <v>0</v>
      </c>
      <c r="I1208">
        <v>0</v>
      </c>
      <c r="J1208">
        <v>0</v>
      </c>
      <c r="K1208">
        <v>0</v>
      </c>
      <c r="L1208">
        <v>0</v>
      </c>
      <c r="M1208">
        <v>0</v>
      </c>
      <c r="N1208">
        <v>0</v>
      </c>
      <c r="P1208">
        <v>59.1</v>
      </c>
    </row>
    <row r="1209" spans="1:16">
      <c r="A1209" t="s">
        <v>1240</v>
      </c>
      <c r="B1209" s="2">
        <v>45709</v>
      </c>
      <c r="C1209" t="s">
        <v>723</v>
      </c>
      <c r="D1209" t="s">
        <v>23</v>
      </c>
      <c r="E1209" t="s">
        <v>19</v>
      </c>
      <c r="F1209" t="s">
        <v>41</v>
      </c>
      <c r="G1209" t="s">
        <v>21</v>
      </c>
      <c r="H1209">
        <v>1</v>
      </c>
      <c r="I1209">
        <v>0</v>
      </c>
      <c r="J1209">
        <v>0</v>
      </c>
      <c r="K1209">
        <v>0</v>
      </c>
      <c r="L1209">
        <v>0</v>
      </c>
      <c r="M1209">
        <v>1</v>
      </c>
      <c r="N1209">
        <v>0</v>
      </c>
      <c r="P1209">
        <v>68.7</v>
      </c>
    </row>
    <row r="1210" spans="1:16">
      <c r="A1210" t="s">
        <v>1241</v>
      </c>
      <c r="B1210" s="2">
        <v>45755</v>
      </c>
      <c r="C1210" t="s">
        <v>723</v>
      </c>
      <c r="D1210" t="s">
        <v>28</v>
      </c>
      <c r="E1210" t="s">
        <v>34</v>
      </c>
      <c r="F1210" t="s">
        <v>25</v>
      </c>
      <c r="G1210" t="s">
        <v>21</v>
      </c>
      <c r="H1210">
        <v>0</v>
      </c>
      <c r="I1210">
        <v>0</v>
      </c>
      <c r="J1210">
        <v>0</v>
      </c>
      <c r="K1210">
        <v>0</v>
      </c>
      <c r="L1210">
        <v>0</v>
      </c>
      <c r="M1210">
        <v>0</v>
      </c>
      <c r="N1210">
        <v>0</v>
      </c>
      <c r="P1210">
        <v>34.700000000000003</v>
      </c>
    </row>
    <row r="1211" spans="1:16">
      <c r="A1211" t="s">
        <v>1242</v>
      </c>
      <c r="B1211" s="2">
        <v>45712</v>
      </c>
      <c r="C1211" t="s">
        <v>723</v>
      </c>
      <c r="D1211" t="s">
        <v>23</v>
      </c>
      <c r="E1211" t="s">
        <v>24</v>
      </c>
      <c r="F1211" t="s">
        <v>25</v>
      </c>
      <c r="G1211" t="s">
        <v>21</v>
      </c>
      <c r="H1211">
        <v>1</v>
      </c>
      <c r="I1211">
        <v>0</v>
      </c>
      <c r="J1211">
        <v>0</v>
      </c>
      <c r="K1211">
        <v>0</v>
      </c>
      <c r="L1211">
        <v>0</v>
      </c>
      <c r="M1211">
        <v>0</v>
      </c>
      <c r="N1211">
        <v>0</v>
      </c>
      <c r="P1211">
        <v>62</v>
      </c>
    </row>
    <row r="1212" spans="1:16">
      <c r="A1212" t="s">
        <v>1243</v>
      </c>
      <c r="B1212" s="2">
        <v>45806</v>
      </c>
      <c r="C1212" t="s">
        <v>723</v>
      </c>
      <c r="D1212" t="s">
        <v>32</v>
      </c>
      <c r="E1212" t="s">
        <v>24</v>
      </c>
      <c r="F1212" t="s">
        <v>25</v>
      </c>
      <c r="G1212" t="s">
        <v>26</v>
      </c>
      <c r="H1212">
        <v>1</v>
      </c>
      <c r="I1212">
        <v>1</v>
      </c>
      <c r="J1212">
        <v>0</v>
      </c>
      <c r="K1212">
        <v>0</v>
      </c>
      <c r="L1212">
        <v>0</v>
      </c>
      <c r="M1212">
        <v>0</v>
      </c>
      <c r="N1212">
        <v>0</v>
      </c>
      <c r="P1212">
        <v>56</v>
      </c>
    </row>
    <row r="1213" spans="1:16">
      <c r="A1213" t="s">
        <v>1244</v>
      </c>
      <c r="B1213" s="2">
        <v>45807</v>
      </c>
      <c r="C1213" t="s">
        <v>723</v>
      </c>
      <c r="D1213" t="s">
        <v>18</v>
      </c>
      <c r="E1213" t="s">
        <v>24</v>
      </c>
      <c r="F1213" t="s">
        <v>20</v>
      </c>
      <c r="G1213" t="s">
        <v>21</v>
      </c>
      <c r="H1213">
        <v>1</v>
      </c>
      <c r="I1213">
        <v>0</v>
      </c>
      <c r="J1213">
        <v>0</v>
      </c>
      <c r="K1213">
        <v>0</v>
      </c>
      <c r="L1213">
        <v>0</v>
      </c>
      <c r="M1213">
        <v>1</v>
      </c>
      <c r="N1213">
        <v>0</v>
      </c>
      <c r="P1213">
        <v>65.8</v>
      </c>
    </row>
    <row r="1214" spans="1:16">
      <c r="A1214" t="s">
        <v>1245</v>
      </c>
      <c r="B1214" s="2">
        <v>45681</v>
      </c>
      <c r="C1214" t="s">
        <v>723</v>
      </c>
      <c r="D1214" t="s">
        <v>18</v>
      </c>
      <c r="E1214" t="s">
        <v>19</v>
      </c>
      <c r="F1214" t="s">
        <v>25</v>
      </c>
      <c r="G1214" t="s">
        <v>30</v>
      </c>
      <c r="H1214">
        <v>0</v>
      </c>
      <c r="I1214">
        <v>0</v>
      </c>
      <c r="J1214">
        <v>0</v>
      </c>
      <c r="K1214">
        <v>0</v>
      </c>
      <c r="L1214">
        <v>0</v>
      </c>
      <c r="M1214">
        <v>0</v>
      </c>
      <c r="N1214">
        <v>0</v>
      </c>
      <c r="P1214">
        <v>54.7</v>
      </c>
    </row>
    <row r="1215" spans="1:16">
      <c r="A1215" t="s">
        <v>1246</v>
      </c>
      <c r="B1215" s="2">
        <v>45789</v>
      </c>
      <c r="C1215" t="s">
        <v>723</v>
      </c>
      <c r="D1215" t="s">
        <v>32</v>
      </c>
      <c r="E1215" t="s">
        <v>24</v>
      </c>
      <c r="F1215" t="s">
        <v>25</v>
      </c>
      <c r="G1215" t="s">
        <v>21</v>
      </c>
      <c r="H1215">
        <v>1</v>
      </c>
      <c r="I1215">
        <v>1</v>
      </c>
      <c r="J1215">
        <v>0</v>
      </c>
      <c r="K1215">
        <v>0</v>
      </c>
      <c r="L1215">
        <v>0</v>
      </c>
      <c r="M1215">
        <v>0</v>
      </c>
      <c r="N1215">
        <v>0</v>
      </c>
      <c r="P1215">
        <v>64.099999999999994</v>
      </c>
    </row>
    <row r="1216" spans="1:16">
      <c r="A1216" t="s">
        <v>1247</v>
      </c>
      <c r="B1216" s="2">
        <v>45744</v>
      </c>
      <c r="C1216" t="s">
        <v>723</v>
      </c>
      <c r="D1216" t="s">
        <v>32</v>
      </c>
      <c r="E1216" t="s">
        <v>24</v>
      </c>
      <c r="F1216" t="s">
        <v>25</v>
      </c>
      <c r="G1216" t="s">
        <v>21</v>
      </c>
      <c r="H1216">
        <v>1</v>
      </c>
      <c r="I1216">
        <v>1</v>
      </c>
      <c r="J1216">
        <v>1</v>
      </c>
      <c r="K1216">
        <v>0</v>
      </c>
      <c r="L1216">
        <v>0</v>
      </c>
      <c r="M1216">
        <v>0</v>
      </c>
      <c r="N1216">
        <v>0</v>
      </c>
      <c r="P1216">
        <v>71.599999999999994</v>
      </c>
    </row>
    <row r="1217" spans="1:16">
      <c r="A1217" t="s">
        <v>1248</v>
      </c>
      <c r="B1217" s="2">
        <v>45761</v>
      </c>
      <c r="C1217" t="s">
        <v>723</v>
      </c>
      <c r="D1217" t="s">
        <v>18</v>
      </c>
      <c r="E1217" t="s">
        <v>24</v>
      </c>
      <c r="F1217" t="s">
        <v>39</v>
      </c>
      <c r="G1217" t="s">
        <v>21</v>
      </c>
      <c r="H1217">
        <v>1</v>
      </c>
      <c r="I1217">
        <v>0</v>
      </c>
      <c r="J1217">
        <v>0</v>
      </c>
      <c r="K1217">
        <v>0</v>
      </c>
      <c r="L1217">
        <v>0</v>
      </c>
      <c r="M1217">
        <v>0</v>
      </c>
      <c r="N1217">
        <v>0</v>
      </c>
      <c r="P1217">
        <v>78.400000000000006</v>
      </c>
    </row>
    <row r="1218" spans="1:16">
      <c r="A1218" t="s">
        <v>1249</v>
      </c>
      <c r="B1218" s="2">
        <v>45685</v>
      </c>
      <c r="C1218" t="s">
        <v>723</v>
      </c>
      <c r="D1218" t="s">
        <v>28</v>
      </c>
      <c r="E1218" t="s">
        <v>34</v>
      </c>
      <c r="F1218" t="s">
        <v>39</v>
      </c>
      <c r="G1218" t="s">
        <v>21</v>
      </c>
      <c r="H1218">
        <v>0</v>
      </c>
      <c r="I1218">
        <v>0</v>
      </c>
      <c r="J1218">
        <v>0</v>
      </c>
      <c r="K1218">
        <v>0</v>
      </c>
      <c r="L1218">
        <v>0</v>
      </c>
      <c r="M1218">
        <v>0</v>
      </c>
      <c r="N1218">
        <v>0</v>
      </c>
      <c r="P1218">
        <v>49.3</v>
      </c>
    </row>
    <row r="1219" spans="1:16">
      <c r="A1219" t="s">
        <v>1250</v>
      </c>
      <c r="B1219" s="2">
        <v>45798</v>
      </c>
      <c r="C1219" t="s">
        <v>723</v>
      </c>
      <c r="D1219" t="s">
        <v>18</v>
      </c>
      <c r="E1219" t="s">
        <v>24</v>
      </c>
      <c r="F1219" t="s">
        <v>25</v>
      </c>
      <c r="G1219" t="s">
        <v>21</v>
      </c>
      <c r="H1219">
        <v>0</v>
      </c>
      <c r="I1219">
        <v>0</v>
      </c>
      <c r="J1219">
        <v>0</v>
      </c>
      <c r="K1219">
        <v>0</v>
      </c>
      <c r="L1219">
        <v>0</v>
      </c>
      <c r="M1219">
        <v>0</v>
      </c>
      <c r="N1219">
        <v>0</v>
      </c>
      <c r="P1219">
        <v>52.8</v>
      </c>
    </row>
    <row r="1220" spans="1:16">
      <c r="A1220" t="s">
        <v>1251</v>
      </c>
      <c r="B1220" s="2">
        <v>45788</v>
      </c>
      <c r="C1220" t="s">
        <v>723</v>
      </c>
      <c r="D1220" t="s">
        <v>23</v>
      </c>
      <c r="E1220" t="s">
        <v>19</v>
      </c>
      <c r="F1220" t="s">
        <v>25</v>
      </c>
      <c r="G1220" t="s">
        <v>26</v>
      </c>
      <c r="H1220">
        <v>0</v>
      </c>
      <c r="I1220">
        <v>0</v>
      </c>
      <c r="J1220">
        <v>0</v>
      </c>
      <c r="K1220">
        <v>0</v>
      </c>
      <c r="L1220">
        <v>0</v>
      </c>
      <c r="M1220">
        <v>0</v>
      </c>
      <c r="N1220">
        <v>0</v>
      </c>
      <c r="P1220">
        <v>58.5</v>
      </c>
    </row>
    <row r="1221" spans="1:16">
      <c r="A1221" t="s">
        <v>1252</v>
      </c>
      <c r="B1221" s="2">
        <v>45690</v>
      </c>
      <c r="C1221" t="s">
        <v>723</v>
      </c>
      <c r="D1221" t="s">
        <v>32</v>
      </c>
      <c r="E1221" t="s">
        <v>24</v>
      </c>
      <c r="F1221" t="s">
        <v>29</v>
      </c>
      <c r="G1221" t="s">
        <v>26</v>
      </c>
      <c r="H1221">
        <v>1</v>
      </c>
      <c r="I1221">
        <v>0</v>
      </c>
      <c r="J1221">
        <v>0</v>
      </c>
      <c r="K1221">
        <v>0</v>
      </c>
      <c r="L1221">
        <v>0</v>
      </c>
      <c r="M1221">
        <v>0</v>
      </c>
      <c r="N1221">
        <v>0</v>
      </c>
      <c r="P1221">
        <v>55.9</v>
      </c>
    </row>
    <row r="1222" spans="1:16">
      <c r="A1222" t="s">
        <v>1253</v>
      </c>
      <c r="B1222" s="2">
        <v>45714</v>
      </c>
      <c r="C1222" t="s">
        <v>723</v>
      </c>
      <c r="D1222" t="s">
        <v>18</v>
      </c>
      <c r="E1222" t="s">
        <v>24</v>
      </c>
      <c r="F1222" t="s">
        <v>41</v>
      </c>
      <c r="G1222" t="s">
        <v>26</v>
      </c>
      <c r="H1222">
        <v>1</v>
      </c>
      <c r="I1222">
        <v>1</v>
      </c>
      <c r="J1222">
        <v>1</v>
      </c>
      <c r="K1222">
        <v>1</v>
      </c>
      <c r="L1222">
        <v>351.43</v>
      </c>
      <c r="M1222">
        <v>1</v>
      </c>
      <c r="N1222">
        <v>0</v>
      </c>
      <c r="O1222">
        <v>6</v>
      </c>
      <c r="P1222">
        <v>74.900000000000006</v>
      </c>
    </row>
    <row r="1223" spans="1:16">
      <c r="A1223" t="s">
        <v>1254</v>
      </c>
      <c r="B1223" s="2">
        <v>45715</v>
      </c>
      <c r="C1223" t="s">
        <v>723</v>
      </c>
      <c r="D1223" t="s">
        <v>32</v>
      </c>
      <c r="E1223" t="s">
        <v>19</v>
      </c>
      <c r="F1223" t="s">
        <v>39</v>
      </c>
      <c r="G1223" t="s">
        <v>26</v>
      </c>
      <c r="H1223">
        <v>1</v>
      </c>
      <c r="I1223">
        <v>1</v>
      </c>
      <c r="J1223">
        <v>1</v>
      </c>
      <c r="K1223">
        <v>1</v>
      </c>
      <c r="L1223">
        <v>352.42</v>
      </c>
      <c r="M1223">
        <v>0</v>
      </c>
      <c r="N1223">
        <v>0</v>
      </c>
      <c r="O1223">
        <v>4</v>
      </c>
      <c r="P1223">
        <v>58.5</v>
      </c>
    </row>
    <row r="1224" spans="1:16">
      <c r="A1224" t="s">
        <v>1255</v>
      </c>
      <c r="B1224" s="2">
        <v>45725</v>
      </c>
      <c r="C1224" t="s">
        <v>723</v>
      </c>
      <c r="D1224" t="s">
        <v>23</v>
      </c>
      <c r="E1224" t="s">
        <v>24</v>
      </c>
      <c r="F1224" t="s">
        <v>25</v>
      </c>
      <c r="G1224" t="s">
        <v>26</v>
      </c>
      <c r="H1224">
        <v>0</v>
      </c>
      <c r="I1224">
        <v>0</v>
      </c>
      <c r="J1224">
        <v>0</v>
      </c>
      <c r="K1224">
        <v>0</v>
      </c>
      <c r="L1224">
        <v>0</v>
      </c>
      <c r="M1224">
        <v>0</v>
      </c>
      <c r="N1224">
        <v>0</v>
      </c>
      <c r="P1224">
        <v>63.5</v>
      </c>
    </row>
    <row r="1225" spans="1:16">
      <c r="A1225" t="s">
        <v>1256</v>
      </c>
      <c r="B1225" s="2">
        <v>45695</v>
      </c>
      <c r="C1225" t="s">
        <v>723</v>
      </c>
      <c r="D1225" t="s">
        <v>18</v>
      </c>
      <c r="E1225" t="s">
        <v>24</v>
      </c>
      <c r="F1225" t="s">
        <v>29</v>
      </c>
      <c r="G1225" t="s">
        <v>21</v>
      </c>
      <c r="H1225">
        <v>1</v>
      </c>
      <c r="I1225">
        <v>0</v>
      </c>
      <c r="J1225">
        <v>0</v>
      </c>
      <c r="K1225">
        <v>0</v>
      </c>
      <c r="L1225">
        <v>0</v>
      </c>
      <c r="M1225">
        <v>1</v>
      </c>
      <c r="N1225">
        <v>0</v>
      </c>
      <c r="P1225">
        <v>64.8</v>
      </c>
    </row>
    <row r="1226" spans="1:16">
      <c r="A1226" t="s">
        <v>1257</v>
      </c>
      <c r="B1226" s="2">
        <v>45688</v>
      </c>
      <c r="C1226" t="s">
        <v>723</v>
      </c>
      <c r="D1226" t="s">
        <v>23</v>
      </c>
      <c r="E1226" t="s">
        <v>24</v>
      </c>
      <c r="F1226" t="s">
        <v>41</v>
      </c>
      <c r="G1226" t="s">
        <v>26</v>
      </c>
      <c r="H1226">
        <v>0</v>
      </c>
      <c r="I1226">
        <v>0</v>
      </c>
      <c r="J1226">
        <v>0</v>
      </c>
      <c r="K1226">
        <v>0</v>
      </c>
      <c r="L1226">
        <v>0</v>
      </c>
      <c r="M1226">
        <v>0</v>
      </c>
      <c r="N1226">
        <v>0</v>
      </c>
      <c r="P1226">
        <v>63.3</v>
      </c>
    </row>
    <row r="1227" spans="1:16">
      <c r="A1227" t="s">
        <v>1258</v>
      </c>
      <c r="B1227" s="2">
        <v>45702</v>
      </c>
      <c r="C1227" t="s">
        <v>723</v>
      </c>
      <c r="D1227" t="s">
        <v>18</v>
      </c>
      <c r="E1227" t="s">
        <v>34</v>
      </c>
      <c r="F1227" t="s">
        <v>29</v>
      </c>
      <c r="G1227" t="s">
        <v>21</v>
      </c>
      <c r="H1227">
        <v>1</v>
      </c>
      <c r="I1227">
        <v>1</v>
      </c>
      <c r="J1227">
        <v>1</v>
      </c>
      <c r="K1227">
        <v>1</v>
      </c>
      <c r="L1227">
        <v>1074.1600000000001</v>
      </c>
      <c r="M1227">
        <v>0</v>
      </c>
      <c r="N1227">
        <v>0</v>
      </c>
      <c r="O1227">
        <v>8</v>
      </c>
      <c r="P1227">
        <v>83.7</v>
      </c>
    </row>
    <row r="1228" spans="1:16">
      <c r="A1228" t="s">
        <v>1259</v>
      </c>
      <c r="B1228" s="2">
        <v>45700</v>
      </c>
      <c r="C1228" t="s">
        <v>723</v>
      </c>
      <c r="D1228" t="s">
        <v>32</v>
      </c>
      <c r="E1228" t="s">
        <v>19</v>
      </c>
      <c r="F1228" t="s">
        <v>41</v>
      </c>
      <c r="G1228" t="s">
        <v>21</v>
      </c>
      <c r="H1228">
        <v>0</v>
      </c>
      <c r="I1228">
        <v>0</v>
      </c>
      <c r="J1228">
        <v>0</v>
      </c>
      <c r="K1228">
        <v>0</v>
      </c>
      <c r="L1228">
        <v>0</v>
      </c>
      <c r="M1228">
        <v>0</v>
      </c>
      <c r="N1228">
        <v>0</v>
      </c>
      <c r="P1228">
        <v>88.7</v>
      </c>
    </row>
    <row r="1229" spans="1:16">
      <c r="A1229" t="s">
        <v>1260</v>
      </c>
      <c r="B1229" s="2">
        <v>45739</v>
      </c>
      <c r="C1229" t="s">
        <v>723</v>
      </c>
      <c r="D1229" t="s">
        <v>28</v>
      </c>
      <c r="F1229" t="s">
        <v>29</v>
      </c>
      <c r="G1229" t="s">
        <v>26</v>
      </c>
      <c r="H1229">
        <v>1</v>
      </c>
      <c r="I1229">
        <v>0</v>
      </c>
      <c r="J1229">
        <v>0</v>
      </c>
      <c r="K1229">
        <v>0</v>
      </c>
      <c r="L1229">
        <v>0</v>
      </c>
      <c r="M1229">
        <v>1</v>
      </c>
      <c r="N1229">
        <v>0</v>
      </c>
      <c r="P1229">
        <v>61.5</v>
      </c>
    </row>
    <row r="1230" spans="1:16">
      <c r="A1230" t="s">
        <v>1261</v>
      </c>
      <c r="B1230" s="2">
        <v>45734</v>
      </c>
      <c r="C1230" t="s">
        <v>723</v>
      </c>
      <c r="D1230" t="s">
        <v>23</v>
      </c>
      <c r="E1230" t="s">
        <v>24</v>
      </c>
      <c r="F1230" t="s">
        <v>29</v>
      </c>
      <c r="G1230" t="s">
        <v>26</v>
      </c>
      <c r="H1230">
        <v>0</v>
      </c>
      <c r="I1230">
        <v>0</v>
      </c>
      <c r="J1230">
        <v>0</v>
      </c>
      <c r="K1230">
        <v>0</v>
      </c>
      <c r="L1230">
        <v>0</v>
      </c>
      <c r="M1230">
        <v>0</v>
      </c>
      <c r="N1230">
        <v>0</v>
      </c>
      <c r="P1230">
        <v>45.3</v>
      </c>
    </row>
    <row r="1231" spans="1:16">
      <c r="A1231" t="s">
        <v>1262</v>
      </c>
      <c r="B1231" s="2">
        <v>45794</v>
      </c>
      <c r="C1231" t="s">
        <v>723</v>
      </c>
      <c r="D1231" t="s">
        <v>18</v>
      </c>
      <c r="E1231" t="s">
        <v>24</v>
      </c>
      <c r="F1231" t="s">
        <v>41</v>
      </c>
      <c r="G1231" t="s">
        <v>26</v>
      </c>
      <c r="H1231">
        <v>1</v>
      </c>
      <c r="I1231">
        <v>0</v>
      </c>
      <c r="J1231">
        <v>0</v>
      </c>
      <c r="K1231">
        <v>0</v>
      </c>
      <c r="L1231">
        <v>0</v>
      </c>
      <c r="M1231">
        <v>0</v>
      </c>
      <c r="N1231">
        <v>0</v>
      </c>
      <c r="P1231">
        <v>37.299999999999997</v>
      </c>
    </row>
    <row r="1232" spans="1:16">
      <c r="A1232" t="s">
        <v>1263</v>
      </c>
      <c r="B1232" s="2">
        <v>45742</v>
      </c>
      <c r="C1232" t="s">
        <v>723</v>
      </c>
      <c r="D1232" t="s">
        <v>23</v>
      </c>
      <c r="E1232" t="s">
        <v>19</v>
      </c>
      <c r="F1232" t="s">
        <v>41</v>
      </c>
      <c r="G1232" t="s">
        <v>30</v>
      </c>
      <c r="H1232">
        <v>1</v>
      </c>
      <c r="I1232">
        <v>0</v>
      </c>
      <c r="J1232">
        <v>0</v>
      </c>
      <c r="K1232">
        <v>0</v>
      </c>
      <c r="L1232">
        <v>0</v>
      </c>
      <c r="M1232">
        <v>1</v>
      </c>
      <c r="N1232">
        <v>0</v>
      </c>
      <c r="P1232">
        <v>76.099999999999994</v>
      </c>
    </row>
    <row r="1233" spans="1:16">
      <c r="A1233" t="s">
        <v>1264</v>
      </c>
      <c r="B1233" s="2">
        <v>45746</v>
      </c>
      <c r="C1233" t="s">
        <v>723</v>
      </c>
      <c r="D1233" t="s">
        <v>28</v>
      </c>
      <c r="E1233" t="s">
        <v>24</v>
      </c>
      <c r="F1233" t="s">
        <v>25</v>
      </c>
      <c r="G1233" t="s">
        <v>26</v>
      </c>
      <c r="H1233">
        <v>1</v>
      </c>
      <c r="I1233">
        <v>1</v>
      </c>
      <c r="J1233">
        <v>1</v>
      </c>
      <c r="K1233">
        <v>0</v>
      </c>
      <c r="L1233">
        <v>0</v>
      </c>
      <c r="M1233">
        <v>1</v>
      </c>
      <c r="N1233">
        <v>0</v>
      </c>
      <c r="P1233">
        <v>72.5</v>
      </c>
    </row>
    <row r="1234" spans="1:16">
      <c r="A1234" t="s">
        <v>1265</v>
      </c>
      <c r="B1234" s="2">
        <v>45713</v>
      </c>
      <c r="C1234" t="s">
        <v>723</v>
      </c>
      <c r="D1234" t="s">
        <v>28</v>
      </c>
      <c r="E1234" t="s">
        <v>19</v>
      </c>
      <c r="F1234" t="s">
        <v>25</v>
      </c>
      <c r="G1234" t="s">
        <v>26</v>
      </c>
      <c r="H1234">
        <v>1</v>
      </c>
      <c r="I1234">
        <v>0</v>
      </c>
      <c r="J1234">
        <v>0</v>
      </c>
      <c r="K1234">
        <v>0</v>
      </c>
      <c r="L1234">
        <v>0</v>
      </c>
      <c r="M1234">
        <v>0</v>
      </c>
      <c r="N1234">
        <v>0</v>
      </c>
      <c r="P1234">
        <v>62.3</v>
      </c>
    </row>
    <row r="1235" spans="1:16">
      <c r="A1235" t="s">
        <v>1266</v>
      </c>
      <c r="B1235" s="2">
        <v>45717</v>
      </c>
      <c r="C1235" t="s">
        <v>723</v>
      </c>
      <c r="D1235" t="s">
        <v>28</v>
      </c>
      <c r="E1235" t="s">
        <v>19</v>
      </c>
      <c r="F1235" t="s">
        <v>41</v>
      </c>
      <c r="G1235" t="s">
        <v>26</v>
      </c>
      <c r="H1235">
        <v>0</v>
      </c>
      <c r="I1235">
        <v>0</v>
      </c>
      <c r="J1235">
        <v>0</v>
      </c>
      <c r="K1235">
        <v>0</v>
      </c>
      <c r="L1235">
        <v>0</v>
      </c>
      <c r="M1235">
        <v>0</v>
      </c>
      <c r="N1235">
        <v>0</v>
      </c>
      <c r="P1235">
        <v>62.7</v>
      </c>
    </row>
    <row r="1236" spans="1:16">
      <c r="A1236" t="s">
        <v>1267</v>
      </c>
      <c r="B1236" s="2">
        <v>45804</v>
      </c>
      <c r="C1236" t="s">
        <v>723</v>
      </c>
      <c r="D1236" t="s">
        <v>18</v>
      </c>
      <c r="E1236" t="s">
        <v>24</v>
      </c>
      <c r="F1236" t="s">
        <v>29</v>
      </c>
      <c r="G1236" t="s">
        <v>21</v>
      </c>
      <c r="H1236">
        <v>0</v>
      </c>
      <c r="I1236">
        <v>0</v>
      </c>
      <c r="J1236">
        <v>0</v>
      </c>
      <c r="K1236">
        <v>0</v>
      </c>
      <c r="L1236">
        <v>0</v>
      </c>
      <c r="M1236">
        <v>0</v>
      </c>
      <c r="N1236">
        <v>0</v>
      </c>
      <c r="P1236">
        <v>82.4</v>
      </c>
    </row>
    <row r="1237" spans="1:16">
      <c r="A1237" t="s">
        <v>1268</v>
      </c>
      <c r="B1237" s="2">
        <v>45693</v>
      </c>
      <c r="C1237" t="s">
        <v>723</v>
      </c>
      <c r="D1237" t="s">
        <v>23</v>
      </c>
      <c r="E1237" t="s">
        <v>24</v>
      </c>
      <c r="G1237" t="s">
        <v>30</v>
      </c>
      <c r="H1237">
        <v>1</v>
      </c>
      <c r="I1237">
        <v>0</v>
      </c>
      <c r="J1237">
        <v>0</v>
      </c>
      <c r="K1237">
        <v>0</v>
      </c>
      <c r="L1237">
        <v>0</v>
      </c>
      <c r="M1237">
        <v>0</v>
      </c>
      <c r="N1237">
        <v>0</v>
      </c>
      <c r="P1237">
        <v>78.900000000000006</v>
      </c>
    </row>
    <row r="1238" spans="1:16">
      <c r="A1238" t="s">
        <v>1269</v>
      </c>
      <c r="B1238" s="2">
        <v>45682</v>
      </c>
      <c r="C1238" t="s">
        <v>723</v>
      </c>
      <c r="D1238" t="s">
        <v>23</v>
      </c>
      <c r="E1238" t="s">
        <v>19</v>
      </c>
      <c r="F1238" t="s">
        <v>20</v>
      </c>
      <c r="G1238" t="s">
        <v>26</v>
      </c>
      <c r="H1238">
        <v>1</v>
      </c>
      <c r="I1238">
        <v>1</v>
      </c>
      <c r="J1238">
        <v>1</v>
      </c>
      <c r="K1238">
        <v>1</v>
      </c>
      <c r="L1238">
        <v>618.91</v>
      </c>
      <c r="M1238">
        <v>0</v>
      </c>
      <c r="N1238">
        <v>0</v>
      </c>
      <c r="O1238">
        <v>4</v>
      </c>
      <c r="P1238">
        <v>67.8</v>
      </c>
    </row>
    <row r="1239" spans="1:16">
      <c r="A1239" t="s">
        <v>1270</v>
      </c>
      <c r="B1239" s="2">
        <v>45757</v>
      </c>
      <c r="C1239" t="s">
        <v>723</v>
      </c>
      <c r="D1239" t="s">
        <v>28</v>
      </c>
      <c r="E1239" t="s">
        <v>24</v>
      </c>
      <c r="F1239" t="s">
        <v>25</v>
      </c>
      <c r="G1239" t="s">
        <v>30</v>
      </c>
      <c r="H1239">
        <v>1</v>
      </c>
      <c r="I1239">
        <v>0</v>
      </c>
      <c r="J1239">
        <v>0</v>
      </c>
      <c r="K1239">
        <v>0</v>
      </c>
      <c r="L1239">
        <v>0</v>
      </c>
      <c r="M1239">
        <v>0</v>
      </c>
      <c r="N1239">
        <v>0</v>
      </c>
      <c r="P1239">
        <v>68.8</v>
      </c>
    </row>
    <row r="1240" spans="1:16">
      <c r="A1240" t="s">
        <v>1271</v>
      </c>
      <c r="B1240" s="2">
        <v>45667</v>
      </c>
      <c r="C1240" t="s">
        <v>723</v>
      </c>
      <c r="D1240" t="s">
        <v>28</v>
      </c>
      <c r="E1240" t="s">
        <v>24</v>
      </c>
      <c r="F1240" t="s">
        <v>25</v>
      </c>
      <c r="G1240" t="s">
        <v>30</v>
      </c>
      <c r="H1240">
        <v>1</v>
      </c>
      <c r="I1240">
        <v>0</v>
      </c>
      <c r="J1240">
        <v>0</v>
      </c>
      <c r="K1240">
        <v>0</v>
      </c>
      <c r="L1240">
        <v>0</v>
      </c>
      <c r="M1240">
        <v>0</v>
      </c>
      <c r="N1240">
        <v>0</v>
      </c>
      <c r="P1240">
        <v>67.7</v>
      </c>
    </row>
    <row r="1241" spans="1:16">
      <c r="A1241" t="s">
        <v>1272</v>
      </c>
      <c r="B1241" s="2">
        <v>45711</v>
      </c>
      <c r="C1241" t="s">
        <v>723</v>
      </c>
      <c r="D1241" t="s">
        <v>28</v>
      </c>
      <c r="E1241" t="s">
        <v>24</v>
      </c>
      <c r="G1241" t="s">
        <v>26</v>
      </c>
      <c r="H1241">
        <v>0</v>
      </c>
      <c r="I1241">
        <v>0</v>
      </c>
      <c r="J1241">
        <v>0</v>
      </c>
      <c r="K1241">
        <v>0</v>
      </c>
      <c r="L1241">
        <v>0</v>
      </c>
      <c r="M1241">
        <v>0</v>
      </c>
      <c r="N1241">
        <v>0</v>
      </c>
      <c r="P1241">
        <v>88</v>
      </c>
    </row>
    <row r="1242" spans="1:16">
      <c r="A1242" t="s">
        <v>1273</v>
      </c>
      <c r="B1242" s="2">
        <v>45800</v>
      </c>
      <c r="C1242" t="s">
        <v>723</v>
      </c>
      <c r="D1242" t="s">
        <v>23</v>
      </c>
      <c r="E1242" t="s">
        <v>19</v>
      </c>
      <c r="F1242" t="s">
        <v>25</v>
      </c>
      <c r="G1242" t="s">
        <v>21</v>
      </c>
      <c r="H1242">
        <v>1</v>
      </c>
      <c r="I1242">
        <v>1</v>
      </c>
      <c r="J1242">
        <v>0</v>
      </c>
      <c r="K1242">
        <v>0</v>
      </c>
      <c r="L1242">
        <v>0</v>
      </c>
      <c r="M1242">
        <v>0</v>
      </c>
      <c r="N1242">
        <v>0</v>
      </c>
      <c r="P1242">
        <v>80.099999999999994</v>
      </c>
    </row>
    <row r="1243" spans="1:16">
      <c r="A1243" t="s">
        <v>1274</v>
      </c>
      <c r="B1243" s="2">
        <v>45724</v>
      </c>
      <c r="C1243" t="s">
        <v>723</v>
      </c>
      <c r="D1243" t="s">
        <v>18</v>
      </c>
      <c r="E1243" t="s">
        <v>34</v>
      </c>
      <c r="F1243" t="s">
        <v>20</v>
      </c>
      <c r="G1243" t="s">
        <v>21</v>
      </c>
      <c r="H1243">
        <v>0</v>
      </c>
      <c r="I1243">
        <v>0</v>
      </c>
      <c r="J1243">
        <v>0</v>
      </c>
      <c r="K1243">
        <v>0</v>
      </c>
      <c r="L1243">
        <v>0</v>
      </c>
      <c r="M1243">
        <v>1</v>
      </c>
      <c r="N1243">
        <v>0</v>
      </c>
      <c r="P1243">
        <v>48.2</v>
      </c>
    </row>
    <row r="1244" spans="1:16">
      <c r="A1244" t="s">
        <v>1275</v>
      </c>
      <c r="B1244" s="2">
        <v>45798</v>
      </c>
      <c r="C1244" t="s">
        <v>723</v>
      </c>
      <c r="D1244" t="s">
        <v>28</v>
      </c>
      <c r="E1244" t="s">
        <v>24</v>
      </c>
      <c r="F1244" t="s">
        <v>25</v>
      </c>
      <c r="G1244" t="s">
        <v>21</v>
      </c>
      <c r="H1244">
        <v>1</v>
      </c>
      <c r="I1244">
        <v>0</v>
      </c>
      <c r="J1244">
        <v>0</v>
      </c>
      <c r="K1244">
        <v>0</v>
      </c>
      <c r="L1244">
        <v>0</v>
      </c>
      <c r="M1244">
        <v>0</v>
      </c>
      <c r="N1244">
        <v>0</v>
      </c>
      <c r="P1244">
        <v>52.7</v>
      </c>
    </row>
    <row r="1245" spans="1:16">
      <c r="A1245" t="s">
        <v>1276</v>
      </c>
      <c r="B1245" s="2">
        <v>45769</v>
      </c>
      <c r="C1245" t="s">
        <v>723</v>
      </c>
      <c r="D1245" t="s">
        <v>18</v>
      </c>
      <c r="E1245" t="s">
        <v>24</v>
      </c>
      <c r="F1245" t="s">
        <v>20</v>
      </c>
      <c r="G1245" t="s">
        <v>21</v>
      </c>
      <c r="H1245">
        <v>1</v>
      </c>
      <c r="I1245">
        <v>1</v>
      </c>
      <c r="J1245">
        <v>0</v>
      </c>
      <c r="K1245">
        <v>0</v>
      </c>
      <c r="L1245">
        <v>0</v>
      </c>
      <c r="M1245">
        <v>0</v>
      </c>
      <c r="N1245">
        <v>0</v>
      </c>
      <c r="P1245">
        <v>59.9</v>
      </c>
    </row>
    <row r="1246" spans="1:16">
      <c r="A1246" t="s">
        <v>1277</v>
      </c>
      <c r="B1246" s="2">
        <v>45763</v>
      </c>
      <c r="C1246" t="s">
        <v>723</v>
      </c>
      <c r="D1246" t="s">
        <v>18</v>
      </c>
      <c r="E1246" t="s">
        <v>24</v>
      </c>
      <c r="F1246" t="s">
        <v>20</v>
      </c>
      <c r="G1246" t="s">
        <v>30</v>
      </c>
      <c r="H1246">
        <v>1</v>
      </c>
      <c r="I1246">
        <v>0</v>
      </c>
      <c r="J1246">
        <v>0</v>
      </c>
      <c r="K1246">
        <v>0</v>
      </c>
      <c r="L1246">
        <v>0</v>
      </c>
      <c r="M1246">
        <v>0</v>
      </c>
      <c r="N1246">
        <v>0</v>
      </c>
      <c r="P1246">
        <v>49.5</v>
      </c>
    </row>
    <row r="1247" spans="1:16">
      <c r="A1247" t="s">
        <v>1278</v>
      </c>
      <c r="B1247" s="2">
        <v>45785</v>
      </c>
      <c r="C1247" t="s">
        <v>723</v>
      </c>
      <c r="D1247" t="s">
        <v>18</v>
      </c>
      <c r="E1247" t="s">
        <v>34</v>
      </c>
      <c r="F1247" t="s">
        <v>25</v>
      </c>
      <c r="G1247" t="s">
        <v>26</v>
      </c>
      <c r="H1247">
        <v>1</v>
      </c>
      <c r="I1247">
        <v>0</v>
      </c>
      <c r="J1247">
        <v>0</v>
      </c>
      <c r="K1247">
        <v>0</v>
      </c>
      <c r="L1247">
        <v>0</v>
      </c>
      <c r="M1247">
        <v>0</v>
      </c>
      <c r="N1247">
        <v>0</v>
      </c>
      <c r="P1247">
        <v>41.5</v>
      </c>
    </row>
    <row r="1248" spans="1:16">
      <c r="A1248" t="s">
        <v>1279</v>
      </c>
      <c r="B1248" s="2">
        <v>45799</v>
      </c>
      <c r="C1248" t="s">
        <v>723</v>
      </c>
      <c r="D1248" t="s">
        <v>18</v>
      </c>
      <c r="E1248" t="s">
        <v>24</v>
      </c>
      <c r="F1248" t="s">
        <v>29</v>
      </c>
      <c r="G1248" t="s">
        <v>21</v>
      </c>
      <c r="H1248">
        <v>1</v>
      </c>
      <c r="I1248">
        <v>0</v>
      </c>
      <c r="J1248">
        <v>0</v>
      </c>
      <c r="K1248">
        <v>0</v>
      </c>
      <c r="L1248">
        <v>0</v>
      </c>
      <c r="M1248">
        <v>0</v>
      </c>
      <c r="N1248">
        <v>0</v>
      </c>
      <c r="P1248">
        <v>71.2</v>
      </c>
    </row>
    <row r="1249" spans="1:16">
      <c r="A1249" t="s">
        <v>1280</v>
      </c>
      <c r="B1249" s="2">
        <v>45737</v>
      </c>
      <c r="C1249" t="s">
        <v>723</v>
      </c>
      <c r="D1249" t="s">
        <v>18</v>
      </c>
      <c r="E1249" t="s">
        <v>24</v>
      </c>
      <c r="F1249" t="s">
        <v>39</v>
      </c>
      <c r="G1249" t="s">
        <v>21</v>
      </c>
      <c r="H1249">
        <v>1</v>
      </c>
      <c r="I1249">
        <v>1</v>
      </c>
      <c r="J1249">
        <v>1</v>
      </c>
      <c r="K1249">
        <v>0</v>
      </c>
      <c r="L1249">
        <v>0</v>
      </c>
      <c r="M1249">
        <v>0</v>
      </c>
      <c r="N1249">
        <v>0</v>
      </c>
      <c r="P1249">
        <v>65.8</v>
      </c>
    </row>
    <row r="1250" spans="1:16">
      <c r="A1250" t="s">
        <v>1281</v>
      </c>
      <c r="B1250" s="2">
        <v>45738</v>
      </c>
      <c r="C1250" t="s">
        <v>723</v>
      </c>
      <c r="D1250" t="s">
        <v>28</v>
      </c>
      <c r="E1250" t="s">
        <v>24</v>
      </c>
      <c r="F1250" t="s">
        <v>25</v>
      </c>
      <c r="G1250" t="s">
        <v>21</v>
      </c>
      <c r="H1250">
        <v>1</v>
      </c>
      <c r="I1250">
        <v>0</v>
      </c>
      <c r="J1250">
        <v>0</v>
      </c>
      <c r="K1250">
        <v>0</v>
      </c>
      <c r="L1250">
        <v>0</v>
      </c>
      <c r="M1250">
        <v>1</v>
      </c>
      <c r="N1250">
        <v>0</v>
      </c>
      <c r="P1250">
        <v>55.1</v>
      </c>
    </row>
    <row r="1251" spans="1:16">
      <c r="A1251" t="s">
        <v>1282</v>
      </c>
      <c r="B1251" s="2">
        <v>45667</v>
      </c>
      <c r="C1251" t="s">
        <v>723</v>
      </c>
      <c r="D1251" t="s">
        <v>23</v>
      </c>
      <c r="E1251" t="s">
        <v>19</v>
      </c>
      <c r="F1251" t="s">
        <v>41</v>
      </c>
      <c r="G1251" t="s">
        <v>26</v>
      </c>
      <c r="H1251">
        <v>1</v>
      </c>
      <c r="I1251">
        <v>0</v>
      </c>
      <c r="J1251">
        <v>0</v>
      </c>
      <c r="K1251">
        <v>0</v>
      </c>
      <c r="L1251">
        <v>0</v>
      </c>
      <c r="M1251">
        <v>0</v>
      </c>
      <c r="N1251">
        <v>0</v>
      </c>
      <c r="P1251">
        <v>54.6</v>
      </c>
    </row>
    <row r="1252" spans="1:16">
      <c r="A1252" t="s">
        <v>1283</v>
      </c>
      <c r="B1252" s="2">
        <v>45689</v>
      </c>
      <c r="C1252" t="s">
        <v>723</v>
      </c>
      <c r="D1252" t="s">
        <v>28</v>
      </c>
      <c r="E1252" t="s">
        <v>24</v>
      </c>
      <c r="F1252" t="s">
        <v>25</v>
      </c>
      <c r="G1252" t="s">
        <v>21</v>
      </c>
      <c r="H1252">
        <v>1</v>
      </c>
      <c r="I1252">
        <v>1</v>
      </c>
      <c r="J1252">
        <v>1</v>
      </c>
      <c r="K1252">
        <v>1</v>
      </c>
      <c r="L1252">
        <v>923.67</v>
      </c>
      <c r="M1252">
        <v>0</v>
      </c>
      <c r="N1252">
        <v>0</v>
      </c>
      <c r="O1252">
        <v>4</v>
      </c>
      <c r="P1252">
        <v>81.900000000000006</v>
      </c>
    </row>
    <row r="1253" spans="1:16">
      <c r="A1253" t="s">
        <v>1284</v>
      </c>
      <c r="B1253" s="2">
        <v>45747</v>
      </c>
      <c r="C1253" t="s">
        <v>723</v>
      </c>
      <c r="D1253" t="s">
        <v>32</v>
      </c>
      <c r="E1253" t="s">
        <v>24</v>
      </c>
      <c r="F1253" t="s">
        <v>29</v>
      </c>
      <c r="G1253" t="s">
        <v>21</v>
      </c>
      <c r="H1253">
        <v>1</v>
      </c>
      <c r="I1253">
        <v>1</v>
      </c>
      <c r="J1253">
        <v>0</v>
      </c>
      <c r="K1253">
        <v>0</v>
      </c>
      <c r="L1253">
        <v>0</v>
      </c>
      <c r="M1253">
        <v>3</v>
      </c>
      <c r="N1253">
        <v>0</v>
      </c>
      <c r="P1253">
        <v>63.2</v>
      </c>
    </row>
    <row r="1254" spans="1:16">
      <c r="A1254" t="s">
        <v>1285</v>
      </c>
      <c r="B1254" s="2">
        <v>45772</v>
      </c>
      <c r="C1254" t="s">
        <v>723</v>
      </c>
      <c r="D1254" t="s">
        <v>18</v>
      </c>
      <c r="E1254" t="s">
        <v>24</v>
      </c>
      <c r="F1254" t="s">
        <v>29</v>
      </c>
      <c r="G1254" t="s">
        <v>26</v>
      </c>
      <c r="H1254">
        <v>1</v>
      </c>
      <c r="I1254">
        <v>0</v>
      </c>
      <c r="J1254">
        <v>0</v>
      </c>
      <c r="K1254">
        <v>0</v>
      </c>
      <c r="L1254">
        <v>0</v>
      </c>
      <c r="M1254">
        <v>0</v>
      </c>
      <c r="N1254">
        <v>0</v>
      </c>
      <c r="P1254">
        <v>55.4</v>
      </c>
    </row>
    <row r="1255" spans="1:16">
      <c r="A1255" t="s">
        <v>1286</v>
      </c>
      <c r="B1255" s="2">
        <v>45779</v>
      </c>
      <c r="C1255" t="s">
        <v>723</v>
      </c>
      <c r="D1255" t="s">
        <v>23</v>
      </c>
      <c r="E1255" t="s">
        <v>24</v>
      </c>
      <c r="F1255" t="s">
        <v>41</v>
      </c>
      <c r="G1255" t="s">
        <v>21</v>
      </c>
      <c r="H1255">
        <v>0</v>
      </c>
      <c r="I1255">
        <v>0</v>
      </c>
      <c r="J1255">
        <v>0</v>
      </c>
      <c r="K1255">
        <v>0</v>
      </c>
      <c r="L1255">
        <v>0</v>
      </c>
      <c r="M1255">
        <v>0</v>
      </c>
      <c r="N1255">
        <v>0</v>
      </c>
      <c r="P1255">
        <v>87.5</v>
      </c>
    </row>
    <row r="1256" spans="1:16">
      <c r="A1256" t="s">
        <v>1287</v>
      </c>
      <c r="B1256" s="2">
        <v>45724</v>
      </c>
      <c r="C1256" t="s">
        <v>723</v>
      </c>
      <c r="D1256" t="s">
        <v>32</v>
      </c>
      <c r="E1256" t="s">
        <v>19</v>
      </c>
      <c r="F1256" t="s">
        <v>41</v>
      </c>
      <c r="G1256" t="s">
        <v>21</v>
      </c>
      <c r="H1256">
        <v>1</v>
      </c>
      <c r="I1256">
        <v>0</v>
      </c>
      <c r="J1256">
        <v>0</v>
      </c>
      <c r="K1256">
        <v>0</v>
      </c>
      <c r="L1256">
        <v>0</v>
      </c>
      <c r="M1256">
        <v>0</v>
      </c>
      <c r="N1256">
        <v>0</v>
      </c>
      <c r="P1256">
        <v>48.5</v>
      </c>
    </row>
    <row r="1257" spans="1:16">
      <c r="A1257" t="s">
        <v>1288</v>
      </c>
      <c r="B1257" s="2">
        <v>45684</v>
      </c>
      <c r="C1257" t="s">
        <v>723</v>
      </c>
      <c r="D1257" t="s">
        <v>28</v>
      </c>
      <c r="E1257" t="s">
        <v>19</v>
      </c>
      <c r="G1257" t="s">
        <v>26</v>
      </c>
      <c r="H1257">
        <v>1</v>
      </c>
      <c r="I1257">
        <v>1</v>
      </c>
      <c r="J1257">
        <v>1</v>
      </c>
      <c r="K1257">
        <v>1</v>
      </c>
      <c r="L1257">
        <v>420.27</v>
      </c>
      <c r="M1257">
        <v>0</v>
      </c>
      <c r="N1257">
        <v>0</v>
      </c>
      <c r="O1257">
        <v>6</v>
      </c>
      <c r="P1257">
        <v>58.4</v>
      </c>
    </row>
    <row r="1258" spans="1:16">
      <c r="A1258" t="s">
        <v>1289</v>
      </c>
      <c r="B1258" s="2">
        <v>45774</v>
      </c>
      <c r="C1258" t="s">
        <v>723</v>
      </c>
      <c r="D1258" t="s">
        <v>23</v>
      </c>
      <c r="E1258" t="s">
        <v>24</v>
      </c>
      <c r="F1258" t="s">
        <v>29</v>
      </c>
      <c r="G1258" t="s">
        <v>26</v>
      </c>
      <c r="H1258">
        <v>0</v>
      </c>
      <c r="I1258">
        <v>0</v>
      </c>
      <c r="J1258">
        <v>0</v>
      </c>
      <c r="K1258">
        <v>0</v>
      </c>
      <c r="L1258">
        <v>0</v>
      </c>
      <c r="M1258">
        <v>0</v>
      </c>
      <c r="N1258">
        <v>0</v>
      </c>
      <c r="P1258">
        <v>59.5</v>
      </c>
    </row>
    <row r="1259" spans="1:16">
      <c r="A1259" t="s">
        <v>1290</v>
      </c>
      <c r="B1259" s="2">
        <v>45673</v>
      </c>
      <c r="C1259" t="s">
        <v>723</v>
      </c>
      <c r="D1259" t="s">
        <v>23</v>
      </c>
      <c r="E1259" t="s">
        <v>19</v>
      </c>
      <c r="F1259" t="s">
        <v>29</v>
      </c>
      <c r="G1259" t="s">
        <v>21</v>
      </c>
      <c r="H1259">
        <v>1</v>
      </c>
      <c r="I1259">
        <v>0</v>
      </c>
      <c r="J1259">
        <v>0</v>
      </c>
      <c r="K1259">
        <v>0</v>
      </c>
      <c r="L1259">
        <v>0</v>
      </c>
      <c r="M1259">
        <v>0</v>
      </c>
      <c r="N1259">
        <v>0</v>
      </c>
      <c r="P1259">
        <v>93.2</v>
      </c>
    </row>
    <row r="1260" spans="1:16">
      <c r="A1260" t="s">
        <v>1291</v>
      </c>
      <c r="B1260" s="2">
        <v>45675</v>
      </c>
      <c r="C1260" t="s">
        <v>723</v>
      </c>
      <c r="D1260" t="s">
        <v>23</v>
      </c>
      <c r="E1260" t="s">
        <v>19</v>
      </c>
      <c r="F1260" t="s">
        <v>29</v>
      </c>
      <c r="G1260" t="s">
        <v>21</v>
      </c>
      <c r="H1260">
        <v>1</v>
      </c>
      <c r="I1260">
        <v>0</v>
      </c>
      <c r="J1260">
        <v>0</v>
      </c>
      <c r="K1260">
        <v>0</v>
      </c>
      <c r="L1260">
        <v>0</v>
      </c>
      <c r="M1260">
        <v>0</v>
      </c>
      <c r="N1260">
        <v>0</v>
      </c>
      <c r="P1260">
        <v>59</v>
      </c>
    </row>
    <row r="1261" spans="1:16">
      <c r="A1261" t="s">
        <v>1292</v>
      </c>
      <c r="B1261" s="2">
        <v>45737</v>
      </c>
      <c r="C1261" t="s">
        <v>723</v>
      </c>
      <c r="D1261" t="s">
        <v>18</v>
      </c>
      <c r="E1261" t="s">
        <v>24</v>
      </c>
      <c r="F1261" t="s">
        <v>25</v>
      </c>
      <c r="G1261" t="s">
        <v>26</v>
      </c>
      <c r="H1261">
        <v>1</v>
      </c>
      <c r="I1261">
        <v>0</v>
      </c>
      <c r="J1261">
        <v>0</v>
      </c>
      <c r="K1261">
        <v>0</v>
      </c>
      <c r="L1261">
        <v>0</v>
      </c>
      <c r="M1261">
        <v>0</v>
      </c>
      <c r="N1261">
        <v>0</v>
      </c>
      <c r="P1261">
        <v>37</v>
      </c>
    </row>
    <row r="1262" spans="1:16">
      <c r="A1262" t="s">
        <v>1293</v>
      </c>
      <c r="B1262" s="2">
        <v>45749</v>
      </c>
      <c r="C1262" t="s">
        <v>723</v>
      </c>
      <c r="D1262" t="s">
        <v>18</v>
      </c>
      <c r="E1262" t="s">
        <v>19</v>
      </c>
      <c r="F1262" t="s">
        <v>29</v>
      </c>
      <c r="G1262" t="s">
        <v>26</v>
      </c>
      <c r="H1262">
        <v>1</v>
      </c>
      <c r="I1262">
        <v>0</v>
      </c>
      <c r="J1262">
        <v>0</v>
      </c>
      <c r="K1262">
        <v>0</v>
      </c>
      <c r="L1262">
        <v>0</v>
      </c>
      <c r="M1262">
        <v>0</v>
      </c>
      <c r="N1262">
        <v>0</v>
      </c>
      <c r="P1262">
        <v>47.5</v>
      </c>
    </row>
    <row r="1263" spans="1:16">
      <c r="A1263" t="s">
        <v>1294</v>
      </c>
      <c r="B1263" s="2">
        <v>45704</v>
      </c>
      <c r="C1263" t="s">
        <v>723</v>
      </c>
      <c r="D1263" t="s">
        <v>23</v>
      </c>
      <c r="E1263" t="s">
        <v>19</v>
      </c>
      <c r="F1263" t="s">
        <v>25</v>
      </c>
      <c r="G1263" t="s">
        <v>26</v>
      </c>
      <c r="H1263">
        <v>1</v>
      </c>
      <c r="I1263">
        <v>1</v>
      </c>
      <c r="J1263">
        <v>1</v>
      </c>
      <c r="K1263">
        <v>0</v>
      </c>
      <c r="L1263">
        <v>0</v>
      </c>
      <c r="M1263">
        <v>0</v>
      </c>
      <c r="N1263">
        <v>0</v>
      </c>
      <c r="P1263">
        <v>78.7</v>
      </c>
    </row>
    <row r="1264" spans="1:16">
      <c r="A1264" t="s">
        <v>1295</v>
      </c>
      <c r="B1264" s="2">
        <v>45706</v>
      </c>
      <c r="C1264" t="s">
        <v>723</v>
      </c>
      <c r="D1264" t="s">
        <v>18</v>
      </c>
      <c r="E1264" t="s">
        <v>24</v>
      </c>
      <c r="F1264" t="s">
        <v>41</v>
      </c>
      <c r="G1264" t="s">
        <v>26</v>
      </c>
      <c r="H1264">
        <v>1</v>
      </c>
      <c r="I1264">
        <v>0</v>
      </c>
      <c r="J1264">
        <v>0</v>
      </c>
      <c r="K1264">
        <v>0</v>
      </c>
      <c r="L1264">
        <v>0</v>
      </c>
      <c r="M1264">
        <v>0</v>
      </c>
      <c r="N1264">
        <v>0</v>
      </c>
      <c r="P1264">
        <v>49.6</v>
      </c>
    </row>
    <row r="1265" spans="1:16">
      <c r="A1265" t="s">
        <v>1296</v>
      </c>
      <c r="B1265" s="2">
        <v>45666</v>
      </c>
      <c r="C1265" t="s">
        <v>723</v>
      </c>
      <c r="D1265" t="s">
        <v>28</v>
      </c>
      <c r="E1265" t="s">
        <v>24</v>
      </c>
      <c r="F1265" t="s">
        <v>25</v>
      </c>
      <c r="G1265" t="s">
        <v>26</v>
      </c>
      <c r="H1265">
        <v>1</v>
      </c>
      <c r="I1265">
        <v>0</v>
      </c>
      <c r="J1265">
        <v>0</v>
      </c>
      <c r="K1265">
        <v>0</v>
      </c>
      <c r="L1265">
        <v>0</v>
      </c>
      <c r="M1265">
        <v>0</v>
      </c>
      <c r="N1265">
        <v>0</v>
      </c>
      <c r="P1265">
        <v>58</v>
      </c>
    </row>
    <row r="1266" spans="1:16">
      <c r="A1266" t="s">
        <v>1297</v>
      </c>
      <c r="B1266" s="2">
        <v>45706</v>
      </c>
      <c r="C1266" t="s">
        <v>723</v>
      </c>
      <c r="D1266" t="s">
        <v>18</v>
      </c>
      <c r="E1266" t="s">
        <v>19</v>
      </c>
      <c r="F1266" t="s">
        <v>29</v>
      </c>
      <c r="G1266" t="s">
        <v>26</v>
      </c>
      <c r="H1266">
        <v>1</v>
      </c>
      <c r="I1266">
        <v>0</v>
      </c>
      <c r="J1266">
        <v>0</v>
      </c>
      <c r="K1266">
        <v>0</v>
      </c>
      <c r="L1266">
        <v>0</v>
      </c>
      <c r="M1266">
        <v>1</v>
      </c>
      <c r="N1266">
        <v>0</v>
      </c>
      <c r="P1266">
        <v>54.4</v>
      </c>
    </row>
    <row r="1267" spans="1:16">
      <c r="A1267" t="s">
        <v>1298</v>
      </c>
      <c r="B1267" s="2">
        <v>45667</v>
      </c>
      <c r="C1267" t="s">
        <v>723</v>
      </c>
      <c r="D1267" t="s">
        <v>28</v>
      </c>
      <c r="E1267" t="s">
        <v>24</v>
      </c>
      <c r="F1267" t="s">
        <v>39</v>
      </c>
      <c r="G1267" t="s">
        <v>26</v>
      </c>
      <c r="H1267">
        <v>0</v>
      </c>
      <c r="I1267">
        <v>0</v>
      </c>
      <c r="J1267">
        <v>0</v>
      </c>
      <c r="K1267">
        <v>0</v>
      </c>
      <c r="L1267">
        <v>0</v>
      </c>
      <c r="M1267">
        <v>0</v>
      </c>
      <c r="N1267">
        <v>0</v>
      </c>
      <c r="P1267">
        <v>33.700000000000003</v>
      </c>
    </row>
    <row r="1268" spans="1:16">
      <c r="A1268" t="s">
        <v>1299</v>
      </c>
      <c r="B1268" s="2">
        <v>45724</v>
      </c>
      <c r="C1268" t="s">
        <v>723</v>
      </c>
      <c r="D1268" t="s">
        <v>23</v>
      </c>
      <c r="E1268" t="s">
        <v>24</v>
      </c>
      <c r="F1268" t="s">
        <v>20</v>
      </c>
      <c r="G1268" t="s">
        <v>26</v>
      </c>
      <c r="H1268">
        <v>1</v>
      </c>
      <c r="I1268">
        <v>0</v>
      </c>
      <c r="J1268">
        <v>0</v>
      </c>
      <c r="K1268">
        <v>0</v>
      </c>
      <c r="L1268">
        <v>0</v>
      </c>
      <c r="M1268">
        <v>0</v>
      </c>
      <c r="N1268">
        <v>0</v>
      </c>
      <c r="P1268">
        <v>72.7</v>
      </c>
    </row>
    <row r="1269" spans="1:16">
      <c r="A1269" t="s">
        <v>1300</v>
      </c>
      <c r="B1269" s="2">
        <v>45763</v>
      </c>
      <c r="C1269" t="s">
        <v>723</v>
      </c>
      <c r="D1269" t="s">
        <v>28</v>
      </c>
      <c r="E1269" t="s">
        <v>19</v>
      </c>
      <c r="F1269" t="s">
        <v>29</v>
      </c>
      <c r="G1269" t="s">
        <v>21</v>
      </c>
      <c r="H1269">
        <v>0</v>
      </c>
      <c r="I1269">
        <v>0</v>
      </c>
      <c r="J1269">
        <v>0</v>
      </c>
      <c r="K1269">
        <v>0</v>
      </c>
      <c r="L1269">
        <v>0</v>
      </c>
      <c r="M1269">
        <v>0</v>
      </c>
      <c r="N1269">
        <v>0</v>
      </c>
      <c r="P1269">
        <v>64.7</v>
      </c>
    </row>
    <row r="1270" spans="1:16">
      <c r="A1270" t="s">
        <v>1301</v>
      </c>
      <c r="B1270" s="2">
        <v>45707</v>
      </c>
      <c r="C1270" t="s">
        <v>723</v>
      </c>
      <c r="D1270" t="s">
        <v>23</v>
      </c>
      <c r="E1270" t="s">
        <v>19</v>
      </c>
      <c r="F1270" t="s">
        <v>29</v>
      </c>
      <c r="G1270" t="s">
        <v>30</v>
      </c>
      <c r="H1270">
        <v>0</v>
      </c>
      <c r="I1270">
        <v>0</v>
      </c>
      <c r="J1270">
        <v>0</v>
      </c>
      <c r="K1270">
        <v>0</v>
      </c>
      <c r="L1270">
        <v>0</v>
      </c>
      <c r="M1270">
        <v>1</v>
      </c>
      <c r="N1270">
        <v>0</v>
      </c>
      <c r="P1270">
        <v>48.6</v>
      </c>
    </row>
    <row r="1271" spans="1:16">
      <c r="A1271" t="s">
        <v>1302</v>
      </c>
      <c r="B1271" s="2">
        <v>45732</v>
      </c>
      <c r="C1271" t="s">
        <v>723</v>
      </c>
      <c r="D1271" t="s">
        <v>28</v>
      </c>
      <c r="E1271" t="s">
        <v>19</v>
      </c>
      <c r="F1271" t="s">
        <v>41</v>
      </c>
      <c r="G1271" t="s">
        <v>26</v>
      </c>
      <c r="H1271">
        <v>1</v>
      </c>
      <c r="I1271">
        <v>1</v>
      </c>
      <c r="J1271">
        <v>0</v>
      </c>
      <c r="K1271">
        <v>0</v>
      </c>
      <c r="L1271">
        <v>0</v>
      </c>
      <c r="M1271">
        <v>0</v>
      </c>
      <c r="N1271">
        <v>0</v>
      </c>
      <c r="P1271">
        <v>66.2</v>
      </c>
    </row>
    <row r="1272" spans="1:16">
      <c r="A1272" t="s">
        <v>1303</v>
      </c>
      <c r="B1272" s="2">
        <v>45691</v>
      </c>
      <c r="C1272" t="s">
        <v>723</v>
      </c>
      <c r="D1272" t="s">
        <v>23</v>
      </c>
      <c r="F1272" t="s">
        <v>39</v>
      </c>
      <c r="G1272" t="s">
        <v>21</v>
      </c>
      <c r="H1272">
        <v>1</v>
      </c>
      <c r="I1272">
        <v>0</v>
      </c>
      <c r="J1272">
        <v>0</v>
      </c>
      <c r="K1272">
        <v>0</v>
      </c>
      <c r="L1272">
        <v>0</v>
      </c>
      <c r="M1272">
        <v>1</v>
      </c>
      <c r="N1272">
        <v>0</v>
      </c>
      <c r="P1272">
        <v>60.7</v>
      </c>
    </row>
    <row r="1273" spans="1:16">
      <c r="A1273" t="s">
        <v>1304</v>
      </c>
      <c r="B1273" s="2">
        <v>45728</v>
      </c>
      <c r="C1273" t="s">
        <v>723</v>
      </c>
      <c r="D1273" t="s">
        <v>23</v>
      </c>
      <c r="E1273" t="s">
        <v>24</v>
      </c>
      <c r="F1273" t="s">
        <v>29</v>
      </c>
      <c r="G1273" t="s">
        <v>21</v>
      </c>
      <c r="H1273">
        <v>1</v>
      </c>
      <c r="I1273">
        <v>0</v>
      </c>
      <c r="J1273">
        <v>0</v>
      </c>
      <c r="K1273">
        <v>0</v>
      </c>
      <c r="L1273">
        <v>0</v>
      </c>
      <c r="M1273">
        <v>0</v>
      </c>
      <c r="N1273">
        <v>0</v>
      </c>
      <c r="P1273">
        <v>36.5</v>
      </c>
    </row>
    <row r="1274" spans="1:16">
      <c r="A1274" t="s">
        <v>1305</v>
      </c>
      <c r="B1274" s="2">
        <v>45786</v>
      </c>
      <c r="C1274" t="s">
        <v>723</v>
      </c>
      <c r="D1274" t="s">
        <v>23</v>
      </c>
      <c r="E1274" t="s">
        <v>24</v>
      </c>
      <c r="F1274" t="s">
        <v>41</v>
      </c>
      <c r="G1274" t="s">
        <v>26</v>
      </c>
      <c r="H1274">
        <v>1</v>
      </c>
      <c r="I1274">
        <v>1</v>
      </c>
      <c r="J1274">
        <v>1</v>
      </c>
      <c r="K1274">
        <v>0</v>
      </c>
      <c r="L1274">
        <v>0</v>
      </c>
      <c r="M1274">
        <v>3</v>
      </c>
      <c r="N1274">
        <v>0</v>
      </c>
      <c r="P1274">
        <v>69.7</v>
      </c>
    </row>
    <row r="1275" spans="1:16">
      <c r="A1275" t="s">
        <v>1306</v>
      </c>
      <c r="B1275" s="2">
        <v>45676</v>
      </c>
      <c r="C1275" t="s">
        <v>723</v>
      </c>
      <c r="D1275" t="s">
        <v>32</v>
      </c>
      <c r="E1275" t="s">
        <v>19</v>
      </c>
      <c r="F1275" t="s">
        <v>41</v>
      </c>
      <c r="G1275" t="s">
        <v>30</v>
      </c>
      <c r="H1275">
        <v>1</v>
      </c>
      <c r="I1275">
        <v>0</v>
      </c>
      <c r="J1275">
        <v>0</v>
      </c>
      <c r="K1275">
        <v>0</v>
      </c>
      <c r="L1275">
        <v>0</v>
      </c>
      <c r="M1275">
        <v>0</v>
      </c>
      <c r="N1275">
        <v>0</v>
      </c>
      <c r="P1275">
        <v>81.8</v>
      </c>
    </row>
    <row r="1276" spans="1:16">
      <c r="A1276" t="s">
        <v>1307</v>
      </c>
      <c r="B1276" s="2">
        <v>45681</v>
      </c>
      <c r="C1276" t="s">
        <v>723</v>
      </c>
      <c r="D1276" t="s">
        <v>23</v>
      </c>
      <c r="E1276" t="s">
        <v>24</v>
      </c>
      <c r="F1276" t="s">
        <v>39</v>
      </c>
      <c r="G1276" t="s">
        <v>26</v>
      </c>
      <c r="H1276">
        <v>1</v>
      </c>
      <c r="I1276">
        <v>1</v>
      </c>
      <c r="J1276">
        <v>1</v>
      </c>
      <c r="K1276">
        <v>0</v>
      </c>
      <c r="L1276">
        <v>0</v>
      </c>
      <c r="M1276">
        <v>1</v>
      </c>
      <c r="N1276">
        <v>0</v>
      </c>
      <c r="P1276">
        <v>78.3</v>
      </c>
    </row>
    <row r="1277" spans="1:16">
      <c r="A1277" t="s">
        <v>1308</v>
      </c>
      <c r="B1277" s="2">
        <v>45719</v>
      </c>
      <c r="C1277" t="s">
        <v>723</v>
      </c>
      <c r="D1277" t="s">
        <v>28</v>
      </c>
      <c r="E1277" t="s">
        <v>24</v>
      </c>
      <c r="F1277" t="s">
        <v>39</v>
      </c>
      <c r="G1277" t="s">
        <v>26</v>
      </c>
      <c r="H1277">
        <v>1</v>
      </c>
      <c r="I1277">
        <v>1</v>
      </c>
      <c r="J1277">
        <v>0</v>
      </c>
      <c r="K1277">
        <v>0</v>
      </c>
      <c r="L1277">
        <v>0</v>
      </c>
      <c r="M1277">
        <v>0</v>
      </c>
      <c r="N1277">
        <v>0</v>
      </c>
      <c r="P1277">
        <v>79.400000000000006</v>
      </c>
    </row>
    <row r="1278" spans="1:16">
      <c r="A1278" t="s">
        <v>1309</v>
      </c>
      <c r="B1278" s="2">
        <v>45804</v>
      </c>
      <c r="C1278" t="s">
        <v>723</v>
      </c>
      <c r="D1278" t="s">
        <v>18</v>
      </c>
      <c r="E1278" t="s">
        <v>19</v>
      </c>
      <c r="F1278" t="s">
        <v>39</v>
      </c>
      <c r="G1278" t="s">
        <v>26</v>
      </c>
      <c r="H1278">
        <v>1</v>
      </c>
      <c r="I1278">
        <v>1</v>
      </c>
      <c r="J1278">
        <v>1</v>
      </c>
      <c r="K1278">
        <v>0</v>
      </c>
      <c r="L1278">
        <v>0</v>
      </c>
      <c r="M1278">
        <v>0</v>
      </c>
      <c r="N1278">
        <v>0</v>
      </c>
      <c r="P1278">
        <v>54.9</v>
      </c>
    </row>
    <row r="1279" spans="1:16">
      <c r="A1279" t="s">
        <v>1310</v>
      </c>
      <c r="B1279" s="2">
        <v>45770</v>
      </c>
      <c r="C1279" t="s">
        <v>723</v>
      </c>
      <c r="D1279" t="s">
        <v>23</v>
      </c>
      <c r="E1279" t="s">
        <v>19</v>
      </c>
      <c r="F1279" t="s">
        <v>25</v>
      </c>
      <c r="G1279" t="s">
        <v>21</v>
      </c>
      <c r="H1279">
        <v>1</v>
      </c>
      <c r="I1279">
        <v>0</v>
      </c>
      <c r="J1279">
        <v>0</v>
      </c>
      <c r="K1279">
        <v>0</v>
      </c>
      <c r="L1279">
        <v>0</v>
      </c>
      <c r="M1279">
        <v>0</v>
      </c>
      <c r="N1279">
        <v>0</v>
      </c>
      <c r="P1279">
        <v>54.9</v>
      </c>
    </row>
    <row r="1280" spans="1:16">
      <c r="A1280" t="s">
        <v>1311</v>
      </c>
      <c r="B1280" s="2">
        <v>45698</v>
      </c>
      <c r="C1280" t="s">
        <v>723</v>
      </c>
      <c r="D1280" t="s">
        <v>28</v>
      </c>
      <c r="E1280" t="s">
        <v>19</v>
      </c>
      <c r="F1280" t="s">
        <v>41</v>
      </c>
      <c r="G1280" t="s">
        <v>26</v>
      </c>
      <c r="H1280">
        <v>0</v>
      </c>
      <c r="I1280">
        <v>0</v>
      </c>
      <c r="J1280">
        <v>0</v>
      </c>
      <c r="K1280">
        <v>0</v>
      </c>
      <c r="L1280">
        <v>0</v>
      </c>
      <c r="M1280">
        <v>0</v>
      </c>
      <c r="N1280">
        <v>0</v>
      </c>
      <c r="P1280">
        <v>28.7</v>
      </c>
    </row>
    <row r="1281" spans="1:16">
      <c r="A1281" t="s">
        <v>1312</v>
      </c>
      <c r="B1281" s="2">
        <v>45699</v>
      </c>
      <c r="C1281" t="s">
        <v>723</v>
      </c>
      <c r="D1281" t="s">
        <v>18</v>
      </c>
      <c r="E1281" t="s">
        <v>24</v>
      </c>
      <c r="F1281" t="s">
        <v>25</v>
      </c>
      <c r="G1281" t="s">
        <v>26</v>
      </c>
      <c r="H1281">
        <v>0</v>
      </c>
      <c r="I1281">
        <v>0</v>
      </c>
      <c r="J1281">
        <v>0</v>
      </c>
      <c r="K1281">
        <v>0</v>
      </c>
      <c r="L1281">
        <v>0</v>
      </c>
      <c r="M1281">
        <v>0</v>
      </c>
      <c r="N1281">
        <v>0</v>
      </c>
      <c r="P1281">
        <v>68.8</v>
      </c>
    </row>
    <row r="1282" spans="1:16">
      <c r="A1282" t="s">
        <v>1313</v>
      </c>
      <c r="B1282" s="2">
        <v>45678</v>
      </c>
      <c r="C1282" t="s">
        <v>723</v>
      </c>
      <c r="D1282" t="s">
        <v>28</v>
      </c>
      <c r="E1282" t="s">
        <v>19</v>
      </c>
      <c r="F1282" t="s">
        <v>29</v>
      </c>
      <c r="G1282" t="s">
        <v>26</v>
      </c>
      <c r="H1282">
        <v>1</v>
      </c>
      <c r="I1282">
        <v>1</v>
      </c>
      <c r="J1282">
        <v>1</v>
      </c>
      <c r="K1282">
        <v>0</v>
      </c>
      <c r="L1282">
        <v>0</v>
      </c>
      <c r="M1282">
        <v>0</v>
      </c>
      <c r="N1282">
        <v>0</v>
      </c>
      <c r="P1282">
        <v>43.5</v>
      </c>
    </row>
    <row r="1283" spans="1:16">
      <c r="A1283" t="s">
        <v>1314</v>
      </c>
      <c r="B1283" s="2">
        <v>45690</v>
      </c>
      <c r="C1283" t="s">
        <v>723</v>
      </c>
      <c r="D1283" t="s">
        <v>23</v>
      </c>
      <c r="E1283" t="s">
        <v>19</v>
      </c>
      <c r="F1283" t="s">
        <v>41</v>
      </c>
      <c r="G1283" t="s">
        <v>26</v>
      </c>
      <c r="H1283">
        <v>1</v>
      </c>
      <c r="I1283">
        <v>1</v>
      </c>
      <c r="J1283">
        <v>0</v>
      </c>
      <c r="K1283">
        <v>0</v>
      </c>
      <c r="L1283">
        <v>0</v>
      </c>
      <c r="M1283">
        <v>0</v>
      </c>
      <c r="N1283">
        <v>0</v>
      </c>
      <c r="P1283">
        <v>62.6</v>
      </c>
    </row>
    <row r="1284" spans="1:16">
      <c r="A1284" t="s">
        <v>1315</v>
      </c>
      <c r="B1284" s="2">
        <v>45690</v>
      </c>
      <c r="C1284" t="s">
        <v>723</v>
      </c>
      <c r="D1284" t="s">
        <v>23</v>
      </c>
      <c r="E1284" t="s">
        <v>24</v>
      </c>
      <c r="F1284" t="s">
        <v>25</v>
      </c>
      <c r="G1284" t="s">
        <v>26</v>
      </c>
      <c r="H1284">
        <v>0</v>
      </c>
      <c r="I1284">
        <v>0</v>
      </c>
      <c r="J1284">
        <v>0</v>
      </c>
      <c r="K1284">
        <v>0</v>
      </c>
      <c r="L1284">
        <v>0</v>
      </c>
      <c r="M1284">
        <v>1</v>
      </c>
      <c r="N1284">
        <v>0</v>
      </c>
      <c r="P1284">
        <v>54.1</v>
      </c>
    </row>
    <row r="1285" spans="1:16">
      <c r="A1285" t="s">
        <v>1316</v>
      </c>
      <c r="B1285" s="2">
        <v>45714</v>
      </c>
      <c r="C1285" t="s">
        <v>723</v>
      </c>
      <c r="D1285" t="s">
        <v>23</v>
      </c>
      <c r="E1285" t="s">
        <v>34</v>
      </c>
      <c r="F1285" t="s">
        <v>41</v>
      </c>
      <c r="G1285" t="s">
        <v>26</v>
      </c>
      <c r="H1285">
        <v>1</v>
      </c>
      <c r="I1285">
        <v>1</v>
      </c>
      <c r="J1285">
        <v>1</v>
      </c>
      <c r="K1285">
        <v>0</v>
      </c>
      <c r="L1285">
        <v>0</v>
      </c>
      <c r="M1285">
        <v>0</v>
      </c>
      <c r="N1285">
        <v>0</v>
      </c>
      <c r="P1285">
        <v>80.099999999999994</v>
      </c>
    </row>
    <row r="1286" spans="1:16">
      <c r="A1286" t="s">
        <v>1317</v>
      </c>
      <c r="B1286" s="2">
        <v>45769</v>
      </c>
      <c r="C1286" t="s">
        <v>723</v>
      </c>
      <c r="D1286" t="s">
        <v>18</v>
      </c>
      <c r="E1286" t="s">
        <v>24</v>
      </c>
      <c r="F1286" t="s">
        <v>41</v>
      </c>
      <c r="G1286" t="s">
        <v>30</v>
      </c>
      <c r="H1286">
        <v>1</v>
      </c>
      <c r="I1286">
        <v>0</v>
      </c>
      <c r="J1286">
        <v>0</v>
      </c>
      <c r="K1286">
        <v>0</v>
      </c>
      <c r="L1286">
        <v>0</v>
      </c>
      <c r="M1286">
        <v>0</v>
      </c>
      <c r="N1286">
        <v>0</v>
      </c>
      <c r="P1286">
        <v>69.5</v>
      </c>
    </row>
    <row r="1287" spans="1:16">
      <c r="A1287" t="s">
        <v>1318</v>
      </c>
      <c r="B1287" s="2">
        <v>45727</v>
      </c>
      <c r="C1287" t="s">
        <v>723</v>
      </c>
      <c r="D1287" t="s">
        <v>18</v>
      </c>
      <c r="E1287" t="s">
        <v>19</v>
      </c>
      <c r="F1287" t="s">
        <v>25</v>
      </c>
      <c r="G1287" t="s">
        <v>21</v>
      </c>
      <c r="H1287">
        <v>0</v>
      </c>
      <c r="I1287">
        <v>0</v>
      </c>
      <c r="J1287">
        <v>0</v>
      </c>
      <c r="K1287">
        <v>0</v>
      </c>
      <c r="L1287">
        <v>0</v>
      </c>
      <c r="M1287">
        <v>2</v>
      </c>
      <c r="N1287">
        <v>0</v>
      </c>
      <c r="P1287">
        <v>46.6</v>
      </c>
    </row>
    <row r="1288" spans="1:16">
      <c r="A1288" t="s">
        <v>1319</v>
      </c>
      <c r="B1288" s="2">
        <v>45785</v>
      </c>
      <c r="C1288" t="s">
        <v>723</v>
      </c>
      <c r="D1288" t="s">
        <v>32</v>
      </c>
      <c r="E1288" t="s">
        <v>24</v>
      </c>
      <c r="F1288" t="s">
        <v>25</v>
      </c>
      <c r="G1288" t="s">
        <v>30</v>
      </c>
      <c r="H1288">
        <v>1</v>
      </c>
      <c r="I1288">
        <v>0</v>
      </c>
      <c r="J1288">
        <v>0</v>
      </c>
      <c r="K1288">
        <v>0</v>
      </c>
      <c r="L1288">
        <v>0</v>
      </c>
      <c r="M1288">
        <v>1</v>
      </c>
      <c r="N1288">
        <v>0</v>
      </c>
      <c r="P1288">
        <v>54.9</v>
      </c>
    </row>
    <row r="1289" spans="1:16">
      <c r="A1289" t="s">
        <v>1320</v>
      </c>
      <c r="B1289" s="2">
        <v>45726</v>
      </c>
      <c r="C1289" t="s">
        <v>723</v>
      </c>
      <c r="D1289" t="s">
        <v>28</v>
      </c>
      <c r="E1289" t="s">
        <v>19</v>
      </c>
      <c r="F1289" t="s">
        <v>25</v>
      </c>
      <c r="G1289" t="s">
        <v>26</v>
      </c>
      <c r="H1289">
        <v>0</v>
      </c>
      <c r="I1289">
        <v>0</v>
      </c>
      <c r="J1289">
        <v>0</v>
      </c>
      <c r="K1289">
        <v>0</v>
      </c>
      <c r="L1289">
        <v>0</v>
      </c>
      <c r="M1289">
        <v>0</v>
      </c>
      <c r="N1289">
        <v>0</v>
      </c>
      <c r="P1289">
        <v>100</v>
      </c>
    </row>
    <row r="1290" spans="1:16">
      <c r="A1290" t="s">
        <v>1321</v>
      </c>
      <c r="B1290" s="2">
        <v>45763</v>
      </c>
      <c r="C1290" t="s">
        <v>723</v>
      </c>
      <c r="D1290" t="s">
        <v>28</v>
      </c>
      <c r="E1290" t="s">
        <v>19</v>
      </c>
      <c r="F1290" t="s">
        <v>29</v>
      </c>
      <c r="G1290" t="s">
        <v>26</v>
      </c>
      <c r="H1290">
        <v>1</v>
      </c>
      <c r="I1290">
        <v>1</v>
      </c>
      <c r="J1290">
        <v>1</v>
      </c>
      <c r="K1290">
        <v>0</v>
      </c>
      <c r="L1290">
        <v>0</v>
      </c>
      <c r="M1290">
        <v>1</v>
      </c>
      <c r="N1290">
        <v>0</v>
      </c>
      <c r="P1290">
        <v>80.5</v>
      </c>
    </row>
    <row r="1291" spans="1:16">
      <c r="A1291" t="s">
        <v>1322</v>
      </c>
      <c r="B1291" s="2">
        <v>45717</v>
      </c>
      <c r="C1291" t="s">
        <v>723</v>
      </c>
      <c r="D1291" t="s">
        <v>23</v>
      </c>
      <c r="E1291" t="s">
        <v>34</v>
      </c>
      <c r="F1291" t="s">
        <v>25</v>
      </c>
      <c r="G1291" t="s">
        <v>21</v>
      </c>
      <c r="H1291">
        <v>1</v>
      </c>
      <c r="I1291">
        <v>0</v>
      </c>
      <c r="J1291">
        <v>0</v>
      </c>
      <c r="K1291">
        <v>0</v>
      </c>
      <c r="L1291">
        <v>0</v>
      </c>
      <c r="M1291">
        <v>0</v>
      </c>
      <c r="N1291">
        <v>0</v>
      </c>
      <c r="P1291">
        <v>51.2</v>
      </c>
    </row>
    <row r="1292" spans="1:16">
      <c r="A1292" t="s">
        <v>1323</v>
      </c>
      <c r="B1292" s="2">
        <v>45675</v>
      </c>
      <c r="C1292" t="s">
        <v>723</v>
      </c>
      <c r="D1292" t="s">
        <v>32</v>
      </c>
      <c r="E1292" t="s">
        <v>19</v>
      </c>
      <c r="F1292" t="s">
        <v>25</v>
      </c>
      <c r="G1292" t="s">
        <v>30</v>
      </c>
      <c r="H1292">
        <v>1</v>
      </c>
      <c r="I1292">
        <v>0</v>
      </c>
      <c r="J1292">
        <v>0</v>
      </c>
      <c r="K1292">
        <v>0</v>
      </c>
      <c r="L1292">
        <v>0</v>
      </c>
      <c r="M1292">
        <v>0</v>
      </c>
      <c r="N1292">
        <v>0</v>
      </c>
      <c r="P1292">
        <v>42.5</v>
      </c>
    </row>
    <row r="1293" spans="1:16">
      <c r="A1293" t="s">
        <v>1324</v>
      </c>
      <c r="B1293" s="2">
        <v>45746</v>
      </c>
      <c r="C1293" t="s">
        <v>723</v>
      </c>
      <c r="D1293" t="s">
        <v>18</v>
      </c>
      <c r="E1293" t="s">
        <v>24</v>
      </c>
      <c r="F1293" t="s">
        <v>29</v>
      </c>
      <c r="G1293" t="s">
        <v>26</v>
      </c>
      <c r="H1293">
        <v>0</v>
      </c>
      <c r="I1293">
        <v>0</v>
      </c>
      <c r="J1293">
        <v>0</v>
      </c>
      <c r="K1293">
        <v>0</v>
      </c>
      <c r="L1293">
        <v>0</v>
      </c>
      <c r="M1293">
        <v>0</v>
      </c>
      <c r="N1293">
        <v>0</v>
      </c>
      <c r="P1293">
        <v>72.5</v>
      </c>
    </row>
    <row r="1294" spans="1:16">
      <c r="A1294" t="s">
        <v>1325</v>
      </c>
      <c r="B1294" s="2">
        <v>45803</v>
      </c>
      <c r="C1294" t="s">
        <v>723</v>
      </c>
      <c r="D1294" t="s">
        <v>23</v>
      </c>
      <c r="E1294" t="s">
        <v>24</v>
      </c>
      <c r="F1294" t="s">
        <v>41</v>
      </c>
      <c r="G1294" t="s">
        <v>30</v>
      </c>
      <c r="H1294">
        <v>0</v>
      </c>
      <c r="I1294">
        <v>0</v>
      </c>
      <c r="J1294">
        <v>0</v>
      </c>
      <c r="K1294">
        <v>0</v>
      </c>
      <c r="L1294">
        <v>0</v>
      </c>
      <c r="M1294">
        <v>0</v>
      </c>
      <c r="N1294">
        <v>0</v>
      </c>
      <c r="P1294">
        <v>74.400000000000006</v>
      </c>
    </row>
    <row r="1295" spans="1:16">
      <c r="A1295" t="s">
        <v>1326</v>
      </c>
      <c r="B1295" s="2">
        <v>45735</v>
      </c>
      <c r="C1295" t="s">
        <v>723</v>
      </c>
      <c r="D1295" t="s">
        <v>28</v>
      </c>
      <c r="E1295" t="s">
        <v>19</v>
      </c>
      <c r="F1295" t="s">
        <v>41</v>
      </c>
      <c r="G1295" t="s">
        <v>26</v>
      </c>
      <c r="H1295">
        <v>0</v>
      </c>
      <c r="I1295">
        <v>0</v>
      </c>
      <c r="J1295">
        <v>0</v>
      </c>
      <c r="K1295">
        <v>0</v>
      </c>
      <c r="L1295">
        <v>0</v>
      </c>
      <c r="M1295">
        <v>0</v>
      </c>
      <c r="N1295">
        <v>0</v>
      </c>
      <c r="P1295">
        <v>78.400000000000006</v>
      </c>
    </row>
    <row r="1296" spans="1:16">
      <c r="A1296" t="s">
        <v>1327</v>
      </c>
      <c r="B1296" s="2">
        <v>45744</v>
      </c>
      <c r="C1296" t="s">
        <v>723</v>
      </c>
      <c r="D1296" t="s">
        <v>18</v>
      </c>
      <c r="E1296" t="s">
        <v>19</v>
      </c>
      <c r="F1296" t="s">
        <v>39</v>
      </c>
      <c r="G1296" t="s">
        <v>26</v>
      </c>
      <c r="H1296">
        <v>1</v>
      </c>
      <c r="I1296">
        <v>0</v>
      </c>
      <c r="J1296">
        <v>0</v>
      </c>
      <c r="K1296">
        <v>0</v>
      </c>
      <c r="L1296">
        <v>0</v>
      </c>
      <c r="M1296">
        <v>0</v>
      </c>
      <c r="N1296">
        <v>0</v>
      </c>
      <c r="P1296">
        <v>71.5</v>
      </c>
    </row>
    <row r="1297" spans="1:16">
      <c r="A1297" t="s">
        <v>1328</v>
      </c>
      <c r="B1297" s="2">
        <v>45805</v>
      </c>
      <c r="C1297" t="s">
        <v>723</v>
      </c>
      <c r="D1297" t="s">
        <v>32</v>
      </c>
      <c r="E1297" t="s">
        <v>19</v>
      </c>
      <c r="F1297" t="s">
        <v>41</v>
      </c>
      <c r="G1297" t="s">
        <v>26</v>
      </c>
      <c r="H1297">
        <v>1</v>
      </c>
      <c r="I1297">
        <v>0</v>
      </c>
      <c r="J1297">
        <v>0</v>
      </c>
      <c r="K1297">
        <v>0</v>
      </c>
      <c r="L1297">
        <v>0</v>
      </c>
      <c r="M1297">
        <v>0</v>
      </c>
      <c r="N1297">
        <v>0</v>
      </c>
      <c r="P1297">
        <v>66.7</v>
      </c>
    </row>
    <row r="1298" spans="1:16">
      <c r="A1298" t="s">
        <v>1329</v>
      </c>
      <c r="B1298" s="2">
        <v>45808</v>
      </c>
      <c r="C1298" t="s">
        <v>723</v>
      </c>
      <c r="D1298" t="s">
        <v>32</v>
      </c>
      <c r="E1298" t="s">
        <v>19</v>
      </c>
      <c r="F1298" t="s">
        <v>39</v>
      </c>
      <c r="G1298" t="s">
        <v>30</v>
      </c>
      <c r="H1298">
        <v>1</v>
      </c>
      <c r="I1298">
        <v>1</v>
      </c>
      <c r="J1298">
        <v>1</v>
      </c>
      <c r="K1298">
        <v>1</v>
      </c>
      <c r="L1298">
        <v>1496.09</v>
      </c>
      <c r="M1298">
        <v>0</v>
      </c>
      <c r="N1298">
        <v>0</v>
      </c>
      <c r="O1298">
        <v>7</v>
      </c>
      <c r="P1298">
        <v>60.4</v>
      </c>
    </row>
    <row r="1299" spans="1:16">
      <c r="A1299" t="s">
        <v>1330</v>
      </c>
      <c r="B1299" s="2">
        <v>45787</v>
      </c>
      <c r="C1299" t="s">
        <v>723</v>
      </c>
      <c r="D1299" t="s">
        <v>18</v>
      </c>
      <c r="E1299" t="s">
        <v>24</v>
      </c>
      <c r="F1299" t="s">
        <v>39</v>
      </c>
      <c r="G1299" t="s">
        <v>26</v>
      </c>
      <c r="H1299">
        <v>0</v>
      </c>
      <c r="I1299">
        <v>0</v>
      </c>
      <c r="J1299">
        <v>0</v>
      </c>
      <c r="K1299">
        <v>0</v>
      </c>
      <c r="L1299">
        <v>0</v>
      </c>
      <c r="M1299">
        <v>1</v>
      </c>
      <c r="N1299">
        <v>0</v>
      </c>
      <c r="P1299">
        <v>72.900000000000006</v>
      </c>
    </row>
    <row r="1300" spans="1:16">
      <c r="A1300" t="s">
        <v>1331</v>
      </c>
      <c r="B1300" s="2">
        <v>45794</v>
      </c>
      <c r="C1300" t="s">
        <v>723</v>
      </c>
      <c r="D1300" t="s">
        <v>23</v>
      </c>
      <c r="E1300" t="s">
        <v>24</v>
      </c>
      <c r="F1300" t="s">
        <v>25</v>
      </c>
      <c r="G1300" t="s">
        <v>26</v>
      </c>
      <c r="H1300">
        <v>0</v>
      </c>
      <c r="I1300">
        <v>0</v>
      </c>
      <c r="J1300">
        <v>0</v>
      </c>
      <c r="K1300">
        <v>0</v>
      </c>
      <c r="L1300">
        <v>0</v>
      </c>
      <c r="M1300">
        <v>3</v>
      </c>
      <c r="N1300">
        <v>0</v>
      </c>
    </row>
    <row r="1301" spans="1:16">
      <c r="A1301" t="s">
        <v>1332</v>
      </c>
      <c r="B1301" s="2">
        <v>45675</v>
      </c>
      <c r="C1301" t="s">
        <v>723</v>
      </c>
      <c r="D1301" t="s">
        <v>32</v>
      </c>
      <c r="E1301" t="s">
        <v>24</v>
      </c>
      <c r="F1301" t="s">
        <v>25</v>
      </c>
      <c r="G1301" t="s">
        <v>30</v>
      </c>
      <c r="H1301">
        <v>1</v>
      </c>
      <c r="I1301">
        <v>0</v>
      </c>
      <c r="J1301">
        <v>0</v>
      </c>
      <c r="K1301">
        <v>0</v>
      </c>
      <c r="L1301">
        <v>0</v>
      </c>
      <c r="M1301">
        <v>0</v>
      </c>
      <c r="N1301">
        <v>0</v>
      </c>
      <c r="P1301">
        <v>55.2</v>
      </c>
    </row>
    <row r="1302" spans="1:16">
      <c r="A1302" t="s">
        <v>1333</v>
      </c>
      <c r="B1302" s="2">
        <v>45781</v>
      </c>
      <c r="C1302" t="s">
        <v>723</v>
      </c>
      <c r="D1302" t="s">
        <v>23</v>
      </c>
      <c r="E1302" t="s">
        <v>24</v>
      </c>
      <c r="F1302" t="s">
        <v>41</v>
      </c>
      <c r="G1302" t="s">
        <v>26</v>
      </c>
      <c r="H1302">
        <v>1</v>
      </c>
      <c r="I1302">
        <v>0</v>
      </c>
      <c r="J1302">
        <v>0</v>
      </c>
      <c r="K1302">
        <v>0</v>
      </c>
      <c r="L1302">
        <v>0</v>
      </c>
      <c r="M1302">
        <v>0</v>
      </c>
      <c r="N1302">
        <v>0</v>
      </c>
      <c r="P1302">
        <v>67.8</v>
      </c>
    </row>
    <row r="1303" spans="1:16">
      <c r="A1303" t="s">
        <v>1334</v>
      </c>
      <c r="B1303" s="2">
        <v>45741</v>
      </c>
      <c r="C1303" t="s">
        <v>723</v>
      </c>
      <c r="D1303" t="s">
        <v>18</v>
      </c>
      <c r="E1303" t="s">
        <v>24</v>
      </c>
      <c r="F1303" t="s">
        <v>25</v>
      </c>
      <c r="G1303" t="s">
        <v>26</v>
      </c>
      <c r="H1303">
        <v>1</v>
      </c>
      <c r="I1303">
        <v>0</v>
      </c>
      <c r="J1303">
        <v>0</v>
      </c>
      <c r="K1303">
        <v>0</v>
      </c>
      <c r="L1303">
        <v>0</v>
      </c>
      <c r="M1303">
        <v>2</v>
      </c>
      <c r="N1303">
        <v>0</v>
      </c>
      <c r="P1303">
        <v>70</v>
      </c>
    </row>
    <row r="1304" spans="1:16">
      <c r="A1304" t="s">
        <v>1335</v>
      </c>
      <c r="B1304" s="2">
        <v>45715</v>
      </c>
      <c r="C1304" t="s">
        <v>723</v>
      </c>
      <c r="D1304" t="s">
        <v>18</v>
      </c>
      <c r="E1304" t="s">
        <v>24</v>
      </c>
      <c r="F1304" t="s">
        <v>41</v>
      </c>
      <c r="G1304" t="s">
        <v>21</v>
      </c>
      <c r="H1304">
        <v>1</v>
      </c>
      <c r="I1304">
        <v>1</v>
      </c>
      <c r="J1304">
        <v>1</v>
      </c>
      <c r="K1304">
        <v>0</v>
      </c>
      <c r="L1304">
        <v>0</v>
      </c>
      <c r="M1304">
        <v>0</v>
      </c>
      <c r="N1304">
        <v>0</v>
      </c>
      <c r="P1304">
        <v>51.1</v>
      </c>
    </row>
    <row r="1305" spans="1:16">
      <c r="A1305" t="s">
        <v>1336</v>
      </c>
      <c r="B1305" s="2">
        <v>45671</v>
      </c>
      <c r="C1305" t="s">
        <v>723</v>
      </c>
      <c r="D1305" t="s">
        <v>23</v>
      </c>
      <c r="E1305" t="s">
        <v>24</v>
      </c>
      <c r="F1305" t="s">
        <v>29</v>
      </c>
      <c r="G1305" t="s">
        <v>21</v>
      </c>
      <c r="H1305">
        <v>1</v>
      </c>
      <c r="I1305">
        <v>1</v>
      </c>
      <c r="J1305">
        <v>1</v>
      </c>
      <c r="K1305">
        <v>0</v>
      </c>
      <c r="L1305">
        <v>0</v>
      </c>
      <c r="M1305">
        <v>0</v>
      </c>
      <c r="N1305">
        <v>0</v>
      </c>
      <c r="P1305">
        <v>57</v>
      </c>
    </row>
    <row r="1306" spans="1:16">
      <c r="A1306" t="s">
        <v>1337</v>
      </c>
      <c r="B1306" s="2">
        <v>45758</v>
      </c>
      <c r="C1306" t="s">
        <v>723</v>
      </c>
      <c r="D1306" t="s">
        <v>28</v>
      </c>
      <c r="E1306" t="s">
        <v>24</v>
      </c>
      <c r="F1306" t="s">
        <v>41</v>
      </c>
      <c r="G1306" t="s">
        <v>26</v>
      </c>
      <c r="H1306">
        <v>0</v>
      </c>
      <c r="I1306">
        <v>0</v>
      </c>
      <c r="J1306">
        <v>0</v>
      </c>
      <c r="K1306">
        <v>0</v>
      </c>
      <c r="L1306">
        <v>0</v>
      </c>
      <c r="M1306">
        <v>1</v>
      </c>
      <c r="N1306">
        <v>0</v>
      </c>
      <c r="P1306">
        <v>47.1</v>
      </c>
    </row>
    <row r="1307" spans="1:16">
      <c r="A1307" t="s">
        <v>1338</v>
      </c>
      <c r="B1307" s="2">
        <v>45742</v>
      </c>
      <c r="C1307" t="s">
        <v>723</v>
      </c>
      <c r="D1307" t="s">
        <v>28</v>
      </c>
      <c r="E1307" t="s">
        <v>19</v>
      </c>
      <c r="F1307" t="s">
        <v>41</v>
      </c>
      <c r="G1307" t="s">
        <v>21</v>
      </c>
      <c r="H1307">
        <v>0</v>
      </c>
      <c r="I1307">
        <v>0</v>
      </c>
      <c r="J1307">
        <v>0</v>
      </c>
      <c r="K1307">
        <v>0</v>
      </c>
      <c r="L1307">
        <v>0</v>
      </c>
      <c r="M1307">
        <v>0</v>
      </c>
      <c r="N1307">
        <v>0</v>
      </c>
      <c r="P1307">
        <v>30.7</v>
      </c>
    </row>
    <row r="1308" spans="1:16">
      <c r="A1308" t="s">
        <v>1339</v>
      </c>
      <c r="B1308" s="2">
        <v>45700</v>
      </c>
      <c r="C1308" t="s">
        <v>723</v>
      </c>
      <c r="D1308" t="s">
        <v>23</v>
      </c>
      <c r="E1308" t="s">
        <v>19</v>
      </c>
      <c r="F1308" t="s">
        <v>41</v>
      </c>
      <c r="G1308" t="s">
        <v>26</v>
      </c>
      <c r="H1308">
        <v>1</v>
      </c>
      <c r="I1308">
        <v>0</v>
      </c>
      <c r="J1308">
        <v>0</v>
      </c>
      <c r="K1308">
        <v>0</v>
      </c>
      <c r="L1308">
        <v>0</v>
      </c>
      <c r="M1308">
        <v>0</v>
      </c>
      <c r="N1308">
        <v>0</v>
      </c>
      <c r="P1308">
        <v>57.3</v>
      </c>
    </row>
    <row r="1309" spans="1:16">
      <c r="A1309" t="s">
        <v>1340</v>
      </c>
      <c r="B1309" s="2">
        <v>45706</v>
      </c>
      <c r="C1309" t="s">
        <v>723</v>
      </c>
      <c r="D1309" t="s">
        <v>23</v>
      </c>
      <c r="E1309" t="s">
        <v>34</v>
      </c>
      <c r="F1309" t="s">
        <v>29</v>
      </c>
      <c r="G1309" t="s">
        <v>21</v>
      </c>
      <c r="H1309">
        <v>1</v>
      </c>
      <c r="I1309">
        <v>0</v>
      </c>
      <c r="J1309">
        <v>0</v>
      </c>
      <c r="K1309">
        <v>0</v>
      </c>
      <c r="L1309">
        <v>0</v>
      </c>
      <c r="M1309">
        <v>0</v>
      </c>
      <c r="N1309">
        <v>0</v>
      </c>
      <c r="P1309">
        <v>70</v>
      </c>
    </row>
    <row r="1310" spans="1:16">
      <c r="A1310" t="s">
        <v>1341</v>
      </c>
      <c r="B1310" s="2">
        <v>45802</v>
      </c>
      <c r="C1310" t="s">
        <v>723</v>
      </c>
      <c r="D1310" t="s">
        <v>28</v>
      </c>
      <c r="E1310" t="s">
        <v>19</v>
      </c>
      <c r="F1310" t="s">
        <v>41</v>
      </c>
      <c r="G1310" t="s">
        <v>26</v>
      </c>
      <c r="H1310">
        <v>1</v>
      </c>
      <c r="I1310">
        <v>1</v>
      </c>
      <c r="J1310">
        <v>1</v>
      </c>
      <c r="K1310">
        <v>0</v>
      </c>
      <c r="L1310">
        <v>0</v>
      </c>
      <c r="M1310">
        <v>0</v>
      </c>
      <c r="N1310">
        <v>0</v>
      </c>
      <c r="P1310">
        <v>59.7</v>
      </c>
    </row>
    <row r="1311" spans="1:16">
      <c r="A1311" t="s">
        <v>1342</v>
      </c>
      <c r="B1311" s="2">
        <v>45800</v>
      </c>
      <c r="C1311" t="s">
        <v>723</v>
      </c>
      <c r="D1311" t="s">
        <v>28</v>
      </c>
      <c r="E1311" t="s">
        <v>19</v>
      </c>
      <c r="F1311" t="s">
        <v>29</v>
      </c>
      <c r="G1311" t="s">
        <v>21</v>
      </c>
      <c r="H1311">
        <v>1</v>
      </c>
      <c r="I1311">
        <v>0</v>
      </c>
      <c r="J1311">
        <v>0</v>
      </c>
      <c r="K1311">
        <v>0</v>
      </c>
      <c r="L1311">
        <v>0</v>
      </c>
      <c r="M1311">
        <v>0</v>
      </c>
      <c r="N1311">
        <v>0</v>
      </c>
      <c r="P1311">
        <v>68.8</v>
      </c>
    </row>
    <row r="1312" spans="1:16">
      <c r="A1312" t="s">
        <v>1343</v>
      </c>
      <c r="B1312" s="2">
        <v>45673</v>
      </c>
      <c r="C1312" t="s">
        <v>723</v>
      </c>
      <c r="D1312" t="s">
        <v>18</v>
      </c>
      <c r="E1312" t="s">
        <v>19</v>
      </c>
      <c r="F1312" t="s">
        <v>25</v>
      </c>
      <c r="G1312" t="s">
        <v>26</v>
      </c>
      <c r="H1312">
        <v>1</v>
      </c>
      <c r="I1312">
        <v>1</v>
      </c>
      <c r="J1312">
        <v>1</v>
      </c>
      <c r="K1312">
        <v>1</v>
      </c>
      <c r="L1312">
        <v>428.37</v>
      </c>
      <c r="M1312">
        <v>0</v>
      </c>
      <c r="N1312">
        <v>0</v>
      </c>
      <c r="O1312">
        <v>9</v>
      </c>
      <c r="P1312">
        <v>88.3</v>
      </c>
    </row>
    <row r="1313" spans="1:16">
      <c r="A1313" t="s">
        <v>1344</v>
      </c>
      <c r="B1313" s="2">
        <v>45676</v>
      </c>
      <c r="C1313" t="s">
        <v>723</v>
      </c>
      <c r="D1313" t="s">
        <v>23</v>
      </c>
      <c r="E1313" t="s">
        <v>19</v>
      </c>
      <c r="F1313" t="s">
        <v>20</v>
      </c>
      <c r="G1313" t="s">
        <v>21</v>
      </c>
      <c r="H1313">
        <v>0</v>
      </c>
      <c r="I1313">
        <v>0</v>
      </c>
      <c r="J1313">
        <v>0</v>
      </c>
      <c r="K1313">
        <v>0</v>
      </c>
      <c r="L1313">
        <v>0</v>
      </c>
      <c r="M1313">
        <v>0</v>
      </c>
      <c r="N1313">
        <v>0</v>
      </c>
      <c r="P1313">
        <v>83.4</v>
      </c>
    </row>
    <row r="1314" spans="1:16">
      <c r="A1314" t="s">
        <v>1345</v>
      </c>
      <c r="B1314" s="2">
        <v>45795</v>
      </c>
      <c r="C1314" t="s">
        <v>723</v>
      </c>
      <c r="D1314" t="s">
        <v>32</v>
      </c>
      <c r="E1314" t="s">
        <v>24</v>
      </c>
      <c r="F1314" t="s">
        <v>39</v>
      </c>
      <c r="G1314" t="s">
        <v>26</v>
      </c>
      <c r="H1314">
        <v>0</v>
      </c>
      <c r="I1314">
        <v>0</v>
      </c>
      <c r="J1314">
        <v>0</v>
      </c>
      <c r="K1314">
        <v>0</v>
      </c>
      <c r="L1314">
        <v>0</v>
      </c>
      <c r="M1314">
        <v>1</v>
      </c>
      <c r="N1314">
        <v>0</v>
      </c>
      <c r="P1314">
        <v>81.599999999999994</v>
      </c>
    </row>
    <row r="1315" spans="1:16">
      <c r="A1315" t="s">
        <v>1346</v>
      </c>
      <c r="B1315" s="2">
        <v>45680</v>
      </c>
      <c r="C1315" t="s">
        <v>723</v>
      </c>
      <c r="D1315" t="s">
        <v>28</v>
      </c>
      <c r="E1315" t="s">
        <v>34</v>
      </c>
      <c r="F1315" t="s">
        <v>41</v>
      </c>
      <c r="G1315" t="s">
        <v>30</v>
      </c>
      <c r="H1315">
        <v>1</v>
      </c>
      <c r="I1315">
        <v>0</v>
      </c>
      <c r="J1315">
        <v>0</v>
      </c>
      <c r="K1315">
        <v>0</v>
      </c>
      <c r="L1315">
        <v>0</v>
      </c>
      <c r="M1315">
        <v>0</v>
      </c>
      <c r="N1315">
        <v>0</v>
      </c>
      <c r="P1315">
        <v>91.6</v>
      </c>
    </row>
    <row r="1316" spans="1:16">
      <c r="A1316" t="s">
        <v>1347</v>
      </c>
      <c r="B1316" s="2">
        <v>45665</v>
      </c>
      <c r="C1316" t="s">
        <v>723</v>
      </c>
      <c r="D1316" t="s">
        <v>28</v>
      </c>
      <c r="E1316" t="s">
        <v>34</v>
      </c>
      <c r="G1316" t="s">
        <v>30</v>
      </c>
      <c r="H1316">
        <v>1</v>
      </c>
      <c r="I1316">
        <v>1</v>
      </c>
      <c r="J1316">
        <v>1</v>
      </c>
      <c r="K1316">
        <v>0</v>
      </c>
      <c r="L1316">
        <v>0</v>
      </c>
      <c r="M1316">
        <v>1</v>
      </c>
      <c r="N1316">
        <v>0</v>
      </c>
      <c r="P1316">
        <v>61.5</v>
      </c>
    </row>
    <row r="1317" spans="1:16">
      <c r="A1317" t="s">
        <v>1348</v>
      </c>
      <c r="B1317" s="2">
        <v>45707</v>
      </c>
      <c r="C1317" t="s">
        <v>723</v>
      </c>
      <c r="D1317" t="s">
        <v>18</v>
      </c>
      <c r="E1317" t="s">
        <v>24</v>
      </c>
      <c r="F1317" t="s">
        <v>25</v>
      </c>
      <c r="G1317" t="s">
        <v>30</v>
      </c>
      <c r="H1317">
        <v>0</v>
      </c>
      <c r="I1317">
        <v>0</v>
      </c>
      <c r="J1317">
        <v>0</v>
      </c>
      <c r="K1317">
        <v>0</v>
      </c>
      <c r="L1317">
        <v>0</v>
      </c>
      <c r="M1317">
        <v>0</v>
      </c>
      <c r="N1317">
        <v>0</v>
      </c>
    </row>
    <row r="1318" spans="1:16">
      <c r="A1318" t="s">
        <v>1349</v>
      </c>
      <c r="B1318" s="2">
        <v>45698</v>
      </c>
      <c r="C1318" t="s">
        <v>723</v>
      </c>
      <c r="D1318" t="s">
        <v>32</v>
      </c>
      <c r="E1318" t="s">
        <v>24</v>
      </c>
      <c r="F1318" t="s">
        <v>25</v>
      </c>
      <c r="G1318" t="s">
        <v>26</v>
      </c>
      <c r="H1318">
        <v>1</v>
      </c>
      <c r="I1318">
        <v>0</v>
      </c>
      <c r="J1318">
        <v>0</v>
      </c>
      <c r="K1318">
        <v>0</v>
      </c>
      <c r="L1318">
        <v>0</v>
      </c>
      <c r="M1318">
        <v>0</v>
      </c>
      <c r="N1318">
        <v>0</v>
      </c>
      <c r="P1318">
        <v>32.6</v>
      </c>
    </row>
    <row r="1319" spans="1:16">
      <c r="A1319" t="s">
        <v>1350</v>
      </c>
      <c r="B1319" s="2">
        <v>45760</v>
      </c>
      <c r="C1319" t="s">
        <v>723</v>
      </c>
      <c r="D1319" t="s">
        <v>32</v>
      </c>
      <c r="E1319" t="s">
        <v>24</v>
      </c>
      <c r="F1319" t="s">
        <v>29</v>
      </c>
      <c r="G1319" t="s">
        <v>26</v>
      </c>
      <c r="H1319">
        <v>1</v>
      </c>
      <c r="I1319">
        <v>0</v>
      </c>
      <c r="J1319">
        <v>0</v>
      </c>
      <c r="K1319">
        <v>0</v>
      </c>
      <c r="L1319">
        <v>0</v>
      </c>
      <c r="M1319">
        <v>0</v>
      </c>
      <c r="N1319">
        <v>0</v>
      </c>
      <c r="P1319">
        <v>73.900000000000006</v>
      </c>
    </row>
    <row r="1320" spans="1:16">
      <c r="A1320" t="s">
        <v>1351</v>
      </c>
      <c r="B1320" s="2">
        <v>45797</v>
      </c>
      <c r="C1320" t="s">
        <v>723</v>
      </c>
      <c r="D1320" t="s">
        <v>28</v>
      </c>
      <c r="E1320" t="s">
        <v>24</v>
      </c>
      <c r="F1320" t="s">
        <v>25</v>
      </c>
      <c r="G1320" t="s">
        <v>26</v>
      </c>
      <c r="H1320">
        <v>1</v>
      </c>
      <c r="I1320">
        <v>1</v>
      </c>
      <c r="J1320">
        <v>1</v>
      </c>
      <c r="K1320">
        <v>1</v>
      </c>
      <c r="L1320">
        <v>444.06</v>
      </c>
      <c r="M1320">
        <v>0</v>
      </c>
      <c r="N1320">
        <v>0</v>
      </c>
      <c r="O1320">
        <v>9</v>
      </c>
      <c r="P1320">
        <v>99.9</v>
      </c>
    </row>
    <row r="1321" spans="1:16">
      <c r="A1321" t="s">
        <v>1352</v>
      </c>
      <c r="B1321" s="2">
        <v>45790</v>
      </c>
      <c r="C1321" t="s">
        <v>723</v>
      </c>
      <c r="D1321" t="s">
        <v>32</v>
      </c>
      <c r="E1321" t="s">
        <v>24</v>
      </c>
      <c r="F1321" t="s">
        <v>29</v>
      </c>
      <c r="G1321" t="s">
        <v>21</v>
      </c>
      <c r="H1321">
        <v>1</v>
      </c>
      <c r="I1321">
        <v>1</v>
      </c>
      <c r="J1321">
        <v>0</v>
      </c>
      <c r="K1321">
        <v>0</v>
      </c>
      <c r="L1321">
        <v>0</v>
      </c>
      <c r="M1321">
        <v>1</v>
      </c>
      <c r="N1321">
        <v>0</v>
      </c>
      <c r="P1321">
        <v>62.4</v>
      </c>
    </row>
    <row r="1322" spans="1:16">
      <c r="A1322" t="s">
        <v>1353</v>
      </c>
      <c r="B1322" s="2">
        <v>45805</v>
      </c>
      <c r="C1322" t="s">
        <v>723</v>
      </c>
      <c r="D1322" t="s">
        <v>32</v>
      </c>
      <c r="E1322" t="s">
        <v>19</v>
      </c>
      <c r="F1322" t="s">
        <v>29</v>
      </c>
      <c r="G1322" t="s">
        <v>21</v>
      </c>
      <c r="H1322">
        <v>1</v>
      </c>
      <c r="I1322">
        <v>0</v>
      </c>
      <c r="J1322">
        <v>0</v>
      </c>
      <c r="K1322">
        <v>0</v>
      </c>
      <c r="L1322">
        <v>0</v>
      </c>
      <c r="M1322">
        <v>0</v>
      </c>
      <c r="N1322">
        <v>0</v>
      </c>
      <c r="P1322">
        <v>46.1</v>
      </c>
    </row>
    <row r="1323" spans="1:16">
      <c r="A1323" t="s">
        <v>1354</v>
      </c>
      <c r="B1323" s="2">
        <v>45735</v>
      </c>
      <c r="C1323" t="s">
        <v>723</v>
      </c>
      <c r="D1323" t="s">
        <v>23</v>
      </c>
      <c r="E1323" t="s">
        <v>24</v>
      </c>
      <c r="F1323" t="s">
        <v>25</v>
      </c>
      <c r="G1323" t="s">
        <v>26</v>
      </c>
      <c r="H1323">
        <v>1</v>
      </c>
      <c r="I1323">
        <v>1</v>
      </c>
      <c r="J1323">
        <v>1</v>
      </c>
      <c r="K1323">
        <v>1</v>
      </c>
      <c r="L1323">
        <v>2660.21</v>
      </c>
      <c r="M1323">
        <v>0</v>
      </c>
      <c r="N1323">
        <v>0</v>
      </c>
      <c r="O1323">
        <v>3</v>
      </c>
      <c r="P1323">
        <v>73.900000000000006</v>
      </c>
    </row>
    <row r="1324" spans="1:16">
      <c r="A1324" t="s">
        <v>1355</v>
      </c>
      <c r="B1324" s="2">
        <v>45691</v>
      </c>
      <c r="C1324" t="s">
        <v>723</v>
      </c>
      <c r="D1324" t="s">
        <v>18</v>
      </c>
      <c r="E1324" t="s">
        <v>24</v>
      </c>
      <c r="F1324" t="s">
        <v>20</v>
      </c>
      <c r="G1324" t="s">
        <v>30</v>
      </c>
      <c r="H1324">
        <v>0</v>
      </c>
      <c r="I1324">
        <v>0</v>
      </c>
      <c r="J1324">
        <v>0</v>
      </c>
      <c r="K1324">
        <v>0</v>
      </c>
      <c r="L1324">
        <v>0</v>
      </c>
      <c r="M1324">
        <v>0</v>
      </c>
      <c r="N1324">
        <v>0</v>
      </c>
      <c r="P1324">
        <v>90</v>
      </c>
    </row>
    <row r="1325" spans="1:16">
      <c r="A1325" t="s">
        <v>1356</v>
      </c>
      <c r="B1325" s="2">
        <v>45714</v>
      </c>
      <c r="C1325" t="s">
        <v>723</v>
      </c>
      <c r="D1325" t="s">
        <v>32</v>
      </c>
      <c r="E1325" t="s">
        <v>24</v>
      </c>
      <c r="F1325" t="s">
        <v>20</v>
      </c>
      <c r="G1325" t="s">
        <v>21</v>
      </c>
      <c r="H1325">
        <v>1</v>
      </c>
      <c r="I1325">
        <v>0</v>
      </c>
      <c r="J1325">
        <v>0</v>
      </c>
      <c r="K1325">
        <v>0</v>
      </c>
      <c r="L1325">
        <v>0</v>
      </c>
      <c r="M1325">
        <v>1</v>
      </c>
      <c r="N1325">
        <v>0</v>
      </c>
      <c r="P1325">
        <v>68.8</v>
      </c>
    </row>
    <row r="1326" spans="1:16">
      <c r="A1326" t="s">
        <v>1357</v>
      </c>
      <c r="B1326" s="2">
        <v>45683</v>
      </c>
      <c r="C1326" t="s">
        <v>723</v>
      </c>
      <c r="D1326" t="s">
        <v>23</v>
      </c>
      <c r="E1326" t="s">
        <v>24</v>
      </c>
      <c r="F1326" t="s">
        <v>29</v>
      </c>
      <c r="G1326" t="s">
        <v>26</v>
      </c>
      <c r="H1326">
        <v>1</v>
      </c>
      <c r="I1326">
        <v>0</v>
      </c>
      <c r="J1326">
        <v>0</v>
      </c>
      <c r="K1326">
        <v>0</v>
      </c>
      <c r="L1326">
        <v>0</v>
      </c>
      <c r="M1326">
        <v>0</v>
      </c>
      <c r="N1326">
        <v>0</v>
      </c>
      <c r="P1326">
        <v>66.599999999999994</v>
      </c>
    </row>
    <row r="1327" spans="1:16">
      <c r="A1327" t="s">
        <v>1358</v>
      </c>
      <c r="B1327" s="2">
        <v>45790</v>
      </c>
      <c r="C1327" t="s">
        <v>723</v>
      </c>
      <c r="D1327" t="s">
        <v>18</v>
      </c>
      <c r="E1327" t="s">
        <v>24</v>
      </c>
      <c r="F1327" t="s">
        <v>25</v>
      </c>
      <c r="G1327" t="s">
        <v>30</v>
      </c>
      <c r="H1327">
        <v>1</v>
      </c>
      <c r="I1327">
        <v>0</v>
      </c>
      <c r="J1327">
        <v>0</v>
      </c>
      <c r="K1327">
        <v>0</v>
      </c>
      <c r="L1327">
        <v>0</v>
      </c>
      <c r="M1327">
        <v>0</v>
      </c>
      <c r="N1327">
        <v>0</v>
      </c>
      <c r="P1327">
        <v>49.7</v>
      </c>
    </row>
    <row r="1328" spans="1:16">
      <c r="A1328" t="s">
        <v>1359</v>
      </c>
      <c r="B1328" s="2">
        <v>45690</v>
      </c>
      <c r="C1328" t="s">
        <v>723</v>
      </c>
      <c r="D1328" t="s">
        <v>32</v>
      </c>
      <c r="E1328" t="s">
        <v>24</v>
      </c>
      <c r="F1328" t="s">
        <v>29</v>
      </c>
      <c r="G1328" t="s">
        <v>21</v>
      </c>
      <c r="H1328">
        <v>0</v>
      </c>
      <c r="I1328">
        <v>0</v>
      </c>
      <c r="J1328">
        <v>0</v>
      </c>
      <c r="K1328">
        <v>0</v>
      </c>
      <c r="L1328">
        <v>0</v>
      </c>
      <c r="M1328">
        <v>0</v>
      </c>
      <c r="N1328">
        <v>0</v>
      </c>
      <c r="P1328">
        <v>67.900000000000006</v>
      </c>
    </row>
    <row r="1329" spans="1:16">
      <c r="A1329" t="s">
        <v>1360</v>
      </c>
      <c r="B1329" s="2">
        <v>45777</v>
      </c>
      <c r="C1329" t="s">
        <v>723</v>
      </c>
      <c r="D1329" t="s">
        <v>23</v>
      </c>
      <c r="E1329" t="s">
        <v>24</v>
      </c>
      <c r="G1329" t="s">
        <v>21</v>
      </c>
      <c r="H1329">
        <v>0</v>
      </c>
      <c r="I1329">
        <v>0</v>
      </c>
      <c r="J1329">
        <v>0</v>
      </c>
      <c r="K1329">
        <v>0</v>
      </c>
      <c r="L1329">
        <v>0</v>
      </c>
      <c r="M1329">
        <v>0</v>
      </c>
      <c r="N1329">
        <v>0</v>
      </c>
      <c r="P1329">
        <v>66.900000000000006</v>
      </c>
    </row>
    <row r="1330" spans="1:16">
      <c r="A1330" t="s">
        <v>1361</v>
      </c>
      <c r="B1330" s="2">
        <v>45745</v>
      </c>
      <c r="C1330" t="s">
        <v>723</v>
      </c>
      <c r="D1330" t="s">
        <v>28</v>
      </c>
      <c r="E1330" t="s">
        <v>24</v>
      </c>
      <c r="F1330" t="s">
        <v>25</v>
      </c>
      <c r="G1330" t="s">
        <v>26</v>
      </c>
      <c r="H1330">
        <v>0</v>
      </c>
      <c r="I1330">
        <v>0</v>
      </c>
      <c r="J1330">
        <v>0</v>
      </c>
      <c r="K1330">
        <v>0</v>
      </c>
      <c r="L1330">
        <v>0</v>
      </c>
      <c r="M1330">
        <v>0</v>
      </c>
      <c r="N1330">
        <v>0</v>
      </c>
      <c r="P1330">
        <v>46.1</v>
      </c>
    </row>
    <row r="1331" spans="1:16">
      <c r="A1331" t="s">
        <v>1362</v>
      </c>
      <c r="B1331" s="2">
        <v>45756</v>
      </c>
      <c r="C1331" t="s">
        <v>723</v>
      </c>
      <c r="D1331" t="s">
        <v>23</v>
      </c>
      <c r="E1331" t="s">
        <v>19</v>
      </c>
      <c r="F1331" t="s">
        <v>39</v>
      </c>
      <c r="G1331" t="s">
        <v>30</v>
      </c>
      <c r="H1331">
        <v>1</v>
      </c>
      <c r="I1331">
        <v>0</v>
      </c>
      <c r="J1331">
        <v>0</v>
      </c>
      <c r="K1331">
        <v>0</v>
      </c>
      <c r="L1331">
        <v>0</v>
      </c>
      <c r="M1331">
        <v>0</v>
      </c>
      <c r="N1331">
        <v>0</v>
      </c>
      <c r="P1331">
        <v>85.6</v>
      </c>
    </row>
    <row r="1332" spans="1:16">
      <c r="A1332" t="s">
        <v>1363</v>
      </c>
      <c r="B1332" s="2">
        <v>45679</v>
      </c>
      <c r="C1332" t="s">
        <v>723</v>
      </c>
      <c r="D1332" t="s">
        <v>32</v>
      </c>
      <c r="E1332" t="s">
        <v>34</v>
      </c>
      <c r="F1332" t="s">
        <v>25</v>
      </c>
      <c r="G1332" t="s">
        <v>26</v>
      </c>
      <c r="H1332">
        <v>0</v>
      </c>
      <c r="I1332">
        <v>0</v>
      </c>
      <c r="J1332">
        <v>0</v>
      </c>
      <c r="K1332">
        <v>0</v>
      </c>
      <c r="L1332">
        <v>0</v>
      </c>
      <c r="M1332">
        <v>0</v>
      </c>
      <c r="N1332">
        <v>0</v>
      </c>
      <c r="P1332">
        <v>39.6</v>
      </c>
    </row>
    <row r="1333" spans="1:16">
      <c r="A1333" t="s">
        <v>1364</v>
      </c>
      <c r="B1333" s="2">
        <v>45684</v>
      </c>
      <c r="C1333" t="s">
        <v>723</v>
      </c>
      <c r="D1333" t="s">
        <v>32</v>
      </c>
      <c r="E1333" t="s">
        <v>24</v>
      </c>
      <c r="F1333" t="s">
        <v>25</v>
      </c>
      <c r="G1333" t="s">
        <v>21</v>
      </c>
      <c r="H1333">
        <v>1</v>
      </c>
      <c r="I1333">
        <v>0</v>
      </c>
      <c r="J1333">
        <v>0</v>
      </c>
      <c r="K1333">
        <v>0</v>
      </c>
      <c r="L1333">
        <v>0</v>
      </c>
      <c r="M1333">
        <v>0</v>
      </c>
      <c r="N1333">
        <v>0</v>
      </c>
      <c r="P1333">
        <v>52.5</v>
      </c>
    </row>
    <row r="1334" spans="1:16">
      <c r="A1334" t="s">
        <v>1365</v>
      </c>
      <c r="B1334" s="2">
        <v>45679</v>
      </c>
      <c r="C1334" t="s">
        <v>723</v>
      </c>
      <c r="D1334" t="s">
        <v>28</v>
      </c>
      <c r="E1334" t="s">
        <v>24</v>
      </c>
      <c r="F1334" t="s">
        <v>41</v>
      </c>
      <c r="G1334" t="s">
        <v>30</v>
      </c>
      <c r="H1334">
        <v>1</v>
      </c>
      <c r="I1334">
        <v>0</v>
      </c>
      <c r="J1334">
        <v>0</v>
      </c>
      <c r="K1334">
        <v>0</v>
      </c>
      <c r="L1334">
        <v>0</v>
      </c>
      <c r="M1334">
        <v>0</v>
      </c>
      <c r="N1334">
        <v>0</v>
      </c>
      <c r="P1334">
        <v>73.5</v>
      </c>
    </row>
    <row r="1335" spans="1:16">
      <c r="A1335" t="s">
        <v>1366</v>
      </c>
      <c r="B1335" s="2">
        <v>45663</v>
      </c>
      <c r="C1335" t="s">
        <v>723</v>
      </c>
      <c r="D1335" t="s">
        <v>23</v>
      </c>
      <c r="E1335" t="s">
        <v>19</v>
      </c>
      <c r="F1335" t="s">
        <v>29</v>
      </c>
      <c r="G1335" t="s">
        <v>26</v>
      </c>
      <c r="H1335">
        <v>0</v>
      </c>
      <c r="I1335">
        <v>0</v>
      </c>
      <c r="J1335">
        <v>0</v>
      </c>
      <c r="K1335">
        <v>0</v>
      </c>
      <c r="L1335">
        <v>0</v>
      </c>
      <c r="M1335">
        <v>0</v>
      </c>
      <c r="N1335">
        <v>0</v>
      </c>
      <c r="P1335">
        <v>62.5</v>
      </c>
    </row>
    <row r="1336" spans="1:16">
      <c r="A1336" t="s">
        <v>1367</v>
      </c>
      <c r="B1336" s="2">
        <v>45763</v>
      </c>
      <c r="C1336" t="s">
        <v>723</v>
      </c>
      <c r="D1336" t="s">
        <v>32</v>
      </c>
      <c r="F1336" t="s">
        <v>25</v>
      </c>
      <c r="G1336" t="s">
        <v>26</v>
      </c>
      <c r="H1336">
        <v>1</v>
      </c>
      <c r="I1336">
        <v>0</v>
      </c>
      <c r="J1336">
        <v>0</v>
      </c>
      <c r="K1336">
        <v>0</v>
      </c>
      <c r="L1336">
        <v>0</v>
      </c>
      <c r="M1336">
        <v>0</v>
      </c>
      <c r="N1336">
        <v>0</v>
      </c>
      <c r="P1336">
        <v>76.900000000000006</v>
      </c>
    </row>
    <row r="1337" spans="1:16">
      <c r="A1337" t="s">
        <v>1368</v>
      </c>
      <c r="B1337" s="2">
        <v>45761</v>
      </c>
      <c r="C1337" t="s">
        <v>723</v>
      </c>
      <c r="D1337" t="s">
        <v>32</v>
      </c>
      <c r="E1337" t="s">
        <v>24</v>
      </c>
      <c r="F1337" t="s">
        <v>25</v>
      </c>
      <c r="G1337" t="s">
        <v>26</v>
      </c>
      <c r="H1337">
        <v>1</v>
      </c>
      <c r="I1337">
        <v>0</v>
      </c>
      <c r="J1337">
        <v>0</v>
      </c>
      <c r="K1337">
        <v>0</v>
      </c>
      <c r="L1337">
        <v>0</v>
      </c>
      <c r="M1337">
        <v>0</v>
      </c>
      <c r="N1337">
        <v>0</v>
      </c>
      <c r="P1337">
        <v>51.4</v>
      </c>
    </row>
    <row r="1338" spans="1:16">
      <c r="A1338" t="s">
        <v>1369</v>
      </c>
      <c r="B1338" s="2">
        <v>45710</v>
      </c>
      <c r="C1338" t="s">
        <v>723</v>
      </c>
      <c r="D1338" t="s">
        <v>23</v>
      </c>
      <c r="E1338" t="s">
        <v>24</v>
      </c>
      <c r="F1338" t="s">
        <v>29</v>
      </c>
      <c r="G1338" t="s">
        <v>21</v>
      </c>
      <c r="H1338">
        <v>1</v>
      </c>
      <c r="I1338">
        <v>0</v>
      </c>
      <c r="J1338">
        <v>0</v>
      </c>
      <c r="K1338">
        <v>0</v>
      </c>
      <c r="L1338">
        <v>0</v>
      </c>
      <c r="M1338">
        <v>0</v>
      </c>
      <c r="N1338">
        <v>0</v>
      </c>
      <c r="P1338">
        <v>59.3</v>
      </c>
    </row>
    <row r="1339" spans="1:16">
      <c r="A1339" t="s">
        <v>1370</v>
      </c>
      <c r="B1339" s="2">
        <v>45725</v>
      </c>
      <c r="C1339" t="s">
        <v>723</v>
      </c>
      <c r="D1339" t="s">
        <v>18</v>
      </c>
      <c r="E1339" t="s">
        <v>24</v>
      </c>
      <c r="F1339" t="s">
        <v>25</v>
      </c>
      <c r="G1339" t="s">
        <v>21</v>
      </c>
      <c r="H1339">
        <v>0</v>
      </c>
      <c r="I1339">
        <v>0</v>
      </c>
      <c r="J1339">
        <v>0</v>
      </c>
      <c r="K1339">
        <v>0</v>
      </c>
      <c r="L1339">
        <v>0</v>
      </c>
      <c r="M1339">
        <v>0</v>
      </c>
      <c r="N1339">
        <v>0</v>
      </c>
      <c r="P1339">
        <v>74.900000000000006</v>
      </c>
    </row>
    <row r="1340" spans="1:16">
      <c r="A1340" t="s">
        <v>1371</v>
      </c>
      <c r="B1340" s="2">
        <v>45767</v>
      </c>
      <c r="C1340" t="s">
        <v>723</v>
      </c>
      <c r="D1340" t="s">
        <v>23</v>
      </c>
      <c r="E1340" t="s">
        <v>19</v>
      </c>
      <c r="F1340" t="s">
        <v>25</v>
      </c>
      <c r="G1340" t="s">
        <v>26</v>
      </c>
      <c r="H1340">
        <v>1</v>
      </c>
      <c r="I1340">
        <v>0</v>
      </c>
      <c r="J1340">
        <v>0</v>
      </c>
      <c r="K1340">
        <v>0</v>
      </c>
      <c r="L1340">
        <v>0</v>
      </c>
      <c r="M1340">
        <v>0</v>
      </c>
      <c r="N1340">
        <v>0</v>
      </c>
      <c r="P1340">
        <v>67</v>
      </c>
    </row>
    <row r="1341" spans="1:16">
      <c r="A1341" t="s">
        <v>1372</v>
      </c>
      <c r="B1341" s="2">
        <v>45726</v>
      </c>
      <c r="C1341" t="s">
        <v>723</v>
      </c>
      <c r="D1341" t="s">
        <v>32</v>
      </c>
      <c r="E1341" t="s">
        <v>24</v>
      </c>
      <c r="F1341" t="s">
        <v>20</v>
      </c>
      <c r="G1341" t="s">
        <v>26</v>
      </c>
      <c r="H1341">
        <v>0</v>
      </c>
      <c r="I1341">
        <v>0</v>
      </c>
      <c r="J1341">
        <v>0</v>
      </c>
      <c r="K1341">
        <v>0</v>
      </c>
      <c r="L1341">
        <v>0</v>
      </c>
      <c r="M1341">
        <v>0</v>
      </c>
      <c r="N1341">
        <v>0</v>
      </c>
      <c r="P1341">
        <v>63.6</v>
      </c>
    </row>
    <row r="1342" spans="1:16">
      <c r="A1342" t="s">
        <v>1373</v>
      </c>
      <c r="B1342" s="2">
        <v>45709</v>
      </c>
      <c r="C1342" t="s">
        <v>723</v>
      </c>
      <c r="D1342" t="s">
        <v>32</v>
      </c>
      <c r="E1342" t="s">
        <v>24</v>
      </c>
      <c r="F1342" t="s">
        <v>20</v>
      </c>
      <c r="G1342" t="s">
        <v>26</v>
      </c>
      <c r="H1342">
        <v>1</v>
      </c>
      <c r="I1342">
        <v>1</v>
      </c>
      <c r="J1342">
        <v>0</v>
      </c>
      <c r="K1342">
        <v>0</v>
      </c>
      <c r="L1342">
        <v>0</v>
      </c>
      <c r="M1342">
        <v>1</v>
      </c>
      <c r="N1342">
        <v>0</v>
      </c>
      <c r="P1342">
        <v>58.4</v>
      </c>
    </row>
    <row r="1343" spans="1:16">
      <c r="A1343" t="s">
        <v>1374</v>
      </c>
      <c r="B1343" s="2">
        <v>45663</v>
      </c>
      <c r="C1343" t="s">
        <v>723</v>
      </c>
      <c r="D1343" t="s">
        <v>18</v>
      </c>
      <c r="E1343" t="s">
        <v>19</v>
      </c>
      <c r="F1343" t="s">
        <v>41</v>
      </c>
      <c r="G1343" t="s">
        <v>26</v>
      </c>
      <c r="H1343">
        <v>1</v>
      </c>
      <c r="I1343">
        <v>0</v>
      </c>
      <c r="J1343">
        <v>0</v>
      </c>
      <c r="K1343">
        <v>0</v>
      </c>
      <c r="L1343">
        <v>0</v>
      </c>
      <c r="M1343">
        <v>0</v>
      </c>
      <c r="N1343">
        <v>0</v>
      </c>
      <c r="P1343">
        <v>36.799999999999997</v>
      </c>
    </row>
    <row r="1344" spans="1:16">
      <c r="A1344" t="s">
        <v>1375</v>
      </c>
      <c r="B1344" s="2">
        <v>45764</v>
      </c>
      <c r="C1344" t="s">
        <v>723</v>
      </c>
      <c r="D1344" t="s">
        <v>32</v>
      </c>
      <c r="E1344" t="s">
        <v>24</v>
      </c>
      <c r="F1344" t="s">
        <v>25</v>
      </c>
      <c r="G1344" t="s">
        <v>30</v>
      </c>
      <c r="H1344">
        <v>1</v>
      </c>
      <c r="I1344">
        <v>0</v>
      </c>
      <c r="J1344">
        <v>0</v>
      </c>
      <c r="K1344">
        <v>0</v>
      </c>
      <c r="L1344">
        <v>0</v>
      </c>
      <c r="M1344">
        <v>0</v>
      </c>
      <c r="N1344">
        <v>0</v>
      </c>
      <c r="P1344">
        <v>71.599999999999994</v>
      </c>
    </row>
    <row r="1345" spans="1:16">
      <c r="A1345" t="s">
        <v>1376</v>
      </c>
      <c r="B1345" s="2">
        <v>45800</v>
      </c>
      <c r="C1345" t="s">
        <v>723</v>
      </c>
      <c r="D1345" t="s">
        <v>32</v>
      </c>
      <c r="E1345" t="s">
        <v>24</v>
      </c>
      <c r="F1345" t="s">
        <v>20</v>
      </c>
      <c r="G1345" t="s">
        <v>21</v>
      </c>
      <c r="H1345">
        <v>1</v>
      </c>
      <c r="I1345">
        <v>1</v>
      </c>
      <c r="J1345">
        <v>0</v>
      </c>
      <c r="K1345">
        <v>0</v>
      </c>
      <c r="L1345">
        <v>0</v>
      </c>
      <c r="M1345">
        <v>1</v>
      </c>
      <c r="N1345">
        <v>0</v>
      </c>
      <c r="P1345">
        <v>79.7</v>
      </c>
    </row>
    <row r="1346" spans="1:16">
      <c r="A1346" t="s">
        <v>1377</v>
      </c>
      <c r="B1346" s="2">
        <v>45730</v>
      </c>
      <c r="C1346" t="s">
        <v>723</v>
      </c>
      <c r="D1346" t="s">
        <v>23</v>
      </c>
      <c r="E1346" t="s">
        <v>19</v>
      </c>
      <c r="F1346" t="s">
        <v>25</v>
      </c>
      <c r="G1346" t="s">
        <v>21</v>
      </c>
      <c r="H1346">
        <v>1</v>
      </c>
      <c r="I1346">
        <v>0</v>
      </c>
      <c r="J1346">
        <v>0</v>
      </c>
      <c r="K1346">
        <v>0</v>
      </c>
      <c r="L1346">
        <v>0</v>
      </c>
      <c r="M1346">
        <v>1</v>
      </c>
      <c r="N1346">
        <v>0</v>
      </c>
      <c r="P1346">
        <v>56.5</v>
      </c>
    </row>
    <row r="1347" spans="1:16">
      <c r="A1347" t="s">
        <v>1378</v>
      </c>
      <c r="B1347" s="2">
        <v>45768</v>
      </c>
      <c r="C1347" t="s">
        <v>723</v>
      </c>
      <c r="D1347" t="s">
        <v>18</v>
      </c>
      <c r="E1347" t="s">
        <v>24</v>
      </c>
      <c r="F1347" t="s">
        <v>41</v>
      </c>
      <c r="G1347" t="s">
        <v>30</v>
      </c>
      <c r="H1347">
        <v>1</v>
      </c>
      <c r="I1347">
        <v>0</v>
      </c>
      <c r="J1347">
        <v>0</v>
      </c>
      <c r="K1347">
        <v>0</v>
      </c>
      <c r="L1347">
        <v>0</v>
      </c>
      <c r="M1347">
        <v>0</v>
      </c>
      <c r="N1347">
        <v>0</v>
      </c>
      <c r="P1347">
        <v>44.7</v>
      </c>
    </row>
    <row r="1348" spans="1:16">
      <c r="A1348" t="s">
        <v>1379</v>
      </c>
      <c r="B1348" s="2">
        <v>45660</v>
      </c>
      <c r="C1348" t="s">
        <v>723</v>
      </c>
      <c r="D1348" t="s">
        <v>32</v>
      </c>
      <c r="E1348" t="s">
        <v>24</v>
      </c>
      <c r="F1348" t="s">
        <v>41</v>
      </c>
      <c r="G1348" t="s">
        <v>26</v>
      </c>
      <c r="H1348">
        <v>1</v>
      </c>
      <c r="I1348">
        <v>1</v>
      </c>
      <c r="J1348">
        <v>1</v>
      </c>
      <c r="K1348">
        <v>0</v>
      </c>
      <c r="L1348">
        <v>0</v>
      </c>
      <c r="M1348">
        <v>1</v>
      </c>
      <c r="N1348">
        <v>0</v>
      </c>
      <c r="P1348">
        <v>66</v>
      </c>
    </row>
    <row r="1349" spans="1:16">
      <c r="A1349" t="s">
        <v>1380</v>
      </c>
      <c r="B1349" s="2">
        <v>45786</v>
      </c>
      <c r="C1349" t="s">
        <v>723</v>
      </c>
      <c r="D1349" t="s">
        <v>18</v>
      </c>
      <c r="E1349" t="s">
        <v>19</v>
      </c>
      <c r="F1349" t="s">
        <v>25</v>
      </c>
      <c r="G1349" t="s">
        <v>21</v>
      </c>
      <c r="H1349">
        <v>1</v>
      </c>
      <c r="I1349">
        <v>0</v>
      </c>
      <c r="J1349">
        <v>0</v>
      </c>
      <c r="K1349">
        <v>0</v>
      </c>
      <c r="L1349">
        <v>0</v>
      </c>
      <c r="M1349">
        <v>0</v>
      </c>
      <c r="N1349">
        <v>0</v>
      </c>
      <c r="P1349">
        <v>73</v>
      </c>
    </row>
    <row r="1350" spans="1:16">
      <c r="A1350" t="s">
        <v>1381</v>
      </c>
      <c r="B1350" s="2">
        <v>45799</v>
      </c>
      <c r="C1350" t="s">
        <v>723</v>
      </c>
      <c r="D1350" t="s">
        <v>32</v>
      </c>
      <c r="E1350" t="s">
        <v>24</v>
      </c>
      <c r="F1350" t="s">
        <v>25</v>
      </c>
      <c r="G1350" t="s">
        <v>21</v>
      </c>
      <c r="H1350">
        <v>1</v>
      </c>
      <c r="I1350">
        <v>1</v>
      </c>
      <c r="J1350">
        <v>1</v>
      </c>
      <c r="K1350">
        <v>0</v>
      </c>
      <c r="L1350">
        <v>0</v>
      </c>
      <c r="M1350">
        <v>1</v>
      </c>
      <c r="N1350">
        <v>0</v>
      </c>
      <c r="P1350">
        <v>72.5</v>
      </c>
    </row>
    <row r="1351" spans="1:16">
      <c r="A1351" t="s">
        <v>1382</v>
      </c>
      <c r="B1351" s="2">
        <v>45784</v>
      </c>
      <c r="C1351" t="s">
        <v>723</v>
      </c>
      <c r="D1351" t="s">
        <v>32</v>
      </c>
      <c r="E1351" t="s">
        <v>19</v>
      </c>
      <c r="F1351" t="s">
        <v>29</v>
      </c>
      <c r="G1351" t="s">
        <v>26</v>
      </c>
      <c r="H1351">
        <v>1</v>
      </c>
      <c r="I1351">
        <v>1</v>
      </c>
      <c r="J1351">
        <v>1</v>
      </c>
      <c r="K1351">
        <v>1</v>
      </c>
      <c r="L1351">
        <v>323.60000000000002</v>
      </c>
      <c r="M1351">
        <v>0</v>
      </c>
      <c r="N1351">
        <v>0</v>
      </c>
      <c r="O1351">
        <v>6</v>
      </c>
      <c r="P1351">
        <v>100</v>
      </c>
    </row>
    <row r="1352" spans="1:16">
      <c r="A1352" t="s">
        <v>1383</v>
      </c>
      <c r="B1352" s="2">
        <v>45696</v>
      </c>
      <c r="C1352" t="s">
        <v>723</v>
      </c>
      <c r="D1352" t="s">
        <v>28</v>
      </c>
      <c r="E1352" t="s">
        <v>24</v>
      </c>
      <c r="F1352" t="s">
        <v>41</v>
      </c>
      <c r="G1352" t="s">
        <v>26</v>
      </c>
      <c r="H1352">
        <v>0</v>
      </c>
      <c r="I1352">
        <v>0</v>
      </c>
      <c r="J1352">
        <v>0</v>
      </c>
      <c r="K1352">
        <v>0</v>
      </c>
      <c r="L1352">
        <v>0</v>
      </c>
      <c r="M1352">
        <v>1</v>
      </c>
      <c r="N1352">
        <v>0</v>
      </c>
      <c r="P1352">
        <v>90.5</v>
      </c>
    </row>
    <row r="1353" spans="1:16">
      <c r="A1353" t="s">
        <v>1384</v>
      </c>
      <c r="B1353" s="2">
        <v>45750</v>
      </c>
      <c r="C1353" t="s">
        <v>723</v>
      </c>
      <c r="D1353" t="s">
        <v>18</v>
      </c>
      <c r="E1353" t="s">
        <v>34</v>
      </c>
      <c r="F1353" t="s">
        <v>41</v>
      </c>
      <c r="G1353" t="s">
        <v>21</v>
      </c>
      <c r="H1353">
        <v>1</v>
      </c>
      <c r="I1353">
        <v>0</v>
      </c>
      <c r="J1353">
        <v>0</v>
      </c>
      <c r="K1353">
        <v>0</v>
      </c>
      <c r="L1353">
        <v>0</v>
      </c>
      <c r="M1353">
        <v>0</v>
      </c>
      <c r="N1353">
        <v>0</v>
      </c>
      <c r="P1353">
        <v>70.2</v>
      </c>
    </row>
    <row r="1354" spans="1:16">
      <c r="A1354" t="s">
        <v>1385</v>
      </c>
      <c r="B1354" s="2">
        <v>45764</v>
      </c>
      <c r="C1354" t="s">
        <v>723</v>
      </c>
      <c r="D1354" t="s">
        <v>28</v>
      </c>
      <c r="E1354" t="s">
        <v>19</v>
      </c>
      <c r="F1354" t="s">
        <v>29</v>
      </c>
      <c r="G1354" t="s">
        <v>26</v>
      </c>
      <c r="H1354">
        <v>1</v>
      </c>
      <c r="I1354">
        <v>0</v>
      </c>
      <c r="J1354">
        <v>0</v>
      </c>
      <c r="K1354">
        <v>0</v>
      </c>
      <c r="L1354">
        <v>0</v>
      </c>
      <c r="M1354">
        <v>1</v>
      </c>
      <c r="N1354">
        <v>0</v>
      </c>
      <c r="P1354">
        <v>67.099999999999994</v>
      </c>
    </row>
    <row r="1355" spans="1:16">
      <c r="A1355" t="s">
        <v>1386</v>
      </c>
      <c r="B1355" s="2">
        <v>45781</v>
      </c>
      <c r="C1355" t="s">
        <v>723</v>
      </c>
      <c r="D1355" t="s">
        <v>28</v>
      </c>
      <c r="E1355" t="s">
        <v>24</v>
      </c>
      <c r="F1355" t="s">
        <v>25</v>
      </c>
      <c r="G1355" t="s">
        <v>26</v>
      </c>
      <c r="H1355">
        <v>0</v>
      </c>
      <c r="I1355">
        <v>0</v>
      </c>
      <c r="J1355">
        <v>0</v>
      </c>
      <c r="K1355">
        <v>0</v>
      </c>
      <c r="L1355">
        <v>0</v>
      </c>
      <c r="M1355">
        <v>0</v>
      </c>
      <c r="N1355">
        <v>0</v>
      </c>
      <c r="P1355">
        <v>54.5</v>
      </c>
    </row>
    <row r="1356" spans="1:16">
      <c r="A1356" t="s">
        <v>1387</v>
      </c>
      <c r="B1356" s="2">
        <v>45788</v>
      </c>
      <c r="C1356" t="s">
        <v>723</v>
      </c>
      <c r="D1356" t="s">
        <v>23</v>
      </c>
      <c r="E1356" t="s">
        <v>19</v>
      </c>
      <c r="F1356" t="s">
        <v>25</v>
      </c>
      <c r="G1356" t="s">
        <v>26</v>
      </c>
      <c r="H1356">
        <v>1</v>
      </c>
      <c r="I1356">
        <v>0</v>
      </c>
      <c r="J1356">
        <v>0</v>
      </c>
      <c r="K1356">
        <v>0</v>
      </c>
      <c r="L1356">
        <v>0</v>
      </c>
      <c r="M1356">
        <v>0</v>
      </c>
      <c r="N1356">
        <v>0</v>
      </c>
      <c r="P1356">
        <v>63.4</v>
      </c>
    </row>
    <row r="1357" spans="1:16">
      <c r="A1357" t="s">
        <v>1388</v>
      </c>
      <c r="B1357" s="2">
        <v>45717</v>
      </c>
      <c r="C1357" t="s">
        <v>723</v>
      </c>
      <c r="D1357" t="s">
        <v>18</v>
      </c>
      <c r="E1357" t="s">
        <v>19</v>
      </c>
      <c r="G1357" t="s">
        <v>26</v>
      </c>
      <c r="H1357">
        <v>1</v>
      </c>
      <c r="I1357">
        <v>1</v>
      </c>
      <c r="J1357">
        <v>1</v>
      </c>
      <c r="K1357">
        <v>0</v>
      </c>
      <c r="L1357">
        <v>0</v>
      </c>
      <c r="M1357">
        <v>0</v>
      </c>
      <c r="N1357">
        <v>0</v>
      </c>
      <c r="P1357">
        <v>84.3</v>
      </c>
    </row>
    <row r="1358" spans="1:16">
      <c r="A1358" t="s">
        <v>1389</v>
      </c>
      <c r="B1358" s="2">
        <v>45708</v>
      </c>
      <c r="C1358" t="s">
        <v>723</v>
      </c>
      <c r="D1358" t="s">
        <v>23</v>
      </c>
      <c r="E1358" t="s">
        <v>19</v>
      </c>
      <c r="F1358" t="s">
        <v>25</v>
      </c>
      <c r="G1358" t="s">
        <v>26</v>
      </c>
      <c r="H1358">
        <v>1</v>
      </c>
      <c r="I1358">
        <v>0</v>
      </c>
      <c r="J1358">
        <v>0</v>
      </c>
      <c r="K1358">
        <v>0</v>
      </c>
      <c r="L1358">
        <v>0</v>
      </c>
      <c r="M1358">
        <v>1</v>
      </c>
      <c r="N1358">
        <v>0</v>
      </c>
      <c r="P1358">
        <v>55</v>
      </c>
    </row>
    <row r="1359" spans="1:16">
      <c r="A1359" t="s">
        <v>1390</v>
      </c>
      <c r="B1359" s="2">
        <v>45786</v>
      </c>
      <c r="C1359" t="s">
        <v>723</v>
      </c>
      <c r="D1359" t="s">
        <v>23</v>
      </c>
      <c r="E1359" t="s">
        <v>24</v>
      </c>
      <c r="F1359" t="s">
        <v>41</v>
      </c>
      <c r="G1359" t="s">
        <v>26</v>
      </c>
      <c r="H1359">
        <v>1</v>
      </c>
      <c r="I1359">
        <v>0</v>
      </c>
      <c r="J1359">
        <v>0</v>
      </c>
      <c r="K1359">
        <v>0</v>
      </c>
      <c r="L1359">
        <v>0</v>
      </c>
      <c r="M1359">
        <v>0</v>
      </c>
      <c r="N1359">
        <v>0</v>
      </c>
      <c r="P1359">
        <v>63.6</v>
      </c>
    </row>
    <row r="1360" spans="1:16">
      <c r="A1360" t="s">
        <v>1391</v>
      </c>
      <c r="B1360" s="2">
        <v>45777</v>
      </c>
      <c r="C1360" t="s">
        <v>723</v>
      </c>
      <c r="D1360" t="s">
        <v>23</v>
      </c>
      <c r="E1360" t="s">
        <v>24</v>
      </c>
      <c r="F1360" t="s">
        <v>25</v>
      </c>
      <c r="G1360" t="s">
        <v>26</v>
      </c>
      <c r="H1360">
        <v>1</v>
      </c>
      <c r="I1360">
        <v>0</v>
      </c>
      <c r="J1360">
        <v>0</v>
      </c>
      <c r="K1360">
        <v>0</v>
      </c>
      <c r="L1360">
        <v>0</v>
      </c>
      <c r="M1360">
        <v>0</v>
      </c>
      <c r="N1360">
        <v>0</v>
      </c>
      <c r="P1360">
        <v>55.5</v>
      </c>
    </row>
    <row r="1361" spans="1:16">
      <c r="A1361" t="s">
        <v>1392</v>
      </c>
      <c r="B1361" s="2">
        <v>45664</v>
      </c>
      <c r="C1361" t="s">
        <v>723</v>
      </c>
      <c r="D1361" t="s">
        <v>32</v>
      </c>
      <c r="E1361" t="s">
        <v>24</v>
      </c>
      <c r="F1361" t="s">
        <v>41</v>
      </c>
      <c r="G1361" t="s">
        <v>21</v>
      </c>
      <c r="H1361">
        <v>0</v>
      </c>
      <c r="I1361">
        <v>0</v>
      </c>
      <c r="J1361">
        <v>0</v>
      </c>
      <c r="K1361">
        <v>0</v>
      </c>
      <c r="L1361">
        <v>0</v>
      </c>
      <c r="M1361">
        <v>0</v>
      </c>
      <c r="N1361">
        <v>0</v>
      </c>
      <c r="P1361">
        <v>50.5</v>
      </c>
    </row>
    <row r="1362" spans="1:16">
      <c r="A1362" t="s">
        <v>1393</v>
      </c>
      <c r="B1362" s="2">
        <v>45777</v>
      </c>
      <c r="C1362" t="s">
        <v>723</v>
      </c>
      <c r="D1362" t="s">
        <v>18</v>
      </c>
      <c r="E1362" t="s">
        <v>24</v>
      </c>
      <c r="F1362" t="s">
        <v>41</v>
      </c>
      <c r="G1362" t="s">
        <v>21</v>
      </c>
      <c r="H1362">
        <v>1</v>
      </c>
      <c r="I1362">
        <v>0</v>
      </c>
      <c r="J1362">
        <v>0</v>
      </c>
      <c r="K1362">
        <v>0</v>
      </c>
      <c r="L1362">
        <v>0</v>
      </c>
      <c r="M1362">
        <v>0</v>
      </c>
      <c r="N1362">
        <v>0</v>
      </c>
      <c r="P1362">
        <v>45.3</v>
      </c>
    </row>
    <row r="1363" spans="1:16">
      <c r="A1363" t="s">
        <v>1394</v>
      </c>
      <c r="B1363" s="2">
        <v>45800</v>
      </c>
      <c r="C1363" t="s">
        <v>723</v>
      </c>
      <c r="D1363" t="s">
        <v>28</v>
      </c>
      <c r="E1363" t="s">
        <v>24</v>
      </c>
      <c r="F1363" t="s">
        <v>25</v>
      </c>
      <c r="G1363" t="s">
        <v>21</v>
      </c>
      <c r="H1363">
        <v>1</v>
      </c>
      <c r="I1363">
        <v>0</v>
      </c>
      <c r="J1363">
        <v>0</v>
      </c>
      <c r="K1363">
        <v>0</v>
      </c>
      <c r="L1363">
        <v>0</v>
      </c>
      <c r="M1363">
        <v>0</v>
      </c>
      <c r="N1363">
        <v>0</v>
      </c>
      <c r="P1363">
        <v>33.6</v>
      </c>
    </row>
    <row r="1364" spans="1:16">
      <c r="A1364" t="s">
        <v>1395</v>
      </c>
      <c r="B1364" s="2">
        <v>45728</v>
      </c>
      <c r="C1364" t="s">
        <v>723</v>
      </c>
      <c r="D1364" t="s">
        <v>32</v>
      </c>
      <c r="E1364" t="s">
        <v>24</v>
      </c>
      <c r="F1364" t="s">
        <v>29</v>
      </c>
      <c r="G1364" t="s">
        <v>30</v>
      </c>
      <c r="H1364">
        <v>1</v>
      </c>
      <c r="I1364">
        <v>1</v>
      </c>
      <c r="J1364">
        <v>1</v>
      </c>
      <c r="K1364">
        <v>0</v>
      </c>
      <c r="L1364">
        <v>0</v>
      </c>
      <c r="M1364">
        <v>0</v>
      </c>
      <c r="N1364">
        <v>0</v>
      </c>
      <c r="P1364">
        <v>88.2</v>
      </c>
    </row>
    <row r="1365" spans="1:16">
      <c r="A1365" t="s">
        <v>1396</v>
      </c>
      <c r="B1365" s="2">
        <v>45705</v>
      </c>
      <c r="C1365" t="s">
        <v>723</v>
      </c>
      <c r="D1365" t="s">
        <v>18</v>
      </c>
      <c r="E1365" t="s">
        <v>24</v>
      </c>
      <c r="F1365" t="s">
        <v>25</v>
      </c>
      <c r="G1365" t="s">
        <v>30</v>
      </c>
      <c r="H1365">
        <v>1</v>
      </c>
      <c r="I1365">
        <v>0</v>
      </c>
      <c r="J1365">
        <v>0</v>
      </c>
      <c r="K1365">
        <v>0</v>
      </c>
      <c r="L1365">
        <v>0</v>
      </c>
      <c r="M1365">
        <v>0</v>
      </c>
      <c r="N1365">
        <v>0</v>
      </c>
      <c r="P1365">
        <v>51.8</v>
      </c>
    </row>
    <row r="1366" spans="1:16">
      <c r="A1366" t="s">
        <v>1397</v>
      </c>
      <c r="B1366" s="2">
        <v>45804</v>
      </c>
      <c r="C1366" t="s">
        <v>723</v>
      </c>
      <c r="D1366" t="s">
        <v>18</v>
      </c>
      <c r="E1366" t="s">
        <v>19</v>
      </c>
      <c r="F1366" t="s">
        <v>25</v>
      </c>
      <c r="G1366" t="s">
        <v>21</v>
      </c>
      <c r="H1366">
        <v>0</v>
      </c>
      <c r="I1366">
        <v>0</v>
      </c>
      <c r="J1366">
        <v>0</v>
      </c>
      <c r="K1366">
        <v>0</v>
      </c>
      <c r="L1366">
        <v>0</v>
      </c>
      <c r="M1366">
        <v>0</v>
      </c>
      <c r="N1366">
        <v>0</v>
      </c>
      <c r="P1366">
        <v>87.9</v>
      </c>
    </row>
    <row r="1367" spans="1:16">
      <c r="A1367" t="s">
        <v>1398</v>
      </c>
      <c r="B1367" s="2">
        <v>45787</v>
      </c>
      <c r="C1367" t="s">
        <v>723</v>
      </c>
      <c r="D1367" t="s">
        <v>32</v>
      </c>
      <c r="E1367" t="s">
        <v>24</v>
      </c>
      <c r="F1367" t="s">
        <v>41</v>
      </c>
      <c r="G1367" t="s">
        <v>30</v>
      </c>
      <c r="H1367">
        <v>1</v>
      </c>
      <c r="I1367">
        <v>0</v>
      </c>
      <c r="J1367">
        <v>0</v>
      </c>
      <c r="K1367">
        <v>0</v>
      </c>
      <c r="L1367">
        <v>0</v>
      </c>
      <c r="M1367">
        <v>2</v>
      </c>
      <c r="N1367">
        <v>0</v>
      </c>
      <c r="P1367">
        <v>70.5</v>
      </c>
    </row>
    <row r="1368" spans="1:16">
      <c r="A1368" t="s">
        <v>1399</v>
      </c>
      <c r="B1368" s="2">
        <v>45677</v>
      </c>
      <c r="C1368" t="s">
        <v>723</v>
      </c>
      <c r="D1368" t="s">
        <v>18</v>
      </c>
      <c r="E1368" t="s">
        <v>24</v>
      </c>
      <c r="F1368" t="s">
        <v>25</v>
      </c>
      <c r="G1368" t="s">
        <v>21</v>
      </c>
      <c r="H1368">
        <v>1</v>
      </c>
      <c r="I1368">
        <v>1</v>
      </c>
      <c r="J1368">
        <v>0</v>
      </c>
      <c r="K1368">
        <v>0</v>
      </c>
      <c r="L1368">
        <v>0</v>
      </c>
      <c r="M1368">
        <v>2</v>
      </c>
      <c r="N1368">
        <v>0</v>
      </c>
      <c r="P1368">
        <v>58.5</v>
      </c>
    </row>
    <row r="1369" spans="1:16">
      <c r="A1369" t="s">
        <v>1400</v>
      </c>
      <c r="B1369" s="2">
        <v>45676</v>
      </c>
      <c r="C1369" t="s">
        <v>723</v>
      </c>
      <c r="D1369" t="s">
        <v>28</v>
      </c>
      <c r="E1369" t="s">
        <v>24</v>
      </c>
      <c r="F1369" t="s">
        <v>39</v>
      </c>
      <c r="G1369" t="s">
        <v>26</v>
      </c>
      <c r="H1369">
        <v>1</v>
      </c>
      <c r="I1369">
        <v>0</v>
      </c>
      <c r="J1369">
        <v>0</v>
      </c>
      <c r="K1369">
        <v>0</v>
      </c>
      <c r="L1369">
        <v>0</v>
      </c>
      <c r="M1369">
        <v>0</v>
      </c>
      <c r="N1369">
        <v>0</v>
      </c>
      <c r="P1369">
        <v>65.599999999999994</v>
      </c>
    </row>
    <row r="1370" spans="1:16">
      <c r="A1370" t="s">
        <v>1401</v>
      </c>
      <c r="B1370" s="2">
        <v>45723</v>
      </c>
      <c r="C1370" t="s">
        <v>723</v>
      </c>
      <c r="D1370" t="s">
        <v>23</v>
      </c>
      <c r="E1370" t="s">
        <v>19</v>
      </c>
      <c r="F1370" t="s">
        <v>29</v>
      </c>
      <c r="G1370" t="s">
        <v>21</v>
      </c>
      <c r="H1370">
        <v>1</v>
      </c>
      <c r="I1370">
        <v>1</v>
      </c>
      <c r="J1370">
        <v>0</v>
      </c>
      <c r="K1370">
        <v>0</v>
      </c>
      <c r="L1370">
        <v>0</v>
      </c>
      <c r="M1370">
        <v>0</v>
      </c>
      <c r="N1370">
        <v>0</v>
      </c>
      <c r="P1370">
        <v>62.7</v>
      </c>
    </row>
    <row r="1371" spans="1:16">
      <c r="A1371" t="s">
        <v>1402</v>
      </c>
      <c r="B1371" s="2">
        <v>45690</v>
      </c>
      <c r="C1371" t="s">
        <v>723</v>
      </c>
      <c r="D1371" t="s">
        <v>28</v>
      </c>
      <c r="E1371" t="s">
        <v>24</v>
      </c>
      <c r="F1371" t="s">
        <v>25</v>
      </c>
      <c r="G1371" t="s">
        <v>26</v>
      </c>
      <c r="H1371">
        <v>0</v>
      </c>
      <c r="I1371">
        <v>0</v>
      </c>
      <c r="J1371">
        <v>0</v>
      </c>
      <c r="K1371">
        <v>0</v>
      </c>
      <c r="L1371">
        <v>0</v>
      </c>
      <c r="M1371">
        <v>1</v>
      </c>
      <c r="N1371">
        <v>0</v>
      </c>
      <c r="P1371">
        <v>50.9</v>
      </c>
    </row>
    <row r="1372" spans="1:16">
      <c r="A1372" t="s">
        <v>1403</v>
      </c>
      <c r="B1372" s="2">
        <v>45723</v>
      </c>
      <c r="C1372" t="s">
        <v>723</v>
      </c>
      <c r="D1372" t="s">
        <v>18</v>
      </c>
      <c r="E1372" t="s">
        <v>24</v>
      </c>
      <c r="F1372" t="s">
        <v>25</v>
      </c>
      <c r="G1372" t="s">
        <v>26</v>
      </c>
      <c r="H1372">
        <v>0</v>
      </c>
      <c r="I1372">
        <v>0</v>
      </c>
      <c r="J1372">
        <v>0</v>
      </c>
      <c r="K1372">
        <v>0</v>
      </c>
      <c r="L1372">
        <v>0</v>
      </c>
      <c r="M1372">
        <v>1</v>
      </c>
      <c r="N1372">
        <v>0</v>
      </c>
      <c r="P1372">
        <v>60.6</v>
      </c>
    </row>
    <row r="1373" spans="1:16">
      <c r="A1373" t="s">
        <v>1404</v>
      </c>
      <c r="B1373" s="2">
        <v>45746</v>
      </c>
      <c r="C1373" t="s">
        <v>723</v>
      </c>
      <c r="D1373" t="s">
        <v>28</v>
      </c>
      <c r="E1373" t="s">
        <v>19</v>
      </c>
      <c r="F1373" t="s">
        <v>25</v>
      </c>
      <c r="G1373" t="s">
        <v>26</v>
      </c>
      <c r="H1373">
        <v>1</v>
      </c>
      <c r="I1373">
        <v>1</v>
      </c>
      <c r="J1373">
        <v>1</v>
      </c>
      <c r="K1373">
        <v>0</v>
      </c>
      <c r="L1373">
        <v>0</v>
      </c>
      <c r="M1373">
        <v>0</v>
      </c>
      <c r="N1373">
        <v>0</v>
      </c>
      <c r="P1373">
        <v>76.599999999999994</v>
      </c>
    </row>
    <row r="1374" spans="1:16">
      <c r="A1374" t="s">
        <v>1405</v>
      </c>
      <c r="B1374" s="2">
        <v>45782</v>
      </c>
      <c r="C1374" t="s">
        <v>723</v>
      </c>
      <c r="D1374" t="s">
        <v>28</v>
      </c>
      <c r="E1374" t="s">
        <v>19</v>
      </c>
      <c r="F1374" t="s">
        <v>29</v>
      </c>
      <c r="G1374" t="s">
        <v>26</v>
      </c>
      <c r="H1374">
        <v>1</v>
      </c>
      <c r="I1374">
        <v>1</v>
      </c>
      <c r="J1374">
        <v>1</v>
      </c>
      <c r="K1374">
        <v>0</v>
      </c>
      <c r="L1374">
        <v>0</v>
      </c>
      <c r="M1374">
        <v>0</v>
      </c>
      <c r="N1374">
        <v>0</v>
      </c>
      <c r="P1374">
        <v>54.4</v>
      </c>
    </row>
    <row r="1375" spans="1:16">
      <c r="A1375" t="s">
        <v>1406</v>
      </c>
      <c r="B1375" s="2">
        <v>45758</v>
      </c>
      <c r="C1375" t="s">
        <v>723</v>
      </c>
      <c r="D1375" t="s">
        <v>32</v>
      </c>
      <c r="E1375" t="s">
        <v>24</v>
      </c>
      <c r="F1375" t="s">
        <v>41</v>
      </c>
      <c r="G1375" t="s">
        <v>26</v>
      </c>
      <c r="H1375">
        <v>1</v>
      </c>
      <c r="I1375">
        <v>0</v>
      </c>
      <c r="J1375">
        <v>0</v>
      </c>
      <c r="K1375">
        <v>0</v>
      </c>
      <c r="L1375">
        <v>0</v>
      </c>
      <c r="M1375">
        <v>0</v>
      </c>
      <c r="N1375">
        <v>0</v>
      </c>
      <c r="P1375">
        <v>31.2</v>
      </c>
    </row>
    <row r="1376" spans="1:16">
      <c r="A1376" t="s">
        <v>1407</v>
      </c>
      <c r="B1376" s="2">
        <v>45741</v>
      </c>
      <c r="C1376" t="s">
        <v>723</v>
      </c>
      <c r="D1376" t="s">
        <v>23</v>
      </c>
      <c r="E1376" t="s">
        <v>19</v>
      </c>
      <c r="F1376" t="s">
        <v>20</v>
      </c>
      <c r="G1376" t="s">
        <v>30</v>
      </c>
      <c r="H1376">
        <v>1</v>
      </c>
      <c r="I1376">
        <v>0</v>
      </c>
      <c r="J1376">
        <v>0</v>
      </c>
      <c r="K1376">
        <v>0</v>
      </c>
      <c r="L1376">
        <v>0</v>
      </c>
      <c r="M1376">
        <v>0</v>
      </c>
      <c r="N1376">
        <v>0</v>
      </c>
      <c r="P1376">
        <v>72.400000000000006</v>
      </c>
    </row>
    <row r="1377" spans="1:16">
      <c r="A1377" t="s">
        <v>1408</v>
      </c>
      <c r="B1377" s="2">
        <v>45740</v>
      </c>
      <c r="C1377" t="s">
        <v>723</v>
      </c>
      <c r="D1377" t="s">
        <v>18</v>
      </c>
      <c r="E1377" t="s">
        <v>24</v>
      </c>
      <c r="F1377" t="s">
        <v>25</v>
      </c>
      <c r="G1377" t="s">
        <v>30</v>
      </c>
      <c r="H1377">
        <v>1</v>
      </c>
      <c r="I1377">
        <v>0</v>
      </c>
      <c r="J1377">
        <v>0</v>
      </c>
      <c r="K1377">
        <v>0</v>
      </c>
      <c r="L1377">
        <v>0</v>
      </c>
      <c r="M1377">
        <v>0</v>
      </c>
      <c r="N1377">
        <v>0</v>
      </c>
      <c r="P1377">
        <v>74.5</v>
      </c>
    </row>
    <row r="1378" spans="1:16">
      <c r="A1378" t="s">
        <v>1409</v>
      </c>
      <c r="B1378" s="2">
        <v>45774</v>
      </c>
      <c r="C1378" t="s">
        <v>723</v>
      </c>
      <c r="D1378" t="s">
        <v>28</v>
      </c>
      <c r="E1378" t="s">
        <v>24</v>
      </c>
      <c r="F1378" t="s">
        <v>25</v>
      </c>
      <c r="G1378" t="s">
        <v>21</v>
      </c>
      <c r="H1378">
        <v>0</v>
      </c>
      <c r="I1378">
        <v>0</v>
      </c>
      <c r="J1378">
        <v>0</v>
      </c>
      <c r="K1378">
        <v>0</v>
      </c>
      <c r="L1378">
        <v>0</v>
      </c>
      <c r="M1378">
        <v>0</v>
      </c>
      <c r="N1378">
        <v>0</v>
      </c>
      <c r="P1378">
        <v>52.6</v>
      </c>
    </row>
    <row r="1379" spans="1:16">
      <c r="A1379" t="s">
        <v>1410</v>
      </c>
      <c r="B1379" s="2">
        <v>45682</v>
      </c>
      <c r="C1379" t="s">
        <v>723</v>
      </c>
      <c r="D1379" t="s">
        <v>18</v>
      </c>
      <c r="E1379" t="s">
        <v>19</v>
      </c>
      <c r="F1379" t="s">
        <v>29</v>
      </c>
      <c r="G1379" t="s">
        <v>26</v>
      </c>
      <c r="H1379">
        <v>1</v>
      </c>
      <c r="I1379">
        <v>0</v>
      </c>
      <c r="J1379">
        <v>0</v>
      </c>
      <c r="K1379">
        <v>0</v>
      </c>
      <c r="L1379">
        <v>0</v>
      </c>
      <c r="M1379">
        <v>0</v>
      </c>
      <c r="N1379">
        <v>0</v>
      </c>
      <c r="P1379">
        <v>75.400000000000006</v>
      </c>
    </row>
    <row r="1380" spans="1:16">
      <c r="A1380" t="s">
        <v>1411</v>
      </c>
      <c r="B1380" s="2">
        <v>45705</v>
      </c>
      <c r="C1380" t="s">
        <v>723</v>
      </c>
      <c r="D1380" t="s">
        <v>18</v>
      </c>
      <c r="E1380" t="s">
        <v>34</v>
      </c>
      <c r="F1380" t="s">
        <v>41</v>
      </c>
      <c r="G1380" t="s">
        <v>21</v>
      </c>
      <c r="H1380">
        <v>1</v>
      </c>
      <c r="I1380">
        <v>1</v>
      </c>
      <c r="J1380">
        <v>1</v>
      </c>
      <c r="K1380">
        <v>1</v>
      </c>
      <c r="L1380">
        <v>751.33</v>
      </c>
      <c r="M1380">
        <v>0</v>
      </c>
      <c r="N1380">
        <v>0</v>
      </c>
      <c r="O1380">
        <v>9</v>
      </c>
      <c r="P1380">
        <v>34</v>
      </c>
    </row>
    <row r="1381" spans="1:16">
      <c r="A1381" t="s">
        <v>1412</v>
      </c>
      <c r="B1381" s="2">
        <v>45760</v>
      </c>
      <c r="C1381" t="s">
        <v>723</v>
      </c>
      <c r="D1381" t="s">
        <v>32</v>
      </c>
      <c r="E1381" t="s">
        <v>19</v>
      </c>
      <c r="F1381" t="s">
        <v>25</v>
      </c>
      <c r="G1381" t="s">
        <v>26</v>
      </c>
      <c r="H1381">
        <v>1</v>
      </c>
      <c r="I1381">
        <v>0</v>
      </c>
      <c r="J1381">
        <v>0</v>
      </c>
      <c r="K1381">
        <v>0</v>
      </c>
      <c r="L1381">
        <v>0</v>
      </c>
      <c r="M1381">
        <v>0</v>
      </c>
      <c r="N1381">
        <v>0</v>
      </c>
      <c r="P1381">
        <v>67.099999999999994</v>
      </c>
    </row>
    <row r="1382" spans="1:16">
      <c r="A1382" t="s">
        <v>1413</v>
      </c>
      <c r="B1382" s="2">
        <v>45780</v>
      </c>
      <c r="C1382" t="s">
        <v>723</v>
      </c>
      <c r="D1382" t="s">
        <v>23</v>
      </c>
      <c r="E1382" t="s">
        <v>19</v>
      </c>
      <c r="F1382" t="s">
        <v>29</v>
      </c>
      <c r="G1382" t="s">
        <v>30</v>
      </c>
      <c r="H1382">
        <v>1</v>
      </c>
      <c r="I1382">
        <v>0</v>
      </c>
      <c r="J1382">
        <v>0</v>
      </c>
      <c r="K1382">
        <v>0</v>
      </c>
      <c r="L1382">
        <v>0</v>
      </c>
      <c r="M1382">
        <v>0</v>
      </c>
      <c r="N1382">
        <v>0</v>
      </c>
      <c r="P1382">
        <v>37.299999999999997</v>
      </c>
    </row>
    <row r="1383" spans="1:16">
      <c r="A1383" t="s">
        <v>1414</v>
      </c>
      <c r="B1383" s="2">
        <v>45776</v>
      </c>
      <c r="C1383" t="s">
        <v>723</v>
      </c>
      <c r="D1383" t="s">
        <v>23</v>
      </c>
      <c r="E1383" t="s">
        <v>24</v>
      </c>
      <c r="F1383" t="s">
        <v>20</v>
      </c>
      <c r="G1383" t="s">
        <v>26</v>
      </c>
      <c r="H1383">
        <v>1</v>
      </c>
      <c r="I1383">
        <v>0</v>
      </c>
      <c r="J1383">
        <v>0</v>
      </c>
      <c r="K1383">
        <v>0</v>
      </c>
      <c r="L1383">
        <v>0</v>
      </c>
      <c r="M1383">
        <v>0</v>
      </c>
      <c r="N1383">
        <v>0</v>
      </c>
      <c r="P1383">
        <v>54.7</v>
      </c>
    </row>
    <row r="1384" spans="1:16">
      <c r="A1384" t="s">
        <v>1415</v>
      </c>
      <c r="B1384" s="2">
        <v>45780</v>
      </c>
      <c r="C1384" t="s">
        <v>723</v>
      </c>
      <c r="D1384" t="s">
        <v>28</v>
      </c>
      <c r="E1384" t="s">
        <v>19</v>
      </c>
      <c r="F1384" t="s">
        <v>29</v>
      </c>
      <c r="G1384" t="s">
        <v>26</v>
      </c>
      <c r="H1384">
        <v>1</v>
      </c>
      <c r="I1384">
        <v>0</v>
      </c>
      <c r="J1384">
        <v>0</v>
      </c>
      <c r="K1384">
        <v>0</v>
      </c>
      <c r="L1384">
        <v>0</v>
      </c>
      <c r="M1384">
        <v>0</v>
      </c>
      <c r="N1384">
        <v>0</v>
      </c>
      <c r="P1384">
        <v>51.8</v>
      </c>
    </row>
    <row r="1385" spans="1:16">
      <c r="A1385" t="s">
        <v>1416</v>
      </c>
      <c r="B1385" s="2">
        <v>45775</v>
      </c>
      <c r="C1385" t="s">
        <v>723</v>
      </c>
      <c r="D1385" t="s">
        <v>23</v>
      </c>
      <c r="E1385" t="s">
        <v>24</v>
      </c>
      <c r="F1385" t="s">
        <v>29</v>
      </c>
      <c r="G1385" t="s">
        <v>26</v>
      </c>
      <c r="H1385">
        <v>0</v>
      </c>
      <c r="I1385">
        <v>0</v>
      </c>
      <c r="J1385">
        <v>0</v>
      </c>
      <c r="K1385">
        <v>0</v>
      </c>
      <c r="L1385">
        <v>0</v>
      </c>
      <c r="M1385">
        <v>0</v>
      </c>
      <c r="N1385">
        <v>0</v>
      </c>
      <c r="P1385">
        <v>49.2</v>
      </c>
    </row>
    <row r="1386" spans="1:16">
      <c r="A1386" t="s">
        <v>1417</v>
      </c>
      <c r="B1386" s="2">
        <v>45678</v>
      </c>
      <c r="C1386" t="s">
        <v>723</v>
      </c>
      <c r="D1386" t="s">
        <v>23</v>
      </c>
      <c r="E1386" t="s">
        <v>24</v>
      </c>
      <c r="F1386" t="s">
        <v>25</v>
      </c>
      <c r="G1386" t="s">
        <v>26</v>
      </c>
      <c r="H1386">
        <v>1</v>
      </c>
      <c r="I1386">
        <v>0</v>
      </c>
      <c r="J1386">
        <v>0</v>
      </c>
      <c r="K1386">
        <v>0</v>
      </c>
      <c r="L1386">
        <v>0</v>
      </c>
      <c r="M1386">
        <v>2</v>
      </c>
      <c r="N1386">
        <v>0</v>
      </c>
      <c r="P1386">
        <v>58.8</v>
      </c>
    </row>
    <row r="1387" spans="1:16">
      <c r="A1387" t="s">
        <v>1418</v>
      </c>
      <c r="B1387" s="2">
        <v>45678</v>
      </c>
      <c r="C1387" t="s">
        <v>723</v>
      </c>
      <c r="D1387" t="s">
        <v>18</v>
      </c>
      <c r="E1387" t="s">
        <v>34</v>
      </c>
      <c r="F1387" t="s">
        <v>29</v>
      </c>
      <c r="G1387" t="s">
        <v>21</v>
      </c>
      <c r="H1387">
        <v>0</v>
      </c>
      <c r="I1387">
        <v>0</v>
      </c>
      <c r="J1387">
        <v>0</v>
      </c>
      <c r="K1387">
        <v>0</v>
      </c>
      <c r="L1387">
        <v>0</v>
      </c>
      <c r="M1387">
        <v>1</v>
      </c>
      <c r="N1387">
        <v>0</v>
      </c>
      <c r="P1387">
        <v>59.1</v>
      </c>
    </row>
    <row r="1388" spans="1:16">
      <c r="A1388" t="s">
        <v>1419</v>
      </c>
      <c r="B1388" s="2">
        <v>45798</v>
      </c>
      <c r="C1388" t="s">
        <v>723</v>
      </c>
      <c r="D1388" t="s">
        <v>23</v>
      </c>
      <c r="E1388" t="s">
        <v>19</v>
      </c>
      <c r="F1388" t="s">
        <v>29</v>
      </c>
      <c r="G1388" t="s">
        <v>26</v>
      </c>
      <c r="H1388">
        <v>1</v>
      </c>
      <c r="I1388">
        <v>0</v>
      </c>
      <c r="J1388">
        <v>0</v>
      </c>
      <c r="K1388">
        <v>0</v>
      </c>
      <c r="L1388">
        <v>0</v>
      </c>
      <c r="M1388">
        <v>2</v>
      </c>
      <c r="N1388">
        <v>0</v>
      </c>
      <c r="P1388">
        <v>49.6</v>
      </c>
    </row>
    <row r="1389" spans="1:16">
      <c r="A1389" t="s">
        <v>1420</v>
      </c>
      <c r="B1389" s="2">
        <v>45662</v>
      </c>
      <c r="C1389" t="s">
        <v>723</v>
      </c>
      <c r="D1389" t="s">
        <v>18</v>
      </c>
      <c r="E1389" t="s">
        <v>24</v>
      </c>
      <c r="F1389" t="s">
        <v>39</v>
      </c>
      <c r="G1389" t="s">
        <v>26</v>
      </c>
      <c r="H1389">
        <v>0</v>
      </c>
      <c r="I1389">
        <v>0</v>
      </c>
      <c r="J1389">
        <v>0</v>
      </c>
      <c r="K1389">
        <v>0</v>
      </c>
      <c r="L1389">
        <v>0</v>
      </c>
      <c r="M1389">
        <v>0</v>
      </c>
      <c r="N1389">
        <v>0</v>
      </c>
      <c r="P1389">
        <v>58.2</v>
      </c>
    </row>
    <row r="1390" spans="1:16">
      <c r="A1390" t="s">
        <v>1421</v>
      </c>
      <c r="B1390" s="2">
        <v>45722</v>
      </c>
      <c r="C1390" t="s">
        <v>723</v>
      </c>
      <c r="D1390" t="s">
        <v>32</v>
      </c>
      <c r="E1390" t="s">
        <v>19</v>
      </c>
      <c r="F1390" t="s">
        <v>25</v>
      </c>
      <c r="G1390" t="s">
        <v>26</v>
      </c>
      <c r="H1390">
        <v>1</v>
      </c>
      <c r="I1390">
        <v>0</v>
      </c>
      <c r="J1390">
        <v>0</v>
      </c>
      <c r="K1390">
        <v>0</v>
      </c>
      <c r="L1390">
        <v>0</v>
      </c>
      <c r="M1390">
        <v>0</v>
      </c>
      <c r="N1390">
        <v>0</v>
      </c>
      <c r="P1390">
        <v>66.8</v>
      </c>
    </row>
    <row r="1391" spans="1:16">
      <c r="A1391" t="s">
        <v>1422</v>
      </c>
      <c r="B1391" s="2">
        <v>45765</v>
      </c>
      <c r="C1391" t="s">
        <v>723</v>
      </c>
      <c r="D1391" t="s">
        <v>18</v>
      </c>
      <c r="E1391" t="s">
        <v>24</v>
      </c>
      <c r="F1391" t="s">
        <v>29</v>
      </c>
      <c r="G1391" t="s">
        <v>26</v>
      </c>
      <c r="H1391">
        <v>1</v>
      </c>
      <c r="I1391">
        <v>0</v>
      </c>
      <c r="J1391">
        <v>0</v>
      </c>
      <c r="K1391">
        <v>0</v>
      </c>
      <c r="L1391">
        <v>0</v>
      </c>
      <c r="M1391">
        <v>3</v>
      </c>
      <c r="N1391">
        <v>0</v>
      </c>
      <c r="P1391">
        <v>58.3</v>
      </c>
    </row>
    <row r="1392" spans="1:16">
      <c r="A1392" t="s">
        <v>1423</v>
      </c>
      <c r="B1392" s="2">
        <v>45762</v>
      </c>
      <c r="C1392" t="s">
        <v>723</v>
      </c>
      <c r="D1392" t="s">
        <v>23</v>
      </c>
      <c r="E1392" t="s">
        <v>24</v>
      </c>
      <c r="F1392" t="s">
        <v>25</v>
      </c>
      <c r="G1392" t="s">
        <v>21</v>
      </c>
      <c r="H1392">
        <v>1</v>
      </c>
      <c r="I1392">
        <v>1</v>
      </c>
      <c r="J1392">
        <v>1</v>
      </c>
      <c r="K1392">
        <v>0</v>
      </c>
      <c r="L1392">
        <v>0</v>
      </c>
      <c r="M1392">
        <v>0</v>
      </c>
      <c r="N1392">
        <v>0</v>
      </c>
      <c r="P1392">
        <v>38.5</v>
      </c>
    </row>
    <row r="1393" spans="1:16">
      <c r="A1393" t="s">
        <v>1424</v>
      </c>
      <c r="B1393" s="2">
        <v>45698</v>
      </c>
      <c r="C1393" t="s">
        <v>723</v>
      </c>
      <c r="D1393" t="s">
        <v>28</v>
      </c>
      <c r="E1393" t="s">
        <v>24</v>
      </c>
      <c r="F1393" t="s">
        <v>29</v>
      </c>
      <c r="G1393" t="s">
        <v>26</v>
      </c>
      <c r="H1393">
        <v>1</v>
      </c>
      <c r="I1393">
        <v>0</v>
      </c>
      <c r="J1393">
        <v>0</v>
      </c>
      <c r="K1393">
        <v>0</v>
      </c>
      <c r="L1393">
        <v>0</v>
      </c>
      <c r="M1393">
        <v>0</v>
      </c>
      <c r="N1393">
        <v>0</v>
      </c>
      <c r="P1393">
        <v>76.900000000000006</v>
      </c>
    </row>
    <row r="1394" spans="1:16">
      <c r="A1394" t="s">
        <v>1425</v>
      </c>
      <c r="B1394" s="2">
        <v>45785</v>
      </c>
      <c r="C1394" t="s">
        <v>723</v>
      </c>
      <c r="D1394" t="s">
        <v>28</v>
      </c>
      <c r="E1394" t="s">
        <v>24</v>
      </c>
      <c r="F1394" t="s">
        <v>25</v>
      </c>
      <c r="G1394" t="s">
        <v>26</v>
      </c>
      <c r="H1394">
        <v>1</v>
      </c>
      <c r="I1394">
        <v>0</v>
      </c>
      <c r="J1394">
        <v>0</v>
      </c>
      <c r="K1394">
        <v>0</v>
      </c>
      <c r="L1394">
        <v>0</v>
      </c>
      <c r="M1394">
        <v>0</v>
      </c>
      <c r="N1394">
        <v>0</v>
      </c>
      <c r="P1394">
        <v>54</v>
      </c>
    </row>
    <row r="1395" spans="1:16">
      <c r="A1395" t="s">
        <v>1426</v>
      </c>
      <c r="B1395" s="2">
        <v>45805</v>
      </c>
      <c r="C1395" t="s">
        <v>723</v>
      </c>
      <c r="D1395" t="s">
        <v>28</v>
      </c>
      <c r="E1395" t="s">
        <v>34</v>
      </c>
      <c r="F1395" t="s">
        <v>25</v>
      </c>
      <c r="G1395" t="s">
        <v>26</v>
      </c>
      <c r="H1395">
        <v>1</v>
      </c>
      <c r="I1395">
        <v>0</v>
      </c>
      <c r="J1395">
        <v>0</v>
      </c>
      <c r="K1395">
        <v>0</v>
      </c>
      <c r="L1395">
        <v>0</v>
      </c>
      <c r="M1395">
        <v>0</v>
      </c>
      <c r="N1395">
        <v>0</v>
      </c>
      <c r="P1395">
        <v>70.599999999999994</v>
      </c>
    </row>
    <row r="1396" spans="1:16">
      <c r="A1396" t="s">
        <v>1427</v>
      </c>
      <c r="B1396" s="2">
        <v>45772</v>
      </c>
      <c r="C1396" t="s">
        <v>723</v>
      </c>
      <c r="D1396" t="s">
        <v>18</v>
      </c>
      <c r="E1396" t="s">
        <v>34</v>
      </c>
      <c r="F1396" t="s">
        <v>39</v>
      </c>
      <c r="G1396" t="s">
        <v>30</v>
      </c>
      <c r="H1396">
        <v>1</v>
      </c>
      <c r="I1396">
        <v>1</v>
      </c>
      <c r="J1396">
        <v>1</v>
      </c>
      <c r="K1396">
        <v>0</v>
      </c>
      <c r="L1396">
        <v>0</v>
      </c>
      <c r="M1396">
        <v>1</v>
      </c>
      <c r="N1396">
        <v>0</v>
      </c>
      <c r="P1396">
        <v>69.400000000000006</v>
      </c>
    </row>
    <row r="1397" spans="1:16">
      <c r="A1397" t="s">
        <v>1428</v>
      </c>
      <c r="B1397" s="2">
        <v>45699</v>
      </c>
      <c r="C1397" t="s">
        <v>723</v>
      </c>
      <c r="D1397" t="s">
        <v>32</v>
      </c>
      <c r="E1397" t="s">
        <v>24</v>
      </c>
      <c r="G1397" t="s">
        <v>30</v>
      </c>
      <c r="H1397">
        <v>1</v>
      </c>
      <c r="I1397">
        <v>1</v>
      </c>
      <c r="J1397">
        <v>1</v>
      </c>
      <c r="K1397">
        <v>1</v>
      </c>
      <c r="L1397">
        <v>1009.9</v>
      </c>
      <c r="M1397">
        <v>0</v>
      </c>
      <c r="N1397">
        <v>0</v>
      </c>
      <c r="O1397">
        <v>6</v>
      </c>
      <c r="P1397">
        <v>89.7</v>
      </c>
    </row>
    <row r="1398" spans="1:16">
      <c r="A1398" t="s">
        <v>1429</v>
      </c>
      <c r="B1398" s="2">
        <v>45761</v>
      </c>
      <c r="C1398" t="s">
        <v>723</v>
      </c>
      <c r="D1398" t="s">
        <v>23</v>
      </c>
      <c r="E1398" t="s">
        <v>24</v>
      </c>
      <c r="F1398" t="s">
        <v>25</v>
      </c>
      <c r="G1398" t="s">
        <v>26</v>
      </c>
      <c r="H1398">
        <v>1</v>
      </c>
      <c r="I1398">
        <v>0</v>
      </c>
      <c r="J1398">
        <v>0</v>
      </c>
      <c r="K1398">
        <v>0</v>
      </c>
      <c r="L1398">
        <v>0</v>
      </c>
      <c r="M1398">
        <v>0</v>
      </c>
      <c r="N1398">
        <v>0</v>
      </c>
      <c r="P1398">
        <v>62.4</v>
      </c>
    </row>
    <row r="1399" spans="1:16">
      <c r="A1399" t="s">
        <v>1430</v>
      </c>
      <c r="B1399" s="2">
        <v>45692</v>
      </c>
      <c r="C1399" t="s">
        <v>723</v>
      </c>
      <c r="D1399" t="s">
        <v>23</v>
      </c>
      <c r="E1399" t="s">
        <v>34</v>
      </c>
      <c r="F1399" t="s">
        <v>25</v>
      </c>
      <c r="G1399" t="s">
        <v>30</v>
      </c>
      <c r="H1399">
        <v>0</v>
      </c>
      <c r="I1399">
        <v>0</v>
      </c>
      <c r="J1399">
        <v>0</v>
      </c>
      <c r="K1399">
        <v>0</v>
      </c>
      <c r="L1399">
        <v>0</v>
      </c>
      <c r="M1399">
        <v>0</v>
      </c>
      <c r="N1399">
        <v>0</v>
      </c>
      <c r="P1399">
        <v>67.3</v>
      </c>
    </row>
    <row r="1400" spans="1:16">
      <c r="A1400" t="s">
        <v>1431</v>
      </c>
      <c r="B1400" s="2">
        <v>45738</v>
      </c>
      <c r="C1400" t="s">
        <v>723</v>
      </c>
      <c r="D1400" t="s">
        <v>28</v>
      </c>
      <c r="E1400" t="s">
        <v>24</v>
      </c>
      <c r="F1400" t="s">
        <v>39</v>
      </c>
      <c r="G1400" t="s">
        <v>26</v>
      </c>
      <c r="H1400">
        <v>1</v>
      </c>
      <c r="I1400">
        <v>0</v>
      </c>
      <c r="J1400">
        <v>0</v>
      </c>
      <c r="K1400">
        <v>0</v>
      </c>
      <c r="L1400">
        <v>0</v>
      </c>
      <c r="M1400">
        <v>0</v>
      </c>
      <c r="N1400">
        <v>0</v>
      </c>
      <c r="P1400">
        <v>54.9</v>
      </c>
    </row>
    <row r="1401" spans="1:16">
      <c r="A1401" t="s">
        <v>1432</v>
      </c>
      <c r="B1401" s="2">
        <v>45765</v>
      </c>
      <c r="C1401" t="s">
        <v>723</v>
      </c>
      <c r="D1401" t="s">
        <v>28</v>
      </c>
      <c r="E1401" t="s">
        <v>19</v>
      </c>
      <c r="F1401" t="s">
        <v>41</v>
      </c>
      <c r="G1401" t="s">
        <v>26</v>
      </c>
      <c r="H1401">
        <v>0</v>
      </c>
      <c r="I1401">
        <v>0</v>
      </c>
      <c r="J1401">
        <v>0</v>
      </c>
      <c r="K1401">
        <v>0</v>
      </c>
      <c r="L1401">
        <v>0</v>
      </c>
      <c r="M1401">
        <v>0</v>
      </c>
      <c r="N1401">
        <v>0</v>
      </c>
      <c r="P1401">
        <v>55.7</v>
      </c>
    </row>
    <row r="1402" spans="1:16">
      <c r="A1402" t="s">
        <v>949</v>
      </c>
      <c r="B1402" s="2">
        <v>45711</v>
      </c>
      <c r="C1402" t="s">
        <v>723</v>
      </c>
      <c r="D1402" t="s">
        <v>23</v>
      </c>
      <c r="E1402" t="s">
        <v>19</v>
      </c>
      <c r="F1402" t="s">
        <v>41</v>
      </c>
      <c r="G1402" t="s">
        <v>21</v>
      </c>
      <c r="H1402">
        <v>1</v>
      </c>
      <c r="I1402">
        <v>1</v>
      </c>
      <c r="J1402">
        <v>1</v>
      </c>
      <c r="K1402">
        <v>0</v>
      </c>
      <c r="L1402">
        <v>0</v>
      </c>
      <c r="M1402">
        <v>0</v>
      </c>
      <c r="N1402">
        <v>0</v>
      </c>
      <c r="P1402">
        <v>70.599999999999994</v>
      </c>
    </row>
    <row r="1403" spans="1:16">
      <c r="A1403" t="s">
        <v>464</v>
      </c>
      <c r="B1403" s="2">
        <v>45691</v>
      </c>
      <c r="C1403" t="s">
        <v>17</v>
      </c>
      <c r="D1403" t="s">
        <v>18</v>
      </c>
      <c r="E1403" t="s">
        <v>34</v>
      </c>
      <c r="F1403" t="s">
        <v>20</v>
      </c>
      <c r="G1403" t="s">
        <v>21</v>
      </c>
      <c r="H1403">
        <v>1</v>
      </c>
      <c r="I1403">
        <v>0</v>
      </c>
      <c r="J1403">
        <v>0</v>
      </c>
      <c r="K1403">
        <v>0</v>
      </c>
      <c r="L1403">
        <v>0</v>
      </c>
      <c r="M1403">
        <v>0</v>
      </c>
      <c r="N1403">
        <v>0</v>
      </c>
      <c r="P1403">
        <v>60.9</v>
      </c>
    </row>
    <row r="1404" spans="1:16">
      <c r="A1404" t="s">
        <v>1394</v>
      </c>
      <c r="B1404" s="2">
        <v>45800</v>
      </c>
      <c r="C1404" t="s">
        <v>723</v>
      </c>
      <c r="D1404" t="s">
        <v>28</v>
      </c>
      <c r="E1404" t="s">
        <v>24</v>
      </c>
      <c r="F1404" t="s">
        <v>25</v>
      </c>
      <c r="G1404" t="s">
        <v>21</v>
      </c>
      <c r="H1404">
        <v>1</v>
      </c>
      <c r="I1404">
        <v>0</v>
      </c>
      <c r="J1404">
        <v>0</v>
      </c>
      <c r="K1404">
        <v>0</v>
      </c>
      <c r="L1404">
        <v>0</v>
      </c>
      <c r="M1404">
        <v>0</v>
      </c>
      <c r="N1404">
        <v>0</v>
      </c>
      <c r="P1404">
        <v>33.6</v>
      </c>
    </row>
    <row r="1405" spans="1:16">
      <c r="A1405" t="s">
        <v>127</v>
      </c>
      <c r="B1405" s="2">
        <v>45693</v>
      </c>
      <c r="C1405" t="s">
        <v>17</v>
      </c>
      <c r="D1405" t="s">
        <v>28</v>
      </c>
      <c r="E1405" t="s">
        <v>24</v>
      </c>
      <c r="F1405" t="s">
        <v>41</v>
      </c>
      <c r="G1405" t="s">
        <v>26</v>
      </c>
      <c r="H1405">
        <v>0</v>
      </c>
      <c r="I1405">
        <v>0</v>
      </c>
      <c r="J1405">
        <v>0</v>
      </c>
      <c r="K1405">
        <v>0</v>
      </c>
      <c r="L1405">
        <v>0</v>
      </c>
      <c r="M1405">
        <v>0</v>
      </c>
      <c r="N1405">
        <v>0</v>
      </c>
      <c r="P1405">
        <v>68</v>
      </c>
    </row>
    <row r="1406" spans="1:16">
      <c r="A1406" t="s">
        <v>1242</v>
      </c>
      <c r="B1406" s="2">
        <v>45712</v>
      </c>
      <c r="C1406" t="s">
        <v>723</v>
      </c>
      <c r="D1406" t="s">
        <v>23</v>
      </c>
      <c r="E1406" t="s">
        <v>24</v>
      </c>
      <c r="F1406" t="s">
        <v>25</v>
      </c>
      <c r="G1406" t="s">
        <v>21</v>
      </c>
      <c r="H1406">
        <v>1</v>
      </c>
      <c r="I1406">
        <v>0</v>
      </c>
      <c r="J1406">
        <v>0</v>
      </c>
      <c r="K1406">
        <v>0</v>
      </c>
      <c r="L1406">
        <v>0</v>
      </c>
      <c r="M1406">
        <v>0</v>
      </c>
      <c r="N1406">
        <v>0</v>
      </c>
      <c r="P1406">
        <v>62</v>
      </c>
    </row>
    <row r="1407" spans="1:16">
      <c r="A1407" t="s">
        <v>1264</v>
      </c>
      <c r="B1407" s="2">
        <v>45746</v>
      </c>
      <c r="C1407" t="s">
        <v>723</v>
      </c>
      <c r="D1407" t="s">
        <v>28</v>
      </c>
      <c r="E1407" t="s">
        <v>24</v>
      </c>
      <c r="F1407" t="s">
        <v>25</v>
      </c>
      <c r="G1407" t="s">
        <v>26</v>
      </c>
      <c r="H1407">
        <v>1</v>
      </c>
      <c r="I1407">
        <v>1</v>
      </c>
      <c r="J1407">
        <v>1</v>
      </c>
      <c r="K1407">
        <v>0</v>
      </c>
      <c r="L1407">
        <v>0</v>
      </c>
      <c r="M1407">
        <v>1</v>
      </c>
      <c r="N1407">
        <v>0</v>
      </c>
      <c r="P1407">
        <v>72.5</v>
      </c>
    </row>
    <row r="1408" spans="1:16">
      <c r="A1408" t="s">
        <v>1091</v>
      </c>
      <c r="B1408" s="2">
        <v>45793</v>
      </c>
      <c r="C1408" t="s">
        <v>723</v>
      </c>
      <c r="D1408" t="s">
        <v>32</v>
      </c>
      <c r="E1408" t="s">
        <v>24</v>
      </c>
      <c r="F1408" t="s">
        <v>25</v>
      </c>
      <c r="G1408" t="s">
        <v>26</v>
      </c>
      <c r="H1408">
        <v>1</v>
      </c>
      <c r="I1408">
        <v>0</v>
      </c>
      <c r="J1408">
        <v>0</v>
      </c>
      <c r="K1408">
        <v>0</v>
      </c>
      <c r="L1408">
        <v>0</v>
      </c>
      <c r="M1408">
        <v>0</v>
      </c>
      <c r="N1408">
        <v>0</v>
      </c>
      <c r="P1408">
        <v>70.3</v>
      </c>
    </row>
    <row r="1409" spans="1:16">
      <c r="A1409" t="s">
        <v>572</v>
      </c>
      <c r="B1409" s="2">
        <v>45799</v>
      </c>
      <c r="C1409" t="s">
        <v>17</v>
      </c>
      <c r="D1409" t="s">
        <v>18</v>
      </c>
      <c r="E1409" t="s">
        <v>24</v>
      </c>
      <c r="F1409" t="s">
        <v>29</v>
      </c>
      <c r="G1409" t="s">
        <v>21</v>
      </c>
      <c r="H1409">
        <v>1</v>
      </c>
      <c r="I1409">
        <v>1</v>
      </c>
      <c r="J1409">
        <v>0</v>
      </c>
      <c r="K1409">
        <v>0</v>
      </c>
      <c r="L1409">
        <v>0</v>
      </c>
      <c r="M1409">
        <v>0</v>
      </c>
      <c r="N1409">
        <v>0</v>
      </c>
      <c r="P1409">
        <v>39.9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4"/>
  <sheetViews>
    <sheetView workbookViewId="0"/>
  </sheetViews>
  <sheetFormatPr defaultRowHeight="13.8"/>
  <cols>
    <col min="1" max="2" width="28" customWidth="1"/>
  </cols>
  <sheetData>
    <row r="1" spans="1:2" ht="22.35" customHeight="1">
      <c r="A1" s="1" t="s">
        <v>1433</v>
      </c>
      <c r="B1" s="1" t="s">
        <v>1434</v>
      </c>
    </row>
    <row r="2" spans="1:2" ht="55.2">
      <c r="A2" s="3" t="s">
        <v>1435</v>
      </c>
      <c r="B2" s="3" t="s">
        <v>1436</v>
      </c>
    </row>
    <row r="3" spans="1:2">
      <c r="A3" s="3" t="s">
        <v>17</v>
      </c>
      <c r="B3" s="3" t="s">
        <v>1437</v>
      </c>
    </row>
    <row r="4" spans="1:2">
      <c r="A4" s="3" t="s">
        <v>723</v>
      </c>
      <c r="B4" s="3" t="s">
        <v>1438</v>
      </c>
    </row>
    <row r="5" spans="1:2" ht="41.4">
      <c r="A5" s="3" t="s">
        <v>1439</v>
      </c>
      <c r="B5" s="3" t="s">
        <v>1440</v>
      </c>
    </row>
    <row r="6" spans="1:2" ht="27.6">
      <c r="A6" s="3" t="s">
        <v>7</v>
      </c>
      <c r="B6" s="3" t="s">
        <v>1441</v>
      </c>
    </row>
    <row r="7" spans="1:2" ht="27.6">
      <c r="A7" s="3" t="s">
        <v>8</v>
      </c>
      <c r="B7" s="3" t="s">
        <v>1442</v>
      </c>
    </row>
    <row r="8" spans="1:2" ht="27.6">
      <c r="A8" s="3" t="s">
        <v>9</v>
      </c>
      <c r="B8" s="3" t="s">
        <v>1443</v>
      </c>
    </row>
    <row r="9" spans="1:2" ht="27.6">
      <c r="A9" s="3" t="s">
        <v>10</v>
      </c>
      <c r="B9" s="3" t="s">
        <v>1444</v>
      </c>
    </row>
    <row r="10" spans="1:2" ht="27.6">
      <c r="A10" s="3" t="s">
        <v>11</v>
      </c>
      <c r="B10" s="3" t="s">
        <v>1445</v>
      </c>
    </row>
    <row r="11" spans="1:2" ht="27.6">
      <c r="A11" s="3" t="s">
        <v>12</v>
      </c>
      <c r="B11" s="3" t="s">
        <v>1446</v>
      </c>
    </row>
    <row r="12" spans="1:2" ht="27.6">
      <c r="A12" s="3" t="s">
        <v>13</v>
      </c>
      <c r="B12" s="3" t="s">
        <v>1447</v>
      </c>
    </row>
    <row r="13" spans="1:2" ht="27.6">
      <c r="A13" s="3" t="s">
        <v>15</v>
      </c>
      <c r="B13" s="3" t="s">
        <v>1448</v>
      </c>
    </row>
    <row r="14" spans="1:2" ht="55.2">
      <c r="A14" s="3" t="s">
        <v>1449</v>
      </c>
      <c r="B14" s="3" t="s">
        <v>1450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cleaned_experiment_data</vt:lpstr>
      <vt:lpstr>Hypothesis_Test</vt:lpstr>
      <vt:lpstr>temp_data_hypothesis</vt:lpstr>
      <vt:lpstr>Control vs Treatment</vt:lpstr>
      <vt:lpstr>Segment Distribution</vt:lpstr>
      <vt:lpstr>experiment_data_initialworking</vt:lpstr>
      <vt:lpstr>raw_experiment_data</vt:lpstr>
      <vt:lpstr>business_context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Natasha R</cp:lastModifiedBy>
  <dcterms:modified xsi:type="dcterms:W3CDTF">2026-06-28T03:09:52Z</dcterms:modified>
</cp:coreProperties>
</file>